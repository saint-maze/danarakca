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kemenkeu.sharepoint.com/sites/DzulfikarSharepoint/Shared Documents/General/Game Investasi/"/>
    </mc:Choice>
  </mc:AlternateContent>
  <xr:revisionPtr revIDLastSave="0" documentId="8_{5BE524F5-C339-4C84-BD70-877BF9B2A74A}" xr6:coauthVersionLast="47" xr6:coauthVersionMax="47" xr10:uidLastSave="{00000000-0000-0000-0000-000000000000}"/>
  <bookViews>
    <workbookView xWindow="2544" yWindow="2544" windowWidth="17280" windowHeight="8880" tabRatio="500" activeTab="5" xr2:uid="{00000000-000D-0000-FFFF-FFFF00000000}"/>
  </bookViews>
  <sheets>
    <sheet name="Dashboard" sheetId="1" r:id="rId1"/>
    <sheet name="Panduan" sheetId="2" r:id="rId2"/>
    <sheet name="Pengaturan" sheetId="3" r:id="rId3"/>
    <sheet name="Kartu" sheetId="4" r:id="rId4"/>
    <sheet name="Log_Putaran" sheetId="5" r:id="rId5"/>
    <sheet name="Input" sheetId="6" r:id="rId6"/>
    <sheet name="Peserta" sheetId="7" r:id="rId7"/>
    <sheet name="Perhitungan" sheetId="8" r:id="rId8"/>
    <sheet name="Data_Grafik" sheetId="9" r:id="rId9"/>
    <sheet name="_Bantu" sheetId="10" state="hidden" r:id="rId10"/>
    <sheet name="_DD" sheetId="11" state="hidden" r:id="rId11"/>
  </sheets>
  <definedNames>
    <definedName name="_xlnm._FilterDatabase" localSheetId="3" hidden="1">Kartu!$A$5:$J$105</definedName>
    <definedName name="BatasAset">Pengaturan!$C$9</definedName>
    <definedName name="BatasDD">Pengaturan!$C$10</definedName>
    <definedName name="DaftarKartu">Kartu!$A$6:$A$105</definedName>
    <definedName name="Dasar1">Pengaturan!$C$15</definedName>
    <definedName name="Dasar2">Pengaturan!$C$16</definedName>
    <definedName name="Dasar3">Pengaturan!$C$17</definedName>
    <definedName name="Dasar4">Pengaturan!$C$18</definedName>
    <definedName name="Dasar5">Pengaturan!$C$19</definedName>
    <definedName name="JmlPutaran">Pengaturan!$C$7</definedName>
    <definedName name="LogKartu">Log_Putaran!$C$6:$C$35</definedName>
    <definedName name="LogWaktu">Log_Putaran!$D$6:$D$35</definedName>
    <definedName name="Modal">Pengaturan!$C$6</definedName>
    <definedName name="NamaAcara">Pengaturan!$C$5</definedName>
    <definedName name="PesanScript">Pengaturan!$C$27</definedName>
    <definedName name="PutaranKini">Log_Putaran!$G$3</definedName>
    <definedName name="TahapAktif">Pengaturan!$C$8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10" l="1"/>
  <c r="A3" i="10"/>
  <c r="A4" i="10"/>
  <c r="A11" i="10"/>
  <c r="A12" i="10"/>
  <c r="A13" i="10"/>
  <c r="A14" i="10"/>
  <c r="A15" i="10"/>
  <c r="A16" i="10"/>
  <c r="A23" i="10"/>
  <c r="A24" i="10"/>
  <c r="A25" i="10"/>
  <c r="A35" i="10"/>
  <c r="A36" i="10"/>
  <c r="A37" i="10"/>
  <c r="A38" i="10"/>
  <c r="A39" i="10"/>
  <c r="A47" i="10"/>
  <c r="A48" i="10"/>
  <c r="A49" i="10"/>
  <c r="A50" i="10"/>
  <c r="A51" i="10"/>
  <c r="A52" i="10"/>
  <c r="A59" i="10"/>
  <c r="A60" i="10"/>
  <c r="A61" i="10"/>
  <c r="A62" i="10"/>
  <c r="A63" i="10"/>
  <c r="A64" i="10"/>
  <c r="A71" i="10"/>
  <c r="A72" i="10"/>
  <c r="A73" i="10"/>
  <c r="A84" i="10"/>
  <c r="A85" i="10"/>
  <c r="A86" i="10"/>
  <c r="A96" i="10"/>
  <c r="A97" i="10"/>
  <c r="A98" i="10"/>
  <c r="A99" i="10"/>
  <c r="A100" i="10"/>
  <c r="A108" i="10"/>
  <c r="A109" i="10"/>
  <c r="A110" i="10"/>
  <c r="A111" i="10"/>
  <c r="A112" i="10"/>
  <c r="A119" i="10"/>
  <c r="A120" i="10"/>
  <c r="A121" i="10"/>
  <c r="A122" i="10"/>
  <c r="A123" i="10"/>
  <c r="A124" i="10"/>
  <c r="A131" i="10"/>
  <c r="A132" i="10"/>
  <c r="A133" i="10"/>
  <c r="A135" i="10"/>
  <c r="A136" i="10"/>
  <c r="A140" i="10"/>
  <c r="A143" i="10"/>
  <c r="A144" i="10"/>
  <c r="A145" i="10"/>
  <c r="A152" i="10"/>
  <c r="A155" i="10"/>
  <c r="A156" i="10"/>
  <c r="A157" i="10"/>
  <c r="A158" i="10"/>
  <c r="A159" i="10"/>
  <c r="A160" i="10"/>
  <c r="A167" i="10"/>
  <c r="A168" i="10"/>
  <c r="A169" i="10"/>
  <c r="A170" i="10"/>
  <c r="A171" i="10"/>
  <c r="A172" i="10"/>
  <c r="A179" i="10"/>
  <c r="A180" i="10"/>
  <c r="A181" i="10"/>
  <c r="A183" i="10"/>
  <c r="A184" i="10"/>
  <c r="A188" i="10"/>
  <c r="A191" i="10"/>
  <c r="A192" i="10"/>
  <c r="A193" i="10"/>
  <c r="A200" i="10"/>
  <c r="A203" i="10"/>
  <c r="A204" i="10"/>
  <c r="A205" i="10"/>
  <c r="A206" i="10"/>
  <c r="A207" i="10"/>
  <c r="A208" i="10"/>
  <c r="A216" i="10"/>
  <c r="A217" i="10"/>
  <c r="A218" i="10"/>
  <c r="A219" i="10"/>
  <c r="A220" i="10"/>
  <c r="A227" i="10"/>
  <c r="A228" i="10"/>
  <c r="A229" i="10"/>
  <c r="A230" i="10"/>
  <c r="A231" i="10"/>
  <c r="A232" i="10"/>
  <c r="A236" i="10"/>
  <c r="A239" i="10"/>
  <c r="A240" i="10"/>
  <c r="A241" i="10"/>
  <c r="A248" i="10"/>
  <c r="A251" i="10"/>
  <c r="A252" i="10"/>
  <c r="A253" i="10"/>
  <c r="A254" i="10"/>
  <c r="A255" i="10"/>
  <c r="A263" i="10"/>
  <c r="A264" i="10"/>
  <c r="A265" i="10"/>
  <c r="A266" i="10"/>
  <c r="A267" i="10"/>
  <c r="A268" i="10"/>
  <c r="A275" i="10"/>
  <c r="A276" i="10"/>
  <c r="A277" i="10"/>
  <c r="A278" i="10"/>
  <c r="A279" i="10"/>
  <c r="A280" i="10"/>
  <c r="A284" i="10"/>
  <c r="A288" i="10"/>
  <c r="A289" i="10"/>
  <c r="A292" i="10"/>
  <c r="A299" i="10"/>
  <c r="A300" i="10"/>
  <c r="A301" i="10"/>
  <c r="A302" i="10"/>
  <c r="A308" i="10"/>
  <c r="A311" i="10"/>
  <c r="A312" i="10"/>
  <c r="A313" i="10"/>
  <c r="A314" i="10"/>
  <c r="A315" i="10"/>
  <c r="A316" i="10"/>
  <c r="A323" i="10"/>
  <c r="A324" i="10"/>
  <c r="A325" i="10"/>
  <c r="A326" i="10"/>
  <c r="A327" i="10"/>
  <c r="A328" i="10"/>
  <c r="A332" i="10"/>
  <c r="A335" i="10"/>
  <c r="A336" i="10"/>
  <c r="A337" i="10"/>
  <c r="A340" i="10"/>
  <c r="A347" i="10"/>
  <c r="A348" i="10"/>
  <c r="A349" i="10"/>
  <c r="A350" i="10"/>
  <c r="A356" i="10"/>
  <c r="A360" i="10"/>
  <c r="A361" i="10"/>
  <c r="A362" i="10"/>
  <c r="A363" i="10"/>
  <c r="A364" i="10"/>
  <c r="A371" i="10"/>
  <c r="A372" i="10"/>
  <c r="A373" i="10"/>
  <c r="A374" i="10"/>
  <c r="A375" i="10"/>
  <c r="A376" i="10"/>
  <c r="A383" i="10"/>
  <c r="A384" i="10"/>
  <c r="A385" i="10"/>
  <c r="A387" i="10"/>
  <c r="A388" i="10"/>
  <c r="A392" i="10"/>
  <c r="A395" i="10"/>
  <c r="A396" i="10"/>
  <c r="A397" i="10"/>
  <c r="A404" i="10"/>
  <c r="A407" i="10"/>
  <c r="A408" i="10"/>
  <c r="A409" i="10"/>
  <c r="A410" i="10"/>
  <c r="A411" i="10"/>
  <c r="A412" i="10"/>
  <c r="A419" i="10"/>
  <c r="A420" i="10"/>
  <c r="A421" i="10"/>
  <c r="A422" i="10"/>
  <c r="A423" i="10"/>
  <c r="A424" i="10"/>
  <c r="A432" i="10"/>
  <c r="A433" i="10"/>
  <c r="A434" i="10"/>
  <c r="A435" i="10"/>
  <c r="A436" i="10"/>
  <c r="A440" i="10"/>
  <c r="A443" i="10"/>
  <c r="A444" i="10"/>
  <c r="A445" i="10"/>
  <c r="A452" i="10"/>
  <c r="A455" i="10"/>
  <c r="A456" i="10"/>
  <c r="A457" i="10"/>
  <c r="A458" i="10"/>
  <c r="A459" i="10"/>
  <c r="A467" i="10"/>
  <c r="A468" i="10"/>
  <c r="A469" i="10"/>
  <c r="A470" i="10"/>
  <c r="A471" i="10"/>
  <c r="A472" i="10"/>
  <c r="A479" i="10"/>
  <c r="A480" i="10"/>
  <c r="A481" i="10"/>
  <c r="A482" i="10"/>
  <c r="A483" i="10"/>
  <c r="A484" i="10"/>
  <c r="A488" i="10"/>
  <c r="A491" i="10"/>
  <c r="A492" i="10"/>
  <c r="A493" i="10"/>
  <c r="A500" i="10"/>
  <c r="A504" i="10"/>
  <c r="A505" i="10"/>
  <c r="A506" i="10"/>
  <c r="A507" i="10"/>
  <c r="A508" i="10"/>
  <c r="A512" i="10"/>
  <c r="A514" i="10"/>
  <c r="A515" i="10"/>
  <c r="A516" i="10"/>
  <c r="A517" i="10"/>
  <c r="A518" i="10"/>
  <c r="A519" i="10"/>
  <c r="A520" i="10"/>
  <c r="A527" i="10"/>
  <c r="A528" i="10"/>
  <c r="A529" i="10"/>
  <c r="A530" i="10"/>
  <c r="A531" i="10"/>
  <c r="A532" i="10"/>
  <c r="A536" i="10"/>
  <c r="A539" i="10"/>
  <c r="A540" i="10"/>
  <c r="A541" i="10"/>
  <c r="A543" i="10"/>
  <c r="A544" i="10"/>
  <c r="A546" i="10"/>
  <c r="A551" i="10"/>
  <c r="A552" i="10"/>
  <c r="A553" i="10"/>
  <c r="A554" i="10"/>
  <c r="A556" i="10"/>
  <c r="A560" i="10"/>
  <c r="A562" i="10"/>
  <c r="A563" i="10"/>
  <c r="A564" i="10"/>
  <c r="A565" i="10"/>
  <c r="A566" i="10"/>
  <c r="A567" i="10"/>
  <c r="A568" i="10"/>
  <c r="A576" i="10"/>
  <c r="A577" i="10"/>
  <c r="A578" i="10"/>
  <c r="A579" i="10"/>
  <c r="A580" i="10"/>
  <c r="A587" i="10"/>
  <c r="A588" i="10"/>
  <c r="A589" i="10"/>
  <c r="A590" i="10"/>
  <c r="A591" i="10"/>
  <c r="A592" i="10"/>
  <c r="A594" i="10"/>
  <c r="A596" i="10"/>
  <c r="A599" i="10"/>
  <c r="A600" i="10"/>
  <c r="A601" i="10"/>
  <c r="A602" i="10"/>
  <c r="A604" i="10"/>
  <c r="A608" i="10"/>
  <c r="A611" i="10"/>
  <c r="A612" i="10"/>
  <c r="A613" i="10"/>
  <c r="A614" i="10"/>
  <c r="A615" i="10"/>
  <c r="A616" i="10"/>
  <c r="A623" i="10"/>
  <c r="A624" i="10"/>
  <c r="A625" i="10"/>
  <c r="A626" i="10"/>
  <c r="A627" i="10"/>
  <c r="A628" i="10"/>
  <c r="A635" i="10"/>
  <c r="A636" i="10"/>
  <c r="A637" i="10"/>
  <c r="A638" i="10"/>
  <c r="A639" i="10"/>
  <c r="A640" i="10"/>
  <c r="A642" i="10"/>
  <c r="A644" i="10"/>
  <c r="A647" i="10"/>
  <c r="A648" i="10"/>
  <c r="A649" i="10"/>
  <c r="A651" i="10"/>
  <c r="A652" i="10"/>
  <c r="A656" i="10"/>
  <c r="A659" i="10"/>
  <c r="A660" i="10"/>
  <c r="A661" i="10"/>
  <c r="A662" i="10"/>
  <c r="A663" i="10"/>
  <c r="A671" i="10"/>
  <c r="A672" i="10"/>
  <c r="A673" i="10"/>
  <c r="A674" i="10"/>
  <c r="A675" i="10"/>
  <c r="A676" i="10"/>
  <c r="A678" i="10"/>
  <c r="A683" i="10"/>
  <c r="A684" i="10"/>
  <c r="A685" i="10"/>
  <c r="A686" i="10"/>
  <c r="A687" i="10"/>
  <c r="A688" i="10"/>
  <c r="A692" i="10"/>
  <c r="A695" i="10"/>
  <c r="A696" i="10"/>
  <c r="A697" i="10"/>
  <c r="A699" i="10"/>
  <c r="A700" i="10"/>
  <c r="A704" i="10"/>
  <c r="A707" i="10"/>
  <c r="A708" i="10"/>
  <c r="A709" i="10"/>
  <c r="A710" i="10"/>
  <c r="A711" i="10"/>
  <c r="A719" i="10"/>
  <c r="A720" i="10"/>
  <c r="A721" i="10"/>
  <c r="A722" i="10"/>
  <c r="A723" i="10"/>
  <c r="A724" i="10"/>
  <c r="A731" i="10"/>
  <c r="A732" i="10"/>
  <c r="A733" i="10"/>
  <c r="A734" i="10"/>
  <c r="A735" i="10"/>
  <c r="A736" i="10"/>
  <c r="A740" i="10"/>
  <c r="A743" i="10"/>
  <c r="A744" i="10"/>
  <c r="A745" i="10"/>
  <c r="A746" i="10"/>
  <c r="A747" i="10"/>
  <c r="A748" i="10"/>
  <c r="A750" i="10"/>
  <c r="A755" i="10"/>
  <c r="A756" i="10"/>
  <c r="A757" i="10"/>
  <c r="A758" i="10"/>
  <c r="A764" i="10"/>
  <c r="A766" i="10"/>
  <c r="A767" i="10"/>
  <c r="A768" i="10"/>
  <c r="A769" i="10"/>
  <c r="A770" i="10"/>
  <c r="A771" i="10"/>
  <c r="A772" i="10"/>
  <c r="A779" i="10"/>
  <c r="A780" i="10"/>
  <c r="A781" i="10"/>
  <c r="A782" i="10"/>
  <c r="A783" i="10"/>
  <c r="A784" i="10"/>
  <c r="A788" i="10"/>
  <c r="A789" i="10"/>
  <c r="A792" i="10"/>
  <c r="A793" i="10"/>
  <c r="A794" i="10"/>
  <c r="A795" i="10"/>
  <c r="A796" i="10"/>
  <c r="A798" i="10"/>
  <c r="A800" i="10"/>
  <c r="A802" i="10"/>
  <c r="A803" i="10"/>
  <c r="A804" i="10"/>
  <c r="A805" i="10"/>
  <c r="A808" i="10"/>
  <c r="A812" i="10"/>
  <c r="A813" i="10"/>
  <c r="A815" i="10"/>
  <c r="A816" i="10"/>
  <c r="A817" i="10"/>
  <c r="A818" i="10"/>
  <c r="A819" i="10"/>
  <c r="A820" i="10"/>
  <c r="A827" i="10"/>
  <c r="A828" i="10"/>
  <c r="A829" i="10"/>
  <c r="A830" i="10"/>
  <c r="A831" i="10"/>
  <c r="A832" i="10"/>
  <c r="A837" i="10"/>
  <c r="A839" i="10"/>
  <c r="A840" i="10"/>
  <c r="A841" i="10"/>
  <c r="A842" i="10"/>
  <c r="A843" i="10"/>
  <c r="A844" i="10"/>
  <c r="A846" i="10"/>
  <c r="A848" i="10"/>
  <c r="A850" i="10"/>
  <c r="A851" i="10"/>
  <c r="A852" i="10"/>
  <c r="A853" i="10"/>
  <c r="A854" i="10"/>
  <c r="A860" i="10"/>
  <c r="A861" i="10"/>
  <c r="A863" i="10"/>
  <c r="A864" i="10"/>
  <c r="A865" i="10"/>
  <c r="A866" i="10"/>
  <c r="A867" i="10"/>
  <c r="A868" i="10"/>
  <c r="A875" i="10"/>
  <c r="A876" i="10"/>
  <c r="A877" i="10"/>
  <c r="A878" i="10"/>
  <c r="A879" i="10"/>
  <c r="A880" i="10"/>
  <c r="A882" i="10"/>
  <c r="A885" i="10"/>
  <c r="A887" i="10"/>
  <c r="A888" i="10"/>
  <c r="A889" i="10"/>
  <c r="A890" i="10"/>
  <c r="A891" i="10"/>
  <c r="A892" i="10"/>
  <c r="A893" i="10"/>
  <c r="A896" i="10"/>
  <c r="A899" i="10"/>
  <c r="A900" i="10"/>
  <c r="A901" i="10"/>
  <c r="A904" i="10"/>
  <c r="A906" i="10"/>
  <c r="A908" i="10"/>
  <c r="A909" i="10"/>
  <c r="A911" i="10"/>
  <c r="A912" i="10"/>
  <c r="A913" i="10"/>
  <c r="A914" i="10"/>
  <c r="A915" i="10"/>
  <c r="A916" i="10"/>
  <c r="A923" i="10"/>
  <c r="A924" i="10"/>
  <c r="A925" i="10"/>
  <c r="A926" i="10"/>
  <c r="A927" i="10"/>
  <c r="A928" i="10"/>
  <c r="A930" i="10"/>
  <c r="A933" i="10"/>
  <c r="A935" i="10"/>
  <c r="A936" i="10"/>
  <c r="A937" i="10"/>
  <c r="A938" i="10"/>
  <c r="A939" i="10"/>
  <c r="A940" i="10"/>
  <c r="A944" i="10"/>
  <c r="A947" i="10"/>
  <c r="A948" i="10"/>
  <c r="A949" i="10"/>
  <c r="A950" i="10"/>
  <c r="A951" i="10"/>
  <c r="A952" i="10"/>
  <c r="A954" i="10"/>
  <c r="A957" i="10"/>
  <c r="A959" i="10"/>
  <c r="A960" i="10"/>
  <c r="A961" i="10"/>
  <c r="A962" i="10"/>
  <c r="A963" i="10"/>
  <c r="A964" i="10"/>
  <c r="A968" i="10"/>
  <c r="A970" i="10"/>
  <c r="A971" i="10"/>
  <c r="A972" i="10"/>
  <c r="A973" i="10"/>
  <c r="A974" i="10"/>
  <c r="A975" i="10"/>
  <c r="A976" i="10"/>
  <c r="A980" i="10"/>
  <c r="A983" i="10"/>
  <c r="A984" i="10"/>
  <c r="A985" i="10"/>
  <c r="A986" i="10"/>
  <c r="A987" i="10"/>
  <c r="A988" i="10"/>
  <c r="A992" i="10"/>
  <c r="A993" i="10"/>
  <c r="A994" i="10"/>
  <c r="A995" i="10"/>
  <c r="A996" i="10"/>
  <c r="A997" i="10"/>
  <c r="A998" i="10"/>
  <c r="A999" i="10"/>
  <c r="A1000" i="10"/>
  <c r="A2001" i="10"/>
  <c r="A2000" i="10"/>
  <c r="A1999" i="10"/>
  <c r="A1998" i="10"/>
  <c r="A1997" i="10"/>
  <c r="A1996" i="10"/>
  <c r="A1995" i="10"/>
  <c r="A1994" i="10"/>
  <c r="A1993" i="10"/>
  <c r="A1992" i="10"/>
  <c r="A1991" i="10"/>
  <c r="A1990" i="10"/>
  <c r="A1989" i="10"/>
  <c r="A1988" i="10"/>
  <c r="A1987" i="10"/>
  <c r="A1986" i="10"/>
  <c r="A1985" i="10"/>
  <c r="A1984" i="10"/>
  <c r="A1983" i="10"/>
  <c r="A1982" i="10"/>
  <c r="A1981" i="10"/>
  <c r="A1980" i="10"/>
  <c r="A1979" i="10"/>
  <c r="A1978" i="10"/>
  <c r="A1977" i="10"/>
  <c r="A1976" i="10"/>
  <c r="A1975" i="10"/>
  <c r="A1974" i="10"/>
  <c r="A1973" i="10"/>
  <c r="A1972" i="10"/>
  <c r="A1971" i="10"/>
  <c r="A1970" i="10"/>
  <c r="A1969" i="10"/>
  <c r="A1968" i="10"/>
  <c r="A1967" i="10"/>
  <c r="A1966" i="10"/>
  <c r="A1965" i="10"/>
  <c r="A1964" i="10"/>
  <c r="A1963" i="10"/>
  <c r="A1962" i="10"/>
  <c r="A1961" i="10"/>
  <c r="A1960" i="10"/>
  <c r="A1959" i="10"/>
  <c r="A1958" i="10"/>
  <c r="A1957" i="10"/>
  <c r="A1956" i="10"/>
  <c r="A1955" i="10"/>
  <c r="A1954" i="10"/>
  <c r="A1953" i="10"/>
  <c r="A1952" i="10"/>
  <c r="A1951" i="10"/>
  <c r="A1950" i="10"/>
  <c r="A1949" i="10"/>
  <c r="A1948" i="10"/>
  <c r="A1947" i="10"/>
  <c r="A1946" i="10"/>
  <c r="A1945" i="10"/>
  <c r="A1944" i="10"/>
  <c r="A1943" i="10"/>
  <c r="A1942" i="10"/>
  <c r="A1941" i="10"/>
  <c r="A1940" i="10"/>
  <c r="A1939" i="10"/>
  <c r="A1938" i="10"/>
  <c r="A1937" i="10"/>
  <c r="A1936" i="10"/>
  <c r="A1935" i="10"/>
  <c r="A1934" i="10"/>
  <c r="A1933" i="10"/>
  <c r="A1932" i="10"/>
  <c r="A1931" i="10"/>
  <c r="A1930" i="10"/>
  <c r="A1929" i="10"/>
  <c r="A1928" i="10"/>
  <c r="A1927" i="10"/>
  <c r="A1926" i="10"/>
  <c r="A1925" i="10"/>
  <c r="A1924" i="10"/>
  <c r="A1923" i="10"/>
  <c r="A1922" i="10"/>
  <c r="A1921" i="10"/>
  <c r="A1920" i="10"/>
  <c r="A1919" i="10"/>
  <c r="A1918" i="10"/>
  <c r="A1917" i="10"/>
  <c r="A1916" i="10"/>
  <c r="A1915" i="10"/>
  <c r="A1914" i="10"/>
  <c r="A1913" i="10"/>
  <c r="A1912" i="10"/>
  <c r="A1911" i="10"/>
  <c r="A1910" i="10"/>
  <c r="A1909" i="10"/>
  <c r="A1908" i="10"/>
  <c r="A1907" i="10"/>
  <c r="A1906" i="10"/>
  <c r="A1905" i="10"/>
  <c r="A1904" i="10"/>
  <c r="A1903" i="10"/>
  <c r="A1902" i="10"/>
  <c r="A1901" i="10"/>
  <c r="A1900" i="10"/>
  <c r="A1899" i="10"/>
  <c r="A1898" i="10"/>
  <c r="A1897" i="10"/>
  <c r="A1896" i="10"/>
  <c r="A1895" i="10"/>
  <c r="A1894" i="10"/>
  <c r="A1893" i="10"/>
  <c r="A1892" i="10"/>
  <c r="A1891" i="10"/>
  <c r="A1890" i="10"/>
  <c r="A1889" i="10"/>
  <c r="A1888" i="10"/>
  <c r="A1887" i="10"/>
  <c r="A1886" i="10"/>
  <c r="A1885" i="10"/>
  <c r="A1884" i="10"/>
  <c r="A1883" i="10"/>
  <c r="A1882" i="10"/>
  <c r="A1881" i="10"/>
  <c r="A1880" i="10"/>
  <c r="A1879" i="10"/>
  <c r="A1878" i="10"/>
  <c r="A1877" i="10"/>
  <c r="A1876" i="10"/>
  <c r="A1875" i="10"/>
  <c r="A1874" i="10"/>
  <c r="A1873" i="10"/>
  <c r="A1872" i="10"/>
  <c r="A1871" i="10"/>
  <c r="A1870" i="10"/>
  <c r="A1869" i="10"/>
  <c r="A1868" i="10"/>
  <c r="A1867" i="10"/>
  <c r="A1866" i="10"/>
  <c r="A1865" i="10"/>
  <c r="A1864" i="10"/>
  <c r="A1863" i="10"/>
  <c r="A1862" i="10"/>
  <c r="A1861" i="10"/>
  <c r="A1860" i="10"/>
  <c r="A1859" i="10"/>
  <c r="A1858" i="10"/>
  <c r="A1857" i="10"/>
  <c r="A1856" i="10"/>
  <c r="A1855" i="10"/>
  <c r="A1854" i="10"/>
  <c r="A1853" i="10"/>
  <c r="A1852" i="10"/>
  <c r="A1851" i="10"/>
  <c r="A1850" i="10"/>
  <c r="A1849" i="10"/>
  <c r="A1848" i="10"/>
  <c r="A1847" i="10"/>
  <c r="A1846" i="10"/>
  <c r="A1845" i="10"/>
  <c r="A1844" i="10"/>
  <c r="A1843" i="10"/>
  <c r="A1842" i="10"/>
  <c r="A1841" i="10"/>
  <c r="A1840" i="10"/>
  <c r="A1839" i="10"/>
  <c r="A1838" i="10"/>
  <c r="A1837" i="10"/>
  <c r="A1836" i="10"/>
  <c r="A1835" i="10"/>
  <c r="A1834" i="10"/>
  <c r="A1833" i="10"/>
  <c r="A1832" i="10"/>
  <c r="A1831" i="10"/>
  <c r="A1830" i="10"/>
  <c r="A1829" i="10"/>
  <c r="A1828" i="10"/>
  <c r="A1827" i="10"/>
  <c r="A1826" i="10"/>
  <c r="A1825" i="10"/>
  <c r="A1824" i="10"/>
  <c r="A1823" i="10"/>
  <c r="A1822" i="10"/>
  <c r="A1821" i="10"/>
  <c r="A1820" i="10"/>
  <c r="A1819" i="10"/>
  <c r="A1818" i="10"/>
  <c r="A1817" i="10"/>
  <c r="A1816" i="10"/>
  <c r="A1815" i="10"/>
  <c r="A1814" i="10"/>
  <c r="A1813" i="10"/>
  <c r="A1812" i="10"/>
  <c r="A1811" i="10"/>
  <c r="A1810" i="10"/>
  <c r="A1809" i="10"/>
  <c r="A1808" i="10"/>
  <c r="A1807" i="10"/>
  <c r="A1806" i="10"/>
  <c r="A1805" i="10"/>
  <c r="A1804" i="10"/>
  <c r="A1803" i="10"/>
  <c r="A1802" i="10"/>
  <c r="A1801" i="10"/>
  <c r="A1800" i="10"/>
  <c r="A1799" i="10"/>
  <c r="A1798" i="10"/>
  <c r="A1797" i="10"/>
  <c r="A1796" i="10"/>
  <c r="A1795" i="10"/>
  <c r="A1794" i="10"/>
  <c r="A1793" i="10"/>
  <c r="A1792" i="10"/>
  <c r="A1791" i="10"/>
  <c r="A1790" i="10"/>
  <c r="A1789" i="10"/>
  <c r="A1788" i="10"/>
  <c r="A1787" i="10"/>
  <c r="A1786" i="10"/>
  <c r="A1785" i="10"/>
  <c r="A1784" i="10"/>
  <c r="A1783" i="10"/>
  <c r="A1782" i="10"/>
  <c r="A1781" i="10"/>
  <c r="A1780" i="10"/>
  <c r="A1779" i="10"/>
  <c r="A1778" i="10"/>
  <c r="A1777" i="10"/>
  <c r="A1776" i="10"/>
  <c r="A1775" i="10"/>
  <c r="A1774" i="10"/>
  <c r="A1773" i="10"/>
  <c r="A1772" i="10"/>
  <c r="A1771" i="10"/>
  <c r="A1770" i="10"/>
  <c r="A1769" i="10"/>
  <c r="A1768" i="10"/>
  <c r="A1767" i="10"/>
  <c r="A1766" i="10"/>
  <c r="A1765" i="10"/>
  <c r="A1764" i="10"/>
  <c r="A1763" i="10"/>
  <c r="A1762" i="10"/>
  <c r="A1761" i="10"/>
  <c r="A1760" i="10"/>
  <c r="A1759" i="10"/>
  <c r="A1758" i="10"/>
  <c r="A1757" i="10"/>
  <c r="A1756" i="10"/>
  <c r="A1755" i="10"/>
  <c r="A1754" i="10"/>
  <c r="A1753" i="10"/>
  <c r="A1752" i="10"/>
  <c r="A1751" i="10"/>
  <c r="A1750" i="10"/>
  <c r="A1749" i="10"/>
  <c r="A1748" i="10"/>
  <c r="A1747" i="10"/>
  <c r="A1746" i="10"/>
  <c r="A1745" i="10"/>
  <c r="A1744" i="10"/>
  <c r="A1743" i="10"/>
  <c r="A1742" i="10"/>
  <c r="A1741" i="10"/>
  <c r="A1740" i="10"/>
  <c r="A1739" i="10"/>
  <c r="A1738" i="10"/>
  <c r="A1737" i="10"/>
  <c r="A1736" i="10"/>
  <c r="A1735" i="10"/>
  <c r="A1734" i="10"/>
  <c r="A1733" i="10"/>
  <c r="A1732" i="10"/>
  <c r="A1731" i="10"/>
  <c r="A1730" i="10"/>
  <c r="A1729" i="10"/>
  <c r="A1728" i="10"/>
  <c r="A1727" i="10"/>
  <c r="A1726" i="10"/>
  <c r="A1725" i="10"/>
  <c r="A1724" i="10"/>
  <c r="A1723" i="10"/>
  <c r="A1722" i="10"/>
  <c r="A1721" i="10"/>
  <c r="A1720" i="10"/>
  <c r="A1719" i="10"/>
  <c r="A1718" i="10"/>
  <c r="A1717" i="10"/>
  <c r="A1716" i="10"/>
  <c r="A1715" i="10"/>
  <c r="A1714" i="10"/>
  <c r="A1713" i="10"/>
  <c r="A1712" i="10"/>
  <c r="A1711" i="10"/>
  <c r="A1710" i="10"/>
  <c r="A1709" i="10"/>
  <c r="A1708" i="10"/>
  <c r="A1707" i="10"/>
  <c r="A1706" i="10"/>
  <c r="A1705" i="10"/>
  <c r="A1704" i="10"/>
  <c r="A1703" i="10"/>
  <c r="A1702" i="10"/>
  <c r="A1701" i="10"/>
  <c r="A1700" i="10"/>
  <c r="A1699" i="10"/>
  <c r="A1698" i="10"/>
  <c r="A1697" i="10"/>
  <c r="A1696" i="10"/>
  <c r="A1695" i="10"/>
  <c r="A1694" i="10"/>
  <c r="A1693" i="10"/>
  <c r="A1692" i="10"/>
  <c r="A1691" i="10"/>
  <c r="A1690" i="10"/>
  <c r="A1689" i="10"/>
  <c r="A1688" i="10"/>
  <c r="A1687" i="10"/>
  <c r="A1686" i="10"/>
  <c r="A1685" i="10"/>
  <c r="A1684" i="10"/>
  <c r="A1683" i="10"/>
  <c r="A1682" i="10"/>
  <c r="A1681" i="10"/>
  <c r="A1680" i="10"/>
  <c r="A1679" i="10"/>
  <c r="A1678" i="10"/>
  <c r="A1677" i="10"/>
  <c r="A1676" i="10"/>
  <c r="A1675" i="10"/>
  <c r="A1674" i="10"/>
  <c r="A1673" i="10"/>
  <c r="A1672" i="10"/>
  <c r="A1671" i="10"/>
  <c r="A1670" i="10"/>
  <c r="A1669" i="10"/>
  <c r="A1668" i="10"/>
  <c r="A1667" i="10"/>
  <c r="A1666" i="10"/>
  <c r="A1665" i="10"/>
  <c r="A1664" i="10"/>
  <c r="A1663" i="10"/>
  <c r="A1662" i="10"/>
  <c r="A1661" i="10"/>
  <c r="A1660" i="10"/>
  <c r="A1659" i="10"/>
  <c r="A1658" i="10"/>
  <c r="A1657" i="10"/>
  <c r="A1656" i="10"/>
  <c r="A1655" i="10"/>
  <c r="A1654" i="10"/>
  <c r="A1653" i="10"/>
  <c r="A1652" i="10"/>
  <c r="A1651" i="10"/>
  <c r="A1650" i="10"/>
  <c r="A1649" i="10"/>
  <c r="A1648" i="10"/>
  <c r="A1647" i="10"/>
  <c r="A1646" i="10"/>
  <c r="A1645" i="10"/>
  <c r="A1644" i="10"/>
  <c r="A1643" i="10"/>
  <c r="A1642" i="10"/>
  <c r="A1641" i="10"/>
  <c r="A1640" i="10"/>
  <c r="A1639" i="10"/>
  <c r="A1638" i="10"/>
  <c r="A1637" i="10"/>
  <c r="A1636" i="10"/>
  <c r="A1635" i="10"/>
  <c r="A1634" i="10"/>
  <c r="A1633" i="10"/>
  <c r="A1632" i="10"/>
  <c r="A1631" i="10"/>
  <c r="A1630" i="10"/>
  <c r="A1629" i="10"/>
  <c r="A1628" i="10"/>
  <c r="A1627" i="10"/>
  <c r="A1626" i="10"/>
  <c r="A1625" i="10"/>
  <c r="A1624" i="10"/>
  <c r="A1623" i="10"/>
  <c r="A1622" i="10"/>
  <c r="A1621" i="10"/>
  <c r="A1620" i="10"/>
  <c r="A1619" i="10"/>
  <c r="A1618" i="10"/>
  <c r="A1617" i="10"/>
  <c r="A1616" i="10"/>
  <c r="A1615" i="10"/>
  <c r="A1614" i="10"/>
  <c r="A1613" i="10"/>
  <c r="A1612" i="10"/>
  <c r="A1611" i="10"/>
  <c r="A1610" i="10"/>
  <c r="A1609" i="10"/>
  <c r="A1608" i="10"/>
  <c r="A1607" i="10"/>
  <c r="A1606" i="10"/>
  <c r="A1605" i="10"/>
  <c r="A1604" i="10"/>
  <c r="A1603" i="10"/>
  <c r="A1602" i="10"/>
  <c r="A1601" i="10"/>
  <c r="A1600" i="10"/>
  <c r="A1599" i="10"/>
  <c r="A1598" i="10"/>
  <c r="A1597" i="10"/>
  <c r="A1596" i="10"/>
  <c r="A1595" i="10"/>
  <c r="A1594" i="10"/>
  <c r="A1593" i="10"/>
  <c r="A1592" i="10"/>
  <c r="A1591" i="10"/>
  <c r="A1590" i="10"/>
  <c r="A1589" i="10"/>
  <c r="A1588" i="10"/>
  <c r="A1587" i="10"/>
  <c r="A1586" i="10"/>
  <c r="A1585" i="10"/>
  <c r="A1584" i="10"/>
  <c r="A1583" i="10"/>
  <c r="A1582" i="10"/>
  <c r="A1581" i="10"/>
  <c r="A1580" i="10"/>
  <c r="A1579" i="10"/>
  <c r="A1578" i="10"/>
  <c r="A1577" i="10"/>
  <c r="A1576" i="10"/>
  <c r="A1575" i="10"/>
  <c r="A1574" i="10"/>
  <c r="A1573" i="10"/>
  <c r="A1572" i="10"/>
  <c r="A1571" i="10"/>
  <c r="A1570" i="10"/>
  <c r="A1569" i="10"/>
  <c r="A1568" i="10"/>
  <c r="A1567" i="10"/>
  <c r="A1566" i="10"/>
  <c r="A1565" i="10"/>
  <c r="A1564" i="10"/>
  <c r="A1563" i="10"/>
  <c r="A1562" i="10"/>
  <c r="A1561" i="10"/>
  <c r="A1560" i="10"/>
  <c r="A1559" i="10"/>
  <c r="A1558" i="10"/>
  <c r="A1557" i="10"/>
  <c r="A1556" i="10"/>
  <c r="A1555" i="10"/>
  <c r="A1554" i="10"/>
  <c r="A1553" i="10"/>
  <c r="A1552" i="10"/>
  <c r="A1551" i="10"/>
  <c r="A1550" i="10"/>
  <c r="A1549" i="10"/>
  <c r="A1548" i="10"/>
  <c r="A1547" i="10"/>
  <c r="A1546" i="10"/>
  <c r="A1545" i="10"/>
  <c r="A1544" i="10"/>
  <c r="A1543" i="10"/>
  <c r="A1542" i="10"/>
  <c r="A1541" i="10"/>
  <c r="A1540" i="10"/>
  <c r="A1539" i="10"/>
  <c r="A1538" i="10"/>
  <c r="A1537" i="10"/>
  <c r="A1536" i="10"/>
  <c r="A1535" i="10"/>
  <c r="A1534" i="10"/>
  <c r="A1533" i="10"/>
  <c r="A1532" i="10"/>
  <c r="A1531" i="10"/>
  <c r="A1530" i="10"/>
  <c r="A1529" i="10"/>
  <c r="A1528" i="10"/>
  <c r="A1527" i="10"/>
  <c r="A1526" i="10"/>
  <c r="A1525" i="10"/>
  <c r="A1524" i="10"/>
  <c r="A1523" i="10"/>
  <c r="A1522" i="10"/>
  <c r="A1521" i="10"/>
  <c r="A1520" i="10"/>
  <c r="A1519" i="10"/>
  <c r="A1518" i="10"/>
  <c r="A1517" i="10"/>
  <c r="A1516" i="10"/>
  <c r="A1515" i="10"/>
  <c r="A1514" i="10"/>
  <c r="A1513" i="10"/>
  <c r="A1512" i="10"/>
  <c r="A1511" i="10"/>
  <c r="A1510" i="10"/>
  <c r="A1509" i="10"/>
  <c r="A1508" i="10"/>
  <c r="A1507" i="10"/>
  <c r="A1506" i="10"/>
  <c r="A1505" i="10"/>
  <c r="A1504" i="10"/>
  <c r="A1503" i="10"/>
  <c r="A1502" i="10"/>
  <c r="A1501" i="10"/>
  <c r="A1500" i="10"/>
  <c r="A1499" i="10"/>
  <c r="A1498" i="10"/>
  <c r="A1497" i="10"/>
  <c r="A1496" i="10"/>
  <c r="A1495" i="10"/>
  <c r="A1494" i="10"/>
  <c r="A1493" i="10"/>
  <c r="A1492" i="10"/>
  <c r="A1491" i="10"/>
  <c r="A1490" i="10"/>
  <c r="A1489" i="10"/>
  <c r="A1488" i="10"/>
  <c r="A1487" i="10"/>
  <c r="A1486" i="10"/>
  <c r="A1485" i="10"/>
  <c r="A1484" i="10"/>
  <c r="A1483" i="10"/>
  <c r="A1482" i="10"/>
  <c r="A1481" i="10"/>
  <c r="A1480" i="10"/>
  <c r="A1479" i="10"/>
  <c r="A1478" i="10"/>
  <c r="A1477" i="10"/>
  <c r="A1476" i="10"/>
  <c r="A1475" i="10"/>
  <c r="A1474" i="10"/>
  <c r="A1473" i="10"/>
  <c r="A1472" i="10"/>
  <c r="A1471" i="10"/>
  <c r="A1470" i="10"/>
  <c r="A1469" i="10"/>
  <c r="A1468" i="10"/>
  <c r="A1467" i="10"/>
  <c r="A1466" i="10"/>
  <c r="A1465" i="10"/>
  <c r="A1464" i="10"/>
  <c r="A1463" i="10"/>
  <c r="A1462" i="10"/>
  <c r="A1461" i="10"/>
  <c r="A1460" i="10"/>
  <c r="A1459" i="10"/>
  <c r="A1458" i="10"/>
  <c r="A1457" i="10"/>
  <c r="A1456" i="10"/>
  <c r="A1455" i="10"/>
  <c r="A1454" i="10"/>
  <c r="A1453" i="10"/>
  <c r="A1452" i="10"/>
  <c r="A1451" i="10"/>
  <c r="A1450" i="10"/>
  <c r="A1449" i="10"/>
  <c r="A1448" i="10"/>
  <c r="A1447" i="10"/>
  <c r="A1446" i="10"/>
  <c r="A1445" i="10"/>
  <c r="A1444" i="10"/>
  <c r="A1443" i="10"/>
  <c r="A1442" i="10"/>
  <c r="A1441" i="10"/>
  <c r="A1440" i="10"/>
  <c r="A1439" i="10"/>
  <c r="A1438" i="10"/>
  <c r="A1437" i="10"/>
  <c r="A1436" i="10"/>
  <c r="A1435" i="10"/>
  <c r="A1434" i="10"/>
  <c r="A1433" i="10"/>
  <c r="A1432" i="10"/>
  <c r="A1431" i="10"/>
  <c r="A1430" i="10"/>
  <c r="A1429" i="10"/>
  <c r="A1428" i="10"/>
  <c r="A1427" i="10"/>
  <c r="A1426" i="10"/>
  <c r="A1425" i="10"/>
  <c r="A1424" i="10"/>
  <c r="A1423" i="10"/>
  <c r="A1422" i="10"/>
  <c r="A1421" i="10"/>
  <c r="A1420" i="10"/>
  <c r="A1419" i="10"/>
  <c r="A1418" i="10"/>
  <c r="A1417" i="10"/>
  <c r="A1416" i="10"/>
  <c r="A1415" i="10"/>
  <c r="A1414" i="10"/>
  <c r="A1413" i="10"/>
  <c r="A1412" i="10"/>
  <c r="A1411" i="10"/>
  <c r="A1410" i="10"/>
  <c r="A1409" i="10"/>
  <c r="A1408" i="10"/>
  <c r="A1407" i="10"/>
  <c r="A1406" i="10"/>
  <c r="A1405" i="10"/>
  <c r="A1404" i="10"/>
  <c r="A1403" i="10"/>
  <c r="A1402" i="10"/>
  <c r="A1401" i="10"/>
  <c r="A1400" i="10"/>
  <c r="A1399" i="10"/>
  <c r="A1398" i="10"/>
  <c r="A1397" i="10"/>
  <c r="A1396" i="10"/>
  <c r="A1395" i="10"/>
  <c r="A1394" i="10"/>
  <c r="A1393" i="10"/>
  <c r="A1392" i="10"/>
  <c r="A1391" i="10"/>
  <c r="A1390" i="10"/>
  <c r="A1389" i="10"/>
  <c r="A1388" i="10"/>
  <c r="A1387" i="10"/>
  <c r="A1386" i="10"/>
  <c r="A1385" i="10"/>
  <c r="A1384" i="10"/>
  <c r="A1383" i="10"/>
  <c r="A1382" i="10"/>
  <c r="A1381" i="10"/>
  <c r="A1380" i="10"/>
  <c r="A1379" i="10"/>
  <c r="A1378" i="10"/>
  <c r="A1377" i="10"/>
  <c r="A1376" i="10"/>
  <c r="A1375" i="10"/>
  <c r="A1374" i="10"/>
  <c r="A1373" i="10"/>
  <c r="A1372" i="10"/>
  <c r="A1371" i="10"/>
  <c r="A1370" i="10"/>
  <c r="A1369" i="10"/>
  <c r="A1368" i="10"/>
  <c r="A1367" i="10"/>
  <c r="A1366" i="10"/>
  <c r="A1365" i="10"/>
  <c r="A1364" i="10"/>
  <c r="A1363" i="10"/>
  <c r="A1362" i="10"/>
  <c r="A1361" i="10"/>
  <c r="A1360" i="10"/>
  <c r="A1359" i="10"/>
  <c r="A1358" i="10"/>
  <c r="A1357" i="10"/>
  <c r="A1356" i="10"/>
  <c r="A1355" i="10"/>
  <c r="A1354" i="10"/>
  <c r="A1353" i="10"/>
  <c r="A1352" i="10"/>
  <c r="A1351" i="10"/>
  <c r="A1350" i="10"/>
  <c r="A1349" i="10"/>
  <c r="A1348" i="10"/>
  <c r="A1347" i="10"/>
  <c r="A1346" i="10"/>
  <c r="A1345" i="10"/>
  <c r="A1344" i="10"/>
  <c r="A1343" i="10"/>
  <c r="A1342" i="10"/>
  <c r="A1341" i="10"/>
  <c r="A1340" i="10"/>
  <c r="A1339" i="10"/>
  <c r="A1338" i="10"/>
  <c r="A1337" i="10"/>
  <c r="A1336" i="10"/>
  <c r="A1335" i="10"/>
  <c r="A1334" i="10"/>
  <c r="A1333" i="10"/>
  <c r="A1332" i="10"/>
  <c r="A1331" i="10"/>
  <c r="A1330" i="10"/>
  <c r="A1329" i="10"/>
  <c r="A1328" i="10"/>
  <c r="A1327" i="10"/>
  <c r="A1326" i="10"/>
  <c r="A1325" i="10"/>
  <c r="A1324" i="10"/>
  <c r="A1323" i="10"/>
  <c r="A1322" i="10"/>
  <c r="A1321" i="10"/>
  <c r="A1320" i="10"/>
  <c r="A1319" i="10"/>
  <c r="A1318" i="10"/>
  <c r="A1317" i="10"/>
  <c r="A1316" i="10"/>
  <c r="A1315" i="10"/>
  <c r="A1314" i="10"/>
  <c r="A1313" i="10"/>
  <c r="A1312" i="10"/>
  <c r="A1311" i="10"/>
  <c r="A1310" i="10"/>
  <c r="A1309" i="10"/>
  <c r="A1308" i="10"/>
  <c r="A1307" i="10"/>
  <c r="A1306" i="10"/>
  <c r="A1305" i="10"/>
  <c r="A1304" i="10"/>
  <c r="A1303" i="10"/>
  <c r="A1302" i="10"/>
  <c r="A1301" i="10"/>
  <c r="A1300" i="10"/>
  <c r="A1299" i="10"/>
  <c r="A1298" i="10"/>
  <c r="A1297" i="10"/>
  <c r="A1296" i="10"/>
  <c r="A1295" i="10"/>
  <c r="A1294" i="10"/>
  <c r="A1293" i="10"/>
  <c r="A1292" i="10"/>
  <c r="A1291" i="10"/>
  <c r="A1290" i="10"/>
  <c r="A1289" i="10"/>
  <c r="A1288" i="10"/>
  <c r="A1287" i="10"/>
  <c r="A1286" i="10"/>
  <c r="A1285" i="10"/>
  <c r="A1284" i="10"/>
  <c r="A1283" i="10"/>
  <c r="A1282" i="10"/>
  <c r="A1281" i="10"/>
  <c r="A1280" i="10"/>
  <c r="A1279" i="10"/>
  <c r="A1278" i="10"/>
  <c r="A1277" i="10"/>
  <c r="A1276" i="10"/>
  <c r="A1275" i="10"/>
  <c r="A1274" i="10"/>
  <c r="A1273" i="10"/>
  <c r="A1272" i="10"/>
  <c r="A1271" i="10"/>
  <c r="A1270" i="10"/>
  <c r="A1269" i="10"/>
  <c r="A1268" i="10"/>
  <c r="A1267" i="10"/>
  <c r="A1266" i="10"/>
  <c r="A1265" i="10"/>
  <c r="A1264" i="10"/>
  <c r="A1263" i="10"/>
  <c r="A1262" i="10"/>
  <c r="A1261" i="10"/>
  <c r="A1260" i="10"/>
  <c r="A1259" i="10"/>
  <c r="A1258" i="10"/>
  <c r="A1257" i="10"/>
  <c r="A1256" i="10"/>
  <c r="A1255" i="10"/>
  <c r="A1254" i="10"/>
  <c r="A1253" i="10"/>
  <c r="A1252" i="10"/>
  <c r="A1251" i="10"/>
  <c r="A1250" i="10"/>
  <c r="A1249" i="10"/>
  <c r="A1248" i="10"/>
  <c r="A1247" i="10"/>
  <c r="A1246" i="10"/>
  <c r="A1245" i="10"/>
  <c r="A1244" i="10"/>
  <c r="A1243" i="10"/>
  <c r="A1242" i="10"/>
  <c r="A1241" i="10"/>
  <c r="A1240" i="10"/>
  <c r="A1239" i="10"/>
  <c r="A1238" i="10"/>
  <c r="A1237" i="10"/>
  <c r="A1236" i="10"/>
  <c r="A1235" i="10"/>
  <c r="A1234" i="10"/>
  <c r="A1233" i="10"/>
  <c r="A1232" i="10"/>
  <c r="A1231" i="10"/>
  <c r="A1230" i="10"/>
  <c r="A1229" i="10"/>
  <c r="A1228" i="10"/>
  <c r="A1227" i="10"/>
  <c r="A1226" i="10"/>
  <c r="A1225" i="10"/>
  <c r="A1224" i="10"/>
  <c r="A1223" i="10"/>
  <c r="A1222" i="10"/>
  <c r="A1221" i="10"/>
  <c r="A1220" i="10"/>
  <c r="A1219" i="10"/>
  <c r="A1218" i="10"/>
  <c r="A1217" i="10"/>
  <c r="A1216" i="10"/>
  <c r="A1215" i="10"/>
  <c r="A1214" i="10"/>
  <c r="A1213" i="10"/>
  <c r="A1212" i="10"/>
  <c r="A1211" i="10"/>
  <c r="A1210" i="10"/>
  <c r="A1209" i="10"/>
  <c r="A1208" i="10"/>
  <c r="A1207" i="10"/>
  <c r="A1206" i="10"/>
  <c r="A1205" i="10"/>
  <c r="A1204" i="10"/>
  <c r="A1203" i="10"/>
  <c r="A1202" i="10"/>
  <c r="A1201" i="10"/>
  <c r="A1200" i="10"/>
  <c r="A1199" i="10"/>
  <c r="A1198" i="10"/>
  <c r="A1197" i="10"/>
  <c r="A1196" i="10"/>
  <c r="A1195" i="10"/>
  <c r="A1194" i="10"/>
  <c r="A1193" i="10"/>
  <c r="A1192" i="10"/>
  <c r="A1191" i="10"/>
  <c r="A1190" i="10"/>
  <c r="A1189" i="10"/>
  <c r="A1188" i="10"/>
  <c r="A1187" i="10"/>
  <c r="A1186" i="10"/>
  <c r="A1185" i="10"/>
  <c r="A1184" i="10"/>
  <c r="A1183" i="10"/>
  <c r="A1182" i="10"/>
  <c r="A1181" i="10"/>
  <c r="A1180" i="10"/>
  <c r="A1179" i="10"/>
  <c r="A1178" i="10"/>
  <c r="A1177" i="10"/>
  <c r="A1176" i="10"/>
  <c r="A1175" i="10"/>
  <c r="A1174" i="10"/>
  <c r="A1173" i="10"/>
  <c r="A1172" i="10"/>
  <c r="A1171" i="10"/>
  <c r="A1170" i="10"/>
  <c r="A1169" i="10"/>
  <c r="A1168" i="10"/>
  <c r="A1167" i="10"/>
  <c r="A1166" i="10"/>
  <c r="A1165" i="10"/>
  <c r="A1164" i="10"/>
  <c r="A1163" i="10"/>
  <c r="A1162" i="10"/>
  <c r="A1161" i="10"/>
  <c r="A1160" i="10"/>
  <c r="A1159" i="10"/>
  <c r="A1158" i="10"/>
  <c r="A1157" i="10"/>
  <c r="A1156" i="10"/>
  <c r="A1155" i="10"/>
  <c r="A1154" i="10"/>
  <c r="A1153" i="10"/>
  <c r="A1152" i="10"/>
  <c r="A1151" i="10"/>
  <c r="A1150" i="10"/>
  <c r="A1149" i="10"/>
  <c r="A1148" i="10"/>
  <c r="A1147" i="10"/>
  <c r="A1146" i="10"/>
  <c r="A1145" i="10"/>
  <c r="A1144" i="10"/>
  <c r="A1143" i="10"/>
  <c r="A1142" i="10"/>
  <c r="A1141" i="10"/>
  <c r="A1140" i="10"/>
  <c r="A1139" i="10"/>
  <c r="A1138" i="10"/>
  <c r="A1137" i="10"/>
  <c r="A1136" i="10"/>
  <c r="A1135" i="10"/>
  <c r="A1134" i="10"/>
  <c r="A1133" i="10"/>
  <c r="A1132" i="10"/>
  <c r="A1131" i="10"/>
  <c r="A1130" i="10"/>
  <c r="A1129" i="10"/>
  <c r="A1128" i="10"/>
  <c r="A1127" i="10"/>
  <c r="A1126" i="10"/>
  <c r="A1125" i="10"/>
  <c r="A1124" i="10"/>
  <c r="A1123" i="10"/>
  <c r="A1122" i="10"/>
  <c r="A1121" i="10"/>
  <c r="A1120" i="10"/>
  <c r="A1119" i="10"/>
  <c r="A1118" i="10"/>
  <c r="A1117" i="10"/>
  <c r="A1116" i="10"/>
  <c r="A1115" i="10"/>
  <c r="A1114" i="10"/>
  <c r="A1113" i="10"/>
  <c r="A1112" i="10"/>
  <c r="A1111" i="10"/>
  <c r="A1110" i="10"/>
  <c r="A1109" i="10"/>
  <c r="A1108" i="10"/>
  <c r="A1107" i="10"/>
  <c r="A1106" i="10"/>
  <c r="A1105" i="10"/>
  <c r="A1104" i="10"/>
  <c r="A1103" i="10"/>
  <c r="A1102" i="10"/>
  <c r="A1101" i="10"/>
  <c r="A1100" i="10"/>
  <c r="A1099" i="10"/>
  <c r="A1098" i="10"/>
  <c r="A1097" i="10"/>
  <c r="A1096" i="10"/>
  <c r="A1095" i="10"/>
  <c r="A1094" i="10"/>
  <c r="A1093" i="10"/>
  <c r="A1092" i="10"/>
  <c r="A1091" i="10"/>
  <c r="A1090" i="10"/>
  <c r="A1089" i="10"/>
  <c r="A1088" i="10"/>
  <c r="A1087" i="10"/>
  <c r="A1086" i="10"/>
  <c r="A1085" i="10"/>
  <c r="A1084" i="10"/>
  <c r="A1083" i="10"/>
  <c r="A1082" i="10"/>
  <c r="A1081" i="10"/>
  <c r="A1080" i="10"/>
  <c r="A1079" i="10"/>
  <c r="A1078" i="10"/>
  <c r="A1077" i="10"/>
  <c r="A1076" i="10"/>
  <c r="A1075" i="10"/>
  <c r="A1074" i="10"/>
  <c r="A1073" i="10"/>
  <c r="A1072" i="10"/>
  <c r="A1071" i="10"/>
  <c r="A1070" i="10"/>
  <c r="A1069" i="10"/>
  <c r="A1068" i="10"/>
  <c r="A1067" i="10"/>
  <c r="A1066" i="10"/>
  <c r="A1065" i="10"/>
  <c r="A1064" i="10"/>
  <c r="A1063" i="10"/>
  <c r="A1062" i="10"/>
  <c r="A1061" i="10"/>
  <c r="A1060" i="10"/>
  <c r="A1059" i="10"/>
  <c r="A1058" i="10"/>
  <c r="A1057" i="10"/>
  <c r="A1056" i="10"/>
  <c r="A1055" i="10"/>
  <c r="A1054" i="10"/>
  <c r="A1053" i="10"/>
  <c r="A1052" i="10"/>
  <c r="A1051" i="10"/>
  <c r="A1050" i="10"/>
  <c r="A1049" i="10"/>
  <c r="A1048" i="10"/>
  <c r="A1047" i="10"/>
  <c r="A1046" i="10"/>
  <c r="A1045" i="10"/>
  <c r="A1044" i="10"/>
  <c r="A1043" i="10"/>
  <c r="A1042" i="10"/>
  <c r="A1041" i="10"/>
  <c r="A1040" i="10"/>
  <c r="A1039" i="10"/>
  <c r="A1038" i="10"/>
  <c r="A1037" i="10"/>
  <c r="A1036" i="10"/>
  <c r="A1035" i="10"/>
  <c r="A1034" i="10"/>
  <c r="A1033" i="10"/>
  <c r="A1032" i="10"/>
  <c r="A1031" i="10"/>
  <c r="A1030" i="10"/>
  <c r="A1029" i="10"/>
  <c r="A1028" i="10"/>
  <c r="A1027" i="10"/>
  <c r="A1026" i="10"/>
  <c r="A1025" i="10"/>
  <c r="A1024" i="10"/>
  <c r="A1023" i="10"/>
  <c r="A1022" i="10"/>
  <c r="A1021" i="10"/>
  <c r="A1020" i="10"/>
  <c r="A1019" i="10"/>
  <c r="A1018" i="10"/>
  <c r="A1017" i="10"/>
  <c r="A1016" i="10"/>
  <c r="A1015" i="10"/>
  <c r="A1014" i="10"/>
  <c r="A1013" i="10"/>
  <c r="A1012" i="10"/>
  <c r="A1011" i="10"/>
  <c r="A1010" i="10"/>
  <c r="A1009" i="10"/>
  <c r="A1008" i="10"/>
  <c r="A1007" i="10"/>
  <c r="A1006" i="10"/>
  <c r="A1005" i="10"/>
  <c r="A1004" i="10"/>
  <c r="A1003" i="10"/>
  <c r="A1002" i="10"/>
  <c r="A1001" i="10"/>
  <c r="A991" i="10"/>
  <c r="A990" i="10"/>
  <c r="A989" i="10"/>
  <c r="A982" i="10"/>
  <c r="A981" i="10"/>
  <c r="A979" i="10"/>
  <c r="A978" i="10"/>
  <c r="A977" i="10"/>
  <c r="A969" i="10"/>
  <c r="A967" i="10"/>
  <c r="A966" i="10"/>
  <c r="A965" i="10"/>
  <c r="A958" i="10"/>
  <c r="A956" i="10"/>
  <c r="A955" i="10"/>
  <c r="A953" i="10"/>
  <c r="A946" i="10"/>
  <c r="A945" i="10"/>
  <c r="A943" i="10"/>
  <c r="A942" i="10"/>
  <c r="A941" i="10"/>
  <c r="A934" i="10"/>
  <c r="A932" i="10"/>
  <c r="A931" i="10"/>
  <c r="A929" i="10"/>
  <c r="A922" i="10"/>
  <c r="A921" i="10"/>
  <c r="A920" i="10"/>
  <c r="A919" i="10"/>
  <c r="A918" i="10"/>
  <c r="A917" i="10"/>
  <c r="A910" i="10"/>
  <c r="A907" i="10"/>
  <c r="A905" i="10"/>
  <c r="A903" i="10"/>
  <c r="A902" i="10"/>
  <c r="A898" i="10"/>
  <c r="A897" i="10"/>
  <c r="A895" i="10"/>
  <c r="A894" i="10"/>
  <c r="A886" i="10"/>
  <c r="A884" i="10"/>
  <c r="A883" i="10"/>
  <c r="A881" i="10"/>
  <c r="A874" i="10"/>
  <c r="A873" i="10"/>
  <c r="A872" i="10"/>
  <c r="A871" i="10"/>
  <c r="A870" i="10"/>
  <c r="A869" i="10"/>
  <c r="A862" i="10"/>
  <c r="A859" i="10"/>
  <c r="A858" i="10"/>
  <c r="A857" i="10"/>
  <c r="A856" i="10"/>
  <c r="A855" i="10"/>
  <c r="A849" i="10"/>
  <c r="A847" i="10"/>
  <c r="A845" i="10"/>
  <c r="A838" i="10"/>
  <c r="A836" i="10"/>
  <c r="A835" i="10"/>
  <c r="A834" i="10"/>
  <c r="A833" i="10"/>
  <c r="A826" i="10"/>
  <c r="A825" i="10"/>
  <c r="A824" i="10"/>
  <c r="A823" i="10"/>
  <c r="A822" i="10"/>
  <c r="A821" i="10"/>
  <c r="A814" i="10"/>
  <c r="A811" i="10"/>
  <c r="A810" i="10"/>
  <c r="A809" i="10"/>
  <c r="A807" i="10"/>
  <c r="A806" i="10"/>
  <c r="A801" i="10"/>
  <c r="A799" i="10"/>
  <c r="A797" i="10"/>
  <c r="A791" i="10"/>
  <c r="A790" i="10"/>
  <c r="A787" i="10"/>
  <c r="A786" i="10"/>
  <c r="A785" i="10"/>
  <c r="A778" i="10"/>
  <c r="A777" i="10"/>
  <c r="A776" i="10"/>
  <c r="A775" i="10"/>
  <c r="A774" i="10"/>
  <c r="A773" i="10"/>
  <c r="A765" i="10"/>
  <c r="A763" i="10"/>
  <c r="A762" i="10"/>
  <c r="A761" i="10"/>
  <c r="A760" i="10"/>
  <c r="A759" i="10"/>
  <c r="A754" i="10"/>
  <c r="A753" i="10"/>
  <c r="A752" i="10"/>
  <c r="A751" i="10"/>
  <c r="A749" i="10"/>
  <c r="A742" i="10"/>
  <c r="A741" i="10"/>
  <c r="A739" i="10"/>
  <c r="A738" i="10"/>
  <c r="A737" i="10"/>
  <c r="A730" i="10"/>
  <c r="A729" i="10"/>
  <c r="A728" i="10"/>
  <c r="A727" i="10"/>
  <c r="A726" i="10"/>
  <c r="A725" i="10"/>
  <c r="A718" i="10"/>
  <c r="A717" i="10"/>
  <c r="A716" i="10"/>
  <c r="A715" i="10"/>
  <c r="A714" i="10"/>
  <c r="A713" i="10"/>
  <c r="A712" i="10"/>
  <c r="A706" i="10"/>
  <c r="A705" i="10"/>
  <c r="A703" i="10"/>
  <c r="A702" i="10"/>
  <c r="A701" i="10"/>
  <c r="A698" i="10"/>
  <c r="A694" i="10"/>
  <c r="A693" i="10"/>
  <c r="A691" i="10"/>
  <c r="A690" i="10"/>
  <c r="A689" i="10"/>
  <c r="A682" i="10"/>
  <c r="A681" i="10"/>
  <c r="A680" i="10"/>
  <c r="A679" i="10"/>
  <c r="A677" i="10"/>
  <c r="A670" i="10"/>
  <c r="A669" i="10"/>
  <c r="A668" i="10"/>
  <c r="A667" i="10"/>
  <c r="A666" i="10"/>
  <c r="A665" i="10"/>
  <c r="A664" i="10"/>
  <c r="A658" i="10"/>
  <c r="A657" i="10"/>
  <c r="A655" i="10"/>
  <c r="A654" i="10"/>
  <c r="A653" i="10"/>
  <c r="A650" i="10"/>
  <c r="A646" i="10"/>
  <c r="A645" i="10"/>
  <c r="A643" i="10"/>
  <c r="A641" i="10"/>
  <c r="A634" i="10"/>
  <c r="A633" i="10"/>
  <c r="A632" i="10"/>
  <c r="A631" i="10"/>
  <c r="A630" i="10"/>
  <c r="A629" i="10"/>
  <c r="A622" i="10"/>
  <c r="A621" i="10"/>
  <c r="A620" i="10"/>
  <c r="A619" i="10"/>
  <c r="A618" i="10"/>
  <c r="A617" i="10"/>
  <c r="A610" i="10"/>
  <c r="A609" i="10"/>
  <c r="A607" i="10"/>
  <c r="A606" i="10"/>
  <c r="A605" i="10"/>
  <c r="A603" i="10"/>
  <c r="A598" i="10"/>
  <c r="A597" i="10"/>
  <c r="A595" i="10"/>
  <c r="A593" i="10"/>
  <c r="A586" i="10"/>
  <c r="A585" i="10"/>
  <c r="A584" i="10"/>
  <c r="A583" i="10"/>
  <c r="A582" i="10"/>
  <c r="A581" i="10"/>
  <c r="A575" i="10"/>
  <c r="A574" i="10"/>
  <c r="A573" i="10"/>
  <c r="A572" i="10"/>
  <c r="A571" i="10"/>
  <c r="A570" i="10"/>
  <c r="A569" i="10"/>
  <c r="A561" i="10"/>
  <c r="A559" i="10"/>
  <c r="A558" i="10"/>
  <c r="A557" i="10"/>
  <c r="A555" i="10"/>
  <c r="A550" i="10"/>
  <c r="A549" i="10"/>
  <c r="A548" i="10"/>
  <c r="A547" i="10"/>
  <c r="A545" i="10"/>
  <c r="A542" i="10"/>
  <c r="A538" i="10"/>
  <c r="A537" i="10"/>
  <c r="A535" i="10"/>
  <c r="A534" i="10"/>
  <c r="A533" i="10"/>
  <c r="A526" i="10"/>
  <c r="A525" i="10"/>
  <c r="A524" i="10"/>
  <c r="A523" i="10"/>
  <c r="A522" i="10"/>
  <c r="A521" i="10"/>
  <c r="A513" i="10"/>
  <c r="A511" i="10"/>
  <c r="A510" i="10"/>
  <c r="A509" i="10"/>
  <c r="A503" i="10"/>
  <c r="A502" i="10"/>
  <c r="A501" i="10"/>
  <c r="A499" i="10"/>
  <c r="A498" i="10"/>
  <c r="A497" i="10"/>
  <c r="A496" i="10"/>
  <c r="A495" i="10"/>
  <c r="A494" i="10"/>
  <c r="A490" i="10"/>
  <c r="A489" i="10"/>
  <c r="A487" i="10"/>
  <c r="A486" i="10"/>
  <c r="A485" i="10"/>
  <c r="A478" i="10"/>
  <c r="A477" i="10"/>
  <c r="A476" i="10"/>
  <c r="A475" i="10"/>
  <c r="A474" i="10"/>
  <c r="A473" i="10"/>
  <c r="A466" i="10"/>
  <c r="A465" i="10"/>
  <c r="A464" i="10"/>
  <c r="A463" i="10"/>
  <c r="A462" i="10"/>
  <c r="A461" i="10"/>
  <c r="A460" i="10"/>
  <c r="A454" i="10"/>
  <c r="A453" i="10"/>
  <c r="A451" i="10"/>
  <c r="A450" i="10"/>
  <c r="A449" i="10"/>
  <c r="A448" i="10"/>
  <c r="A447" i="10"/>
  <c r="A446" i="10"/>
  <c r="A442" i="10"/>
  <c r="A441" i="10"/>
  <c r="A439" i="10"/>
  <c r="A438" i="10"/>
  <c r="A437" i="10"/>
  <c r="A431" i="10"/>
  <c r="A430" i="10"/>
  <c r="A429" i="10"/>
  <c r="A428" i="10"/>
  <c r="A427" i="10"/>
  <c r="A426" i="10"/>
  <c r="A425" i="10"/>
  <c r="A418" i="10"/>
  <c r="A417" i="10"/>
  <c r="A416" i="10"/>
  <c r="A415" i="10"/>
  <c r="A414" i="10"/>
  <c r="A413" i="10"/>
  <c r="A406" i="10"/>
  <c r="A405" i="10"/>
  <c r="A403" i="10"/>
  <c r="A402" i="10"/>
  <c r="A401" i="10"/>
  <c r="A400" i="10"/>
  <c r="A399" i="10"/>
  <c r="A398" i="10"/>
  <c r="A394" i="10"/>
  <c r="A393" i="10"/>
  <c r="A391" i="10"/>
  <c r="A390" i="10"/>
  <c r="A389" i="10"/>
  <c r="A386" i="10"/>
  <c r="A382" i="10"/>
  <c r="A381" i="10"/>
  <c r="A380" i="10"/>
  <c r="A379" i="10"/>
  <c r="A378" i="10"/>
  <c r="A377" i="10"/>
  <c r="A370" i="10"/>
  <c r="A369" i="10"/>
  <c r="A368" i="10"/>
  <c r="A367" i="10"/>
  <c r="A366" i="10"/>
  <c r="A365" i="10"/>
  <c r="A359" i="10"/>
  <c r="A358" i="10"/>
  <c r="A357" i="10"/>
  <c r="A355" i="10"/>
  <c r="A354" i="10"/>
  <c r="A353" i="10"/>
  <c r="A352" i="10"/>
  <c r="A351" i="10"/>
  <c r="A346" i="10"/>
  <c r="A345" i="10"/>
  <c r="A344" i="10"/>
  <c r="A343" i="10"/>
  <c r="A342" i="10"/>
  <c r="A341" i="10"/>
  <c r="A339" i="10"/>
  <c r="A338" i="10"/>
  <c r="A334" i="10"/>
  <c r="A333" i="10"/>
  <c r="A331" i="10"/>
  <c r="A330" i="10"/>
  <c r="A329" i="10"/>
  <c r="A322" i="10"/>
  <c r="A321" i="10"/>
  <c r="A320" i="10"/>
  <c r="A319" i="10"/>
  <c r="A318" i="10"/>
  <c r="A317" i="10"/>
  <c r="A310" i="10"/>
  <c r="A309" i="10"/>
  <c r="A307" i="10"/>
  <c r="A306" i="10"/>
  <c r="A305" i="10"/>
  <c r="A304" i="10"/>
  <c r="A303" i="10"/>
  <c r="A298" i="10"/>
  <c r="A297" i="10"/>
  <c r="A296" i="10"/>
  <c r="A295" i="10"/>
  <c r="A294" i="10"/>
  <c r="A293" i="10"/>
  <c r="A291" i="10"/>
  <c r="A290" i="10"/>
  <c r="A287" i="10"/>
  <c r="A286" i="10"/>
  <c r="A285" i="10"/>
  <c r="A283" i="10"/>
  <c r="A282" i="10"/>
  <c r="A281" i="10"/>
  <c r="A274" i="10"/>
  <c r="A273" i="10"/>
  <c r="A272" i="10"/>
  <c r="A271" i="10"/>
  <c r="A270" i="10"/>
  <c r="A269" i="10"/>
  <c r="A262" i="10"/>
  <c r="A261" i="10"/>
  <c r="A260" i="10"/>
  <c r="A259" i="10"/>
  <c r="A258" i="10"/>
  <c r="A257" i="10"/>
  <c r="A256" i="10"/>
  <c r="A250" i="10"/>
  <c r="A249" i="10"/>
  <c r="A247" i="10"/>
  <c r="A246" i="10"/>
  <c r="A245" i="10"/>
  <c r="A244" i="10"/>
  <c r="A243" i="10"/>
  <c r="A242" i="10"/>
  <c r="A238" i="10"/>
  <c r="A237" i="10"/>
  <c r="A235" i="10"/>
  <c r="A234" i="10"/>
  <c r="A233" i="10"/>
  <c r="A226" i="10"/>
  <c r="A225" i="10"/>
  <c r="A224" i="10"/>
  <c r="A223" i="10"/>
  <c r="A222" i="10"/>
  <c r="A221" i="10"/>
  <c r="A215" i="10"/>
  <c r="A214" i="10"/>
  <c r="A213" i="10"/>
  <c r="A212" i="10"/>
  <c r="A211" i="10"/>
  <c r="A210" i="10"/>
  <c r="A209" i="10"/>
  <c r="A202" i="10"/>
  <c r="A201" i="10"/>
  <c r="A199" i="10"/>
  <c r="A198" i="10"/>
  <c r="A197" i="10"/>
  <c r="A196" i="10"/>
  <c r="A195" i="10"/>
  <c r="A194" i="10"/>
  <c r="A190" i="10"/>
  <c r="A189" i="10"/>
  <c r="A187" i="10"/>
  <c r="A186" i="10"/>
  <c r="A185" i="10"/>
  <c r="A182" i="10"/>
  <c r="A178" i="10"/>
  <c r="A177" i="10"/>
  <c r="A176" i="10"/>
  <c r="A175" i="10"/>
  <c r="A174" i="10"/>
  <c r="A173" i="10"/>
  <c r="A166" i="10"/>
  <c r="A165" i="10"/>
  <c r="A164" i="10"/>
  <c r="A163" i="10"/>
  <c r="A162" i="10"/>
  <c r="A161" i="10"/>
  <c r="A154" i="10"/>
  <c r="A153" i="10"/>
  <c r="A151" i="10"/>
  <c r="A150" i="10"/>
  <c r="A149" i="10"/>
  <c r="A148" i="10"/>
  <c r="A147" i="10"/>
  <c r="A146" i="10"/>
  <c r="A142" i="10"/>
  <c r="A141" i="10"/>
  <c r="A139" i="10"/>
  <c r="A138" i="10"/>
  <c r="A137" i="10"/>
  <c r="A134" i="10"/>
  <c r="A130" i="10"/>
  <c r="A129" i="10"/>
  <c r="A128" i="10"/>
  <c r="A127" i="10"/>
  <c r="A126" i="10"/>
  <c r="A125" i="10"/>
  <c r="A118" i="10"/>
  <c r="A117" i="10"/>
  <c r="A116" i="10"/>
  <c r="A115" i="10"/>
  <c r="A114" i="10"/>
  <c r="A113" i="10"/>
  <c r="A107" i="10"/>
  <c r="A106" i="10"/>
  <c r="A105" i="10"/>
  <c r="A104" i="10"/>
  <c r="A103" i="10"/>
  <c r="A102" i="10"/>
  <c r="A101" i="10"/>
  <c r="A95" i="10"/>
  <c r="A94" i="10"/>
  <c r="A93" i="10"/>
  <c r="A92" i="10"/>
  <c r="A91" i="10"/>
  <c r="A90" i="10"/>
  <c r="A89" i="10"/>
  <c r="A88" i="10"/>
  <c r="A87" i="10"/>
  <c r="A83" i="10"/>
  <c r="A82" i="10"/>
  <c r="A81" i="10"/>
  <c r="A80" i="10"/>
  <c r="A79" i="10"/>
  <c r="A78" i="10"/>
  <c r="A77" i="10"/>
  <c r="A76" i="10"/>
  <c r="A75" i="10"/>
  <c r="A74" i="10"/>
  <c r="A70" i="10"/>
  <c r="A69" i="10"/>
  <c r="A68" i="10"/>
  <c r="A67" i="10"/>
  <c r="A66" i="10"/>
  <c r="A65" i="10"/>
  <c r="A58" i="10"/>
  <c r="A57" i="10"/>
  <c r="A56" i="10"/>
  <c r="A55" i="10"/>
  <c r="A54" i="10"/>
  <c r="A53" i="10"/>
  <c r="A46" i="10"/>
  <c r="A45" i="10"/>
  <c r="A44" i="10"/>
  <c r="A43" i="10"/>
  <c r="A42" i="10"/>
  <c r="A41" i="10"/>
  <c r="A40" i="10"/>
  <c r="A34" i="10"/>
  <c r="A33" i="10"/>
  <c r="A32" i="10"/>
  <c r="A31" i="10"/>
  <c r="A30" i="10"/>
  <c r="A29" i="10"/>
  <c r="A28" i="10"/>
  <c r="A27" i="10"/>
  <c r="A26" i="10"/>
  <c r="A22" i="10"/>
  <c r="A21" i="10"/>
  <c r="A20" i="10"/>
  <c r="A19" i="10"/>
  <c r="A18" i="10"/>
  <c r="A17" i="10"/>
  <c r="A10" i="10"/>
  <c r="A9" i="10"/>
  <c r="A8" i="10"/>
  <c r="A7" i="10"/>
  <c r="A6" i="10"/>
  <c r="A5" i="10"/>
  <c r="AG24" i="9"/>
  <c r="AF24" i="9"/>
  <c r="AE24" i="9"/>
  <c r="AD24" i="9"/>
  <c r="AC24" i="9"/>
  <c r="AB24" i="9"/>
  <c r="AA24" i="9"/>
  <c r="Z24" i="9"/>
  <c r="Y24" i="9"/>
  <c r="X24" i="9"/>
  <c r="W24" i="9"/>
  <c r="V24" i="9"/>
  <c r="U24" i="9"/>
  <c r="T24" i="9"/>
  <c r="S24" i="9"/>
  <c r="R24" i="9"/>
  <c r="Q24" i="9"/>
  <c r="P24" i="9"/>
  <c r="O24" i="9"/>
  <c r="N24" i="9"/>
  <c r="AG23" i="9"/>
  <c r="AF23" i="9"/>
  <c r="AE23" i="9"/>
  <c r="AD23" i="9"/>
  <c r="AC23" i="9"/>
  <c r="AB23" i="9"/>
  <c r="AA23" i="9"/>
  <c r="Z23" i="9"/>
  <c r="Y23" i="9"/>
  <c r="X23" i="9"/>
  <c r="W23" i="9"/>
  <c r="V23" i="9"/>
  <c r="U23" i="9"/>
  <c r="T23" i="9"/>
  <c r="S23" i="9"/>
  <c r="R23" i="9"/>
  <c r="Q23" i="9"/>
  <c r="P23" i="9"/>
  <c r="O23" i="9"/>
  <c r="N23" i="9"/>
  <c r="AG22" i="9"/>
  <c r="AF22" i="9"/>
  <c r="AE22" i="9"/>
  <c r="AD22" i="9"/>
  <c r="AC22" i="9"/>
  <c r="AB22" i="9"/>
  <c r="AA22" i="9"/>
  <c r="Z22" i="9"/>
  <c r="Y22" i="9"/>
  <c r="X22" i="9"/>
  <c r="W22" i="9"/>
  <c r="V22" i="9"/>
  <c r="U22" i="9"/>
  <c r="T22" i="9"/>
  <c r="S22" i="9"/>
  <c r="R22" i="9"/>
  <c r="Q22" i="9"/>
  <c r="P22" i="9"/>
  <c r="O22" i="9"/>
  <c r="N22" i="9"/>
  <c r="AG21" i="9"/>
  <c r="AF21" i="9"/>
  <c r="AE21" i="9"/>
  <c r="AD21" i="9"/>
  <c r="AC21" i="9"/>
  <c r="AB21" i="9"/>
  <c r="AA21" i="9"/>
  <c r="Z21" i="9"/>
  <c r="Y21" i="9"/>
  <c r="X21" i="9"/>
  <c r="W21" i="9"/>
  <c r="V21" i="9"/>
  <c r="U21" i="9"/>
  <c r="T21" i="9"/>
  <c r="S21" i="9"/>
  <c r="R21" i="9"/>
  <c r="Q21" i="9"/>
  <c r="P21" i="9"/>
  <c r="O21" i="9"/>
  <c r="N21" i="9"/>
  <c r="AG20" i="9"/>
  <c r="AF20" i="9"/>
  <c r="AE20" i="9"/>
  <c r="AD20" i="9"/>
  <c r="AC20" i="9"/>
  <c r="AB20" i="9"/>
  <c r="AA20" i="9"/>
  <c r="Z20" i="9"/>
  <c r="Y20" i="9"/>
  <c r="X20" i="9"/>
  <c r="W20" i="9"/>
  <c r="V20" i="9"/>
  <c r="U20" i="9"/>
  <c r="T20" i="9"/>
  <c r="S20" i="9"/>
  <c r="R20" i="9"/>
  <c r="Q20" i="9"/>
  <c r="P20" i="9"/>
  <c r="O20" i="9"/>
  <c r="N20" i="9"/>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U35" i="5"/>
  <c r="T35" i="5"/>
  <c r="S35" i="5"/>
  <c r="R35" i="5"/>
  <c r="Q35" i="5"/>
  <c r="P35" i="5"/>
  <c r="O35" i="5"/>
  <c r="N35" i="5"/>
  <c r="M35" i="5"/>
  <c r="L35" i="5"/>
  <c r="K35" i="5"/>
  <c r="J35" i="5"/>
  <c r="I35" i="5"/>
  <c r="H35" i="5"/>
  <c r="G35" i="5"/>
  <c r="F35" i="5"/>
  <c r="E35" i="5"/>
  <c r="U34" i="5"/>
  <c r="T34" i="5"/>
  <c r="S34" i="5"/>
  <c r="R34" i="5"/>
  <c r="Q34" i="5"/>
  <c r="P34" i="5"/>
  <c r="O34" i="5"/>
  <c r="N34" i="5"/>
  <c r="M34" i="5"/>
  <c r="L34" i="5"/>
  <c r="K34" i="5"/>
  <c r="J34" i="5"/>
  <c r="I34" i="5"/>
  <c r="H34" i="5"/>
  <c r="G34" i="5"/>
  <c r="F34" i="5"/>
  <c r="E34" i="5"/>
  <c r="U33" i="5"/>
  <c r="T33" i="5"/>
  <c r="S33" i="5"/>
  <c r="R33" i="5"/>
  <c r="Q33" i="5"/>
  <c r="P33" i="5"/>
  <c r="O33" i="5"/>
  <c r="N33" i="5"/>
  <c r="M33" i="5"/>
  <c r="L33" i="5"/>
  <c r="K33" i="5"/>
  <c r="J33" i="5"/>
  <c r="I33" i="5"/>
  <c r="H33" i="5"/>
  <c r="G33" i="5"/>
  <c r="F33" i="5"/>
  <c r="E33" i="5"/>
  <c r="U32" i="5"/>
  <c r="T32" i="5"/>
  <c r="S32" i="5"/>
  <c r="R32" i="5"/>
  <c r="Q32" i="5"/>
  <c r="P32" i="5"/>
  <c r="O32" i="5"/>
  <c r="N32" i="5"/>
  <c r="M32" i="5"/>
  <c r="L32" i="5"/>
  <c r="K32" i="5"/>
  <c r="J32" i="5"/>
  <c r="I32" i="5"/>
  <c r="H32" i="5"/>
  <c r="G32" i="5"/>
  <c r="F32" i="5"/>
  <c r="E32" i="5"/>
  <c r="U31" i="5"/>
  <c r="T31" i="5"/>
  <c r="S31" i="5"/>
  <c r="R31" i="5"/>
  <c r="Q31" i="5"/>
  <c r="P31" i="5"/>
  <c r="O31" i="5"/>
  <c r="N31" i="5"/>
  <c r="M31" i="5"/>
  <c r="L31" i="5"/>
  <c r="K31" i="5"/>
  <c r="J31" i="5"/>
  <c r="I31" i="5"/>
  <c r="H31" i="5"/>
  <c r="G31" i="5"/>
  <c r="F31" i="5"/>
  <c r="E31" i="5"/>
  <c r="U30" i="5"/>
  <c r="T30" i="5"/>
  <c r="S30" i="5"/>
  <c r="R30" i="5"/>
  <c r="Q30" i="5"/>
  <c r="P30" i="5"/>
  <c r="O30" i="5"/>
  <c r="N30" i="5"/>
  <c r="M30" i="5"/>
  <c r="L30" i="5"/>
  <c r="K30" i="5"/>
  <c r="J30" i="5"/>
  <c r="I30" i="5"/>
  <c r="H30" i="5"/>
  <c r="G30" i="5"/>
  <c r="F30" i="5"/>
  <c r="E30" i="5"/>
  <c r="U29" i="5"/>
  <c r="T29" i="5"/>
  <c r="S29" i="5"/>
  <c r="R29" i="5"/>
  <c r="Q29" i="5"/>
  <c r="P29" i="5"/>
  <c r="O29" i="5"/>
  <c r="N29" i="5"/>
  <c r="M29" i="5"/>
  <c r="L29" i="5"/>
  <c r="K29" i="5"/>
  <c r="J29" i="5"/>
  <c r="I29" i="5"/>
  <c r="H29" i="5"/>
  <c r="G29" i="5"/>
  <c r="F29" i="5"/>
  <c r="E29" i="5"/>
  <c r="U28" i="5"/>
  <c r="T28" i="5"/>
  <c r="S28" i="5"/>
  <c r="R28" i="5"/>
  <c r="Q28" i="5"/>
  <c r="P28" i="5"/>
  <c r="O28" i="5"/>
  <c r="N28" i="5"/>
  <c r="M28" i="5"/>
  <c r="L28" i="5"/>
  <c r="K28" i="5"/>
  <c r="J28" i="5"/>
  <c r="I28" i="5"/>
  <c r="H28" i="5"/>
  <c r="G28" i="5"/>
  <c r="F28" i="5"/>
  <c r="E28" i="5"/>
  <c r="U27" i="5"/>
  <c r="T27" i="5"/>
  <c r="S27" i="5"/>
  <c r="R27" i="5"/>
  <c r="Q27" i="5"/>
  <c r="P27" i="5"/>
  <c r="O27" i="5"/>
  <c r="N27" i="5"/>
  <c r="M27" i="5"/>
  <c r="L27" i="5"/>
  <c r="K27" i="5"/>
  <c r="J27" i="5"/>
  <c r="I27" i="5"/>
  <c r="H27" i="5"/>
  <c r="G27" i="5"/>
  <c r="F27" i="5"/>
  <c r="E27" i="5"/>
  <c r="U26" i="5"/>
  <c r="T26" i="5"/>
  <c r="S26" i="5"/>
  <c r="R26" i="5"/>
  <c r="Q26" i="5"/>
  <c r="P26" i="5"/>
  <c r="O26" i="5"/>
  <c r="N26" i="5"/>
  <c r="M26" i="5"/>
  <c r="L26" i="5"/>
  <c r="K26" i="5"/>
  <c r="J26" i="5"/>
  <c r="I26" i="5"/>
  <c r="H26" i="5"/>
  <c r="G26" i="5"/>
  <c r="F26" i="5"/>
  <c r="E26" i="5"/>
  <c r="U25" i="5"/>
  <c r="T25" i="5"/>
  <c r="S25" i="5"/>
  <c r="R25" i="5"/>
  <c r="Q25" i="5"/>
  <c r="P25" i="5"/>
  <c r="O25" i="5"/>
  <c r="N25" i="5"/>
  <c r="M25" i="5"/>
  <c r="L25" i="5"/>
  <c r="K25" i="5"/>
  <c r="J25" i="5"/>
  <c r="I25" i="5"/>
  <c r="H25" i="5"/>
  <c r="G25" i="5"/>
  <c r="F25" i="5"/>
  <c r="E25" i="5"/>
  <c r="U24" i="5"/>
  <c r="T24" i="5"/>
  <c r="S24" i="5"/>
  <c r="R24" i="5"/>
  <c r="Q24" i="5"/>
  <c r="P24" i="5"/>
  <c r="O24" i="5"/>
  <c r="N24" i="5"/>
  <c r="M24" i="5"/>
  <c r="L24" i="5"/>
  <c r="K24" i="5"/>
  <c r="J24" i="5"/>
  <c r="I24" i="5"/>
  <c r="H24" i="5"/>
  <c r="G24" i="5"/>
  <c r="F24" i="5"/>
  <c r="E24" i="5"/>
  <c r="U23" i="5"/>
  <c r="T23" i="5"/>
  <c r="S23" i="5"/>
  <c r="R23" i="5"/>
  <c r="Q23" i="5"/>
  <c r="P23" i="5"/>
  <c r="O23" i="5"/>
  <c r="N23" i="5"/>
  <c r="M23" i="5"/>
  <c r="L23" i="5"/>
  <c r="K23" i="5"/>
  <c r="J23" i="5"/>
  <c r="I23" i="5"/>
  <c r="H23" i="5"/>
  <c r="G23" i="5"/>
  <c r="F23" i="5"/>
  <c r="E23" i="5"/>
  <c r="U22" i="5"/>
  <c r="T22" i="5"/>
  <c r="S22" i="5"/>
  <c r="R22" i="5"/>
  <c r="Q22" i="5"/>
  <c r="P22" i="5"/>
  <c r="O22" i="5"/>
  <c r="N22" i="5"/>
  <c r="M22" i="5"/>
  <c r="L22" i="5"/>
  <c r="K22" i="5"/>
  <c r="J22" i="5"/>
  <c r="I22" i="5"/>
  <c r="H22" i="5"/>
  <c r="G22" i="5"/>
  <c r="F22" i="5"/>
  <c r="E22" i="5"/>
  <c r="U21" i="5"/>
  <c r="T21" i="5"/>
  <c r="S21" i="5"/>
  <c r="R21" i="5"/>
  <c r="Q21" i="5"/>
  <c r="P21" i="5"/>
  <c r="O21" i="5"/>
  <c r="N21" i="5"/>
  <c r="M21" i="5"/>
  <c r="L21" i="5"/>
  <c r="K21" i="5"/>
  <c r="J21" i="5"/>
  <c r="I21" i="5"/>
  <c r="H21" i="5"/>
  <c r="G21" i="5"/>
  <c r="F21" i="5"/>
  <c r="E21" i="5"/>
  <c r="U20" i="5"/>
  <c r="T20" i="5"/>
  <c r="S20" i="5"/>
  <c r="R20" i="5"/>
  <c r="Q20" i="5"/>
  <c r="P20" i="5"/>
  <c r="O20" i="5"/>
  <c r="N20" i="5"/>
  <c r="M20" i="5"/>
  <c r="L20" i="5"/>
  <c r="K20" i="5"/>
  <c r="J20" i="5"/>
  <c r="I20" i="5"/>
  <c r="H20" i="5"/>
  <c r="G20" i="5"/>
  <c r="F20" i="5"/>
  <c r="E20" i="5"/>
  <c r="U19" i="5"/>
  <c r="T19" i="5"/>
  <c r="S19" i="5"/>
  <c r="R19" i="5"/>
  <c r="Q19" i="5"/>
  <c r="P19" i="5"/>
  <c r="O19" i="5"/>
  <c r="N19" i="5"/>
  <c r="M19" i="5"/>
  <c r="L19" i="5"/>
  <c r="K19" i="5"/>
  <c r="J19" i="5"/>
  <c r="I19" i="5"/>
  <c r="H19" i="5"/>
  <c r="G19" i="5"/>
  <c r="F19" i="5"/>
  <c r="E19" i="5"/>
  <c r="U18" i="5"/>
  <c r="T18" i="5"/>
  <c r="S18" i="5"/>
  <c r="R18" i="5"/>
  <c r="Q18" i="5"/>
  <c r="P18" i="5"/>
  <c r="O18" i="5"/>
  <c r="N18" i="5"/>
  <c r="M18" i="5"/>
  <c r="L18" i="5"/>
  <c r="K18" i="5"/>
  <c r="J18" i="5"/>
  <c r="I18" i="5"/>
  <c r="H18" i="5"/>
  <c r="G18" i="5"/>
  <c r="F18" i="5"/>
  <c r="E18" i="5"/>
  <c r="U17" i="5"/>
  <c r="T17" i="5"/>
  <c r="S17" i="5"/>
  <c r="R17" i="5"/>
  <c r="Q17" i="5"/>
  <c r="P17" i="5"/>
  <c r="O17" i="5"/>
  <c r="N17" i="5"/>
  <c r="M17" i="5"/>
  <c r="L17" i="5"/>
  <c r="K17" i="5"/>
  <c r="J17" i="5"/>
  <c r="I17" i="5"/>
  <c r="H17" i="5"/>
  <c r="G17" i="5"/>
  <c r="F17" i="5"/>
  <c r="E17" i="5"/>
  <c r="U16" i="5"/>
  <c r="T16" i="5"/>
  <c r="S16" i="5"/>
  <c r="R16" i="5"/>
  <c r="Q16" i="5"/>
  <c r="P16" i="5"/>
  <c r="O16" i="5"/>
  <c r="N16" i="5"/>
  <c r="M16" i="5"/>
  <c r="L16" i="5"/>
  <c r="K16" i="5"/>
  <c r="J16" i="5"/>
  <c r="I16" i="5"/>
  <c r="H16" i="5"/>
  <c r="G16" i="5"/>
  <c r="F16" i="5"/>
  <c r="E16" i="5"/>
  <c r="K15" i="5"/>
  <c r="J15" i="5"/>
  <c r="I15" i="5"/>
  <c r="H15" i="5"/>
  <c r="G15" i="5"/>
  <c r="F15" i="5"/>
  <c r="E15" i="5"/>
  <c r="K14" i="5"/>
  <c r="J14" i="5"/>
  <c r="I14" i="5"/>
  <c r="H14" i="5"/>
  <c r="G14" i="5"/>
  <c r="F14" i="5"/>
  <c r="E14" i="5"/>
  <c r="K13" i="5"/>
  <c r="J13" i="5"/>
  <c r="I13" i="5"/>
  <c r="H13" i="5"/>
  <c r="G13" i="5"/>
  <c r="F13" i="5"/>
  <c r="E13" i="5"/>
  <c r="K12" i="5"/>
  <c r="J12" i="5"/>
  <c r="I12" i="5"/>
  <c r="H12" i="5"/>
  <c r="G12" i="5"/>
  <c r="F12" i="5"/>
  <c r="E12" i="5"/>
  <c r="K11" i="5"/>
  <c r="J11" i="5"/>
  <c r="I11" i="5"/>
  <c r="H11" i="5"/>
  <c r="G11" i="5"/>
  <c r="F11" i="5"/>
  <c r="E11" i="5"/>
  <c r="K10" i="5"/>
  <c r="J10" i="5"/>
  <c r="I10" i="5"/>
  <c r="H10" i="5"/>
  <c r="G10" i="5"/>
  <c r="F10" i="5"/>
  <c r="E10" i="5"/>
  <c r="K9" i="5"/>
  <c r="J9" i="5"/>
  <c r="I9" i="5"/>
  <c r="H9" i="5"/>
  <c r="G9" i="5"/>
  <c r="F9" i="5"/>
  <c r="E9" i="5"/>
  <c r="K8" i="5"/>
  <c r="J8" i="5"/>
  <c r="I8" i="5"/>
  <c r="H8" i="5"/>
  <c r="G8" i="5"/>
  <c r="F8" i="5"/>
  <c r="E8" i="5"/>
  <c r="K7" i="5"/>
  <c r="J7" i="5"/>
  <c r="I7" i="5"/>
  <c r="H7" i="5"/>
  <c r="G7" i="5"/>
  <c r="F7" i="5"/>
  <c r="E7" i="5"/>
  <c r="K6" i="5"/>
  <c r="J6" i="5"/>
  <c r="I6" i="5"/>
  <c r="H6" i="5"/>
  <c r="G6" i="5"/>
  <c r="F6" i="5"/>
  <c r="E6" i="5"/>
  <c r="G3" i="5"/>
  <c r="D30" i="1"/>
  <c r="B30" i="1"/>
  <c r="D29" i="1"/>
  <c r="B29" i="1"/>
  <c r="D28" i="1"/>
  <c r="B28" i="1"/>
  <c r="D27" i="1"/>
  <c r="B27" i="1"/>
  <c r="D26" i="1"/>
  <c r="B26" i="1"/>
  <c r="M25" i="1"/>
  <c r="J23" i="1"/>
  <c r="H23" i="1"/>
  <c r="F23" i="1"/>
  <c r="D23" i="1"/>
  <c r="B23" i="1"/>
  <c r="J22" i="1"/>
  <c r="H22" i="1"/>
  <c r="F22" i="1"/>
  <c r="D22" i="1"/>
  <c r="B22" i="1"/>
  <c r="B18" i="1"/>
  <c r="B16" i="1"/>
  <c r="B14" i="1"/>
  <c r="E13" i="1"/>
  <c r="B13" i="1"/>
  <c r="B10" i="1"/>
  <c r="J8" i="1"/>
  <c r="F8" i="1"/>
  <c r="B8" i="1"/>
  <c r="J7" i="1"/>
  <c r="F7" i="1"/>
  <c r="B7" i="1"/>
  <c r="B2" i="1"/>
  <c r="Q15" i="5" l="1"/>
  <c r="M20" i="9" s="1"/>
  <c r="L15" i="5"/>
  <c r="R15" i="5"/>
  <c r="M21" i="9" s="1"/>
  <c r="M15" i="5"/>
  <c r="S15" i="5"/>
  <c r="M22" i="9" s="1"/>
  <c r="N15" i="5"/>
  <c r="T15" i="5"/>
  <c r="M23" i="9" s="1"/>
  <c r="O15" i="5"/>
  <c r="U15" i="5"/>
  <c r="M24" i="9" s="1"/>
  <c r="P15" i="5"/>
  <c r="Q14" i="5"/>
  <c r="L20" i="9" s="1"/>
  <c r="L14" i="5"/>
  <c r="R14" i="5"/>
  <c r="L21" i="9" s="1"/>
  <c r="M14" i="5"/>
  <c r="S14" i="5"/>
  <c r="L22" i="9" s="1"/>
  <c r="N14" i="5"/>
  <c r="T14" i="5"/>
  <c r="L23" i="9" s="1"/>
  <c r="O14" i="5"/>
  <c r="U14" i="5"/>
  <c r="L24" i="9" s="1"/>
  <c r="P14" i="5"/>
  <c r="Q13" i="5"/>
  <c r="K20" i="9" s="1"/>
  <c r="L13" i="5"/>
  <c r="R13" i="5"/>
  <c r="K21" i="9" s="1"/>
  <c r="M13" i="5"/>
  <c r="S13" i="5"/>
  <c r="K22" i="9" s="1"/>
  <c r="N13" i="5"/>
  <c r="T13" i="5"/>
  <c r="K23" i="9" s="1"/>
  <c r="O13" i="5"/>
  <c r="U13" i="5"/>
  <c r="K24" i="9" s="1"/>
  <c r="P13" i="5"/>
  <c r="Q12" i="5"/>
  <c r="J20" i="9" s="1"/>
  <c r="L12" i="5"/>
  <c r="R12" i="5"/>
  <c r="J21" i="9" s="1"/>
  <c r="M12" i="5"/>
  <c r="S12" i="5"/>
  <c r="J22" i="9" s="1"/>
  <c r="N12" i="5"/>
  <c r="T12" i="5"/>
  <c r="J23" i="9" s="1"/>
  <c r="O12" i="5"/>
  <c r="U12" i="5"/>
  <c r="J24" i="9" s="1"/>
  <c r="P12" i="5"/>
  <c r="Q11" i="5"/>
  <c r="I20" i="9" s="1"/>
  <c r="L11" i="5"/>
  <c r="R11" i="5"/>
  <c r="I21" i="9" s="1"/>
  <c r="M11" i="5"/>
  <c r="S11" i="5"/>
  <c r="I22" i="9" s="1"/>
  <c r="N11" i="5"/>
  <c r="T11" i="5"/>
  <c r="I23" i="9" s="1"/>
  <c r="O11" i="5"/>
  <c r="U11" i="5"/>
  <c r="I24" i="9" s="1"/>
  <c r="P11" i="5"/>
  <c r="Q10" i="5"/>
  <c r="H20" i="9" s="1"/>
  <c r="L10" i="5"/>
  <c r="R10" i="5"/>
  <c r="H21" i="9" s="1"/>
  <c r="M10" i="5"/>
  <c r="S10" i="5"/>
  <c r="H22" i="9" s="1"/>
  <c r="N10" i="5"/>
  <c r="T10" i="5"/>
  <c r="H23" i="9" s="1"/>
  <c r="O10" i="5"/>
  <c r="U10" i="5"/>
  <c r="H24" i="9" s="1"/>
  <c r="P10" i="5"/>
  <c r="Q9" i="5"/>
  <c r="G20" i="9" s="1"/>
  <c r="L9" i="5"/>
  <c r="R9" i="5"/>
  <c r="G21" i="9" s="1"/>
  <c r="M9" i="5"/>
  <c r="S9" i="5"/>
  <c r="G22" i="9" s="1"/>
  <c r="N9" i="5"/>
  <c r="T9" i="5"/>
  <c r="G23" i="9" s="1"/>
  <c r="O9" i="5"/>
  <c r="U9" i="5"/>
  <c r="G24" i="9" s="1"/>
  <c r="P9" i="5"/>
  <c r="Q8" i="5"/>
  <c r="F20" i="9" s="1"/>
  <c r="L8" i="5"/>
  <c r="R8" i="5"/>
  <c r="F21" i="9" s="1"/>
  <c r="M8" i="5"/>
  <c r="S8" i="5"/>
  <c r="F22" i="9" s="1"/>
  <c r="N8" i="5"/>
  <c r="T8" i="5"/>
  <c r="F23" i="9" s="1"/>
  <c r="O8" i="5"/>
  <c r="U8" i="5"/>
  <c r="F24" i="9" s="1"/>
  <c r="P8" i="5"/>
  <c r="Q7" i="5"/>
  <c r="E20" i="9" s="1"/>
  <c r="L7" i="5"/>
  <c r="R7" i="5"/>
  <c r="E21" i="9" s="1"/>
  <c r="M7" i="5"/>
  <c r="S7" i="5"/>
  <c r="E22" i="9" s="1"/>
  <c r="N7" i="5"/>
  <c r="T7" i="5"/>
  <c r="E23" i="9" s="1"/>
  <c r="O7" i="5"/>
  <c r="U7" i="5"/>
  <c r="E24" i="9" s="1"/>
  <c r="P7" i="5"/>
  <c r="Q6" i="5"/>
  <c r="D20" i="9" s="1"/>
  <c r="L6" i="5"/>
  <c r="R6" i="5"/>
  <c r="D21" i="9" s="1"/>
  <c r="M6" i="5"/>
  <c r="S6" i="5"/>
  <c r="D22" i="9" s="1"/>
  <c r="N6" i="5"/>
  <c r="T6" i="5"/>
  <c r="D23" i="9" s="1"/>
  <c r="O6" i="5"/>
  <c r="U6" i="5"/>
  <c r="D24" i="9" s="1"/>
  <c r="P6" i="5"/>
  <c r="A6" i="11"/>
  <c r="C6" i="8"/>
  <c r="B6" i="8" s="1"/>
  <c r="A7" i="11"/>
  <c r="C7" i="8"/>
  <c r="B7" i="8" s="1"/>
  <c r="A8" i="11"/>
  <c r="C8" i="8"/>
  <c r="B8" i="8" s="1"/>
  <c r="A9" i="11"/>
  <c r="C9" i="8"/>
  <c r="B9" i="8" s="1"/>
  <c r="A10" i="11"/>
  <c r="C10" i="8"/>
  <c r="B10" i="8" s="1"/>
  <c r="A11" i="11"/>
  <c r="C11" i="8"/>
  <c r="B11" i="8" s="1"/>
  <c r="A12" i="11"/>
  <c r="C12" i="8"/>
  <c r="B12" i="8" s="1"/>
  <c r="A13" i="11"/>
  <c r="C13" i="8"/>
  <c r="B13" i="8" s="1"/>
  <c r="A14" i="11"/>
  <c r="C14" i="8"/>
  <c r="B14" i="8" s="1"/>
  <c r="A15" i="11"/>
  <c r="C15" i="8"/>
  <c r="B15" i="8" s="1"/>
  <c r="A16" i="11"/>
  <c r="C16" i="8"/>
  <c r="B16" i="8" s="1"/>
  <c r="A17" i="11"/>
  <c r="C17" i="8"/>
  <c r="B17" i="8" s="1"/>
  <c r="A18" i="11"/>
  <c r="C18" i="8"/>
  <c r="B18" i="8" s="1"/>
  <c r="A19" i="11"/>
  <c r="C19" i="8"/>
  <c r="B19" i="8" s="1"/>
  <c r="A20" i="11"/>
  <c r="C20" i="8"/>
  <c r="B20" i="8" s="1"/>
  <c r="A21" i="11"/>
  <c r="C21" i="8"/>
  <c r="B21" i="8" s="1"/>
  <c r="A22" i="11"/>
  <c r="C22" i="8"/>
  <c r="B22" i="8" s="1"/>
  <c r="A23" i="11"/>
  <c r="C23" i="8"/>
  <c r="B23" i="8" s="1"/>
  <c r="A24" i="11"/>
  <c r="C24" i="8"/>
  <c r="B24" i="8" s="1"/>
  <c r="A25" i="11"/>
  <c r="C25" i="8"/>
  <c r="B25" i="8" s="1"/>
  <c r="A26" i="11"/>
  <c r="C26" i="8"/>
  <c r="B26" i="8" s="1"/>
  <c r="A27" i="11"/>
  <c r="C27" i="8"/>
  <c r="B27" i="8" s="1"/>
  <c r="A28" i="11"/>
  <c r="C28" i="8"/>
  <c r="B28" i="8" s="1"/>
  <c r="A29" i="11"/>
  <c r="C29" i="8"/>
  <c r="B29" i="8" s="1"/>
  <c r="A30" i="11"/>
  <c r="C30" i="8"/>
  <c r="B30" i="8" s="1"/>
  <c r="A31" i="11"/>
  <c r="C31" i="8"/>
  <c r="B31" i="8" s="1"/>
  <c r="A32" i="11"/>
  <c r="C32" i="8"/>
  <c r="B32" i="8" s="1"/>
  <c r="A33" i="11"/>
  <c r="C33" i="8"/>
  <c r="B33" i="8" s="1"/>
  <c r="A34" i="11"/>
  <c r="C34" i="8"/>
  <c r="B34" i="8" s="1"/>
  <c r="A35" i="11"/>
  <c r="C35" i="8"/>
  <c r="B35" i="8" s="1"/>
  <c r="A36" i="11"/>
  <c r="C36" i="8"/>
  <c r="B36" i="8" s="1"/>
  <c r="A37" i="11"/>
  <c r="C37" i="8"/>
  <c r="B37" i="8" s="1"/>
  <c r="A38" i="11"/>
  <c r="C38" i="8"/>
  <c r="B38" i="8" s="1"/>
  <c r="A39" i="11"/>
  <c r="C39" i="8"/>
  <c r="B39" i="8" s="1"/>
  <c r="A40" i="11"/>
  <c r="C40" i="8"/>
  <c r="B40" i="8" s="1"/>
  <c r="A41" i="11"/>
  <c r="C41" i="8"/>
  <c r="B41" i="8" s="1"/>
  <c r="A42" i="11"/>
  <c r="C42" i="8"/>
  <c r="B42" i="8" s="1"/>
  <c r="A43" i="11"/>
  <c r="C43" i="8"/>
  <c r="B43" i="8" s="1"/>
  <c r="A44" i="11"/>
  <c r="C44" i="8"/>
  <c r="B44" i="8" s="1"/>
  <c r="A45" i="11"/>
  <c r="C45" i="8"/>
  <c r="B45" i="8" s="1"/>
  <c r="A46" i="11"/>
  <c r="C46" i="8"/>
  <c r="B46" i="8" s="1"/>
  <c r="A47" i="11"/>
  <c r="C47" i="8"/>
  <c r="B47" i="8" s="1"/>
  <c r="A48" i="11"/>
  <c r="C48" i="8"/>
  <c r="B48" i="8" s="1"/>
  <c r="A49" i="11"/>
  <c r="C49" i="8"/>
  <c r="B49" i="8" s="1"/>
  <c r="A50" i="11"/>
  <c r="C50" i="8"/>
  <c r="B50" i="8" s="1"/>
  <c r="A51" i="11"/>
  <c r="C51" i="8"/>
  <c r="B51" i="8" s="1"/>
  <c r="A52" i="11"/>
  <c r="C52" i="8"/>
  <c r="B52" i="8" s="1"/>
  <c r="A53" i="11"/>
  <c r="C53" i="8"/>
  <c r="B53" i="8" s="1"/>
  <c r="A54" i="11"/>
  <c r="C54" i="8"/>
  <c r="B54" i="8" s="1"/>
  <c r="A55" i="11"/>
  <c r="C55" i="8"/>
  <c r="B55" i="8" s="1"/>
  <c r="A56" i="11"/>
  <c r="C56" i="8"/>
  <c r="B56" i="8" s="1"/>
  <c r="A57" i="11"/>
  <c r="C57" i="8"/>
  <c r="B57" i="8" s="1"/>
  <c r="A58" i="11"/>
  <c r="C58" i="8"/>
  <c r="B58" i="8" s="1"/>
  <c r="A59" i="11"/>
  <c r="C59" i="8"/>
  <c r="B59" i="8" s="1"/>
  <c r="A60" i="11"/>
  <c r="C60" i="8"/>
  <c r="B60" i="8" s="1"/>
  <c r="A61" i="11"/>
  <c r="C61" i="8"/>
  <c r="B61" i="8" s="1"/>
  <c r="A62" i="11"/>
  <c r="C62" i="8"/>
  <c r="B62" i="8" s="1"/>
  <c r="A63" i="11"/>
  <c r="C63" i="8"/>
  <c r="B63" i="8" s="1"/>
  <c r="A64" i="11"/>
  <c r="C64" i="8"/>
  <c r="B64" i="8" s="1"/>
  <c r="A65" i="11"/>
  <c r="C65" i="8"/>
  <c r="B65" i="8" s="1"/>
  <c r="H2" i="10"/>
  <c r="G2" i="10"/>
  <c r="F2" i="10"/>
  <c r="E2" i="10"/>
  <c r="D2" i="10"/>
  <c r="B2" i="10"/>
  <c r="C2" i="10" s="1"/>
  <c r="H3" i="10"/>
  <c r="G3" i="10"/>
  <c r="F3" i="10"/>
  <c r="E3" i="10"/>
  <c r="D3" i="10"/>
  <c r="B3" i="10"/>
  <c r="C3" i="10" s="1"/>
  <c r="H4" i="10"/>
  <c r="G4" i="10"/>
  <c r="F4" i="10"/>
  <c r="E4" i="10"/>
  <c r="D4" i="10"/>
  <c r="B4" i="10"/>
  <c r="C4" i="10" s="1"/>
  <c r="H5" i="10"/>
  <c r="G5" i="10"/>
  <c r="F5" i="10"/>
  <c r="E5" i="10"/>
  <c r="D5" i="10"/>
  <c r="B5" i="10"/>
  <c r="C5" i="10" s="1"/>
  <c r="H6" i="10"/>
  <c r="G6" i="10"/>
  <c r="F6" i="10"/>
  <c r="E6" i="10"/>
  <c r="D6" i="10"/>
  <c r="B6" i="10"/>
  <c r="C6" i="10" s="1"/>
  <c r="H7" i="10"/>
  <c r="G7" i="10"/>
  <c r="F7" i="10"/>
  <c r="E7" i="10"/>
  <c r="D7" i="10"/>
  <c r="B7" i="10"/>
  <c r="C7" i="10" s="1"/>
  <c r="H8" i="10"/>
  <c r="G8" i="10"/>
  <c r="F8" i="10"/>
  <c r="E8" i="10"/>
  <c r="D8" i="10"/>
  <c r="C8" i="10"/>
  <c r="B8" i="10"/>
  <c r="H9" i="10"/>
  <c r="G9" i="10"/>
  <c r="F9" i="10"/>
  <c r="E9" i="10"/>
  <c r="D9" i="10"/>
  <c r="C9" i="10"/>
  <c r="B9" i="10"/>
  <c r="H10" i="10"/>
  <c r="G10" i="10"/>
  <c r="F10" i="10"/>
  <c r="E10" i="10"/>
  <c r="D10" i="10"/>
  <c r="C10" i="10"/>
  <c r="B10" i="10"/>
  <c r="H11" i="10"/>
  <c r="G11" i="10"/>
  <c r="F11" i="10"/>
  <c r="E11" i="10"/>
  <c r="D11" i="10"/>
  <c r="C11" i="10"/>
  <c r="B11" i="10"/>
  <c r="H12" i="10"/>
  <c r="G12" i="10"/>
  <c r="F12" i="10"/>
  <c r="E12" i="10"/>
  <c r="D12" i="10"/>
  <c r="C12" i="10"/>
  <c r="B12" i="10"/>
  <c r="H13" i="10"/>
  <c r="G13" i="10"/>
  <c r="F13" i="10"/>
  <c r="E13" i="10"/>
  <c r="D13" i="10"/>
  <c r="C13" i="10"/>
  <c r="B13" i="10"/>
  <c r="H14" i="10"/>
  <c r="G14" i="10"/>
  <c r="F14" i="10"/>
  <c r="E14" i="10"/>
  <c r="D14" i="10"/>
  <c r="C14" i="10"/>
  <c r="B14" i="10"/>
  <c r="H15" i="10"/>
  <c r="G15" i="10"/>
  <c r="F15" i="10"/>
  <c r="E15" i="10"/>
  <c r="D15" i="10"/>
  <c r="C15" i="10"/>
  <c r="B15" i="10"/>
  <c r="H16" i="10"/>
  <c r="G16" i="10"/>
  <c r="F16" i="10"/>
  <c r="E16" i="10"/>
  <c r="D16" i="10"/>
  <c r="C16" i="10"/>
  <c r="B16" i="10"/>
  <c r="H17" i="10"/>
  <c r="G17" i="10"/>
  <c r="F17" i="10"/>
  <c r="E17" i="10"/>
  <c r="D17" i="10"/>
  <c r="C17" i="10"/>
  <c r="B17" i="10"/>
  <c r="H18" i="10"/>
  <c r="G18" i="10"/>
  <c r="F18" i="10"/>
  <c r="E18" i="10"/>
  <c r="D18" i="10"/>
  <c r="C18" i="10"/>
  <c r="B18" i="10"/>
  <c r="H19" i="10"/>
  <c r="G19" i="10"/>
  <c r="F19" i="10"/>
  <c r="E19" i="10"/>
  <c r="D19" i="10"/>
  <c r="C19" i="10"/>
  <c r="B19" i="10"/>
  <c r="H20" i="10"/>
  <c r="G20" i="10"/>
  <c r="F20" i="10"/>
  <c r="E20" i="10"/>
  <c r="D20" i="10"/>
  <c r="C20" i="10"/>
  <c r="B20" i="10"/>
  <c r="H21" i="10"/>
  <c r="G21" i="10"/>
  <c r="F21" i="10"/>
  <c r="E21" i="10"/>
  <c r="D21" i="10"/>
  <c r="C21" i="10"/>
  <c r="B21" i="10"/>
  <c r="H22" i="10"/>
  <c r="G22" i="10"/>
  <c r="F22" i="10"/>
  <c r="E22" i="10"/>
  <c r="D22" i="10"/>
  <c r="C22" i="10"/>
  <c r="B22" i="10"/>
  <c r="H23" i="10"/>
  <c r="G23" i="10"/>
  <c r="F23" i="10"/>
  <c r="E23" i="10"/>
  <c r="D23" i="10"/>
  <c r="C23" i="10"/>
  <c r="B23" i="10"/>
  <c r="H24" i="10"/>
  <c r="G24" i="10"/>
  <c r="F24" i="10"/>
  <c r="E24" i="10"/>
  <c r="D24" i="10"/>
  <c r="C24" i="10"/>
  <c r="B24" i="10"/>
  <c r="H25" i="10"/>
  <c r="G25" i="10"/>
  <c r="F25" i="10"/>
  <c r="E25" i="10"/>
  <c r="D25" i="10"/>
  <c r="C25" i="10"/>
  <c r="B25" i="10"/>
  <c r="H26" i="10"/>
  <c r="G26" i="10"/>
  <c r="F26" i="10"/>
  <c r="E26" i="10"/>
  <c r="D26" i="10"/>
  <c r="C26" i="10"/>
  <c r="B26" i="10"/>
  <c r="H27" i="10"/>
  <c r="G27" i="10"/>
  <c r="F27" i="10"/>
  <c r="E27" i="10"/>
  <c r="D27" i="10"/>
  <c r="C27" i="10"/>
  <c r="B27" i="10"/>
  <c r="H28" i="10"/>
  <c r="G28" i="10"/>
  <c r="F28" i="10"/>
  <c r="E28" i="10"/>
  <c r="D28" i="10"/>
  <c r="C28" i="10"/>
  <c r="B28" i="10"/>
  <c r="H29" i="10"/>
  <c r="G29" i="10"/>
  <c r="F29" i="10"/>
  <c r="E29" i="10"/>
  <c r="D29" i="10"/>
  <c r="C29" i="10"/>
  <c r="B29" i="10"/>
  <c r="H30" i="10"/>
  <c r="G30" i="10"/>
  <c r="F30" i="10"/>
  <c r="E30" i="10"/>
  <c r="D30" i="10"/>
  <c r="C30" i="10"/>
  <c r="B30" i="10"/>
  <c r="H31" i="10"/>
  <c r="G31" i="10"/>
  <c r="F31" i="10"/>
  <c r="E31" i="10"/>
  <c r="D31" i="10"/>
  <c r="C31" i="10"/>
  <c r="B31" i="10"/>
  <c r="H32" i="10"/>
  <c r="G32" i="10"/>
  <c r="F32" i="10"/>
  <c r="E32" i="10"/>
  <c r="D32" i="10"/>
  <c r="C32" i="10"/>
  <c r="B32" i="10"/>
  <c r="H33" i="10"/>
  <c r="G33" i="10"/>
  <c r="F33" i="10"/>
  <c r="E33" i="10"/>
  <c r="D33" i="10"/>
  <c r="C33" i="10"/>
  <c r="B33" i="10"/>
  <c r="H34" i="10"/>
  <c r="G34" i="10"/>
  <c r="F34" i="10"/>
  <c r="E34" i="10"/>
  <c r="D34" i="10"/>
  <c r="C34" i="10"/>
  <c r="B34" i="10"/>
  <c r="H35" i="10"/>
  <c r="G35" i="10"/>
  <c r="F35" i="10"/>
  <c r="E35" i="10"/>
  <c r="D35" i="10"/>
  <c r="C35" i="10"/>
  <c r="B35" i="10"/>
  <c r="H36" i="10"/>
  <c r="G36" i="10"/>
  <c r="F36" i="10"/>
  <c r="E36" i="10"/>
  <c r="D36" i="10"/>
  <c r="C36" i="10"/>
  <c r="B36" i="10"/>
  <c r="H37" i="10"/>
  <c r="G37" i="10"/>
  <c r="F37" i="10"/>
  <c r="E37" i="10"/>
  <c r="D37" i="10"/>
  <c r="C37" i="10"/>
  <c r="B37" i="10"/>
  <c r="H38" i="10"/>
  <c r="G38" i="10"/>
  <c r="F38" i="10"/>
  <c r="E38" i="10"/>
  <c r="D38" i="10"/>
  <c r="C38" i="10"/>
  <c r="B38" i="10"/>
  <c r="H39" i="10"/>
  <c r="G39" i="10"/>
  <c r="F39" i="10"/>
  <c r="E39" i="10"/>
  <c r="D39" i="10"/>
  <c r="C39" i="10"/>
  <c r="B39" i="10"/>
  <c r="H40" i="10"/>
  <c r="G40" i="10"/>
  <c r="F40" i="10"/>
  <c r="E40" i="10"/>
  <c r="D40" i="10"/>
  <c r="C40" i="10"/>
  <c r="B40" i="10"/>
  <c r="H41" i="10"/>
  <c r="G41" i="10"/>
  <c r="F41" i="10"/>
  <c r="E41" i="10"/>
  <c r="D41" i="10"/>
  <c r="C41" i="10"/>
  <c r="B41" i="10"/>
  <c r="H42" i="10"/>
  <c r="G42" i="10"/>
  <c r="F42" i="10"/>
  <c r="E42" i="10"/>
  <c r="D42" i="10"/>
  <c r="C42" i="10"/>
  <c r="B42" i="10"/>
  <c r="H43" i="10"/>
  <c r="G43" i="10"/>
  <c r="F43" i="10"/>
  <c r="E43" i="10"/>
  <c r="D43" i="10"/>
  <c r="C43" i="10"/>
  <c r="B43" i="10"/>
  <c r="H44" i="10"/>
  <c r="G44" i="10"/>
  <c r="F44" i="10"/>
  <c r="E44" i="10"/>
  <c r="D44" i="10"/>
  <c r="C44" i="10"/>
  <c r="B44" i="10"/>
  <c r="H45" i="10"/>
  <c r="G45" i="10"/>
  <c r="F45" i="10"/>
  <c r="E45" i="10"/>
  <c r="D45" i="10"/>
  <c r="C45" i="10"/>
  <c r="B45" i="10"/>
  <c r="H46" i="10"/>
  <c r="G46" i="10"/>
  <c r="F46" i="10"/>
  <c r="E46" i="10"/>
  <c r="D46" i="10"/>
  <c r="C46" i="10"/>
  <c r="B46" i="10"/>
  <c r="H47" i="10"/>
  <c r="G47" i="10"/>
  <c r="F47" i="10"/>
  <c r="E47" i="10"/>
  <c r="D47" i="10"/>
  <c r="C47" i="10"/>
  <c r="B47" i="10"/>
  <c r="H48" i="10"/>
  <c r="G48" i="10"/>
  <c r="F48" i="10"/>
  <c r="E48" i="10"/>
  <c r="D48" i="10"/>
  <c r="C48" i="10"/>
  <c r="B48" i="10"/>
  <c r="H49" i="10"/>
  <c r="G49" i="10"/>
  <c r="F49" i="10"/>
  <c r="E49" i="10"/>
  <c r="D49" i="10"/>
  <c r="C49" i="10"/>
  <c r="B49" i="10"/>
  <c r="H50" i="10"/>
  <c r="G50" i="10"/>
  <c r="F50" i="10"/>
  <c r="E50" i="10"/>
  <c r="D50" i="10"/>
  <c r="C50" i="10"/>
  <c r="B50" i="10"/>
  <c r="H51" i="10"/>
  <c r="G51" i="10"/>
  <c r="F51" i="10"/>
  <c r="E51" i="10"/>
  <c r="D51" i="10"/>
  <c r="C51" i="10"/>
  <c r="B51" i="10"/>
  <c r="H52" i="10"/>
  <c r="G52" i="10"/>
  <c r="F52" i="10"/>
  <c r="E52" i="10"/>
  <c r="D52" i="10"/>
  <c r="C52" i="10"/>
  <c r="B52" i="10"/>
  <c r="H53" i="10"/>
  <c r="G53" i="10"/>
  <c r="F53" i="10"/>
  <c r="E53" i="10"/>
  <c r="D53" i="10"/>
  <c r="C53" i="10"/>
  <c r="B53" i="10"/>
  <c r="H54" i="10"/>
  <c r="G54" i="10"/>
  <c r="F54" i="10"/>
  <c r="E54" i="10"/>
  <c r="D54" i="10"/>
  <c r="C54" i="10"/>
  <c r="B54" i="10"/>
  <c r="H55" i="10"/>
  <c r="G55" i="10"/>
  <c r="F55" i="10"/>
  <c r="E55" i="10"/>
  <c r="D55" i="10"/>
  <c r="C55" i="10"/>
  <c r="B55" i="10"/>
  <c r="H56" i="10"/>
  <c r="G56" i="10"/>
  <c r="F56" i="10"/>
  <c r="E56" i="10"/>
  <c r="D56" i="10"/>
  <c r="C56" i="10"/>
  <c r="B56" i="10"/>
  <c r="H57" i="10"/>
  <c r="G57" i="10"/>
  <c r="F57" i="10"/>
  <c r="E57" i="10"/>
  <c r="D57" i="10"/>
  <c r="C57" i="10"/>
  <c r="B57" i="10"/>
  <c r="H58" i="10"/>
  <c r="G58" i="10"/>
  <c r="F58" i="10"/>
  <c r="E58" i="10"/>
  <c r="D58" i="10"/>
  <c r="C58" i="10"/>
  <c r="B58" i="10"/>
  <c r="H59" i="10"/>
  <c r="G59" i="10"/>
  <c r="F59" i="10"/>
  <c r="E59" i="10"/>
  <c r="D59" i="10"/>
  <c r="C59" i="10"/>
  <c r="B59" i="10"/>
  <c r="H60" i="10"/>
  <c r="G60" i="10"/>
  <c r="F60" i="10"/>
  <c r="E60" i="10"/>
  <c r="D60" i="10"/>
  <c r="C60" i="10"/>
  <c r="B60" i="10"/>
  <c r="H61" i="10"/>
  <c r="G61" i="10"/>
  <c r="F61" i="10"/>
  <c r="E61" i="10"/>
  <c r="D61" i="10"/>
  <c r="C61" i="10"/>
  <c r="B61" i="10"/>
  <c r="H62" i="10"/>
  <c r="G62" i="10"/>
  <c r="F62" i="10"/>
  <c r="E62" i="10"/>
  <c r="D62" i="10"/>
  <c r="C62" i="10"/>
  <c r="B62" i="10"/>
  <c r="H63" i="10"/>
  <c r="G63" i="10"/>
  <c r="F63" i="10"/>
  <c r="E63" i="10"/>
  <c r="D63" i="10"/>
  <c r="C63" i="10"/>
  <c r="B63" i="10"/>
  <c r="H64" i="10"/>
  <c r="G64" i="10"/>
  <c r="F64" i="10"/>
  <c r="E64" i="10"/>
  <c r="D64" i="10"/>
  <c r="C64" i="10"/>
  <c r="B64" i="10"/>
  <c r="H65" i="10"/>
  <c r="G65" i="10"/>
  <c r="F65" i="10"/>
  <c r="E65" i="10"/>
  <c r="D65" i="10"/>
  <c r="C65" i="10"/>
  <c r="B65" i="10"/>
  <c r="H66" i="10"/>
  <c r="G66" i="10"/>
  <c r="F66" i="10"/>
  <c r="E66" i="10"/>
  <c r="D66" i="10"/>
  <c r="C66" i="10"/>
  <c r="B66" i="10"/>
  <c r="H67" i="10"/>
  <c r="G67" i="10"/>
  <c r="F67" i="10"/>
  <c r="E67" i="10"/>
  <c r="D67" i="10"/>
  <c r="C67" i="10"/>
  <c r="B67" i="10"/>
  <c r="H68" i="10"/>
  <c r="G68" i="10"/>
  <c r="F68" i="10"/>
  <c r="E68" i="10"/>
  <c r="D68" i="10"/>
  <c r="C68" i="10"/>
  <c r="B68" i="10"/>
  <c r="H69" i="10"/>
  <c r="G69" i="10"/>
  <c r="F69" i="10"/>
  <c r="E69" i="10"/>
  <c r="D69" i="10"/>
  <c r="C69" i="10"/>
  <c r="B69" i="10"/>
  <c r="H70" i="10"/>
  <c r="G70" i="10"/>
  <c r="F70" i="10"/>
  <c r="E70" i="10"/>
  <c r="D70" i="10"/>
  <c r="C70" i="10"/>
  <c r="B70" i="10"/>
  <c r="H71" i="10"/>
  <c r="G71" i="10"/>
  <c r="F71" i="10"/>
  <c r="E71" i="10"/>
  <c r="D71" i="10"/>
  <c r="C71" i="10"/>
  <c r="B71" i="10"/>
  <c r="H72" i="10"/>
  <c r="G72" i="10"/>
  <c r="F72" i="10"/>
  <c r="E72" i="10"/>
  <c r="D72" i="10"/>
  <c r="C72" i="10"/>
  <c r="B72" i="10"/>
  <c r="H73" i="10"/>
  <c r="G73" i="10"/>
  <c r="F73" i="10"/>
  <c r="E73" i="10"/>
  <c r="D73" i="10"/>
  <c r="C73" i="10"/>
  <c r="B73" i="10"/>
  <c r="H74" i="10"/>
  <c r="G74" i="10"/>
  <c r="F74" i="10"/>
  <c r="E74" i="10"/>
  <c r="D74" i="10"/>
  <c r="C74" i="10"/>
  <c r="B74" i="10"/>
  <c r="H75" i="10"/>
  <c r="G75" i="10"/>
  <c r="F75" i="10"/>
  <c r="E75" i="10"/>
  <c r="D75" i="10"/>
  <c r="C75" i="10"/>
  <c r="B75" i="10"/>
  <c r="H76" i="10"/>
  <c r="G76" i="10"/>
  <c r="F76" i="10"/>
  <c r="E76" i="10"/>
  <c r="D76" i="10"/>
  <c r="C76" i="10"/>
  <c r="B76" i="10"/>
  <c r="H77" i="10"/>
  <c r="G77" i="10"/>
  <c r="F77" i="10"/>
  <c r="E77" i="10"/>
  <c r="D77" i="10"/>
  <c r="C77" i="10"/>
  <c r="B77" i="10"/>
  <c r="H78" i="10"/>
  <c r="G78" i="10"/>
  <c r="F78" i="10"/>
  <c r="E78" i="10"/>
  <c r="D78" i="10"/>
  <c r="C78" i="10"/>
  <c r="B78" i="10"/>
  <c r="H79" i="10"/>
  <c r="G79" i="10"/>
  <c r="F79" i="10"/>
  <c r="E79" i="10"/>
  <c r="D79" i="10"/>
  <c r="C79" i="10"/>
  <c r="B79" i="10"/>
  <c r="H80" i="10"/>
  <c r="G80" i="10"/>
  <c r="F80" i="10"/>
  <c r="E80" i="10"/>
  <c r="D80" i="10"/>
  <c r="C80" i="10"/>
  <c r="B80" i="10"/>
  <c r="H81" i="10"/>
  <c r="G81" i="10"/>
  <c r="F81" i="10"/>
  <c r="E81" i="10"/>
  <c r="D81" i="10"/>
  <c r="C81" i="10"/>
  <c r="B81" i="10"/>
  <c r="H82" i="10"/>
  <c r="G82" i="10"/>
  <c r="F82" i="10"/>
  <c r="E82" i="10"/>
  <c r="D82" i="10"/>
  <c r="C82" i="10"/>
  <c r="B82" i="10"/>
  <c r="H83" i="10"/>
  <c r="G83" i="10"/>
  <c r="F83" i="10"/>
  <c r="E83" i="10"/>
  <c r="D83" i="10"/>
  <c r="C83" i="10"/>
  <c r="B83" i="10"/>
  <c r="H84" i="10"/>
  <c r="G84" i="10"/>
  <c r="F84" i="10"/>
  <c r="E84" i="10"/>
  <c r="D84" i="10"/>
  <c r="C84" i="10"/>
  <c r="B84" i="10"/>
  <c r="H85" i="10"/>
  <c r="G85" i="10"/>
  <c r="F85" i="10"/>
  <c r="E85" i="10"/>
  <c r="D85" i="10"/>
  <c r="C85" i="10"/>
  <c r="B85" i="10"/>
  <c r="H86" i="10"/>
  <c r="G86" i="10"/>
  <c r="F86" i="10"/>
  <c r="E86" i="10"/>
  <c r="D86" i="10"/>
  <c r="C86" i="10"/>
  <c r="B86" i="10"/>
  <c r="H87" i="10"/>
  <c r="G87" i="10"/>
  <c r="F87" i="10"/>
  <c r="E87" i="10"/>
  <c r="D87" i="10"/>
  <c r="C87" i="10"/>
  <c r="B87" i="10"/>
  <c r="H88" i="10"/>
  <c r="G88" i="10"/>
  <c r="F88" i="10"/>
  <c r="E88" i="10"/>
  <c r="D88" i="10"/>
  <c r="C88" i="10"/>
  <c r="B88" i="10"/>
  <c r="H89" i="10"/>
  <c r="G89" i="10"/>
  <c r="F89" i="10"/>
  <c r="E89" i="10"/>
  <c r="D89" i="10"/>
  <c r="C89" i="10"/>
  <c r="B89" i="10"/>
  <c r="H90" i="10"/>
  <c r="G90" i="10"/>
  <c r="F90" i="10"/>
  <c r="E90" i="10"/>
  <c r="D90" i="10"/>
  <c r="C90" i="10"/>
  <c r="B90" i="10"/>
  <c r="H91" i="10"/>
  <c r="G91" i="10"/>
  <c r="F91" i="10"/>
  <c r="E91" i="10"/>
  <c r="D91" i="10"/>
  <c r="C91" i="10"/>
  <c r="B91" i="10"/>
  <c r="H92" i="10"/>
  <c r="G92" i="10"/>
  <c r="F92" i="10"/>
  <c r="E92" i="10"/>
  <c r="D92" i="10"/>
  <c r="C92" i="10"/>
  <c r="B92" i="10"/>
  <c r="H93" i="10"/>
  <c r="G93" i="10"/>
  <c r="F93" i="10"/>
  <c r="E93" i="10"/>
  <c r="D93" i="10"/>
  <c r="C93" i="10"/>
  <c r="B93" i="10"/>
  <c r="H94" i="10"/>
  <c r="G94" i="10"/>
  <c r="F94" i="10"/>
  <c r="E94" i="10"/>
  <c r="D94" i="10"/>
  <c r="C94" i="10"/>
  <c r="B94" i="10"/>
  <c r="H95" i="10"/>
  <c r="G95" i="10"/>
  <c r="F95" i="10"/>
  <c r="E95" i="10"/>
  <c r="D95" i="10"/>
  <c r="C95" i="10"/>
  <c r="B95" i="10"/>
  <c r="H96" i="10"/>
  <c r="G96" i="10"/>
  <c r="F96" i="10"/>
  <c r="E96" i="10"/>
  <c r="D96" i="10"/>
  <c r="C96" i="10"/>
  <c r="B96" i="10"/>
  <c r="H97" i="10"/>
  <c r="G97" i="10"/>
  <c r="F97" i="10"/>
  <c r="E97" i="10"/>
  <c r="D97" i="10"/>
  <c r="C97" i="10"/>
  <c r="B97" i="10"/>
  <c r="H98" i="10"/>
  <c r="G98" i="10"/>
  <c r="F98" i="10"/>
  <c r="E98" i="10"/>
  <c r="D98" i="10"/>
  <c r="C98" i="10"/>
  <c r="B98" i="10"/>
  <c r="H99" i="10"/>
  <c r="G99" i="10"/>
  <c r="F99" i="10"/>
  <c r="E99" i="10"/>
  <c r="D99" i="10"/>
  <c r="C99" i="10"/>
  <c r="B99" i="10"/>
  <c r="H100" i="10"/>
  <c r="G100" i="10"/>
  <c r="F100" i="10"/>
  <c r="E100" i="10"/>
  <c r="D100" i="10"/>
  <c r="C100" i="10"/>
  <c r="B100" i="10"/>
  <c r="H101" i="10"/>
  <c r="G101" i="10"/>
  <c r="F101" i="10"/>
  <c r="E101" i="10"/>
  <c r="D101" i="10"/>
  <c r="C101" i="10"/>
  <c r="B101" i="10"/>
  <c r="H102" i="10"/>
  <c r="G102" i="10"/>
  <c r="F102" i="10"/>
  <c r="E102" i="10"/>
  <c r="D102" i="10"/>
  <c r="C102" i="10"/>
  <c r="B102" i="10"/>
  <c r="H103" i="10"/>
  <c r="G103" i="10"/>
  <c r="F103" i="10"/>
  <c r="E103" i="10"/>
  <c r="D103" i="10"/>
  <c r="C103" i="10"/>
  <c r="B103" i="10"/>
  <c r="H104" i="10"/>
  <c r="G104" i="10"/>
  <c r="F104" i="10"/>
  <c r="E104" i="10"/>
  <c r="D104" i="10"/>
  <c r="C104" i="10"/>
  <c r="B104" i="10"/>
  <c r="H105" i="10"/>
  <c r="G105" i="10"/>
  <c r="F105" i="10"/>
  <c r="E105" i="10"/>
  <c r="D105" i="10"/>
  <c r="C105" i="10"/>
  <c r="B105" i="10"/>
  <c r="H106" i="10"/>
  <c r="G106" i="10"/>
  <c r="F106" i="10"/>
  <c r="E106" i="10"/>
  <c r="D106" i="10"/>
  <c r="C106" i="10"/>
  <c r="B106" i="10"/>
  <c r="H107" i="10"/>
  <c r="G107" i="10"/>
  <c r="F107" i="10"/>
  <c r="E107" i="10"/>
  <c r="D107" i="10"/>
  <c r="C107" i="10"/>
  <c r="B107" i="10"/>
  <c r="H108" i="10"/>
  <c r="G108" i="10"/>
  <c r="F108" i="10"/>
  <c r="E108" i="10"/>
  <c r="D108" i="10"/>
  <c r="C108" i="10"/>
  <c r="B108" i="10"/>
  <c r="H109" i="10"/>
  <c r="G109" i="10"/>
  <c r="F109" i="10"/>
  <c r="E109" i="10"/>
  <c r="D109" i="10"/>
  <c r="C109" i="10"/>
  <c r="B109" i="10"/>
  <c r="H110" i="10"/>
  <c r="G110" i="10"/>
  <c r="F110" i="10"/>
  <c r="E110" i="10"/>
  <c r="D110" i="10"/>
  <c r="C110" i="10"/>
  <c r="B110" i="10"/>
  <c r="H111" i="10"/>
  <c r="G111" i="10"/>
  <c r="F111" i="10"/>
  <c r="E111" i="10"/>
  <c r="D111" i="10"/>
  <c r="C111" i="10"/>
  <c r="B111" i="10"/>
  <c r="H112" i="10"/>
  <c r="G112" i="10"/>
  <c r="F112" i="10"/>
  <c r="E112" i="10"/>
  <c r="D112" i="10"/>
  <c r="C112" i="10"/>
  <c r="B112" i="10"/>
  <c r="H113" i="10"/>
  <c r="G113" i="10"/>
  <c r="F113" i="10"/>
  <c r="E113" i="10"/>
  <c r="D113" i="10"/>
  <c r="C113" i="10"/>
  <c r="B113" i="10"/>
  <c r="H114" i="10"/>
  <c r="G114" i="10"/>
  <c r="F114" i="10"/>
  <c r="E114" i="10"/>
  <c r="D114" i="10"/>
  <c r="C114" i="10"/>
  <c r="B114" i="10"/>
  <c r="H115" i="10"/>
  <c r="G115" i="10"/>
  <c r="F115" i="10"/>
  <c r="E115" i="10"/>
  <c r="D115" i="10"/>
  <c r="C115" i="10"/>
  <c r="B115" i="10"/>
  <c r="H116" i="10"/>
  <c r="G116" i="10"/>
  <c r="F116" i="10"/>
  <c r="E116" i="10"/>
  <c r="D116" i="10"/>
  <c r="C116" i="10"/>
  <c r="B116" i="10"/>
  <c r="H117" i="10"/>
  <c r="G117" i="10"/>
  <c r="F117" i="10"/>
  <c r="E117" i="10"/>
  <c r="D117" i="10"/>
  <c r="C117" i="10"/>
  <c r="B117" i="10"/>
  <c r="H118" i="10"/>
  <c r="G118" i="10"/>
  <c r="F118" i="10"/>
  <c r="E118" i="10"/>
  <c r="D118" i="10"/>
  <c r="C118" i="10"/>
  <c r="B118" i="10"/>
  <c r="H119" i="10"/>
  <c r="G119" i="10"/>
  <c r="F119" i="10"/>
  <c r="E119" i="10"/>
  <c r="D119" i="10"/>
  <c r="C119" i="10"/>
  <c r="B119" i="10"/>
  <c r="H120" i="10"/>
  <c r="G120" i="10"/>
  <c r="F120" i="10"/>
  <c r="E120" i="10"/>
  <c r="D120" i="10"/>
  <c r="C120" i="10"/>
  <c r="B120" i="10"/>
  <c r="H121" i="10"/>
  <c r="G121" i="10"/>
  <c r="F121" i="10"/>
  <c r="E121" i="10"/>
  <c r="D121" i="10"/>
  <c r="C121" i="10"/>
  <c r="B121" i="10"/>
  <c r="H122" i="10"/>
  <c r="G122" i="10"/>
  <c r="F122" i="10"/>
  <c r="E122" i="10"/>
  <c r="D122" i="10"/>
  <c r="C122" i="10"/>
  <c r="B122" i="10"/>
  <c r="H123" i="10"/>
  <c r="G123" i="10"/>
  <c r="F123" i="10"/>
  <c r="E123" i="10"/>
  <c r="D123" i="10"/>
  <c r="C123" i="10"/>
  <c r="B123" i="10"/>
  <c r="H124" i="10"/>
  <c r="G124" i="10"/>
  <c r="F124" i="10"/>
  <c r="E124" i="10"/>
  <c r="D124" i="10"/>
  <c r="C124" i="10"/>
  <c r="B124" i="10"/>
  <c r="H125" i="10"/>
  <c r="G125" i="10"/>
  <c r="F125" i="10"/>
  <c r="E125" i="10"/>
  <c r="D125" i="10"/>
  <c r="C125" i="10"/>
  <c r="B125" i="10"/>
  <c r="H126" i="10"/>
  <c r="G126" i="10"/>
  <c r="F126" i="10"/>
  <c r="E126" i="10"/>
  <c r="D126" i="10"/>
  <c r="C126" i="10"/>
  <c r="B126" i="10"/>
  <c r="H127" i="10"/>
  <c r="G127" i="10"/>
  <c r="F127" i="10"/>
  <c r="E127" i="10"/>
  <c r="D127" i="10"/>
  <c r="C127" i="10"/>
  <c r="B127" i="10"/>
  <c r="H128" i="10"/>
  <c r="G128" i="10"/>
  <c r="F128" i="10"/>
  <c r="E128" i="10"/>
  <c r="D128" i="10"/>
  <c r="C128" i="10"/>
  <c r="B128" i="10"/>
  <c r="H129" i="10"/>
  <c r="G129" i="10"/>
  <c r="F129" i="10"/>
  <c r="E129" i="10"/>
  <c r="D129" i="10"/>
  <c r="C129" i="10"/>
  <c r="B129" i="10"/>
  <c r="H130" i="10"/>
  <c r="G130" i="10"/>
  <c r="F130" i="10"/>
  <c r="E130" i="10"/>
  <c r="D130" i="10"/>
  <c r="C130" i="10"/>
  <c r="B130" i="10"/>
  <c r="H131" i="10"/>
  <c r="G131" i="10"/>
  <c r="F131" i="10"/>
  <c r="E131" i="10"/>
  <c r="D131" i="10"/>
  <c r="C131" i="10"/>
  <c r="B131" i="10"/>
  <c r="H132" i="10"/>
  <c r="G132" i="10"/>
  <c r="F132" i="10"/>
  <c r="E132" i="10"/>
  <c r="D132" i="10"/>
  <c r="C132" i="10"/>
  <c r="B132" i="10"/>
  <c r="H133" i="10"/>
  <c r="G133" i="10"/>
  <c r="F133" i="10"/>
  <c r="E133" i="10"/>
  <c r="D133" i="10"/>
  <c r="C133" i="10"/>
  <c r="B133" i="10"/>
  <c r="H134" i="10"/>
  <c r="G134" i="10"/>
  <c r="F134" i="10"/>
  <c r="E134" i="10"/>
  <c r="D134" i="10"/>
  <c r="C134" i="10"/>
  <c r="B134" i="10"/>
  <c r="H135" i="10"/>
  <c r="G135" i="10"/>
  <c r="F135" i="10"/>
  <c r="E135" i="10"/>
  <c r="D135" i="10"/>
  <c r="C135" i="10"/>
  <c r="B135" i="10"/>
  <c r="H136" i="10"/>
  <c r="G136" i="10"/>
  <c r="F136" i="10"/>
  <c r="E136" i="10"/>
  <c r="D136" i="10"/>
  <c r="C136" i="10"/>
  <c r="B136" i="10"/>
  <c r="H137" i="10"/>
  <c r="G137" i="10"/>
  <c r="F137" i="10"/>
  <c r="E137" i="10"/>
  <c r="D137" i="10"/>
  <c r="C137" i="10"/>
  <c r="B137" i="10"/>
  <c r="H138" i="10"/>
  <c r="G138" i="10"/>
  <c r="F138" i="10"/>
  <c r="E138" i="10"/>
  <c r="D138" i="10"/>
  <c r="C138" i="10"/>
  <c r="B138" i="10"/>
  <c r="H139" i="10"/>
  <c r="G139" i="10"/>
  <c r="F139" i="10"/>
  <c r="E139" i="10"/>
  <c r="D139" i="10"/>
  <c r="C139" i="10"/>
  <c r="B139" i="10"/>
  <c r="H140" i="10"/>
  <c r="G140" i="10"/>
  <c r="F140" i="10"/>
  <c r="E140" i="10"/>
  <c r="D140" i="10"/>
  <c r="C140" i="10"/>
  <c r="B140" i="10"/>
  <c r="H141" i="10"/>
  <c r="G141" i="10"/>
  <c r="F141" i="10"/>
  <c r="E141" i="10"/>
  <c r="D141" i="10"/>
  <c r="C141" i="10"/>
  <c r="B141" i="10"/>
  <c r="H142" i="10"/>
  <c r="G142" i="10"/>
  <c r="F142" i="10"/>
  <c r="E142" i="10"/>
  <c r="D142" i="10"/>
  <c r="C142" i="10"/>
  <c r="B142" i="10"/>
  <c r="H143" i="10"/>
  <c r="G143" i="10"/>
  <c r="F143" i="10"/>
  <c r="E143" i="10"/>
  <c r="D143" i="10"/>
  <c r="C143" i="10"/>
  <c r="B143" i="10"/>
  <c r="H144" i="10"/>
  <c r="G144" i="10"/>
  <c r="F144" i="10"/>
  <c r="E144" i="10"/>
  <c r="D144" i="10"/>
  <c r="C144" i="10"/>
  <c r="B144" i="10"/>
  <c r="H145" i="10"/>
  <c r="G145" i="10"/>
  <c r="F145" i="10"/>
  <c r="E145" i="10"/>
  <c r="D145" i="10"/>
  <c r="C145" i="10"/>
  <c r="B145" i="10"/>
  <c r="H146" i="10"/>
  <c r="G146" i="10"/>
  <c r="F146" i="10"/>
  <c r="E146" i="10"/>
  <c r="D146" i="10"/>
  <c r="C146" i="10"/>
  <c r="B146" i="10"/>
  <c r="H147" i="10"/>
  <c r="G147" i="10"/>
  <c r="F147" i="10"/>
  <c r="E147" i="10"/>
  <c r="D147" i="10"/>
  <c r="C147" i="10"/>
  <c r="B147" i="10"/>
  <c r="H148" i="10"/>
  <c r="G148" i="10"/>
  <c r="F148" i="10"/>
  <c r="E148" i="10"/>
  <c r="D148" i="10"/>
  <c r="C148" i="10"/>
  <c r="B148" i="10"/>
  <c r="H149" i="10"/>
  <c r="G149" i="10"/>
  <c r="F149" i="10"/>
  <c r="E149" i="10"/>
  <c r="D149" i="10"/>
  <c r="C149" i="10"/>
  <c r="B149" i="10"/>
  <c r="H150" i="10"/>
  <c r="G150" i="10"/>
  <c r="F150" i="10"/>
  <c r="E150" i="10"/>
  <c r="D150" i="10"/>
  <c r="C150" i="10"/>
  <c r="B150" i="10"/>
  <c r="H151" i="10"/>
  <c r="G151" i="10"/>
  <c r="F151" i="10"/>
  <c r="E151" i="10"/>
  <c r="D151" i="10"/>
  <c r="C151" i="10"/>
  <c r="B151" i="10"/>
  <c r="H152" i="10"/>
  <c r="G152" i="10"/>
  <c r="F152" i="10"/>
  <c r="E152" i="10"/>
  <c r="D152" i="10"/>
  <c r="C152" i="10"/>
  <c r="B152" i="10"/>
  <c r="H153" i="10"/>
  <c r="G153" i="10"/>
  <c r="F153" i="10"/>
  <c r="E153" i="10"/>
  <c r="D153" i="10"/>
  <c r="C153" i="10"/>
  <c r="B153" i="10"/>
  <c r="H154" i="10"/>
  <c r="G154" i="10"/>
  <c r="F154" i="10"/>
  <c r="E154" i="10"/>
  <c r="D154" i="10"/>
  <c r="C154" i="10"/>
  <c r="B154" i="10"/>
  <c r="H155" i="10"/>
  <c r="G155" i="10"/>
  <c r="F155" i="10"/>
  <c r="E155" i="10"/>
  <c r="D155" i="10"/>
  <c r="C155" i="10"/>
  <c r="B155" i="10"/>
  <c r="H156" i="10"/>
  <c r="G156" i="10"/>
  <c r="F156" i="10"/>
  <c r="E156" i="10"/>
  <c r="D156" i="10"/>
  <c r="C156" i="10"/>
  <c r="B156" i="10"/>
  <c r="H157" i="10"/>
  <c r="G157" i="10"/>
  <c r="F157" i="10"/>
  <c r="E157" i="10"/>
  <c r="D157" i="10"/>
  <c r="C157" i="10"/>
  <c r="B157" i="10"/>
  <c r="H158" i="10"/>
  <c r="G158" i="10"/>
  <c r="F158" i="10"/>
  <c r="E158" i="10"/>
  <c r="D158" i="10"/>
  <c r="C158" i="10"/>
  <c r="B158" i="10"/>
  <c r="H159" i="10"/>
  <c r="G159" i="10"/>
  <c r="F159" i="10"/>
  <c r="E159" i="10"/>
  <c r="D159" i="10"/>
  <c r="C159" i="10"/>
  <c r="B159" i="10"/>
  <c r="H160" i="10"/>
  <c r="G160" i="10"/>
  <c r="F160" i="10"/>
  <c r="E160" i="10"/>
  <c r="D160" i="10"/>
  <c r="C160" i="10"/>
  <c r="B160" i="10"/>
  <c r="H161" i="10"/>
  <c r="G161" i="10"/>
  <c r="F161" i="10"/>
  <c r="E161" i="10"/>
  <c r="D161" i="10"/>
  <c r="C161" i="10"/>
  <c r="B161" i="10"/>
  <c r="H162" i="10"/>
  <c r="G162" i="10"/>
  <c r="F162" i="10"/>
  <c r="E162" i="10"/>
  <c r="D162" i="10"/>
  <c r="C162" i="10"/>
  <c r="B162" i="10"/>
  <c r="H163" i="10"/>
  <c r="G163" i="10"/>
  <c r="F163" i="10"/>
  <c r="E163" i="10"/>
  <c r="D163" i="10"/>
  <c r="C163" i="10"/>
  <c r="B163" i="10"/>
  <c r="H164" i="10"/>
  <c r="G164" i="10"/>
  <c r="F164" i="10"/>
  <c r="E164" i="10"/>
  <c r="D164" i="10"/>
  <c r="C164" i="10"/>
  <c r="B164" i="10"/>
  <c r="H165" i="10"/>
  <c r="G165" i="10"/>
  <c r="F165" i="10"/>
  <c r="E165" i="10"/>
  <c r="D165" i="10"/>
  <c r="C165" i="10"/>
  <c r="B165" i="10"/>
  <c r="H166" i="10"/>
  <c r="G166" i="10"/>
  <c r="F166" i="10"/>
  <c r="E166" i="10"/>
  <c r="D166" i="10"/>
  <c r="C166" i="10"/>
  <c r="B166" i="10"/>
  <c r="H167" i="10"/>
  <c r="G167" i="10"/>
  <c r="F167" i="10"/>
  <c r="E167" i="10"/>
  <c r="D167" i="10"/>
  <c r="C167" i="10"/>
  <c r="B167" i="10"/>
  <c r="H168" i="10"/>
  <c r="G168" i="10"/>
  <c r="F168" i="10"/>
  <c r="E168" i="10"/>
  <c r="D168" i="10"/>
  <c r="C168" i="10"/>
  <c r="B168" i="10"/>
  <c r="H169" i="10"/>
  <c r="G169" i="10"/>
  <c r="F169" i="10"/>
  <c r="E169" i="10"/>
  <c r="D169" i="10"/>
  <c r="C169" i="10"/>
  <c r="B169" i="10"/>
  <c r="H170" i="10"/>
  <c r="G170" i="10"/>
  <c r="F170" i="10"/>
  <c r="E170" i="10"/>
  <c r="D170" i="10"/>
  <c r="C170" i="10"/>
  <c r="B170" i="10"/>
  <c r="H171" i="10"/>
  <c r="G171" i="10"/>
  <c r="F171" i="10"/>
  <c r="E171" i="10"/>
  <c r="D171" i="10"/>
  <c r="C171" i="10"/>
  <c r="B171" i="10"/>
  <c r="H172" i="10"/>
  <c r="G172" i="10"/>
  <c r="F172" i="10"/>
  <c r="E172" i="10"/>
  <c r="D172" i="10"/>
  <c r="C172" i="10"/>
  <c r="B172" i="10"/>
  <c r="H173" i="10"/>
  <c r="G173" i="10"/>
  <c r="F173" i="10"/>
  <c r="E173" i="10"/>
  <c r="D173" i="10"/>
  <c r="C173" i="10"/>
  <c r="B173" i="10"/>
  <c r="H174" i="10"/>
  <c r="G174" i="10"/>
  <c r="F174" i="10"/>
  <c r="E174" i="10"/>
  <c r="D174" i="10"/>
  <c r="C174" i="10"/>
  <c r="B174" i="10"/>
  <c r="H175" i="10"/>
  <c r="G175" i="10"/>
  <c r="F175" i="10"/>
  <c r="E175" i="10"/>
  <c r="D175" i="10"/>
  <c r="C175" i="10"/>
  <c r="B175" i="10"/>
  <c r="H176" i="10"/>
  <c r="G176" i="10"/>
  <c r="F176" i="10"/>
  <c r="E176" i="10"/>
  <c r="D176" i="10"/>
  <c r="C176" i="10"/>
  <c r="B176" i="10"/>
  <c r="H177" i="10"/>
  <c r="G177" i="10"/>
  <c r="F177" i="10"/>
  <c r="E177" i="10"/>
  <c r="D177" i="10"/>
  <c r="C177" i="10"/>
  <c r="B177" i="10"/>
  <c r="H178" i="10"/>
  <c r="G178" i="10"/>
  <c r="F178" i="10"/>
  <c r="E178" i="10"/>
  <c r="D178" i="10"/>
  <c r="C178" i="10"/>
  <c r="B178" i="10"/>
  <c r="H179" i="10"/>
  <c r="G179" i="10"/>
  <c r="F179" i="10"/>
  <c r="E179" i="10"/>
  <c r="D179" i="10"/>
  <c r="C179" i="10"/>
  <c r="B179" i="10"/>
  <c r="H180" i="10"/>
  <c r="G180" i="10"/>
  <c r="F180" i="10"/>
  <c r="E180" i="10"/>
  <c r="D180" i="10"/>
  <c r="C180" i="10"/>
  <c r="B180" i="10"/>
  <c r="H181" i="10"/>
  <c r="G181" i="10"/>
  <c r="F181" i="10"/>
  <c r="E181" i="10"/>
  <c r="D181" i="10"/>
  <c r="C181" i="10"/>
  <c r="B181" i="10"/>
  <c r="H182" i="10"/>
  <c r="G182" i="10"/>
  <c r="F182" i="10"/>
  <c r="E182" i="10"/>
  <c r="D182" i="10"/>
  <c r="C182" i="10"/>
  <c r="B182" i="10"/>
  <c r="H183" i="10"/>
  <c r="G183" i="10"/>
  <c r="F183" i="10"/>
  <c r="E183" i="10"/>
  <c r="D183" i="10"/>
  <c r="C183" i="10"/>
  <c r="B183" i="10"/>
  <c r="H184" i="10"/>
  <c r="G184" i="10"/>
  <c r="F184" i="10"/>
  <c r="E184" i="10"/>
  <c r="D184" i="10"/>
  <c r="C184" i="10"/>
  <c r="B184" i="10"/>
  <c r="H185" i="10"/>
  <c r="G185" i="10"/>
  <c r="F185" i="10"/>
  <c r="E185" i="10"/>
  <c r="D185" i="10"/>
  <c r="C185" i="10"/>
  <c r="B185" i="10"/>
  <c r="H186" i="10"/>
  <c r="G186" i="10"/>
  <c r="F186" i="10"/>
  <c r="E186" i="10"/>
  <c r="D186" i="10"/>
  <c r="C186" i="10"/>
  <c r="B186" i="10"/>
  <c r="H187" i="10"/>
  <c r="G187" i="10"/>
  <c r="F187" i="10"/>
  <c r="E187" i="10"/>
  <c r="D187" i="10"/>
  <c r="C187" i="10"/>
  <c r="B187" i="10"/>
  <c r="H188" i="10"/>
  <c r="G188" i="10"/>
  <c r="F188" i="10"/>
  <c r="E188" i="10"/>
  <c r="D188" i="10"/>
  <c r="C188" i="10"/>
  <c r="B188" i="10"/>
  <c r="H189" i="10"/>
  <c r="G189" i="10"/>
  <c r="F189" i="10"/>
  <c r="E189" i="10"/>
  <c r="D189" i="10"/>
  <c r="C189" i="10"/>
  <c r="B189" i="10"/>
  <c r="H190" i="10"/>
  <c r="G190" i="10"/>
  <c r="F190" i="10"/>
  <c r="E190" i="10"/>
  <c r="D190" i="10"/>
  <c r="C190" i="10"/>
  <c r="B190" i="10"/>
  <c r="H191" i="10"/>
  <c r="G191" i="10"/>
  <c r="F191" i="10"/>
  <c r="E191" i="10"/>
  <c r="D191" i="10"/>
  <c r="C191" i="10"/>
  <c r="B191" i="10"/>
  <c r="H192" i="10"/>
  <c r="G192" i="10"/>
  <c r="F192" i="10"/>
  <c r="E192" i="10"/>
  <c r="D192" i="10"/>
  <c r="C192" i="10"/>
  <c r="B192" i="10"/>
  <c r="H193" i="10"/>
  <c r="G193" i="10"/>
  <c r="F193" i="10"/>
  <c r="E193" i="10"/>
  <c r="D193" i="10"/>
  <c r="C193" i="10"/>
  <c r="B193" i="10"/>
  <c r="H194" i="10"/>
  <c r="G194" i="10"/>
  <c r="F194" i="10"/>
  <c r="E194" i="10"/>
  <c r="D194" i="10"/>
  <c r="C194" i="10"/>
  <c r="B194" i="10"/>
  <c r="H195" i="10"/>
  <c r="G195" i="10"/>
  <c r="F195" i="10"/>
  <c r="E195" i="10"/>
  <c r="D195" i="10"/>
  <c r="C195" i="10"/>
  <c r="B195" i="10"/>
  <c r="H196" i="10"/>
  <c r="G196" i="10"/>
  <c r="F196" i="10"/>
  <c r="E196" i="10"/>
  <c r="D196" i="10"/>
  <c r="C196" i="10"/>
  <c r="B196" i="10"/>
  <c r="H197" i="10"/>
  <c r="G197" i="10"/>
  <c r="F197" i="10"/>
  <c r="E197" i="10"/>
  <c r="D197" i="10"/>
  <c r="C197" i="10"/>
  <c r="B197" i="10"/>
  <c r="H198" i="10"/>
  <c r="G198" i="10"/>
  <c r="F198" i="10"/>
  <c r="E198" i="10"/>
  <c r="D198" i="10"/>
  <c r="C198" i="10"/>
  <c r="B198" i="10"/>
  <c r="H199" i="10"/>
  <c r="G199" i="10"/>
  <c r="F199" i="10"/>
  <c r="E199" i="10"/>
  <c r="D199" i="10"/>
  <c r="C199" i="10"/>
  <c r="B199" i="10"/>
  <c r="H200" i="10"/>
  <c r="G200" i="10"/>
  <c r="F200" i="10"/>
  <c r="E200" i="10"/>
  <c r="D200" i="10"/>
  <c r="C200" i="10"/>
  <c r="B200" i="10"/>
  <c r="H201" i="10"/>
  <c r="G201" i="10"/>
  <c r="F201" i="10"/>
  <c r="E201" i="10"/>
  <c r="D201" i="10"/>
  <c r="C201" i="10"/>
  <c r="B201" i="10"/>
  <c r="H202" i="10"/>
  <c r="G202" i="10"/>
  <c r="F202" i="10"/>
  <c r="E202" i="10"/>
  <c r="D202" i="10"/>
  <c r="C202" i="10"/>
  <c r="B202" i="10"/>
  <c r="H203" i="10"/>
  <c r="G203" i="10"/>
  <c r="F203" i="10"/>
  <c r="E203" i="10"/>
  <c r="D203" i="10"/>
  <c r="C203" i="10"/>
  <c r="B203" i="10"/>
  <c r="H204" i="10"/>
  <c r="G204" i="10"/>
  <c r="F204" i="10"/>
  <c r="E204" i="10"/>
  <c r="D204" i="10"/>
  <c r="C204" i="10"/>
  <c r="B204" i="10"/>
  <c r="H205" i="10"/>
  <c r="G205" i="10"/>
  <c r="F205" i="10"/>
  <c r="E205" i="10"/>
  <c r="D205" i="10"/>
  <c r="C205" i="10"/>
  <c r="B205" i="10"/>
  <c r="H206" i="10"/>
  <c r="G206" i="10"/>
  <c r="F206" i="10"/>
  <c r="E206" i="10"/>
  <c r="D206" i="10"/>
  <c r="C206" i="10"/>
  <c r="B206" i="10"/>
  <c r="H207" i="10"/>
  <c r="G207" i="10"/>
  <c r="F207" i="10"/>
  <c r="E207" i="10"/>
  <c r="D207" i="10"/>
  <c r="C207" i="10"/>
  <c r="B207" i="10"/>
  <c r="H208" i="10"/>
  <c r="G208" i="10"/>
  <c r="F208" i="10"/>
  <c r="E208" i="10"/>
  <c r="D208" i="10"/>
  <c r="C208" i="10"/>
  <c r="B208" i="10"/>
  <c r="H209" i="10"/>
  <c r="G209" i="10"/>
  <c r="F209" i="10"/>
  <c r="E209" i="10"/>
  <c r="D209" i="10"/>
  <c r="C209" i="10"/>
  <c r="B209" i="10"/>
  <c r="H210" i="10"/>
  <c r="G210" i="10"/>
  <c r="F210" i="10"/>
  <c r="E210" i="10"/>
  <c r="D210" i="10"/>
  <c r="C210" i="10"/>
  <c r="B210" i="10"/>
  <c r="H211" i="10"/>
  <c r="G211" i="10"/>
  <c r="F211" i="10"/>
  <c r="E211" i="10"/>
  <c r="D211" i="10"/>
  <c r="C211" i="10"/>
  <c r="B211" i="10"/>
  <c r="H212" i="10"/>
  <c r="G212" i="10"/>
  <c r="F212" i="10"/>
  <c r="E212" i="10"/>
  <c r="D212" i="10"/>
  <c r="C212" i="10"/>
  <c r="B212" i="10"/>
  <c r="H213" i="10"/>
  <c r="G213" i="10"/>
  <c r="F213" i="10"/>
  <c r="E213" i="10"/>
  <c r="D213" i="10"/>
  <c r="C213" i="10"/>
  <c r="B213" i="10"/>
  <c r="H214" i="10"/>
  <c r="G214" i="10"/>
  <c r="F214" i="10"/>
  <c r="E214" i="10"/>
  <c r="D214" i="10"/>
  <c r="C214" i="10"/>
  <c r="B214" i="10"/>
  <c r="H215" i="10"/>
  <c r="G215" i="10"/>
  <c r="F215" i="10"/>
  <c r="E215" i="10"/>
  <c r="D215" i="10"/>
  <c r="C215" i="10"/>
  <c r="B215" i="10"/>
  <c r="H216" i="10"/>
  <c r="G216" i="10"/>
  <c r="F216" i="10"/>
  <c r="E216" i="10"/>
  <c r="D216" i="10"/>
  <c r="C216" i="10"/>
  <c r="B216" i="10"/>
  <c r="H217" i="10"/>
  <c r="G217" i="10"/>
  <c r="F217" i="10"/>
  <c r="E217" i="10"/>
  <c r="D217" i="10"/>
  <c r="C217" i="10"/>
  <c r="B217" i="10"/>
  <c r="H218" i="10"/>
  <c r="G218" i="10"/>
  <c r="F218" i="10"/>
  <c r="E218" i="10"/>
  <c r="D218" i="10"/>
  <c r="C218" i="10"/>
  <c r="B218" i="10"/>
  <c r="H219" i="10"/>
  <c r="G219" i="10"/>
  <c r="F219" i="10"/>
  <c r="E219" i="10"/>
  <c r="D219" i="10"/>
  <c r="C219" i="10"/>
  <c r="B219" i="10"/>
  <c r="H220" i="10"/>
  <c r="G220" i="10"/>
  <c r="F220" i="10"/>
  <c r="E220" i="10"/>
  <c r="D220" i="10"/>
  <c r="C220" i="10"/>
  <c r="B220" i="10"/>
  <c r="H221" i="10"/>
  <c r="G221" i="10"/>
  <c r="F221" i="10"/>
  <c r="E221" i="10"/>
  <c r="D221" i="10"/>
  <c r="C221" i="10"/>
  <c r="B221" i="10"/>
  <c r="H222" i="10"/>
  <c r="G222" i="10"/>
  <c r="F222" i="10"/>
  <c r="E222" i="10"/>
  <c r="D222" i="10"/>
  <c r="C222" i="10"/>
  <c r="B222" i="10"/>
  <c r="H223" i="10"/>
  <c r="G223" i="10"/>
  <c r="F223" i="10"/>
  <c r="E223" i="10"/>
  <c r="D223" i="10"/>
  <c r="C223" i="10"/>
  <c r="B223" i="10"/>
  <c r="H224" i="10"/>
  <c r="G224" i="10"/>
  <c r="F224" i="10"/>
  <c r="E224" i="10"/>
  <c r="D224" i="10"/>
  <c r="C224" i="10"/>
  <c r="B224" i="10"/>
  <c r="H225" i="10"/>
  <c r="G225" i="10"/>
  <c r="F225" i="10"/>
  <c r="E225" i="10"/>
  <c r="D225" i="10"/>
  <c r="C225" i="10"/>
  <c r="B225" i="10"/>
  <c r="H226" i="10"/>
  <c r="G226" i="10"/>
  <c r="F226" i="10"/>
  <c r="E226" i="10"/>
  <c r="D226" i="10"/>
  <c r="C226" i="10"/>
  <c r="B226" i="10"/>
  <c r="H227" i="10"/>
  <c r="G227" i="10"/>
  <c r="F227" i="10"/>
  <c r="E227" i="10"/>
  <c r="D227" i="10"/>
  <c r="C227" i="10"/>
  <c r="B227" i="10"/>
  <c r="H228" i="10"/>
  <c r="G228" i="10"/>
  <c r="F228" i="10"/>
  <c r="E228" i="10"/>
  <c r="D228" i="10"/>
  <c r="C228" i="10"/>
  <c r="B228" i="10"/>
  <c r="H229" i="10"/>
  <c r="G229" i="10"/>
  <c r="F229" i="10"/>
  <c r="E229" i="10"/>
  <c r="D229" i="10"/>
  <c r="C229" i="10"/>
  <c r="B229" i="10"/>
  <c r="H230" i="10"/>
  <c r="G230" i="10"/>
  <c r="F230" i="10"/>
  <c r="E230" i="10"/>
  <c r="D230" i="10"/>
  <c r="C230" i="10"/>
  <c r="B230" i="10"/>
  <c r="H231" i="10"/>
  <c r="G231" i="10"/>
  <c r="F231" i="10"/>
  <c r="E231" i="10"/>
  <c r="D231" i="10"/>
  <c r="C231" i="10"/>
  <c r="B231" i="10"/>
  <c r="H232" i="10"/>
  <c r="G232" i="10"/>
  <c r="F232" i="10"/>
  <c r="E232" i="10"/>
  <c r="D232" i="10"/>
  <c r="C232" i="10"/>
  <c r="B232" i="10"/>
  <c r="H233" i="10"/>
  <c r="G233" i="10"/>
  <c r="F233" i="10"/>
  <c r="E233" i="10"/>
  <c r="D233" i="10"/>
  <c r="C233" i="10"/>
  <c r="B233" i="10"/>
  <c r="H234" i="10"/>
  <c r="G234" i="10"/>
  <c r="F234" i="10"/>
  <c r="E234" i="10"/>
  <c r="D234" i="10"/>
  <c r="C234" i="10"/>
  <c r="B234" i="10"/>
  <c r="H235" i="10"/>
  <c r="G235" i="10"/>
  <c r="F235" i="10"/>
  <c r="E235" i="10"/>
  <c r="D235" i="10"/>
  <c r="C235" i="10"/>
  <c r="B235" i="10"/>
  <c r="H236" i="10"/>
  <c r="G236" i="10"/>
  <c r="F236" i="10"/>
  <c r="E236" i="10"/>
  <c r="D236" i="10"/>
  <c r="C236" i="10"/>
  <c r="B236" i="10"/>
  <c r="H237" i="10"/>
  <c r="G237" i="10"/>
  <c r="F237" i="10"/>
  <c r="E237" i="10"/>
  <c r="D237" i="10"/>
  <c r="C237" i="10"/>
  <c r="B237" i="10"/>
  <c r="H238" i="10"/>
  <c r="G238" i="10"/>
  <c r="F238" i="10"/>
  <c r="E238" i="10"/>
  <c r="D238" i="10"/>
  <c r="C238" i="10"/>
  <c r="B238" i="10"/>
  <c r="H239" i="10"/>
  <c r="G239" i="10"/>
  <c r="F239" i="10"/>
  <c r="E239" i="10"/>
  <c r="D239" i="10"/>
  <c r="C239" i="10"/>
  <c r="B239" i="10"/>
  <c r="H240" i="10"/>
  <c r="G240" i="10"/>
  <c r="F240" i="10"/>
  <c r="E240" i="10"/>
  <c r="D240" i="10"/>
  <c r="C240" i="10"/>
  <c r="B240" i="10"/>
  <c r="H241" i="10"/>
  <c r="G241" i="10"/>
  <c r="F241" i="10"/>
  <c r="E241" i="10"/>
  <c r="D241" i="10"/>
  <c r="C241" i="10"/>
  <c r="B241" i="10"/>
  <c r="H242" i="10"/>
  <c r="G242" i="10"/>
  <c r="F242" i="10"/>
  <c r="E242" i="10"/>
  <c r="D242" i="10"/>
  <c r="C242" i="10"/>
  <c r="B242" i="10"/>
  <c r="H243" i="10"/>
  <c r="G243" i="10"/>
  <c r="F243" i="10"/>
  <c r="E243" i="10"/>
  <c r="D243" i="10"/>
  <c r="C243" i="10"/>
  <c r="B243" i="10"/>
  <c r="H244" i="10"/>
  <c r="G244" i="10"/>
  <c r="F244" i="10"/>
  <c r="E244" i="10"/>
  <c r="D244" i="10"/>
  <c r="C244" i="10"/>
  <c r="B244" i="10"/>
  <c r="H245" i="10"/>
  <c r="G245" i="10"/>
  <c r="F245" i="10"/>
  <c r="E245" i="10"/>
  <c r="D245" i="10"/>
  <c r="C245" i="10"/>
  <c r="B245" i="10"/>
  <c r="H246" i="10"/>
  <c r="G246" i="10"/>
  <c r="F246" i="10"/>
  <c r="E246" i="10"/>
  <c r="D246" i="10"/>
  <c r="C246" i="10"/>
  <c r="B246" i="10"/>
  <c r="H247" i="10"/>
  <c r="G247" i="10"/>
  <c r="F247" i="10"/>
  <c r="E247" i="10"/>
  <c r="D247" i="10"/>
  <c r="C247" i="10"/>
  <c r="B247" i="10"/>
  <c r="H248" i="10"/>
  <c r="G248" i="10"/>
  <c r="F248" i="10"/>
  <c r="E248" i="10"/>
  <c r="D248" i="10"/>
  <c r="C248" i="10"/>
  <c r="B248" i="10"/>
  <c r="H249" i="10"/>
  <c r="G249" i="10"/>
  <c r="F249" i="10"/>
  <c r="E249" i="10"/>
  <c r="D249" i="10"/>
  <c r="C249" i="10"/>
  <c r="B249" i="10"/>
  <c r="H250" i="10"/>
  <c r="G250" i="10"/>
  <c r="F250" i="10"/>
  <c r="E250" i="10"/>
  <c r="D250" i="10"/>
  <c r="C250" i="10"/>
  <c r="B250" i="10"/>
  <c r="H251" i="10"/>
  <c r="G251" i="10"/>
  <c r="F251" i="10"/>
  <c r="E251" i="10"/>
  <c r="D251" i="10"/>
  <c r="C251" i="10"/>
  <c r="B251" i="10"/>
  <c r="H252" i="10"/>
  <c r="G252" i="10"/>
  <c r="F252" i="10"/>
  <c r="E252" i="10"/>
  <c r="D252" i="10"/>
  <c r="C252" i="10"/>
  <c r="B252" i="10"/>
  <c r="H253" i="10"/>
  <c r="G253" i="10"/>
  <c r="F253" i="10"/>
  <c r="E253" i="10"/>
  <c r="D253" i="10"/>
  <c r="C253" i="10"/>
  <c r="B253" i="10"/>
  <c r="H254" i="10"/>
  <c r="G254" i="10"/>
  <c r="F254" i="10"/>
  <c r="E254" i="10"/>
  <c r="D254" i="10"/>
  <c r="C254" i="10"/>
  <c r="B254" i="10"/>
  <c r="H255" i="10"/>
  <c r="G255" i="10"/>
  <c r="F255" i="10"/>
  <c r="E255" i="10"/>
  <c r="D255" i="10"/>
  <c r="C255" i="10"/>
  <c r="B255" i="10"/>
  <c r="H256" i="10"/>
  <c r="G256" i="10"/>
  <c r="F256" i="10"/>
  <c r="E256" i="10"/>
  <c r="D256" i="10"/>
  <c r="C256" i="10"/>
  <c r="B256" i="10"/>
  <c r="H257" i="10"/>
  <c r="G257" i="10"/>
  <c r="F257" i="10"/>
  <c r="E257" i="10"/>
  <c r="D257" i="10"/>
  <c r="C257" i="10"/>
  <c r="B257" i="10"/>
  <c r="H258" i="10"/>
  <c r="G258" i="10"/>
  <c r="F258" i="10"/>
  <c r="E258" i="10"/>
  <c r="D258" i="10"/>
  <c r="C258" i="10"/>
  <c r="B258" i="10"/>
  <c r="H259" i="10"/>
  <c r="G259" i="10"/>
  <c r="F259" i="10"/>
  <c r="E259" i="10"/>
  <c r="D259" i="10"/>
  <c r="C259" i="10"/>
  <c r="B259" i="10"/>
  <c r="H260" i="10"/>
  <c r="G260" i="10"/>
  <c r="F260" i="10"/>
  <c r="E260" i="10"/>
  <c r="D260" i="10"/>
  <c r="C260" i="10"/>
  <c r="B260" i="10"/>
  <c r="H261" i="10"/>
  <c r="G261" i="10"/>
  <c r="F261" i="10"/>
  <c r="E261" i="10"/>
  <c r="D261" i="10"/>
  <c r="C261" i="10"/>
  <c r="B261" i="10"/>
  <c r="H262" i="10"/>
  <c r="G262" i="10"/>
  <c r="F262" i="10"/>
  <c r="E262" i="10"/>
  <c r="D262" i="10"/>
  <c r="C262" i="10"/>
  <c r="B262" i="10"/>
  <c r="H263" i="10"/>
  <c r="G263" i="10"/>
  <c r="F263" i="10"/>
  <c r="E263" i="10"/>
  <c r="D263" i="10"/>
  <c r="C263" i="10"/>
  <c r="B263" i="10"/>
  <c r="H264" i="10"/>
  <c r="G264" i="10"/>
  <c r="F264" i="10"/>
  <c r="E264" i="10"/>
  <c r="D264" i="10"/>
  <c r="C264" i="10"/>
  <c r="B264" i="10"/>
  <c r="H265" i="10"/>
  <c r="G265" i="10"/>
  <c r="F265" i="10"/>
  <c r="E265" i="10"/>
  <c r="D265" i="10"/>
  <c r="C265" i="10"/>
  <c r="B265" i="10"/>
  <c r="H266" i="10"/>
  <c r="G266" i="10"/>
  <c r="F266" i="10"/>
  <c r="E266" i="10"/>
  <c r="D266" i="10"/>
  <c r="C266" i="10"/>
  <c r="B266" i="10"/>
  <c r="H267" i="10"/>
  <c r="G267" i="10"/>
  <c r="F267" i="10"/>
  <c r="E267" i="10"/>
  <c r="D267" i="10"/>
  <c r="C267" i="10"/>
  <c r="B267" i="10"/>
  <c r="H268" i="10"/>
  <c r="G268" i="10"/>
  <c r="F268" i="10"/>
  <c r="E268" i="10"/>
  <c r="D268" i="10"/>
  <c r="C268" i="10"/>
  <c r="B268" i="10"/>
  <c r="H269" i="10"/>
  <c r="G269" i="10"/>
  <c r="F269" i="10"/>
  <c r="E269" i="10"/>
  <c r="D269" i="10"/>
  <c r="C269" i="10"/>
  <c r="B269" i="10"/>
  <c r="H270" i="10"/>
  <c r="G270" i="10"/>
  <c r="F270" i="10"/>
  <c r="E270" i="10"/>
  <c r="D270" i="10"/>
  <c r="C270" i="10"/>
  <c r="B270" i="10"/>
  <c r="H271" i="10"/>
  <c r="G271" i="10"/>
  <c r="F271" i="10"/>
  <c r="E271" i="10"/>
  <c r="D271" i="10"/>
  <c r="C271" i="10"/>
  <c r="B271" i="10"/>
  <c r="H272" i="10"/>
  <c r="G272" i="10"/>
  <c r="F272" i="10"/>
  <c r="E272" i="10"/>
  <c r="D272" i="10"/>
  <c r="C272" i="10"/>
  <c r="B272" i="10"/>
  <c r="H273" i="10"/>
  <c r="G273" i="10"/>
  <c r="F273" i="10"/>
  <c r="E273" i="10"/>
  <c r="D273" i="10"/>
  <c r="C273" i="10"/>
  <c r="B273" i="10"/>
  <c r="H274" i="10"/>
  <c r="G274" i="10"/>
  <c r="F274" i="10"/>
  <c r="E274" i="10"/>
  <c r="D274" i="10"/>
  <c r="C274" i="10"/>
  <c r="B274" i="10"/>
  <c r="H275" i="10"/>
  <c r="G275" i="10"/>
  <c r="F275" i="10"/>
  <c r="E275" i="10"/>
  <c r="D275" i="10"/>
  <c r="C275" i="10"/>
  <c r="B275" i="10"/>
  <c r="H276" i="10"/>
  <c r="G276" i="10"/>
  <c r="F276" i="10"/>
  <c r="E276" i="10"/>
  <c r="D276" i="10"/>
  <c r="C276" i="10"/>
  <c r="B276" i="10"/>
  <c r="H277" i="10"/>
  <c r="G277" i="10"/>
  <c r="F277" i="10"/>
  <c r="E277" i="10"/>
  <c r="D277" i="10"/>
  <c r="C277" i="10"/>
  <c r="B277" i="10"/>
  <c r="H278" i="10"/>
  <c r="G278" i="10"/>
  <c r="F278" i="10"/>
  <c r="E278" i="10"/>
  <c r="D278" i="10"/>
  <c r="C278" i="10"/>
  <c r="B278" i="10"/>
  <c r="H279" i="10"/>
  <c r="G279" i="10"/>
  <c r="F279" i="10"/>
  <c r="E279" i="10"/>
  <c r="D279" i="10"/>
  <c r="C279" i="10"/>
  <c r="B279" i="10"/>
  <c r="H280" i="10"/>
  <c r="G280" i="10"/>
  <c r="F280" i="10"/>
  <c r="E280" i="10"/>
  <c r="D280" i="10"/>
  <c r="C280" i="10"/>
  <c r="B280" i="10"/>
  <c r="H281" i="10"/>
  <c r="G281" i="10"/>
  <c r="F281" i="10"/>
  <c r="E281" i="10"/>
  <c r="D281" i="10"/>
  <c r="C281" i="10"/>
  <c r="B281" i="10"/>
  <c r="H282" i="10"/>
  <c r="G282" i="10"/>
  <c r="F282" i="10"/>
  <c r="E282" i="10"/>
  <c r="D282" i="10"/>
  <c r="C282" i="10"/>
  <c r="B282" i="10"/>
  <c r="H283" i="10"/>
  <c r="G283" i="10"/>
  <c r="F283" i="10"/>
  <c r="E283" i="10"/>
  <c r="D283" i="10"/>
  <c r="C283" i="10"/>
  <c r="B283" i="10"/>
  <c r="H284" i="10"/>
  <c r="G284" i="10"/>
  <c r="F284" i="10"/>
  <c r="E284" i="10"/>
  <c r="D284" i="10"/>
  <c r="C284" i="10"/>
  <c r="B284" i="10"/>
  <c r="H285" i="10"/>
  <c r="G285" i="10"/>
  <c r="F285" i="10"/>
  <c r="E285" i="10"/>
  <c r="D285" i="10"/>
  <c r="C285" i="10"/>
  <c r="B285" i="10"/>
  <c r="H286" i="10"/>
  <c r="G286" i="10"/>
  <c r="F286" i="10"/>
  <c r="E286" i="10"/>
  <c r="D286" i="10"/>
  <c r="C286" i="10"/>
  <c r="B286" i="10"/>
  <c r="H287" i="10"/>
  <c r="G287" i="10"/>
  <c r="F287" i="10"/>
  <c r="E287" i="10"/>
  <c r="D287" i="10"/>
  <c r="C287" i="10"/>
  <c r="B287" i="10"/>
  <c r="H288" i="10"/>
  <c r="G288" i="10"/>
  <c r="F288" i="10"/>
  <c r="E288" i="10"/>
  <c r="D288" i="10"/>
  <c r="C288" i="10"/>
  <c r="B288" i="10"/>
  <c r="H289" i="10"/>
  <c r="G289" i="10"/>
  <c r="F289" i="10"/>
  <c r="E289" i="10"/>
  <c r="D289" i="10"/>
  <c r="C289" i="10"/>
  <c r="B289" i="10"/>
  <c r="H290" i="10"/>
  <c r="G290" i="10"/>
  <c r="F290" i="10"/>
  <c r="E290" i="10"/>
  <c r="D290" i="10"/>
  <c r="C290" i="10"/>
  <c r="B290" i="10"/>
  <c r="H291" i="10"/>
  <c r="G291" i="10"/>
  <c r="F291" i="10"/>
  <c r="E291" i="10"/>
  <c r="D291" i="10"/>
  <c r="C291" i="10"/>
  <c r="B291" i="10"/>
  <c r="H292" i="10"/>
  <c r="G292" i="10"/>
  <c r="F292" i="10"/>
  <c r="E292" i="10"/>
  <c r="D292" i="10"/>
  <c r="C292" i="10"/>
  <c r="B292" i="10"/>
  <c r="H293" i="10"/>
  <c r="G293" i="10"/>
  <c r="F293" i="10"/>
  <c r="E293" i="10"/>
  <c r="D293" i="10"/>
  <c r="C293" i="10"/>
  <c r="B293" i="10"/>
  <c r="H294" i="10"/>
  <c r="G294" i="10"/>
  <c r="F294" i="10"/>
  <c r="E294" i="10"/>
  <c r="D294" i="10"/>
  <c r="C294" i="10"/>
  <c r="B294" i="10"/>
  <c r="H295" i="10"/>
  <c r="G295" i="10"/>
  <c r="F295" i="10"/>
  <c r="E295" i="10"/>
  <c r="D295" i="10"/>
  <c r="C295" i="10"/>
  <c r="B295" i="10"/>
  <c r="H296" i="10"/>
  <c r="G296" i="10"/>
  <c r="F296" i="10"/>
  <c r="E296" i="10"/>
  <c r="D296" i="10"/>
  <c r="C296" i="10"/>
  <c r="B296" i="10"/>
  <c r="H297" i="10"/>
  <c r="G297" i="10"/>
  <c r="F297" i="10"/>
  <c r="E297" i="10"/>
  <c r="D297" i="10"/>
  <c r="C297" i="10"/>
  <c r="B297" i="10"/>
  <c r="H298" i="10"/>
  <c r="G298" i="10"/>
  <c r="F298" i="10"/>
  <c r="E298" i="10"/>
  <c r="D298" i="10"/>
  <c r="C298" i="10"/>
  <c r="B298" i="10"/>
  <c r="H299" i="10"/>
  <c r="G299" i="10"/>
  <c r="F299" i="10"/>
  <c r="E299" i="10"/>
  <c r="D299" i="10"/>
  <c r="C299" i="10"/>
  <c r="B299" i="10"/>
  <c r="H300" i="10"/>
  <c r="G300" i="10"/>
  <c r="F300" i="10"/>
  <c r="E300" i="10"/>
  <c r="D300" i="10"/>
  <c r="C300" i="10"/>
  <c r="B300" i="10"/>
  <c r="H301" i="10"/>
  <c r="G301" i="10"/>
  <c r="F301" i="10"/>
  <c r="E301" i="10"/>
  <c r="D301" i="10"/>
  <c r="C301" i="10"/>
  <c r="B301" i="10"/>
  <c r="H302" i="10"/>
  <c r="G302" i="10"/>
  <c r="F302" i="10"/>
  <c r="E302" i="10"/>
  <c r="D302" i="10"/>
  <c r="C302" i="10"/>
  <c r="B302" i="10"/>
  <c r="H303" i="10"/>
  <c r="G303" i="10"/>
  <c r="F303" i="10"/>
  <c r="E303" i="10"/>
  <c r="D303" i="10"/>
  <c r="C303" i="10"/>
  <c r="B303" i="10"/>
  <c r="H304" i="10"/>
  <c r="G304" i="10"/>
  <c r="F304" i="10"/>
  <c r="E304" i="10"/>
  <c r="D304" i="10"/>
  <c r="C304" i="10"/>
  <c r="B304" i="10"/>
  <c r="H305" i="10"/>
  <c r="G305" i="10"/>
  <c r="F305" i="10"/>
  <c r="E305" i="10"/>
  <c r="D305" i="10"/>
  <c r="C305" i="10"/>
  <c r="B305" i="10"/>
  <c r="H306" i="10"/>
  <c r="G306" i="10"/>
  <c r="F306" i="10"/>
  <c r="E306" i="10"/>
  <c r="D306" i="10"/>
  <c r="C306" i="10"/>
  <c r="B306" i="10"/>
  <c r="H307" i="10"/>
  <c r="G307" i="10"/>
  <c r="F307" i="10"/>
  <c r="E307" i="10"/>
  <c r="D307" i="10"/>
  <c r="C307" i="10"/>
  <c r="B307" i="10"/>
  <c r="H308" i="10"/>
  <c r="G308" i="10"/>
  <c r="F308" i="10"/>
  <c r="E308" i="10"/>
  <c r="D308" i="10"/>
  <c r="C308" i="10"/>
  <c r="B308" i="10"/>
  <c r="H309" i="10"/>
  <c r="G309" i="10"/>
  <c r="F309" i="10"/>
  <c r="E309" i="10"/>
  <c r="D309" i="10"/>
  <c r="C309" i="10"/>
  <c r="B309" i="10"/>
  <c r="H310" i="10"/>
  <c r="G310" i="10"/>
  <c r="F310" i="10"/>
  <c r="E310" i="10"/>
  <c r="D310" i="10"/>
  <c r="C310" i="10"/>
  <c r="B310" i="10"/>
  <c r="H311" i="10"/>
  <c r="G311" i="10"/>
  <c r="F311" i="10"/>
  <c r="E311" i="10"/>
  <c r="D311" i="10"/>
  <c r="C311" i="10"/>
  <c r="B311" i="10"/>
  <c r="H312" i="10"/>
  <c r="G312" i="10"/>
  <c r="F312" i="10"/>
  <c r="E312" i="10"/>
  <c r="D312" i="10"/>
  <c r="C312" i="10"/>
  <c r="B312" i="10"/>
  <c r="H313" i="10"/>
  <c r="G313" i="10"/>
  <c r="F313" i="10"/>
  <c r="E313" i="10"/>
  <c r="D313" i="10"/>
  <c r="C313" i="10"/>
  <c r="B313" i="10"/>
  <c r="H314" i="10"/>
  <c r="G314" i="10"/>
  <c r="F314" i="10"/>
  <c r="E314" i="10"/>
  <c r="D314" i="10"/>
  <c r="C314" i="10"/>
  <c r="B314" i="10"/>
  <c r="H315" i="10"/>
  <c r="G315" i="10"/>
  <c r="F315" i="10"/>
  <c r="E315" i="10"/>
  <c r="D315" i="10"/>
  <c r="C315" i="10"/>
  <c r="B315" i="10"/>
  <c r="H316" i="10"/>
  <c r="G316" i="10"/>
  <c r="F316" i="10"/>
  <c r="E316" i="10"/>
  <c r="D316" i="10"/>
  <c r="C316" i="10"/>
  <c r="B316" i="10"/>
  <c r="H317" i="10"/>
  <c r="G317" i="10"/>
  <c r="F317" i="10"/>
  <c r="E317" i="10"/>
  <c r="D317" i="10"/>
  <c r="C317" i="10"/>
  <c r="B317" i="10"/>
  <c r="H318" i="10"/>
  <c r="G318" i="10"/>
  <c r="F318" i="10"/>
  <c r="E318" i="10"/>
  <c r="D318" i="10"/>
  <c r="C318" i="10"/>
  <c r="B318" i="10"/>
  <c r="H319" i="10"/>
  <c r="G319" i="10"/>
  <c r="F319" i="10"/>
  <c r="E319" i="10"/>
  <c r="D319" i="10"/>
  <c r="C319" i="10"/>
  <c r="B319" i="10"/>
  <c r="H320" i="10"/>
  <c r="G320" i="10"/>
  <c r="F320" i="10"/>
  <c r="E320" i="10"/>
  <c r="D320" i="10"/>
  <c r="C320" i="10"/>
  <c r="B320" i="10"/>
  <c r="H321" i="10"/>
  <c r="G321" i="10"/>
  <c r="F321" i="10"/>
  <c r="E321" i="10"/>
  <c r="D321" i="10"/>
  <c r="C321" i="10"/>
  <c r="B321" i="10"/>
  <c r="H322" i="10"/>
  <c r="G322" i="10"/>
  <c r="F322" i="10"/>
  <c r="E322" i="10"/>
  <c r="D322" i="10"/>
  <c r="C322" i="10"/>
  <c r="B322" i="10"/>
  <c r="H323" i="10"/>
  <c r="G323" i="10"/>
  <c r="F323" i="10"/>
  <c r="E323" i="10"/>
  <c r="D323" i="10"/>
  <c r="C323" i="10"/>
  <c r="B323" i="10"/>
  <c r="H324" i="10"/>
  <c r="G324" i="10"/>
  <c r="F324" i="10"/>
  <c r="E324" i="10"/>
  <c r="D324" i="10"/>
  <c r="C324" i="10"/>
  <c r="B324" i="10"/>
  <c r="H325" i="10"/>
  <c r="G325" i="10"/>
  <c r="F325" i="10"/>
  <c r="E325" i="10"/>
  <c r="D325" i="10"/>
  <c r="C325" i="10"/>
  <c r="B325" i="10"/>
  <c r="H326" i="10"/>
  <c r="G326" i="10"/>
  <c r="F326" i="10"/>
  <c r="E326" i="10"/>
  <c r="D326" i="10"/>
  <c r="C326" i="10"/>
  <c r="B326" i="10"/>
  <c r="H327" i="10"/>
  <c r="G327" i="10"/>
  <c r="F327" i="10"/>
  <c r="E327" i="10"/>
  <c r="D327" i="10"/>
  <c r="C327" i="10"/>
  <c r="B327" i="10"/>
  <c r="H328" i="10"/>
  <c r="G328" i="10"/>
  <c r="F328" i="10"/>
  <c r="E328" i="10"/>
  <c r="D328" i="10"/>
  <c r="C328" i="10"/>
  <c r="B328" i="10"/>
  <c r="H329" i="10"/>
  <c r="G329" i="10"/>
  <c r="F329" i="10"/>
  <c r="E329" i="10"/>
  <c r="D329" i="10"/>
  <c r="C329" i="10"/>
  <c r="B329" i="10"/>
  <c r="H330" i="10"/>
  <c r="G330" i="10"/>
  <c r="F330" i="10"/>
  <c r="E330" i="10"/>
  <c r="D330" i="10"/>
  <c r="C330" i="10"/>
  <c r="B330" i="10"/>
  <c r="H331" i="10"/>
  <c r="G331" i="10"/>
  <c r="F331" i="10"/>
  <c r="E331" i="10"/>
  <c r="D331" i="10"/>
  <c r="C331" i="10"/>
  <c r="B331" i="10"/>
  <c r="H332" i="10"/>
  <c r="G332" i="10"/>
  <c r="F332" i="10"/>
  <c r="E332" i="10"/>
  <c r="D332" i="10"/>
  <c r="C332" i="10"/>
  <c r="B332" i="10"/>
  <c r="H333" i="10"/>
  <c r="G333" i="10"/>
  <c r="F333" i="10"/>
  <c r="E333" i="10"/>
  <c r="D333" i="10"/>
  <c r="C333" i="10"/>
  <c r="B333" i="10"/>
  <c r="H334" i="10"/>
  <c r="G334" i="10"/>
  <c r="F334" i="10"/>
  <c r="E334" i="10"/>
  <c r="D334" i="10"/>
  <c r="C334" i="10"/>
  <c r="B334" i="10"/>
  <c r="H335" i="10"/>
  <c r="G335" i="10"/>
  <c r="F335" i="10"/>
  <c r="E335" i="10"/>
  <c r="D335" i="10"/>
  <c r="C335" i="10"/>
  <c r="B335" i="10"/>
  <c r="H336" i="10"/>
  <c r="G336" i="10"/>
  <c r="F336" i="10"/>
  <c r="E336" i="10"/>
  <c r="D336" i="10"/>
  <c r="C336" i="10"/>
  <c r="B336" i="10"/>
  <c r="H337" i="10"/>
  <c r="G337" i="10"/>
  <c r="F337" i="10"/>
  <c r="E337" i="10"/>
  <c r="D337" i="10"/>
  <c r="C337" i="10"/>
  <c r="B337" i="10"/>
  <c r="H338" i="10"/>
  <c r="G338" i="10"/>
  <c r="F338" i="10"/>
  <c r="E338" i="10"/>
  <c r="D338" i="10"/>
  <c r="C338" i="10"/>
  <c r="B338" i="10"/>
  <c r="H339" i="10"/>
  <c r="G339" i="10"/>
  <c r="F339" i="10"/>
  <c r="E339" i="10"/>
  <c r="D339" i="10"/>
  <c r="C339" i="10"/>
  <c r="B339" i="10"/>
  <c r="H340" i="10"/>
  <c r="G340" i="10"/>
  <c r="F340" i="10"/>
  <c r="E340" i="10"/>
  <c r="D340" i="10"/>
  <c r="C340" i="10"/>
  <c r="B340" i="10"/>
  <c r="H341" i="10"/>
  <c r="G341" i="10"/>
  <c r="F341" i="10"/>
  <c r="E341" i="10"/>
  <c r="D341" i="10"/>
  <c r="C341" i="10"/>
  <c r="B341" i="10"/>
  <c r="H342" i="10"/>
  <c r="G342" i="10"/>
  <c r="F342" i="10"/>
  <c r="E342" i="10"/>
  <c r="D342" i="10"/>
  <c r="C342" i="10"/>
  <c r="B342" i="10"/>
  <c r="H343" i="10"/>
  <c r="G343" i="10"/>
  <c r="F343" i="10"/>
  <c r="E343" i="10"/>
  <c r="D343" i="10"/>
  <c r="C343" i="10"/>
  <c r="B343" i="10"/>
  <c r="H344" i="10"/>
  <c r="G344" i="10"/>
  <c r="F344" i="10"/>
  <c r="E344" i="10"/>
  <c r="D344" i="10"/>
  <c r="C344" i="10"/>
  <c r="B344" i="10"/>
  <c r="H345" i="10"/>
  <c r="G345" i="10"/>
  <c r="F345" i="10"/>
  <c r="E345" i="10"/>
  <c r="D345" i="10"/>
  <c r="C345" i="10"/>
  <c r="B345" i="10"/>
  <c r="H346" i="10"/>
  <c r="G346" i="10"/>
  <c r="F346" i="10"/>
  <c r="E346" i="10"/>
  <c r="D346" i="10"/>
  <c r="C346" i="10"/>
  <c r="B346" i="10"/>
  <c r="H347" i="10"/>
  <c r="G347" i="10"/>
  <c r="F347" i="10"/>
  <c r="E347" i="10"/>
  <c r="D347" i="10"/>
  <c r="C347" i="10"/>
  <c r="B347" i="10"/>
  <c r="H348" i="10"/>
  <c r="G348" i="10"/>
  <c r="F348" i="10"/>
  <c r="E348" i="10"/>
  <c r="D348" i="10"/>
  <c r="C348" i="10"/>
  <c r="B348" i="10"/>
  <c r="H349" i="10"/>
  <c r="G349" i="10"/>
  <c r="F349" i="10"/>
  <c r="E349" i="10"/>
  <c r="D349" i="10"/>
  <c r="C349" i="10"/>
  <c r="B349" i="10"/>
  <c r="H350" i="10"/>
  <c r="G350" i="10"/>
  <c r="F350" i="10"/>
  <c r="E350" i="10"/>
  <c r="D350" i="10"/>
  <c r="C350" i="10"/>
  <c r="B350" i="10"/>
  <c r="H351" i="10"/>
  <c r="G351" i="10"/>
  <c r="F351" i="10"/>
  <c r="E351" i="10"/>
  <c r="D351" i="10"/>
  <c r="C351" i="10"/>
  <c r="B351" i="10"/>
  <c r="H352" i="10"/>
  <c r="G352" i="10"/>
  <c r="F352" i="10"/>
  <c r="E352" i="10"/>
  <c r="D352" i="10"/>
  <c r="C352" i="10"/>
  <c r="B352" i="10"/>
  <c r="H353" i="10"/>
  <c r="G353" i="10"/>
  <c r="F353" i="10"/>
  <c r="E353" i="10"/>
  <c r="D353" i="10"/>
  <c r="C353" i="10"/>
  <c r="B353" i="10"/>
  <c r="H354" i="10"/>
  <c r="G354" i="10"/>
  <c r="F354" i="10"/>
  <c r="E354" i="10"/>
  <c r="D354" i="10"/>
  <c r="C354" i="10"/>
  <c r="B354" i="10"/>
  <c r="H355" i="10"/>
  <c r="G355" i="10"/>
  <c r="F355" i="10"/>
  <c r="E355" i="10"/>
  <c r="D355" i="10"/>
  <c r="C355" i="10"/>
  <c r="B355" i="10"/>
  <c r="H356" i="10"/>
  <c r="G356" i="10"/>
  <c r="F356" i="10"/>
  <c r="E356" i="10"/>
  <c r="D356" i="10"/>
  <c r="C356" i="10"/>
  <c r="B356" i="10"/>
  <c r="H357" i="10"/>
  <c r="G357" i="10"/>
  <c r="F357" i="10"/>
  <c r="E357" i="10"/>
  <c r="D357" i="10"/>
  <c r="C357" i="10"/>
  <c r="B357" i="10"/>
  <c r="H358" i="10"/>
  <c r="G358" i="10"/>
  <c r="F358" i="10"/>
  <c r="E358" i="10"/>
  <c r="D358" i="10"/>
  <c r="C358" i="10"/>
  <c r="B358" i="10"/>
  <c r="H359" i="10"/>
  <c r="G359" i="10"/>
  <c r="F359" i="10"/>
  <c r="E359" i="10"/>
  <c r="D359" i="10"/>
  <c r="C359" i="10"/>
  <c r="B359" i="10"/>
  <c r="H360" i="10"/>
  <c r="G360" i="10"/>
  <c r="F360" i="10"/>
  <c r="E360" i="10"/>
  <c r="D360" i="10"/>
  <c r="C360" i="10"/>
  <c r="B360" i="10"/>
  <c r="H361" i="10"/>
  <c r="G361" i="10"/>
  <c r="F361" i="10"/>
  <c r="E361" i="10"/>
  <c r="D361" i="10"/>
  <c r="C361" i="10"/>
  <c r="B361" i="10"/>
  <c r="H362" i="10"/>
  <c r="G362" i="10"/>
  <c r="F362" i="10"/>
  <c r="E362" i="10"/>
  <c r="D362" i="10"/>
  <c r="C362" i="10"/>
  <c r="B362" i="10"/>
  <c r="H363" i="10"/>
  <c r="G363" i="10"/>
  <c r="F363" i="10"/>
  <c r="E363" i="10"/>
  <c r="D363" i="10"/>
  <c r="C363" i="10"/>
  <c r="B363" i="10"/>
  <c r="H364" i="10"/>
  <c r="G364" i="10"/>
  <c r="F364" i="10"/>
  <c r="E364" i="10"/>
  <c r="D364" i="10"/>
  <c r="C364" i="10"/>
  <c r="B364" i="10"/>
  <c r="H365" i="10"/>
  <c r="G365" i="10"/>
  <c r="F365" i="10"/>
  <c r="E365" i="10"/>
  <c r="D365" i="10"/>
  <c r="C365" i="10"/>
  <c r="B365" i="10"/>
  <c r="H366" i="10"/>
  <c r="G366" i="10"/>
  <c r="F366" i="10"/>
  <c r="E366" i="10"/>
  <c r="D366" i="10"/>
  <c r="C366" i="10"/>
  <c r="B366" i="10"/>
  <c r="H367" i="10"/>
  <c r="G367" i="10"/>
  <c r="F367" i="10"/>
  <c r="E367" i="10"/>
  <c r="D367" i="10"/>
  <c r="C367" i="10"/>
  <c r="B367" i="10"/>
  <c r="H368" i="10"/>
  <c r="G368" i="10"/>
  <c r="F368" i="10"/>
  <c r="E368" i="10"/>
  <c r="D368" i="10"/>
  <c r="C368" i="10"/>
  <c r="B368" i="10"/>
  <c r="H369" i="10"/>
  <c r="G369" i="10"/>
  <c r="F369" i="10"/>
  <c r="E369" i="10"/>
  <c r="D369" i="10"/>
  <c r="C369" i="10"/>
  <c r="B369" i="10"/>
  <c r="H370" i="10"/>
  <c r="G370" i="10"/>
  <c r="F370" i="10"/>
  <c r="E370" i="10"/>
  <c r="D370" i="10"/>
  <c r="C370" i="10"/>
  <c r="B370" i="10"/>
  <c r="H371" i="10"/>
  <c r="G371" i="10"/>
  <c r="F371" i="10"/>
  <c r="E371" i="10"/>
  <c r="D371" i="10"/>
  <c r="C371" i="10"/>
  <c r="B371" i="10"/>
  <c r="H372" i="10"/>
  <c r="G372" i="10"/>
  <c r="F372" i="10"/>
  <c r="E372" i="10"/>
  <c r="D372" i="10"/>
  <c r="C372" i="10"/>
  <c r="B372" i="10"/>
  <c r="H373" i="10"/>
  <c r="G373" i="10"/>
  <c r="F373" i="10"/>
  <c r="E373" i="10"/>
  <c r="D373" i="10"/>
  <c r="C373" i="10"/>
  <c r="B373" i="10"/>
  <c r="H374" i="10"/>
  <c r="G374" i="10"/>
  <c r="F374" i="10"/>
  <c r="E374" i="10"/>
  <c r="D374" i="10"/>
  <c r="C374" i="10"/>
  <c r="B374" i="10"/>
  <c r="H375" i="10"/>
  <c r="G375" i="10"/>
  <c r="F375" i="10"/>
  <c r="E375" i="10"/>
  <c r="D375" i="10"/>
  <c r="C375" i="10"/>
  <c r="B375" i="10"/>
  <c r="H376" i="10"/>
  <c r="G376" i="10"/>
  <c r="F376" i="10"/>
  <c r="E376" i="10"/>
  <c r="D376" i="10"/>
  <c r="C376" i="10"/>
  <c r="B376" i="10"/>
  <c r="H377" i="10"/>
  <c r="G377" i="10"/>
  <c r="F377" i="10"/>
  <c r="E377" i="10"/>
  <c r="D377" i="10"/>
  <c r="C377" i="10"/>
  <c r="B377" i="10"/>
  <c r="H378" i="10"/>
  <c r="G378" i="10"/>
  <c r="F378" i="10"/>
  <c r="E378" i="10"/>
  <c r="D378" i="10"/>
  <c r="C378" i="10"/>
  <c r="B378" i="10"/>
  <c r="H379" i="10"/>
  <c r="G379" i="10"/>
  <c r="F379" i="10"/>
  <c r="E379" i="10"/>
  <c r="D379" i="10"/>
  <c r="C379" i="10"/>
  <c r="B379" i="10"/>
  <c r="H380" i="10"/>
  <c r="G380" i="10"/>
  <c r="F380" i="10"/>
  <c r="E380" i="10"/>
  <c r="D380" i="10"/>
  <c r="C380" i="10"/>
  <c r="B380" i="10"/>
  <c r="H381" i="10"/>
  <c r="G381" i="10"/>
  <c r="F381" i="10"/>
  <c r="E381" i="10"/>
  <c r="D381" i="10"/>
  <c r="C381" i="10"/>
  <c r="B381" i="10"/>
  <c r="H382" i="10"/>
  <c r="G382" i="10"/>
  <c r="F382" i="10"/>
  <c r="E382" i="10"/>
  <c r="D382" i="10"/>
  <c r="C382" i="10"/>
  <c r="B382" i="10"/>
  <c r="H383" i="10"/>
  <c r="G383" i="10"/>
  <c r="F383" i="10"/>
  <c r="E383" i="10"/>
  <c r="D383" i="10"/>
  <c r="C383" i="10"/>
  <c r="B383" i="10"/>
  <c r="H384" i="10"/>
  <c r="G384" i="10"/>
  <c r="F384" i="10"/>
  <c r="E384" i="10"/>
  <c r="D384" i="10"/>
  <c r="C384" i="10"/>
  <c r="B384" i="10"/>
  <c r="H385" i="10"/>
  <c r="G385" i="10"/>
  <c r="F385" i="10"/>
  <c r="E385" i="10"/>
  <c r="D385" i="10"/>
  <c r="C385" i="10"/>
  <c r="B385" i="10"/>
  <c r="H386" i="10"/>
  <c r="G386" i="10"/>
  <c r="F386" i="10"/>
  <c r="E386" i="10"/>
  <c r="D386" i="10"/>
  <c r="C386" i="10"/>
  <c r="B386" i="10"/>
  <c r="H387" i="10"/>
  <c r="G387" i="10"/>
  <c r="F387" i="10"/>
  <c r="E387" i="10"/>
  <c r="D387" i="10"/>
  <c r="C387" i="10"/>
  <c r="B387" i="10"/>
  <c r="H388" i="10"/>
  <c r="G388" i="10"/>
  <c r="F388" i="10"/>
  <c r="E388" i="10"/>
  <c r="D388" i="10"/>
  <c r="C388" i="10"/>
  <c r="B388" i="10"/>
  <c r="H389" i="10"/>
  <c r="G389" i="10"/>
  <c r="F389" i="10"/>
  <c r="E389" i="10"/>
  <c r="D389" i="10"/>
  <c r="C389" i="10"/>
  <c r="B389" i="10"/>
  <c r="H390" i="10"/>
  <c r="G390" i="10"/>
  <c r="F390" i="10"/>
  <c r="E390" i="10"/>
  <c r="D390" i="10"/>
  <c r="C390" i="10"/>
  <c r="B390" i="10"/>
  <c r="H391" i="10"/>
  <c r="G391" i="10"/>
  <c r="F391" i="10"/>
  <c r="E391" i="10"/>
  <c r="D391" i="10"/>
  <c r="C391" i="10"/>
  <c r="B391" i="10"/>
  <c r="H392" i="10"/>
  <c r="G392" i="10"/>
  <c r="F392" i="10"/>
  <c r="E392" i="10"/>
  <c r="D392" i="10"/>
  <c r="C392" i="10"/>
  <c r="B392" i="10"/>
  <c r="H393" i="10"/>
  <c r="G393" i="10"/>
  <c r="F393" i="10"/>
  <c r="E393" i="10"/>
  <c r="D393" i="10"/>
  <c r="C393" i="10"/>
  <c r="B393" i="10"/>
  <c r="H394" i="10"/>
  <c r="G394" i="10"/>
  <c r="F394" i="10"/>
  <c r="E394" i="10"/>
  <c r="D394" i="10"/>
  <c r="C394" i="10"/>
  <c r="B394" i="10"/>
  <c r="H395" i="10"/>
  <c r="G395" i="10"/>
  <c r="F395" i="10"/>
  <c r="E395" i="10"/>
  <c r="D395" i="10"/>
  <c r="C395" i="10"/>
  <c r="B395" i="10"/>
  <c r="H396" i="10"/>
  <c r="G396" i="10"/>
  <c r="F396" i="10"/>
  <c r="E396" i="10"/>
  <c r="D396" i="10"/>
  <c r="C396" i="10"/>
  <c r="B396" i="10"/>
  <c r="H397" i="10"/>
  <c r="G397" i="10"/>
  <c r="F397" i="10"/>
  <c r="E397" i="10"/>
  <c r="D397" i="10"/>
  <c r="C397" i="10"/>
  <c r="B397" i="10"/>
  <c r="H398" i="10"/>
  <c r="G398" i="10"/>
  <c r="F398" i="10"/>
  <c r="E398" i="10"/>
  <c r="D398" i="10"/>
  <c r="C398" i="10"/>
  <c r="B398" i="10"/>
  <c r="H399" i="10"/>
  <c r="G399" i="10"/>
  <c r="F399" i="10"/>
  <c r="E399" i="10"/>
  <c r="D399" i="10"/>
  <c r="C399" i="10"/>
  <c r="B399" i="10"/>
  <c r="H400" i="10"/>
  <c r="G400" i="10"/>
  <c r="F400" i="10"/>
  <c r="E400" i="10"/>
  <c r="D400" i="10"/>
  <c r="C400" i="10"/>
  <c r="B400" i="10"/>
  <c r="H401" i="10"/>
  <c r="G401" i="10"/>
  <c r="F401" i="10"/>
  <c r="E401" i="10"/>
  <c r="D401" i="10"/>
  <c r="C401" i="10"/>
  <c r="B401" i="10"/>
  <c r="H402" i="10"/>
  <c r="G402" i="10"/>
  <c r="F402" i="10"/>
  <c r="E402" i="10"/>
  <c r="D402" i="10"/>
  <c r="C402" i="10"/>
  <c r="B402" i="10"/>
  <c r="H403" i="10"/>
  <c r="G403" i="10"/>
  <c r="F403" i="10"/>
  <c r="E403" i="10"/>
  <c r="D403" i="10"/>
  <c r="C403" i="10"/>
  <c r="B403" i="10"/>
  <c r="H404" i="10"/>
  <c r="G404" i="10"/>
  <c r="F404" i="10"/>
  <c r="E404" i="10"/>
  <c r="D404" i="10"/>
  <c r="C404" i="10"/>
  <c r="B404" i="10"/>
  <c r="H405" i="10"/>
  <c r="G405" i="10"/>
  <c r="F405" i="10"/>
  <c r="E405" i="10"/>
  <c r="D405" i="10"/>
  <c r="C405" i="10"/>
  <c r="B405" i="10"/>
  <c r="H406" i="10"/>
  <c r="G406" i="10"/>
  <c r="F406" i="10"/>
  <c r="E406" i="10"/>
  <c r="D406" i="10"/>
  <c r="C406" i="10"/>
  <c r="B406" i="10"/>
  <c r="H407" i="10"/>
  <c r="G407" i="10"/>
  <c r="F407" i="10"/>
  <c r="E407" i="10"/>
  <c r="D407" i="10"/>
  <c r="C407" i="10"/>
  <c r="B407" i="10"/>
  <c r="H408" i="10"/>
  <c r="G408" i="10"/>
  <c r="F408" i="10"/>
  <c r="E408" i="10"/>
  <c r="D408" i="10"/>
  <c r="C408" i="10"/>
  <c r="B408" i="10"/>
  <c r="H409" i="10"/>
  <c r="G409" i="10"/>
  <c r="F409" i="10"/>
  <c r="E409" i="10"/>
  <c r="D409" i="10"/>
  <c r="C409" i="10"/>
  <c r="B409" i="10"/>
  <c r="H410" i="10"/>
  <c r="G410" i="10"/>
  <c r="F410" i="10"/>
  <c r="E410" i="10"/>
  <c r="D410" i="10"/>
  <c r="C410" i="10"/>
  <c r="B410" i="10"/>
  <c r="H411" i="10"/>
  <c r="G411" i="10"/>
  <c r="F411" i="10"/>
  <c r="E411" i="10"/>
  <c r="D411" i="10"/>
  <c r="C411" i="10"/>
  <c r="B411" i="10"/>
  <c r="H412" i="10"/>
  <c r="G412" i="10"/>
  <c r="F412" i="10"/>
  <c r="E412" i="10"/>
  <c r="D412" i="10"/>
  <c r="C412" i="10"/>
  <c r="B412" i="10"/>
  <c r="H413" i="10"/>
  <c r="G413" i="10"/>
  <c r="F413" i="10"/>
  <c r="E413" i="10"/>
  <c r="D413" i="10"/>
  <c r="C413" i="10"/>
  <c r="B413" i="10"/>
  <c r="H414" i="10"/>
  <c r="G414" i="10"/>
  <c r="F414" i="10"/>
  <c r="E414" i="10"/>
  <c r="D414" i="10"/>
  <c r="C414" i="10"/>
  <c r="B414" i="10"/>
  <c r="H415" i="10"/>
  <c r="G415" i="10"/>
  <c r="F415" i="10"/>
  <c r="E415" i="10"/>
  <c r="D415" i="10"/>
  <c r="C415" i="10"/>
  <c r="B415" i="10"/>
  <c r="H416" i="10"/>
  <c r="G416" i="10"/>
  <c r="F416" i="10"/>
  <c r="E416" i="10"/>
  <c r="D416" i="10"/>
  <c r="C416" i="10"/>
  <c r="B416" i="10"/>
  <c r="H417" i="10"/>
  <c r="G417" i="10"/>
  <c r="F417" i="10"/>
  <c r="E417" i="10"/>
  <c r="D417" i="10"/>
  <c r="C417" i="10"/>
  <c r="B417" i="10"/>
  <c r="H418" i="10"/>
  <c r="G418" i="10"/>
  <c r="F418" i="10"/>
  <c r="E418" i="10"/>
  <c r="D418" i="10"/>
  <c r="C418" i="10"/>
  <c r="B418" i="10"/>
  <c r="H419" i="10"/>
  <c r="G419" i="10"/>
  <c r="F419" i="10"/>
  <c r="E419" i="10"/>
  <c r="D419" i="10"/>
  <c r="C419" i="10"/>
  <c r="B419" i="10"/>
  <c r="H420" i="10"/>
  <c r="G420" i="10"/>
  <c r="F420" i="10"/>
  <c r="E420" i="10"/>
  <c r="D420" i="10"/>
  <c r="C420" i="10"/>
  <c r="B420" i="10"/>
  <c r="H421" i="10"/>
  <c r="G421" i="10"/>
  <c r="F421" i="10"/>
  <c r="E421" i="10"/>
  <c r="D421" i="10"/>
  <c r="C421" i="10"/>
  <c r="B421" i="10"/>
  <c r="H422" i="10"/>
  <c r="G422" i="10"/>
  <c r="F422" i="10"/>
  <c r="E422" i="10"/>
  <c r="D422" i="10"/>
  <c r="C422" i="10"/>
  <c r="B422" i="10"/>
  <c r="H423" i="10"/>
  <c r="G423" i="10"/>
  <c r="F423" i="10"/>
  <c r="E423" i="10"/>
  <c r="D423" i="10"/>
  <c r="C423" i="10"/>
  <c r="B423" i="10"/>
  <c r="H424" i="10"/>
  <c r="G424" i="10"/>
  <c r="F424" i="10"/>
  <c r="E424" i="10"/>
  <c r="D424" i="10"/>
  <c r="C424" i="10"/>
  <c r="B424" i="10"/>
  <c r="H425" i="10"/>
  <c r="G425" i="10"/>
  <c r="F425" i="10"/>
  <c r="E425" i="10"/>
  <c r="D425" i="10"/>
  <c r="C425" i="10"/>
  <c r="B425" i="10"/>
  <c r="H426" i="10"/>
  <c r="G426" i="10"/>
  <c r="F426" i="10"/>
  <c r="E426" i="10"/>
  <c r="D426" i="10"/>
  <c r="C426" i="10"/>
  <c r="B426" i="10"/>
  <c r="H427" i="10"/>
  <c r="G427" i="10"/>
  <c r="F427" i="10"/>
  <c r="E427" i="10"/>
  <c r="D427" i="10"/>
  <c r="C427" i="10"/>
  <c r="B427" i="10"/>
  <c r="H428" i="10"/>
  <c r="G428" i="10"/>
  <c r="F428" i="10"/>
  <c r="E428" i="10"/>
  <c r="D428" i="10"/>
  <c r="C428" i="10"/>
  <c r="B428" i="10"/>
  <c r="H429" i="10"/>
  <c r="G429" i="10"/>
  <c r="F429" i="10"/>
  <c r="E429" i="10"/>
  <c r="D429" i="10"/>
  <c r="C429" i="10"/>
  <c r="B429" i="10"/>
  <c r="H430" i="10"/>
  <c r="G430" i="10"/>
  <c r="F430" i="10"/>
  <c r="E430" i="10"/>
  <c r="D430" i="10"/>
  <c r="C430" i="10"/>
  <c r="B430" i="10"/>
  <c r="H431" i="10"/>
  <c r="G431" i="10"/>
  <c r="F431" i="10"/>
  <c r="E431" i="10"/>
  <c r="D431" i="10"/>
  <c r="C431" i="10"/>
  <c r="B431" i="10"/>
  <c r="H432" i="10"/>
  <c r="G432" i="10"/>
  <c r="F432" i="10"/>
  <c r="E432" i="10"/>
  <c r="D432" i="10"/>
  <c r="C432" i="10"/>
  <c r="B432" i="10"/>
  <c r="H433" i="10"/>
  <c r="G433" i="10"/>
  <c r="F433" i="10"/>
  <c r="E433" i="10"/>
  <c r="D433" i="10"/>
  <c r="C433" i="10"/>
  <c r="B433" i="10"/>
  <c r="H434" i="10"/>
  <c r="G434" i="10"/>
  <c r="F434" i="10"/>
  <c r="E434" i="10"/>
  <c r="D434" i="10"/>
  <c r="C434" i="10"/>
  <c r="B434" i="10"/>
  <c r="H435" i="10"/>
  <c r="G435" i="10"/>
  <c r="F435" i="10"/>
  <c r="E435" i="10"/>
  <c r="D435" i="10"/>
  <c r="C435" i="10"/>
  <c r="B435" i="10"/>
  <c r="H436" i="10"/>
  <c r="G436" i="10"/>
  <c r="F436" i="10"/>
  <c r="E436" i="10"/>
  <c r="D436" i="10"/>
  <c r="C436" i="10"/>
  <c r="B436" i="10"/>
  <c r="H437" i="10"/>
  <c r="G437" i="10"/>
  <c r="F437" i="10"/>
  <c r="E437" i="10"/>
  <c r="D437" i="10"/>
  <c r="C437" i="10"/>
  <c r="B437" i="10"/>
  <c r="H438" i="10"/>
  <c r="G438" i="10"/>
  <c r="F438" i="10"/>
  <c r="E438" i="10"/>
  <c r="D438" i="10"/>
  <c r="C438" i="10"/>
  <c r="B438" i="10"/>
  <c r="H439" i="10"/>
  <c r="G439" i="10"/>
  <c r="F439" i="10"/>
  <c r="E439" i="10"/>
  <c r="D439" i="10"/>
  <c r="C439" i="10"/>
  <c r="B439" i="10"/>
  <c r="H440" i="10"/>
  <c r="G440" i="10"/>
  <c r="F440" i="10"/>
  <c r="E440" i="10"/>
  <c r="D440" i="10"/>
  <c r="C440" i="10"/>
  <c r="B440" i="10"/>
  <c r="H441" i="10"/>
  <c r="G441" i="10"/>
  <c r="F441" i="10"/>
  <c r="E441" i="10"/>
  <c r="D441" i="10"/>
  <c r="C441" i="10"/>
  <c r="B441" i="10"/>
  <c r="H442" i="10"/>
  <c r="G442" i="10"/>
  <c r="F442" i="10"/>
  <c r="E442" i="10"/>
  <c r="D442" i="10"/>
  <c r="C442" i="10"/>
  <c r="B442" i="10"/>
  <c r="H443" i="10"/>
  <c r="G443" i="10"/>
  <c r="F443" i="10"/>
  <c r="E443" i="10"/>
  <c r="D443" i="10"/>
  <c r="C443" i="10"/>
  <c r="B443" i="10"/>
  <c r="H444" i="10"/>
  <c r="G444" i="10"/>
  <c r="F444" i="10"/>
  <c r="E444" i="10"/>
  <c r="D444" i="10"/>
  <c r="C444" i="10"/>
  <c r="B444" i="10"/>
  <c r="H445" i="10"/>
  <c r="G445" i="10"/>
  <c r="F445" i="10"/>
  <c r="E445" i="10"/>
  <c r="D445" i="10"/>
  <c r="C445" i="10"/>
  <c r="B445" i="10"/>
  <c r="H446" i="10"/>
  <c r="G446" i="10"/>
  <c r="F446" i="10"/>
  <c r="E446" i="10"/>
  <c r="D446" i="10"/>
  <c r="C446" i="10"/>
  <c r="B446" i="10"/>
  <c r="H447" i="10"/>
  <c r="G447" i="10"/>
  <c r="F447" i="10"/>
  <c r="E447" i="10"/>
  <c r="D447" i="10"/>
  <c r="C447" i="10"/>
  <c r="B447" i="10"/>
  <c r="H448" i="10"/>
  <c r="G448" i="10"/>
  <c r="F448" i="10"/>
  <c r="E448" i="10"/>
  <c r="D448" i="10"/>
  <c r="C448" i="10"/>
  <c r="B448" i="10"/>
  <c r="H449" i="10"/>
  <c r="G449" i="10"/>
  <c r="F449" i="10"/>
  <c r="E449" i="10"/>
  <c r="D449" i="10"/>
  <c r="C449" i="10"/>
  <c r="B449" i="10"/>
  <c r="H450" i="10"/>
  <c r="G450" i="10"/>
  <c r="F450" i="10"/>
  <c r="E450" i="10"/>
  <c r="D450" i="10"/>
  <c r="C450" i="10"/>
  <c r="B450" i="10"/>
  <c r="H451" i="10"/>
  <c r="G451" i="10"/>
  <c r="F451" i="10"/>
  <c r="E451" i="10"/>
  <c r="D451" i="10"/>
  <c r="C451" i="10"/>
  <c r="B451" i="10"/>
  <c r="H452" i="10"/>
  <c r="G452" i="10"/>
  <c r="F452" i="10"/>
  <c r="E452" i="10"/>
  <c r="D452" i="10"/>
  <c r="C452" i="10"/>
  <c r="B452" i="10"/>
  <c r="H453" i="10"/>
  <c r="G453" i="10"/>
  <c r="F453" i="10"/>
  <c r="E453" i="10"/>
  <c r="D453" i="10"/>
  <c r="C453" i="10"/>
  <c r="B453" i="10"/>
  <c r="H454" i="10"/>
  <c r="G454" i="10"/>
  <c r="F454" i="10"/>
  <c r="E454" i="10"/>
  <c r="D454" i="10"/>
  <c r="C454" i="10"/>
  <c r="B454" i="10"/>
  <c r="H455" i="10"/>
  <c r="G455" i="10"/>
  <c r="F455" i="10"/>
  <c r="E455" i="10"/>
  <c r="D455" i="10"/>
  <c r="C455" i="10"/>
  <c r="B455" i="10"/>
  <c r="H456" i="10"/>
  <c r="G456" i="10"/>
  <c r="F456" i="10"/>
  <c r="E456" i="10"/>
  <c r="D456" i="10"/>
  <c r="C456" i="10"/>
  <c r="B456" i="10"/>
  <c r="H457" i="10"/>
  <c r="G457" i="10"/>
  <c r="F457" i="10"/>
  <c r="E457" i="10"/>
  <c r="D457" i="10"/>
  <c r="C457" i="10"/>
  <c r="B457" i="10"/>
  <c r="H458" i="10"/>
  <c r="G458" i="10"/>
  <c r="F458" i="10"/>
  <c r="E458" i="10"/>
  <c r="D458" i="10"/>
  <c r="C458" i="10"/>
  <c r="B458" i="10"/>
  <c r="H459" i="10"/>
  <c r="G459" i="10"/>
  <c r="F459" i="10"/>
  <c r="E459" i="10"/>
  <c r="D459" i="10"/>
  <c r="C459" i="10"/>
  <c r="B459" i="10"/>
  <c r="H460" i="10"/>
  <c r="G460" i="10"/>
  <c r="F460" i="10"/>
  <c r="E460" i="10"/>
  <c r="D460" i="10"/>
  <c r="C460" i="10"/>
  <c r="B460" i="10"/>
  <c r="H461" i="10"/>
  <c r="G461" i="10"/>
  <c r="F461" i="10"/>
  <c r="E461" i="10"/>
  <c r="D461" i="10"/>
  <c r="C461" i="10"/>
  <c r="B461" i="10"/>
  <c r="H462" i="10"/>
  <c r="G462" i="10"/>
  <c r="F462" i="10"/>
  <c r="E462" i="10"/>
  <c r="D462" i="10"/>
  <c r="C462" i="10"/>
  <c r="B462" i="10"/>
  <c r="H463" i="10"/>
  <c r="G463" i="10"/>
  <c r="F463" i="10"/>
  <c r="E463" i="10"/>
  <c r="D463" i="10"/>
  <c r="C463" i="10"/>
  <c r="B463" i="10"/>
  <c r="H464" i="10"/>
  <c r="G464" i="10"/>
  <c r="F464" i="10"/>
  <c r="E464" i="10"/>
  <c r="D464" i="10"/>
  <c r="C464" i="10"/>
  <c r="B464" i="10"/>
  <c r="H465" i="10"/>
  <c r="G465" i="10"/>
  <c r="F465" i="10"/>
  <c r="E465" i="10"/>
  <c r="D465" i="10"/>
  <c r="C465" i="10"/>
  <c r="B465" i="10"/>
  <c r="H466" i="10"/>
  <c r="G466" i="10"/>
  <c r="F466" i="10"/>
  <c r="E466" i="10"/>
  <c r="D466" i="10"/>
  <c r="C466" i="10"/>
  <c r="B466" i="10"/>
  <c r="H467" i="10"/>
  <c r="G467" i="10"/>
  <c r="F467" i="10"/>
  <c r="E467" i="10"/>
  <c r="D467" i="10"/>
  <c r="C467" i="10"/>
  <c r="B467" i="10"/>
  <c r="H468" i="10"/>
  <c r="G468" i="10"/>
  <c r="F468" i="10"/>
  <c r="E468" i="10"/>
  <c r="D468" i="10"/>
  <c r="C468" i="10"/>
  <c r="B468" i="10"/>
  <c r="H469" i="10"/>
  <c r="G469" i="10"/>
  <c r="F469" i="10"/>
  <c r="E469" i="10"/>
  <c r="D469" i="10"/>
  <c r="C469" i="10"/>
  <c r="B469" i="10"/>
  <c r="H470" i="10"/>
  <c r="G470" i="10"/>
  <c r="F470" i="10"/>
  <c r="E470" i="10"/>
  <c r="D470" i="10"/>
  <c r="C470" i="10"/>
  <c r="B470" i="10"/>
  <c r="H471" i="10"/>
  <c r="G471" i="10"/>
  <c r="F471" i="10"/>
  <c r="E471" i="10"/>
  <c r="D471" i="10"/>
  <c r="C471" i="10"/>
  <c r="B471" i="10"/>
  <c r="H472" i="10"/>
  <c r="G472" i="10"/>
  <c r="F472" i="10"/>
  <c r="E472" i="10"/>
  <c r="D472" i="10"/>
  <c r="C472" i="10"/>
  <c r="B472" i="10"/>
  <c r="H473" i="10"/>
  <c r="G473" i="10"/>
  <c r="F473" i="10"/>
  <c r="E473" i="10"/>
  <c r="D473" i="10"/>
  <c r="C473" i="10"/>
  <c r="B473" i="10"/>
  <c r="H474" i="10"/>
  <c r="G474" i="10"/>
  <c r="F474" i="10"/>
  <c r="E474" i="10"/>
  <c r="D474" i="10"/>
  <c r="C474" i="10"/>
  <c r="B474" i="10"/>
  <c r="H475" i="10"/>
  <c r="G475" i="10"/>
  <c r="F475" i="10"/>
  <c r="E475" i="10"/>
  <c r="D475" i="10"/>
  <c r="C475" i="10"/>
  <c r="B475" i="10"/>
  <c r="H476" i="10"/>
  <c r="G476" i="10"/>
  <c r="F476" i="10"/>
  <c r="E476" i="10"/>
  <c r="D476" i="10"/>
  <c r="C476" i="10"/>
  <c r="B476" i="10"/>
  <c r="H477" i="10"/>
  <c r="G477" i="10"/>
  <c r="F477" i="10"/>
  <c r="E477" i="10"/>
  <c r="D477" i="10"/>
  <c r="C477" i="10"/>
  <c r="B477" i="10"/>
  <c r="H478" i="10"/>
  <c r="G478" i="10"/>
  <c r="F478" i="10"/>
  <c r="E478" i="10"/>
  <c r="D478" i="10"/>
  <c r="C478" i="10"/>
  <c r="B478" i="10"/>
  <c r="H479" i="10"/>
  <c r="G479" i="10"/>
  <c r="F479" i="10"/>
  <c r="E479" i="10"/>
  <c r="D479" i="10"/>
  <c r="C479" i="10"/>
  <c r="B479" i="10"/>
  <c r="H480" i="10"/>
  <c r="G480" i="10"/>
  <c r="F480" i="10"/>
  <c r="E480" i="10"/>
  <c r="D480" i="10"/>
  <c r="C480" i="10"/>
  <c r="B480" i="10"/>
  <c r="H481" i="10"/>
  <c r="G481" i="10"/>
  <c r="F481" i="10"/>
  <c r="E481" i="10"/>
  <c r="D481" i="10"/>
  <c r="C481" i="10"/>
  <c r="B481" i="10"/>
  <c r="H482" i="10"/>
  <c r="G482" i="10"/>
  <c r="F482" i="10"/>
  <c r="E482" i="10"/>
  <c r="D482" i="10"/>
  <c r="C482" i="10"/>
  <c r="B482" i="10"/>
  <c r="H483" i="10"/>
  <c r="G483" i="10"/>
  <c r="F483" i="10"/>
  <c r="E483" i="10"/>
  <c r="D483" i="10"/>
  <c r="C483" i="10"/>
  <c r="B483" i="10"/>
  <c r="H484" i="10"/>
  <c r="G484" i="10"/>
  <c r="F484" i="10"/>
  <c r="E484" i="10"/>
  <c r="D484" i="10"/>
  <c r="C484" i="10"/>
  <c r="B484" i="10"/>
  <c r="H485" i="10"/>
  <c r="G485" i="10"/>
  <c r="F485" i="10"/>
  <c r="E485" i="10"/>
  <c r="D485" i="10"/>
  <c r="C485" i="10"/>
  <c r="B485" i="10"/>
  <c r="H486" i="10"/>
  <c r="G486" i="10"/>
  <c r="F486" i="10"/>
  <c r="E486" i="10"/>
  <c r="D486" i="10"/>
  <c r="C486" i="10"/>
  <c r="B486" i="10"/>
  <c r="H487" i="10"/>
  <c r="G487" i="10"/>
  <c r="F487" i="10"/>
  <c r="E487" i="10"/>
  <c r="D487" i="10"/>
  <c r="C487" i="10"/>
  <c r="B487" i="10"/>
  <c r="H488" i="10"/>
  <c r="G488" i="10"/>
  <c r="F488" i="10"/>
  <c r="E488" i="10"/>
  <c r="D488" i="10"/>
  <c r="C488" i="10"/>
  <c r="B488" i="10"/>
  <c r="H489" i="10"/>
  <c r="G489" i="10"/>
  <c r="F489" i="10"/>
  <c r="E489" i="10"/>
  <c r="D489" i="10"/>
  <c r="C489" i="10"/>
  <c r="B489" i="10"/>
  <c r="H490" i="10"/>
  <c r="G490" i="10"/>
  <c r="F490" i="10"/>
  <c r="E490" i="10"/>
  <c r="D490" i="10"/>
  <c r="C490" i="10"/>
  <c r="B490" i="10"/>
  <c r="H491" i="10"/>
  <c r="G491" i="10"/>
  <c r="F491" i="10"/>
  <c r="E491" i="10"/>
  <c r="D491" i="10"/>
  <c r="C491" i="10"/>
  <c r="B491" i="10"/>
  <c r="H492" i="10"/>
  <c r="G492" i="10"/>
  <c r="F492" i="10"/>
  <c r="E492" i="10"/>
  <c r="D492" i="10"/>
  <c r="C492" i="10"/>
  <c r="B492" i="10"/>
  <c r="H493" i="10"/>
  <c r="G493" i="10"/>
  <c r="F493" i="10"/>
  <c r="E493" i="10"/>
  <c r="D493" i="10"/>
  <c r="C493" i="10"/>
  <c r="B493" i="10"/>
  <c r="H494" i="10"/>
  <c r="G494" i="10"/>
  <c r="F494" i="10"/>
  <c r="E494" i="10"/>
  <c r="D494" i="10"/>
  <c r="C494" i="10"/>
  <c r="B494" i="10"/>
  <c r="H495" i="10"/>
  <c r="G495" i="10"/>
  <c r="F495" i="10"/>
  <c r="E495" i="10"/>
  <c r="D495" i="10"/>
  <c r="C495" i="10"/>
  <c r="B495" i="10"/>
  <c r="H496" i="10"/>
  <c r="G496" i="10"/>
  <c r="F496" i="10"/>
  <c r="E496" i="10"/>
  <c r="D496" i="10"/>
  <c r="C496" i="10"/>
  <c r="B496" i="10"/>
  <c r="H497" i="10"/>
  <c r="G497" i="10"/>
  <c r="F497" i="10"/>
  <c r="E497" i="10"/>
  <c r="D497" i="10"/>
  <c r="C497" i="10"/>
  <c r="B497" i="10"/>
  <c r="H498" i="10"/>
  <c r="G498" i="10"/>
  <c r="F498" i="10"/>
  <c r="E498" i="10"/>
  <c r="D498" i="10"/>
  <c r="C498" i="10"/>
  <c r="B498" i="10"/>
  <c r="H499" i="10"/>
  <c r="G499" i="10"/>
  <c r="F499" i="10"/>
  <c r="E499" i="10"/>
  <c r="D499" i="10"/>
  <c r="C499" i="10"/>
  <c r="B499" i="10"/>
  <c r="H500" i="10"/>
  <c r="G500" i="10"/>
  <c r="F500" i="10"/>
  <c r="E500" i="10"/>
  <c r="D500" i="10"/>
  <c r="C500" i="10"/>
  <c r="B500" i="10"/>
  <c r="H501" i="10"/>
  <c r="G501" i="10"/>
  <c r="F501" i="10"/>
  <c r="E501" i="10"/>
  <c r="D501" i="10"/>
  <c r="C501" i="10"/>
  <c r="B501" i="10"/>
  <c r="H502" i="10"/>
  <c r="G502" i="10"/>
  <c r="F502" i="10"/>
  <c r="E502" i="10"/>
  <c r="D502" i="10"/>
  <c r="C502" i="10"/>
  <c r="B502" i="10"/>
  <c r="H503" i="10"/>
  <c r="G503" i="10"/>
  <c r="F503" i="10"/>
  <c r="E503" i="10"/>
  <c r="D503" i="10"/>
  <c r="C503" i="10"/>
  <c r="B503" i="10"/>
  <c r="H504" i="10"/>
  <c r="G504" i="10"/>
  <c r="F504" i="10"/>
  <c r="E504" i="10"/>
  <c r="D504" i="10"/>
  <c r="C504" i="10"/>
  <c r="B504" i="10"/>
  <c r="H505" i="10"/>
  <c r="G505" i="10"/>
  <c r="F505" i="10"/>
  <c r="E505" i="10"/>
  <c r="D505" i="10"/>
  <c r="C505" i="10"/>
  <c r="B505" i="10"/>
  <c r="H506" i="10"/>
  <c r="G506" i="10"/>
  <c r="F506" i="10"/>
  <c r="E506" i="10"/>
  <c r="D506" i="10"/>
  <c r="C506" i="10"/>
  <c r="B506" i="10"/>
  <c r="H507" i="10"/>
  <c r="G507" i="10"/>
  <c r="F507" i="10"/>
  <c r="E507" i="10"/>
  <c r="D507" i="10"/>
  <c r="C507" i="10"/>
  <c r="B507" i="10"/>
  <c r="H508" i="10"/>
  <c r="G508" i="10"/>
  <c r="F508" i="10"/>
  <c r="E508" i="10"/>
  <c r="D508" i="10"/>
  <c r="C508" i="10"/>
  <c r="B508" i="10"/>
  <c r="H509" i="10"/>
  <c r="G509" i="10"/>
  <c r="F509" i="10"/>
  <c r="E509" i="10"/>
  <c r="D509" i="10"/>
  <c r="C509" i="10"/>
  <c r="B509" i="10"/>
  <c r="H510" i="10"/>
  <c r="G510" i="10"/>
  <c r="F510" i="10"/>
  <c r="E510" i="10"/>
  <c r="D510" i="10"/>
  <c r="C510" i="10"/>
  <c r="B510" i="10"/>
  <c r="H511" i="10"/>
  <c r="G511" i="10"/>
  <c r="F511" i="10"/>
  <c r="E511" i="10"/>
  <c r="D511" i="10"/>
  <c r="C511" i="10"/>
  <c r="B511" i="10"/>
  <c r="H512" i="10"/>
  <c r="G512" i="10"/>
  <c r="F512" i="10"/>
  <c r="E512" i="10"/>
  <c r="D512" i="10"/>
  <c r="C512" i="10"/>
  <c r="B512" i="10"/>
  <c r="H513" i="10"/>
  <c r="G513" i="10"/>
  <c r="F513" i="10"/>
  <c r="E513" i="10"/>
  <c r="D513" i="10"/>
  <c r="C513" i="10"/>
  <c r="B513" i="10"/>
  <c r="H514" i="10"/>
  <c r="G514" i="10"/>
  <c r="F514" i="10"/>
  <c r="E514" i="10"/>
  <c r="D514" i="10"/>
  <c r="C514" i="10"/>
  <c r="B514" i="10"/>
  <c r="H515" i="10"/>
  <c r="G515" i="10"/>
  <c r="F515" i="10"/>
  <c r="E515" i="10"/>
  <c r="D515" i="10"/>
  <c r="C515" i="10"/>
  <c r="B515" i="10"/>
  <c r="H516" i="10"/>
  <c r="G516" i="10"/>
  <c r="F516" i="10"/>
  <c r="E516" i="10"/>
  <c r="D516" i="10"/>
  <c r="C516" i="10"/>
  <c r="B516" i="10"/>
  <c r="H517" i="10"/>
  <c r="G517" i="10"/>
  <c r="F517" i="10"/>
  <c r="E517" i="10"/>
  <c r="D517" i="10"/>
  <c r="C517" i="10"/>
  <c r="B517" i="10"/>
  <c r="H518" i="10"/>
  <c r="G518" i="10"/>
  <c r="F518" i="10"/>
  <c r="E518" i="10"/>
  <c r="D518" i="10"/>
  <c r="C518" i="10"/>
  <c r="B518" i="10"/>
  <c r="H519" i="10"/>
  <c r="G519" i="10"/>
  <c r="F519" i="10"/>
  <c r="E519" i="10"/>
  <c r="D519" i="10"/>
  <c r="C519" i="10"/>
  <c r="B519" i="10"/>
  <c r="H520" i="10"/>
  <c r="G520" i="10"/>
  <c r="F520" i="10"/>
  <c r="E520" i="10"/>
  <c r="D520" i="10"/>
  <c r="C520" i="10"/>
  <c r="B520" i="10"/>
  <c r="H521" i="10"/>
  <c r="G521" i="10"/>
  <c r="F521" i="10"/>
  <c r="E521" i="10"/>
  <c r="D521" i="10"/>
  <c r="C521" i="10"/>
  <c r="B521" i="10"/>
  <c r="H522" i="10"/>
  <c r="G522" i="10"/>
  <c r="F522" i="10"/>
  <c r="E522" i="10"/>
  <c r="D522" i="10"/>
  <c r="C522" i="10"/>
  <c r="B522" i="10"/>
  <c r="H523" i="10"/>
  <c r="G523" i="10"/>
  <c r="F523" i="10"/>
  <c r="E523" i="10"/>
  <c r="D523" i="10"/>
  <c r="C523" i="10"/>
  <c r="B523" i="10"/>
  <c r="H524" i="10"/>
  <c r="G524" i="10"/>
  <c r="F524" i="10"/>
  <c r="E524" i="10"/>
  <c r="D524" i="10"/>
  <c r="C524" i="10"/>
  <c r="B524" i="10"/>
  <c r="H525" i="10"/>
  <c r="G525" i="10"/>
  <c r="F525" i="10"/>
  <c r="E525" i="10"/>
  <c r="D525" i="10"/>
  <c r="C525" i="10"/>
  <c r="B525" i="10"/>
  <c r="H526" i="10"/>
  <c r="G526" i="10"/>
  <c r="F526" i="10"/>
  <c r="E526" i="10"/>
  <c r="D526" i="10"/>
  <c r="C526" i="10"/>
  <c r="B526" i="10"/>
  <c r="H527" i="10"/>
  <c r="G527" i="10"/>
  <c r="F527" i="10"/>
  <c r="E527" i="10"/>
  <c r="D527" i="10"/>
  <c r="C527" i="10"/>
  <c r="B527" i="10"/>
  <c r="H528" i="10"/>
  <c r="G528" i="10"/>
  <c r="F528" i="10"/>
  <c r="E528" i="10"/>
  <c r="D528" i="10"/>
  <c r="C528" i="10"/>
  <c r="B528" i="10"/>
  <c r="H529" i="10"/>
  <c r="G529" i="10"/>
  <c r="F529" i="10"/>
  <c r="E529" i="10"/>
  <c r="D529" i="10"/>
  <c r="C529" i="10"/>
  <c r="B529" i="10"/>
  <c r="H530" i="10"/>
  <c r="G530" i="10"/>
  <c r="F530" i="10"/>
  <c r="E530" i="10"/>
  <c r="D530" i="10"/>
  <c r="C530" i="10"/>
  <c r="B530" i="10"/>
  <c r="H531" i="10"/>
  <c r="G531" i="10"/>
  <c r="F531" i="10"/>
  <c r="E531" i="10"/>
  <c r="D531" i="10"/>
  <c r="C531" i="10"/>
  <c r="B531" i="10"/>
  <c r="H532" i="10"/>
  <c r="G532" i="10"/>
  <c r="F532" i="10"/>
  <c r="E532" i="10"/>
  <c r="D532" i="10"/>
  <c r="C532" i="10"/>
  <c r="B532" i="10"/>
  <c r="H533" i="10"/>
  <c r="G533" i="10"/>
  <c r="F533" i="10"/>
  <c r="E533" i="10"/>
  <c r="D533" i="10"/>
  <c r="C533" i="10"/>
  <c r="B533" i="10"/>
  <c r="H534" i="10"/>
  <c r="G534" i="10"/>
  <c r="F534" i="10"/>
  <c r="E534" i="10"/>
  <c r="D534" i="10"/>
  <c r="C534" i="10"/>
  <c r="B534" i="10"/>
  <c r="H535" i="10"/>
  <c r="G535" i="10"/>
  <c r="F535" i="10"/>
  <c r="E535" i="10"/>
  <c r="D535" i="10"/>
  <c r="C535" i="10"/>
  <c r="B535" i="10"/>
  <c r="H536" i="10"/>
  <c r="G536" i="10"/>
  <c r="F536" i="10"/>
  <c r="E536" i="10"/>
  <c r="D536" i="10"/>
  <c r="C536" i="10"/>
  <c r="B536" i="10"/>
  <c r="H537" i="10"/>
  <c r="G537" i="10"/>
  <c r="F537" i="10"/>
  <c r="E537" i="10"/>
  <c r="D537" i="10"/>
  <c r="C537" i="10"/>
  <c r="B537" i="10"/>
  <c r="H538" i="10"/>
  <c r="G538" i="10"/>
  <c r="F538" i="10"/>
  <c r="E538" i="10"/>
  <c r="D538" i="10"/>
  <c r="C538" i="10"/>
  <c r="B538" i="10"/>
  <c r="H539" i="10"/>
  <c r="G539" i="10"/>
  <c r="F539" i="10"/>
  <c r="E539" i="10"/>
  <c r="D539" i="10"/>
  <c r="C539" i="10"/>
  <c r="B539" i="10"/>
  <c r="H540" i="10"/>
  <c r="G540" i="10"/>
  <c r="F540" i="10"/>
  <c r="E540" i="10"/>
  <c r="D540" i="10"/>
  <c r="C540" i="10"/>
  <c r="B540" i="10"/>
  <c r="H541" i="10"/>
  <c r="G541" i="10"/>
  <c r="F541" i="10"/>
  <c r="E541" i="10"/>
  <c r="D541" i="10"/>
  <c r="C541" i="10"/>
  <c r="B541" i="10"/>
  <c r="H542" i="10"/>
  <c r="G542" i="10"/>
  <c r="F542" i="10"/>
  <c r="E542" i="10"/>
  <c r="D542" i="10"/>
  <c r="C542" i="10"/>
  <c r="B542" i="10"/>
  <c r="H543" i="10"/>
  <c r="G543" i="10"/>
  <c r="F543" i="10"/>
  <c r="E543" i="10"/>
  <c r="D543" i="10"/>
  <c r="C543" i="10"/>
  <c r="B543" i="10"/>
  <c r="H544" i="10"/>
  <c r="G544" i="10"/>
  <c r="F544" i="10"/>
  <c r="E544" i="10"/>
  <c r="D544" i="10"/>
  <c r="C544" i="10"/>
  <c r="B544" i="10"/>
  <c r="H545" i="10"/>
  <c r="G545" i="10"/>
  <c r="F545" i="10"/>
  <c r="E545" i="10"/>
  <c r="D545" i="10"/>
  <c r="C545" i="10"/>
  <c r="B545" i="10"/>
  <c r="H546" i="10"/>
  <c r="G546" i="10"/>
  <c r="F546" i="10"/>
  <c r="E546" i="10"/>
  <c r="D546" i="10"/>
  <c r="C546" i="10"/>
  <c r="B546" i="10"/>
  <c r="H547" i="10"/>
  <c r="G547" i="10"/>
  <c r="F547" i="10"/>
  <c r="E547" i="10"/>
  <c r="D547" i="10"/>
  <c r="C547" i="10"/>
  <c r="B547" i="10"/>
  <c r="H548" i="10"/>
  <c r="G548" i="10"/>
  <c r="F548" i="10"/>
  <c r="E548" i="10"/>
  <c r="D548" i="10"/>
  <c r="C548" i="10"/>
  <c r="B548" i="10"/>
  <c r="H549" i="10"/>
  <c r="G549" i="10"/>
  <c r="F549" i="10"/>
  <c r="E549" i="10"/>
  <c r="D549" i="10"/>
  <c r="C549" i="10"/>
  <c r="B549" i="10"/>
  <c r="H550" i="10"/>
  <c r="G550" i="10"/>
  <c r="F550" i="10"/>
  <c r="E550" i="10"/>
  <c r="D550" i="10"/>
  <c r="C550" i="10"/>
  <c r="B550" i="10"/>
  <c r="H551" i="10"/>
  <c r="G551" i="10"/>
  <c r="F551" i="10"/>
  <c r="E551" i="10"/>
  <c r="D551" i="10"/>
  <c r="C551" i="10"/>
  <c r="B551" i="10"/>
  <c r="H552" i="10"/>
  <c r="G552" i="10"/>
  <c r="F552" i="10"/>
  <c r="E552" i="10"/>
  <c r="D552" i="10"/>
  <c r="C552" i="10"/>
  <c r="B552" i="10"/>
  <c r="H553" i="10"/>
  <c r="G553" i="10"/>
  <c r="F553" i="10"/>
  <c r="E553" i="10"/>
  <c r="D553" i="10"/>
  <c r="C553" i="10"/>
  <c r="B553" i="10"/>
  <c r="H554" i="10"/>
  <c r="G554" i="10"/>
  <c r="F554" i="10"/>
  <c r="E554" i="10"/>
  <c r="D554" i="10"/>
  <c r="C554" i="10"/>
  <c r="B554" i="10"/>
  <c r="H555" i="10"/>
  <c r="G555" i="10"/>
  <c r="F555" i="10"/>
  <c r="E555" i="10"/>
  <c r="D555" i="10"/>
  <c r="C555" i="10"/>
  <c r="B555" i="10"/>
  <c r="H556" i="10"/>
  <c r="G556" i="10"/>
  <c r="F556" i="10"/>
  <c r="E556" i="10"/>
  <c r="D556" i="10"/>
  <c r="C556" i="10"/>
  <c r="B556" i="10"/>
  <c r="H557" i="10"/>
  <c r="G557" i="10"/>
  <c r="F557" i="10"/>
  <c r="E557" i="10"/>
  <c r="D557" i="10"/>
  <c r="C557" i="10"/>
  <c r="B557" i="10"/>
  <c r="H558" i="10"/>
  <c r="G558" i="10"/>
  <c r="F558" i="10"/>
  <c r="E558" i="10"/>
  <c r="D558" i="10"/>
  <c r="C558" i="10"/>
  <c r="B558" i="10"/>
  <c r="H559" i="10"/>
  <c r="G559" i="10"/>
  <c r="F559" i="10"/>
  <c r="E559" i="10"/>
  <c r="D559" i="10"/>
  <c r="C559" i="10"/>
  <c r="B559" i="10"/>
  <c r="H560" i="10"/>
  <c r="G560" i="10"/>
  <c r="F560" i="10"/>
  <c r="E560" i="10"/>
  <c r="D560" i="10"/>
  <c r="C560" i="10"/>
  <c r="B560" i="10"/>
  <c r="H561" i="10"/>
  <c r="G561" i="10"/>
  <c r="F561" i="10"/>
  <c r="E561" i="10"/>
  <c r="D561" i="10"/>
  <c r="C561" i="10"/>
  <c r="B561" i="10"/>
  <c r="H562" i="10"/>
  <c r="G562" i="10"/>
  <c r="F562" i="10"/>
  <c r="E562" i="10"/>
  <c r="D562" i="10"/>
  <c r="C562" i="10"/>
  <c r="B562" i="10"/>
  <c r="H563" i="10"/>
  <c r="G563" i="10"/>
  <c r="F563" i="10"/>
  <c r="E563" i="10"/>
  <c r="D563" i="10"/>
  <c r="C563" i="10"/>
  <c r="B563" i="10"/>
  <c r="H564" i="10"/>
  <c r="G564" i="10"/>
  <c r="F564" i="10"/>
  <c r="E564" i="10"/>
  <c r="D564" i="10"/>
  <c r="C564" i="10"/>
  <c r="B564" i="10"/>
  <c r="H565" i="10"/>
  <c r="G565" i="10"/>
  <c r="F565" i="10"/>
  <c r="E565" i="10"/>
  <c r="D565" i="10"/>
  <c r="C565" i="10"/>
  <c r="B565" i="10"/>
  <c r="H566" i="10"/>
  <c r="G566" i="10"/>
  <c r="F566" i="10"/>
  <c r="E566" i="10"/>
  <c r="D566" i="10"/>
  <c r="C566" i="10"/>
  <c r="B566" i="10"/>
  <c r="H567" i="10"/>
  <c r="G567" i="10"/>
  <c r="F567" i="10"/>
  <c r="E567" i="10"/>
  <c r="D567" i="10"/>
  <c r="C567" i="10"/>
  <c r="B567" i="10"/>
  <c r="H568" i="10"/>
  <c r="G568" i="10"/>
  <c r="F568" i="10"/>
  <c r="E568" i="10"/>
  <c r="D568" i="10"/>
  <c r="C568" i="10"/>
  <c r="B568" i="10"/>
  <c r="H569" i="10"/>
  <c r="G569" i="10"/>
  <c r="F569" i="10"/>
  <c r="E569" i="10"/>
  <c r="D569" i="10"/>
  <c r="C569" i="10"/>
  <c r="B569" i="10"/>
  <c r="H570" i="10"/>
  <c r="G570" i="10"/>
  <c r="F570" i="10"/>
  <c r="E570" i="10"/>
  <c r="D570" i="10"/>
  <c r="C570" i="10"/>
  <c r="B570" i="10"/>
  <c r="H571" i="10"/>
  <c r="G571" i="10"/>
  <c r="F571" i="10"/>
  <c r="E571" i="10"/>
  <c r="D571" i="10"/>
  <c r="C571" i="10"/>
  <c r="B571" i="10"/>
  <c r="H572" i="10"/>
  <c r="G572" i="10"/>
  <c r="F572" i="10"/>
  <c r="E572" i="10"/>
  <c r="D572" i="10"/>
  <c r="C572" i="10"/>
  <c r="B572" i="10"/>
  <c r="H573" i="10"/>
  <c r="G573" i="10"/>
  <c r="F573" i="10"/>
  <c r="E573" i="10"/>
  <c r="D573" i="10"/>
  <c r="C573" i="10"/>
  <c r="B573" i="10"/>
  <c r="H574" i="10"/>
  <c r="G574" i="10"/>
  <c r="F574" i="10"/>
  <c r="E574" i="10"/>
  <c r="D574" i="10"/>
  <c r="C574" i="10"/>
  <c r="B574" i="10"/>
  <c r="H575" i="10"/>
  <c r="G575" i="10"/>
  <c r="F575" i="10"/>
  <c r="E575" i="10"/>
  <c r="D575" i="10"/>
  <c r="C575" i="10"/>
  <c r="B575" i="10"/>
  <c r="H576" i="10"/>
  <c r="G576" i="10"/>
  <c r="F576" i="10"/>
  <c r="E576" i="10"/>
  <c r="D576" i="10"/>
  <c r="C576" i="10"/>
  <c r="B576" i="10"/>
  <c r="H577" i="10"/>
  <c r="G577" i="10"/>
  <c r="F577" i="10"/>
  <c r="E577" i="10"/>
  <c r="D577" i="10"/>
  <c r="C577" i="10"/>
  <c r="B577" i="10"/>
  <c r="H578" i="10"/>
  <c r="G578" i="10"/>
  <c r="F578" i="10"/>
  <c r="E578" i="10"/>
  <c r="D578" i="10"/>
  <c r="C578" i="10"/>
  <c r="B578" i="10"/>
  <c r="H579" i="10"/>
  <c r="G579" i="10"/>
  <c r="F579" i="10"/>
  <c r="E579" i="10"/>
  <c r="D579" i="10"/>
  <c r="C579" i="10"/>
  <c r="B579" i="10"/>
  <c r="H580" i="10"/>
  <c r="G580" i="10"/>
  <c r="F580" i="10"/>
  <c r="E580" i="10"/>
  <c r="D580" i="10"/>
  <c r="C580" i="10"/>
  <c r="B580" i="10"/>
  <c r="H581" i="10"/>
  <c r="G581" i="10"/>
  <c r="F581" i="10"/>
  <c r="E581" i="10"/>
  <c r="D581" i="10"/>
  <c r="C581" i="10"/>
  <c r="B581" i="10"/>
  <c r="H582" i="10"/>
  <c r="G582" i="10"/>
  <c r="F582" i="10"/>
  <c r="E582" i="10"/>
  <c r="D582" i="10"/>
  <c r="C582" i="10"/>
  <c r="B582" i="10"/>
  <c r="H583" i="10"/>
  <c r="G583" i="10"/>
  <c r="F583" i="10"/>
  <c r="E583" i="10"/>
  <c r="D583" i="10"/>
  <c r="C583" i="10"/>
  <c r="B583" i="10"/>
  <c r="H584" i="10"/>
  <c r="G584" i="10"/>
  <c r="F584" i="10"/>
  <c r="E584" i="10"/>
  <c r="D584" i="10"/>
  <c r="C584" i="10"/>
  <c r="B584" i="10"/>
  <c r="H585" i="10"/>
  <c r="G585" i="10"/>
  <c r="F585" i="10"/>
  <c r="E585" i="10"/>
  <c r="D585" i="10"/>
  <c r="C585" i="10"/>
  <c r="B585" i="10"/>
  <c r="H586" i="10"/>
  <c r="G586" i="10"/>
  <c r="F586" i="10"/>
  <c r="E586" i="10"/>
  <c r="D586" i="10"/>
  <c r="C586" i="10"/>
  <c r="B586" i="10"/>
  <c r="H587" i="10"/>
  <c r="G587" i="10"/>
  <c r="F587" i="10"/>
  <c r="E587" i="10"/>
  <c r="D587" i="10"/>
  <c r="C587" i="10"/>
  <c r="B587" i="10"/>
  <c r="H588" i="10"/>
  <c r="G588" i="10"/>
  <c r="F588" i="10"/>
  <c r="E588" i="10"/>
  <c r="D588" i="10"/>
  <c r="C588" i="10"/>
  <c r="B588" i="10"/>
  <c r="H589" i="10"/>
  <c r="G589" i="10"/>
  <c r="F589" i="10"/>
  <c r="E589" i="10"/>
  <c r="D589" i="10"/>
  <c r="C589" i="10"/>
  <c r="B589" i="10"/>
  <c r="H590" i="10"/>
  <c r="G590" i="10"/>
  <c r="F590" i="10"/>
  <c r="E590" i="10"/>
  <c r="D590" i="10"/>
  <c r="C590" i="10"/>
  <c r="B590" i="10"/>
  <c r="H591" i="10"/>
  <c r="G591" i="10"/>
  <c r="F591" i="10"/>
  <c r="E591" i="10"/>
  <c r="D591" i="10"/>
  <c r="C591" i="10"/>
  <c r="B591" i="10"/>
  <c r="H592" i="10"/>
  <c r="G592" i="10"/>
  <c r="F592" i="10"/>
  <c r="E592" i="10"/>
  <c r="D592" i="10"/>
  <c r="C592" i="10"/>
  <c r="B592" i="10"/>
  <c r="H593" i="10"/>
  <c r="G593" i="10"/>
  <c r="F593" i="10"/>
  <c r="E593" i="10"/>
  <c r="D593" i="10"/>
  <c r="C593" i="10"/>
  <c r="B593" i="10"/>
  <c r="H594" i="10"/>
  <c r="G594" i="10"/>
  <c r="F594" i="10"/>
  <c r="E594" i="10"/>
  <c r="D594" i="10"/>
  <c r="C594" i="10"/>
  <c r="B594" i="10"/>
  <c r="H595" i="10"/>
  <c r="G595" i="10"/>
  <c r="F595" i="10"/>
  <c r="E595" i="10"/>
  <c r="D595" i="10"/>
  <c r="C595" i="10"/>
  <c r="B595" i="10"/>
  <c r="H596" i="10"/>
  <c r="G596" i="10"/>
  <c r="F596" i="10"/>
  <c r="E596" i="10"/>
  <c r="D596" i="10"/>
  <c r="C596" i="10"/>
  <c r="B596" i="10"/>
  <c r="H597" i="10"/>
  <c r="G597" i="10"/>
  <c r="F597" i="10"/>
  <c r="E597" i="10"/>
  <c r="D597" i="10"/>
  <c r="C597" i="10"/>
  <c r="B597" i="10"/>
  <c r="H598" i="10"/>
  <c r="G598" i="10"/>
  <c r="F598" i="10"/>
  <c r="E598" i="10"/>
  <c r="D598" i="10"/>
  <c r="C598" i="10"/>
  <c r="B598" i="10"/>
  <c r="H599" i="10"/>
  <c r="G599" i="10"/>
  <c r="F599" i="10"/>
  <c r="E599" i="10"/>
  <c r="D599" i="10"/>
  <c r="C599" i="10"/>
  <c r="B599" i="10"/>
  <c r="H600" i="10"/>
  <c r="G600" i="10"/>
  <c r="F600" i="10"/>
  <c r="E600" i="10"/>
  <c r="D600" i="10"/>
  <c r="C600" i="10"/>
  <c r="B600" i="10"/>
  <c r="H601" i="10"/>
  <c r="G601" i="10"/>
  <c r="F601" i="10"/>
  <c r="E601" i="10"/>
  <c r="D601" i="10"/>
  <c r="C601" i="10"/>
  <c r="B601" i="10"/>
  <c r="H602" i="10"/>
  <c r="G602" i="10"/>
  <c r="F602" i="10"/>
  <c r="E602" i="10"/>
  <c r="D602" i="10"/>
  <c r="C602" i="10"/>
  <c r="B602" i="10"/>
  <c r="H603" i="10"/>
  <c r="G603" i="10"/>
  <c r="F603" i="10"/>
  <c r="E603" i="10"/>
  <c r="D603" i="10"/>
  <c r="C603" i="10"/>
  <c r="B603" i="10"/>
  <c r="H604" i="10"/>
  <c r="G604" i="10"/>
  <c r="F604" i="10"/>
  <c r="E604" i="10"/>
  <c r="D604" i="10"/>
  <c r="C604" i="10"/>
  <c r="B604" i="10"/>
  <c r="H605" i="10"/>
  <c r="G605" i="10"/>
  <c r="F605" i="10"/>
  <c r="E605" i="10"/>
  <c r="D605" i="10"/>
  <c r="C605" i="10"/>
  <c r="B605" i="10"/>
  <c r="H606" i="10"/>
  <c r="G606" i="10"/>
  <c r="F606" i="10"/>
  <c r="E606" i="10"/>
  <c r="D606" i="10"/>
  <c r="C606" i="10"/>
  <c r="B606" i="10"/>
  <c r="H607" i="10"/>
  <c r="G607" i="10"/>
  <c r="F607" i="10"/>
  <c r="E607" i="10"/>
  <c r="D607" i="10"/>
  <c r="C607" i="10"/>
  <c r="B607" i="10"/>
  <c r="H608" i="10"/>
  <c r="G608" i="10"/>
  <c r="F608" i="10"/>
  <c r="E608" i="10"/>
  <c r="D608" i="10"/>
  <c r="C608" i="10"/>
  <c r="B608" i="10"/>
  <c r="H609" i="10"/>
  <c r="G609" i="10"/>
  <c r="F609" i="10"/>
  <c r="E609" i="10"/>
  <c r="D609" i="10"/>
  <c r="C609" i="10"/>
  <c r="B609" i="10"/>
  <c r="H610" i="10"/>
  <c r="G610" i="10"/>
  <c r="F610" i="10"/>
  <c r="E610" i="10"/>
  <c r="D610" i="10"/>
  <c r="C610" i="10"/>
  <c r="B610" i="10"/>
  <c r="H611" i="10"/>
  <c r="G611" i="10"/>
  <c r="F611" i="10"/>
  <c r="E611" i="10"/>
  <c r="D611" i="10"/>
  <c r="C611" i="10"/>
  <c r="B611" i="10"/>
  <c r="H612" i="10"/>
  <c r="G612" i="10"/>
  <c r="F612" i="10"/>
  <c r="E612" i="10"/>
  <c r="D612" i="10"/>
  <c r="C612" i="10"/>
  <c r="B612" i="10"/>
  <c r="H613" i="10"/>
  <c r="G613" i="10"/>
  <c r="F613" i="10"/>
  <c r="E613" i="10"/>
  <c r="D613" i="10"/>
  <c r="C613" i="10"/>
  <c r="B613" i="10"/>
  <c r="H614" i="10"/>
  <c r="G614" i="10"/>
  <c r="F614" i="10"/>
  <c r="E614" i="10"/>
  <c r="D614" i="10"/>
  <c r="C614" i="10"/>
  <c r="B614" i="10"/>
  <c r="H615" i="10"/>
  <c r="G615" i="10"/>
  <c r="F615" i="10"/>
  <c r="E615" i="10"/>
  <c r="D615" i="10"/>
  <c r="C615" i="10"/>
  <c r="B615" i="10"/>
  <c r="H616" i="10"/>
  <c r="G616" i="10"/>
  <c r="F616" i="10"/>
  <c r="E616" i="10"/>
  <c r="D616" i="10"/>
  <c r="C616" i="10"/>
  <c r="B616" i="10"/>
  <c r="H617" i="10"/>
  <c r="G617" i="10"/>
  <c r="F617" i="10"/>
  <c r="E617" i="10"/>
  <c r="D617" i="10"/>
  <c r="C617" i="10"/>
  <c r="B617" i="10"/>
  <c r="H618" i="10"/>
  <c r="G618" i="10"/>
  <c r="F618" i="10"/>
  <c r="E618" i="10"/>
  <c r="D618" i="10"/>
  <c r="C618" i="10"/>
  <c r="B618" i="10"/>
  <c r="H619" i="10"/>
  <c r="G619" i="10"/>
  <c r="F619" i="10"/>
  <c r="E619" i="10"/>
  <c r="D619" i="10"/>
  <c r="C619" i="10"/>
  <c r="B619" i="10"/>
  <c r="H620" i="10"/>
  <c r="G620" i="10"/>
  <c r="F620" i="10"/>
  <c r="E620" i="10"/>
  <c r="D620" i="10"/>
  <c r="C620" i="10"/>
  <c r="B620" i="10"/>
  <c r="H621" i="10"/>
  <c r="G621" i="10"/>
  <c r="F621" i="10"/>
  <c r="E621" i="10"/>
  <c r="D621" i="10"/>
  <c r="C621" i="10"/>
  <c r="B621" i="10"/>
  <c r="H622" i="10"/>
  <c r="G622" i="10"/>
  <c r="F622" i="10"/>
  <c r="E622" i="10"/>
  <c r="D622" i="10"/>
  <c r="C622" i="10"/>
  <c r="B622" i="10"/>
  <c r="H623" i="10"/>
  <c r="G623" i="10"/>
  <c r="F623" i="10"/>
  <c r="E623" i="10"/>
  <c r="D623" i="10"/>
  <c r="C623" i="10"/>
  <c r="B623" i="10"/>
  <c r="H624" i="10"/>
  <c r="G624" i="10"/>
  <c r="F624" i="10"/>
  <c r="E624" i="10"/>
  <c r="D624" i="10"/>
  <c r="C624" i="10"/>
  <c r="B624" i="10"/>
  <c r="H625" i="10"/>
  <c r="G625" i="10"/>
  <c r="F625" i="10"/>
  <c r="E625" i="10"/>
  <c r="D625" i="10"/>
  <c r="C625" i="10"/>
  <c r="B625" i="10"/>
  <c r="H626" i="10"/>
  <c r="G626" i="10"/>
  <c r="F626" i="10"/>
  <c r="E626" i="10"/>
  <c r="D626" i="10"/>
  <c r="C626" i="10"/>
  <c r="B626" i="10"/>
  <c r="H627" i="10"/>
  <c r="G627" i="10"/>
  <c r="F627" i="10"/>
  <c r="E627" i="10"/>
  <c r="D627" i="10"/>
  <c r="C627" i="10"/>
  <c r="B627" i="10"/>
  <c r="H628" i="10"/>
  <c r="G628" i="10"/>
  <c r="F628" i="10"/>
  <c r="E628" i="10"/>
  <c r="D628" i="10"/>
  <c r="C628" i="10"/>
  <c r="B628" i="10"/>
  <c r="H629" i="10"/>
  <c r="G629" i="10"/>
  <c r="F629" i="10"/>
  <c r="E629" i="10"/>
  <c r="D629" i="10"/>
  <c r="C629" i="10"/>
  <c r="B629" i="10"/>
  <c r="H630" i="10"/>
  <c r="G630" i="10"/>
  <c r="F630" i="10"/>
  <c r="E630" i="10"/>
  <c r="D630" i="10"/>
  <c r="C630" i="10"/>
  <c r="B630" i="10"/>
  <c r="H631" i="10"/>
  <c r="G631" i="10"/>
  <c r="F631" i="10"/>
  <c r="E631" i="10"/>
  <c r="D631" i="10"/>
  <c r="C631" i="10"/>
  <c r="B631" i="10"/>
  <c r="H632" i="10"/>
  <c r="G632" i="10"/>
  <c r="F632" i="10"/>
  <c r="E632" i="10"/>
  <c r="D632" i="10"/>
  <c r="C632" i="10"/>
  <c r="B632" i="10"/>
  <c r="H633" i="10"/>
  <c r="G633" i="10"/>
  <c r="F633" i="10"/>
  <c r="E633" i="10"/>
  <c r="D633" i="10"/>
  <c r="C633" i="10"/>
  <c r="B633" i="10"/>
  <c r="H634" i="10"/>
  <c r="G634" i="10"/>
  <c r="F634" i="10"/>
  <c r="E634" i="10"/>
  <c r="D634" i="10"/>
  <c r="C634" i="10"/>
  <c r="B634" i="10"/>
  <c r="H635" i="10"/>
  <c r="G635" i="10"/>
  <c r="F635" i="10"/>
  <c r="E635" i="10"/>
  <c r="D635" i="10"/>
  <c r="C635" i="10"/>
  <c r="B635" i="10"/>
  <c r="H636" i="10"/>
  <c r="G636" i="10"/>
  <c r="F636" i="10"/>
  <c r="E636" i="10"/>
  <c r="D636" i="10"/>
  <c r="C636" i="10"/>
  <c r="B636" i="10"/>
  <c r="H637" i="10"/>
  <c r="G637" i="10"/>
  <c r="F637" i="10"/>
  <c r="E637" i="10"/>
  <c r="D637" i="10"/>
  <c r="C637" i="10"/>
  <c r="B637" i="10"/>
  <c r="H638" i="10"/>
  <c r="G638" i="10"/>
  <c r="F638" i="10"/>
  <c r="E638" i="10"/>
  <c r="D638" i="10"/>
  <c r="C638" i="10"/>
  <c r="B638" i="10"/>
  <c r="H639" i="10"/>
  <c r="G639" i="10"/>
  <c r="F639" i="10"/>
  <c r="E639" i="10"/>
  <c r="D639" i="10"/>
  <c r="C639" i="10"/>
  <c r="B639" i="10"/>
  <c r="H640" i="10"/>
  <c r="G640" i="10"/>
  <c r="F640" i="10"/>
  <c r="E640" i="10"/>
  <c r="D640" i="10"/>
  <c r="C640" i="10"/>
  <c r="B640" i="10"/>
  <c r="H641" i="10"/>
  <c r="G641" i="10"/>
  <c r="F641" i="10"/>
  <c r="E641" i="10"/>
  <c r="D641" i="10"/>
  <c r="C641" i="10"/>
  <c r="B641" i="10"/>
  <c r="H642" i="10"/>
  <c r="G642" i="10"/>
  <c r="F642" i="10"/>
  <c r="E642" i="10"/>
  <c r="D642" i="10"/>
  <c r="C642" i="10"/>
  <c r="B642" i="10"/>
  <c r="H643" i="10"/>
  <c r="G643" i="10"/>
  <c r="F643" i="10"/>
  <c r="E643" i="10"/>
  <c r="D643" i="10"/>
  <c r="C643" i="10"/>
  <c r="B643" i="10"/>
  <c r="H644" i="10"/>
  <c r="G644" i="10"/>
  <c r="F644" i="10"/>
  <c r="E644" i="10"/>
  <c r="D644" i="10"/>
  <c r="C644" i="10"/>
  <c r="B644" i="10"/>
  <c r="H645" i="10"/>
  <c r="G645" i="10"/>
  <c r="F645" i="10"/>
  <c r="E645" i="10"/>
  <c r="D645" i="10"/>
  <c r="C645" i="10"/>
  <c r="B645" i="10"/>
  <c r="H646" i="10"/>
  <c r="G646" i="10"/>
  <c r="F646" i="10"/>
  <c r="E646" i="10"/>
  <c r="D646" i="10"/>
  <c r="C646" i="10"/>
  <c r="B646" i="10"/>
  <c r="H647" i="10"/>
  <c r="G647" i="10"/>
  <c r="F647" i="10"/>
  <c r="E647" i="10"/>
  <c r="D647" i="10"/>
  <c r="C647" i="10"/>
  <c r="B647" i="10"/>
  <c r="H648" i="10"/>
  <c r="G648" i="10"/>
  <c r="F648" i="10"/>
  <c r="E648" i="10"/>
  <c r="D648" i="10"/>
  <c r="C648" i="10"/>
  <c r="B648" i="10"/>
  <c r="H649" i="10"/>
  <c r="G649" i="10"/>
  <c r="F649" i="10"/>
  <c r="E649" i="10"/>
  <c r="D649" i="10"/>
  <c r="C649" i="10"/>
  <c r="B649" i="10"/>
  <c r="H650" i="10"/>
  <c r="G650" i="10"/>
  <c r="F650" i="10"/>
  <c r="E650" i="10"/>
  <c r="D650" i="10"/>
  <c r="C650" i="10"/>
  <c r="B650" i="10"/>
  <c r="H651" i="10"/>
  <c r="G651" i="10"/>
  <c r="F651" i="10"/>
  <c r="E651" i="10"/>
  <c r="D651" i="10"/>
  <c r="C651" i="10"/>
  <c r="B651" i="10"/>
  <c r="H652" i="10"/>
  <c r="G652" i="10"/>
  <c r="F652" i="10"/>
  <c r="E652" i="10"/>
  <c r="D652" i="10"/>
  <c r="C652" i="10"/>
  <c r="B652" i="10"/>
  <c r="H653" i="10"/>
  <c r="G653" i="10"/>
  <c r="F653" i="10"/>
  <c r="E653" i="10"/>
  <c r="D653" i="10"/>
  <c r="C653" i="10"/>
  <c r="B653" i="10"/>
  <c r="H654" i="10"/>
  <c r="G654" i="10"/>
  <c r="F654" i="10"/>
  <c r="E654" i="10"/>
  <c r="D654" i="10"/>
  <c r="C654" i="10"/>
  <c r="B654" i="10"/>
  <c r="H655" i="10"/>
  <c r="G655" i="10"/>
  <c r="F655" i="10"/>
  <c r="E655" i="10"/>
  <c r="D655" i="10"/>
  <c r="C655" i="10"/>
  <c r="B655" i="10"/>
  <c r="H656" i="10"/>
  <c r="G656" i="10"/>
  <c r="F656" i="10"/>
  <c r="E656" i="10"/>
  <c r="D656" i="10"/>
  <c r="C656" i="10"/>
  <c r="B656" i="10"/>
  <c r="H657" i="10"/>
  <c r="G657" i="10"/>
  <c r="F657" i="10"/>
  <c r="E657" i="10"/>
  <c r="D657" i="10"/>
  <c r="C657" i="10"/>
  <c r="B657" i="10"/>
  <c r="H658" i="10"/>
  <c r="G658" i="10"/>
  <c r="F658" i="10"/>
  <c r="E658" i="10"/>
  <c r="D658" i="10"/>
  <c r="C658" i="10"/>
  <c r="B658" i="10"/>
  <c r="H659" i="10"/>
  <c r="G659" i="10"/>
  <c r="F659" i="10"/>
  <c r="E659" i="10"/>
  <c r="D659" i="10"/>
  <c r="C659" i="10"/>
  <c r="B659" i="10"/>
  <c r="H660" i="10"/>
  <c r="G660" i="10"/>
  <c r="F660" i="10"/>
  <c r="E660" i="10"/>
  <c r="D660" i="10"/>
  <c r="C660" i="10"/>
  <c r="B660" i="10"/>
  <c r="H661" i="10"/>
  <c r="G661" i="10"/>
  <c r="F661" i="10"/>
  <c r="E661" i="10"/>
  <c r="D661" i="10"/>
  <c r="C661" i="10"/>
  <c r="B661" i="10"/>
  <c r="H662" i="10"/>
  <c r="G662" i="10"/>
  <c r="F662" i="10"/>
  <c r="E662" i="10"/>
  <c r="D662" i="10"/>
  <c r="C662" i="10"/>
  <c r="B662" i="10"/>
  <c r="H663" i="10"/>
  <c r="G663" i="10"/>
  <c r="F663" i="10"/>
  <c r="E663" i="10"/>
  <c r="D663" i="10"/>
  <c r="C663" i="10"/>
  <c r="B663" i="10"/>
  <c r="H664" i="10"/>
  <c r="G664" i="10"/>
  <c r="F664" i="10"/>
  <c r="E664" i="10"/>
  <c r="D664" i="10"/>
  <c r="C664" i="10"/>
  <c r="B664" i="10"/>
  <c r="H665" i="10"/>
  <c r="G665" i="10"/>
  <c r="F665" i="10"/>
  <c r="E665" i="10"/>
  <c r="D665" i="10"/>
  <c r="C665" i="10"/>
  <c r="B665" i="10"/>
  <c r="H666" i="10"/>
  <c r="G666" i="10"/>
  <c r="F666" i="10"/>
  <c r="E666" i="10"/>
  <c r="D666" i="10"/>
  <c r="C666" i="10"/>
  <c r="B666" i="10"/>
  <c r="H667" i="10"/>
  <c r="G667" i="10"/>
  <c r="F667" i="10"/>
  <c r="E667" i="10"/>
  <c r="D667" i="10"/>
  <c r="C667" i="10"/>
  <c r="B667" i="10"/>
  <c r="H668" i="10"/>
  <c r="G668" i="10"/>
  <c r="F668" i="10"/>
  <c r="E668" i="10"/>
  <c r="D668" i="10"/>
  <c r="C668" i="10"/>
  <c r="B668" i="10"/>
  <c r="H669" i="10"/>
  <c r="G669" i="10"/>
  <c r="F669" i="10"/>
  <c r="E669" i="10"/>
  <c r="D669" i="10"/>
  <c r="C669" i="10"/>
  <c r="B669" i="10"/>
  <c r="H670" i="10"/>
  <c r="G670" i="10"/>
  <c r="F670" i="10"/>
  <c r="E670" i="10"/>
  <c r="D670" i="10"/>
  <c r="C670" i="10"/>
  <c r="B670" i="10"/>
  <c r="H671" i="10"/>
  <c r="G671" i="10"/>
  <c r="F671" i="10"/>
  <c r="E671" i="10"/>
  <c r="D671" i="10"/>
  <c r="C671" i="10"/>
  <c r="B671" i="10"/>
  <c r="H672" i="10"/>
  <c r="G672" i="10"/>
  <c r="F672" i="10"/>
  <c r="E672" i="10"/>
  <c r="D672" i="10"/>
  <c r="C672" i="10"/>
  <c r="B672" i="10"/>
  <c r="H673" i="10"/>
  <c r="G673" i="10"/>
  <c r="F673" i="10"/>
  <c r="E673" i="10"/>
  <c r="D673" i="10"/>
  <c r="C673" i="10"/>
  <c r="B673" i="10"/>
  <c r="H674" i="10"/>
  <c r="G674" i="10"/>
  <c r="F674" i="10"/>
  <c r="E674" i="10"/>
  <c r="D674" i="10"/>
  <c r="C674" i="10"/>
  <c r="B674" i="10"/>
  <c r="H675" i="10"/>
  <c r="G675" i="10"/>
  <c r="F675" i="10"/>
  <c r="E675" i="10"/>
  <c r="D675" i="10"/>
  <c r="C675" i="10"/>
  <c r="B675" i="10"/>
  <c r="H676" i="10"/>
  <c r="G676" i="10"/>
  <c r="F676" i="10"/>
  <c r="E676" i="10"/>
  <c r="D676" i="10"/>
  <c r="C676" i="10"/>
  <c r="B676" i="10"/>
  <c r="H677" i="10"/>
  <c r="G677" i="10"/>
  <c r="F677" i="10"/>
  <c r="E677" i="10"/>
  <c r="D677" i="10"/>
  <c r="C677" i="10"/>
  <c r="B677" i="10"/>
  <c r="H678" i="10"/>
  <c r="G678" i="10"/>
  <c r="F678" i="10"/>
  <c r="E678" i="10"/>
  <c r="D678" i="10"/>
  <c r="C678" i="10"/>
  <c r="B678" i="10"/>
  <c r="H679" i="10"/>
  <c r="G679" i="10"/>
  <c r="F679" i="10"/>
  <c r="E679" i="10"/>
  <c r="D679" i="10"/>
  <c r="C679" i="10"/>
  <c r="B679" i="10"/>
  <c r="H680" i="10"/>
  <c r="G680" i="10"/>
  <c r="F680" i="10"/>
  <c r="E680" i="10"/>
  <c r="D680" i="10"/>
  <c r="C680" i="10"/>
  <c r="B680" i="10"/>
  <c r="H681" i="10"/>
  <c r="G681" i="10"/>
  <c r="F681" i="10"/>
  <c r="E681" i="10"/>
  <c r="D681" i="10"/>
  <c r="C681" i="10"/>
  <c r="B681" i="10"/>
  <c r="H682" i="10"/>
  <c r="G682" i="10"/>
  <c r="F682" i="10"/>
  <c r="E682" i="10"/>
  <c r="D682" i="10"/>
  <c r="C682" i="10"/>
  <c r="B682" i="10"/>
  <c r="H683" i="10"/>
  <c r="G683" i="10"/>
  <c r="F683" i="10"/>
  <c r="E683" i="10"/>
  <c r="D683" i="10"/>
  <c r="C683" i="10"/>
  <c r="B683" i="10"/>
  <c r="H684" i="10"/>
  <c r="G684" i="10"/>
  <c r="F684" i="10"/>
  <c r="E684" i="10"/>
  <c r="D684" i="10"/>
  <c r="C684" i="10"/>
  <c r="B684" i="10"/>
  <c r="H685" i="10"/>
  <c r="G685" i="10"/>
  <c r="F685" i="10"/>
  <c r="E685" i="10"/>
  <c r="D685" i="10"/>
  <c r="C685" i="10"/>
  <c r="B685" i="10"/>
  <c r="H686" i="10"/>
  <c r="G686" i="10"/>
  <c r="F686" i="10"/>
  <c r="E686" i="10"/>
  <c r="D686" i="10"/>
  <c r="C686" i="10"/>
  <c r="B686" i="10"/>
  <c r="H687" i="10"/>
  <c r="G687" i="10"/>
  <c r="F687" i="10"/>
  <c r="E687" i="10"/>
  <c r="D687" i="10"/>
  <c r="C687" i="10"/>
  <c r="B687" i="10"/>
  <c r="H688" i="10"/>
  <c r="G688" i="10"/>
  <c r="F688" i="10"/>
  <c r="E688" i="10"/>
  <c r="D688" i="10"/>
  <c r="C688" i="10"/>
  <c r="B688" i="10"/>
  <c r="H689" i="10"/>
  <c r="G689" i="10"/>
  <c r="F689" i="10"/>
  <c r="E689" i="10"/>
  <c r="D689" i="10"/>
  <c r="C689" i="10"/>
  <c r="B689" i="10"/>
  <c r="H690" i="10"/>
  <c r="G690" i="10"/>
  <c r="F690" i="10"/>
  <c r="E690" i="10"/>
  <c r="D690" i="10"/>
  <c r="C690" i="10"/>
  <c r="B690" i="10"/>
  <c r="H691" i="10"/>
  <c r="G691" i="10"/>
  <c r="F691" i="10"/>
  <c r="E691" i="10"/>
  <c r="D691" i="10"/>
  <c r="C691" i="10"/>
  <c r="B691" i="10"/>
  <c r="H692" i="10"/>
  <c r="G692" i="10"/>
  <c r="F692" i="10"/>
  <c r="E692" i="10"/>
  <c r="D692" i="10"/>
  <c r="C692" i="10"/>
  <c r="B692" i="10"/>
  <c r="H693" i="10"/>
  <c r="G693" i="10"/>
  <c r="F693" i="10"/>
  <c r="E693" i="10"/>
  <c r="D693" i="10"/>
  <c r="C693" i="10"/>
  <c r="B693" i="10"/>
  <c r="H694" i="10"/>
  <c r="G694" i="10"/>
  <c r="F694" i="10"/>
  <c r="E694" i="10"/>
  <c r="D694" i="10"/>
  <c r="C694" i="10"/>
  <c r="B694" i="10"/>
  <c r="H695" i="10"/>
  <c r="G695" i="10"/>
  <c r="F695" i="10"/>
  <c r="E695" i="10"/>
  <c r="D695" i="10"/>
  <c r="C695" i="10"/>
  <c r="B695" i="10"/>
  <c r="H696" i="10"/>
  <c r="G696" i="10"/>
  <c r="F696" i="10"/>
  <c r="E696" i="10"/>
  <c r="D696" i="10"/>
  <c r="C696" i="10"/>
  <c r="B696" i="10"/>
  <c r="H697" i="10"/>
  <c r="G697" i="10"/>
  <c r="F697" i="10"/>
  <c r="E697" i="10"/>
  <c r="D697" i="10"/>
  <c r="C697" i="10"/>
  <c r="B697" i="10"/>
  <c r="H698" i="10"/>
  <c r="G698" i="10"/>
  <c r="F698" i="10"/>
  <c r="E698" i="10"/>
  <c r="D698" i="10"/>
  <c r="C698" i="10"/>
  <c r="B698" i="10"/>
  <c r="H699" i="10"/>
  <c r="G699" i="10"/>
  <c r="F699" i="10"/>
  <c r="E699" i="10"/>
  <c r="D699" i="10"/>
  <c r="C699" i="10"/>
  <c r="B699" i="10"/>
  <c r="H700" i="10"/>
  <c r="G700" i="10"/>
  <c r="F700" i="10"/>
  <c r="E700" i="10"/>
  <c r="D700" i="10"/>
  <c r="C700" i="10"/>
  <c r="B700" i="10"/>
  <c r="H701" i="10"/>
  <c r="G701" i="10"/>
  <c r="F701" i="10"/>
  <c r="E701" i="10"/>
  <c r="D701" i="10"/>
  <c r="C701" i="10"/>
  <c r="B701" i="10"/>
  <c r="H702" i="10"/>
  <c r="G702" i="10"/>
  <c r="F702" i="10"/>
  <c r="E702" i="10"/>
  <c r="D702" i="10"/>
  <c r="C702" i="10"/>
  <c r="B702" i="10"/>
  <c r="H703" i="10"/>
  <c r="G703" i="10"/>
  <c r="F703" i="10"/>
  <c r="E703" i="10"/>
  <c r="D703" i="10"/>
  <c r="C703" i="10"/>
  <c r="B703" i="10"/>
  <c r="H704" i="10"/>
  <c r="G704" i="10"/>
  <c r="F704" i="10"/>
  <c r="E704" i="10"/>
  <c r="D704" i="10"/>
  <c r="C704" i="10"/>
  <c r="B704" i="10"/>
  <c r="H705" i="10"/>
  <c r="G705" i="10"/>
  <c r="F705" i="10"/>
  <c r="E705" i="10"/>
  <c r="D705" i="10"/>
  <c r="C705" i="10"/>
  <c r="B705" i="10"/>
  <c r="H706" i="10"/>
  <c r="G706" i="10"/>
  <c r="F706" i="10"/>
  <c r="E706" i="10"/>
  <c r="D706" i="10"/>
  <c r="C706" i="10"/>
  <c r="B706" i="10"/>
  <c r="H707" i="10"/>
  <c r="G707" i="10"/>
  <c r="F707" i="10"/>
  <c r="E707" i="10"/>
  <c r="D707" i="10"/>
  <c r="C707" i="10"/>
  <c r="B707" i="10"/>
  <c r="H708" i="10"/>
  <c r="G708" i="10"/>
  <c r="F708" i="10"/>
  <c r="E708" i="10"/>
  <c r="D708" i="10"/>
  <c r="C708" i="10"/>
  <c r="B708" i="10"/>
  <c r="H709" i="10"/>
  <c r="G709" i="10"/>
  <c r="F709" i="10"/>
  <c r="E709" i="10"/>
  <c r="D709" i="10"/>
  <c r="C709" i="10"/>
  <c r="B709" i="10"/>
  <c r="H710" i="10"/>
  <c r="G710" i="10"/>
  <c r="F710" i="10"/>
  <c r="E710" i="10"/>
  <c r="D710" i="10"/>
  <c r="C710" i="10"/>
  <c r="B710" i="10"/>
  <c r="H711" i="10"/>
  <c r="G711" i="10"/>
  <c r="F711" i="10"/>
  <c r="E711" i="10"/>
  <c r="D711" i="10"/>
  <c r="C711" i="10"/>
  <c r="B711" i="10"/>
  <c r="H712" i="10"/>
  <c r="G712" i="10"/>
  <c r="F712" i="10"/>
  <c r="E712" i="10"/>
  <c r="D712" i="10"/>
  <c r="C712" i="10"/>
  <c r="B712" i="10"/>
  <c r="H713" i="10"/>
  <c r="G713" i="10"/>
  <c r="F713" i="10"/>
  <c r="E713" i="10"/>
  <c r="D713" i="10"/>
  <c r="C713" i="10"/>
  <c r="B713" i="10"/>
  <c r="H714" i="10"/>
  <c r="G714" i="10"/>
  <c r="F714" i="10"/>
  <c r="E714" i="10"/>
  <c r="D714" i="10"/>
  <c r="C714" i="10"/>
  <c r="B714" i="10"/>
  <c r="H715" i="10"/>
  <c r="G715" i="10"/>
  <c r="F715" i="10"/>
  <c r="E715" i="10"/>
  <c r="D715" i="10"/>
  <c r="C715" i="10"/>
  <c r="B715" i="10"/>
  <c r="H716" i="10"/>
  <c r="G716" i="10"/>
  <c r="F716" i="10"/>
  <c r="E716" i="10"/>
  <c r="D716" i="10"/>
  <c r="C716" i="10"/>
  <c r="B716" i="10"/>
  <c r="H717" i="10"/>
  <c r="G717" i="10"/>
  <c r="F717" i="10"/>
  <c r="E717" i="10"/>
  <c r="D717" i="10"/>
  <c r="C717" i="10"/>
  <c r="B717" i="10"/>
  <c r="H718" i="10"/>
  <c r="G718" i="10"/>
  <c r="F718" i="10"/>
  <c r="E718" i="10"/>
  <c r="D718" i="10"/>
  <c r="C718" i="10"/>
  <c r="B718" i="10"/>
  <c r="H719" i="10"/>
  <c r="G719" i="10"/>
  <c r="F719" i="10"/>
  <c r="E719" i="10"/>
  <c r="D719" i="10"/>
  <c r="C719" i="10"/>
  <c r="B719" i="10"/>
  <c r="H720" i="10"/>
  <c r="G720" i="10"/>
  <c r="F720" i="10"/>
  <c r="E720" i="10"/>
  <c r="D720" i="10"/>
  <c r="C720" i="10"/>
  <c r="B720" i="10"/>
  <c r="H721" i="10"/>
  <c r="G721" i="10"/>
  <c r="F721" i="10"/>
  <c r="E721" i="10"/>
  <c r="D721" i="10"/>
  <c r="C721" i="10"/>
  <c r="B721" i="10"/>
  <c r="H722" i="10"/>
  <c r="G722" i="10"/>
  <c r="F722" i="10"/>
  <c r="E722" i="10"/>
  <c r="D722" i="10"/>
  <c r="C722" i="10"/>
  <c r="B722" i="10"/>
  <c r="H723" i="10"/>
  <c r="G723" i="10"/>
  <c r="F723" i="10"/>
  <c r="E723" i="10"/>
  <c r="D723" i="10"/>
  <c r="C723" i="10"/>
  <c r="B723" i="10"/>
  <c r="H724" i="10"/>
  <c r="G724" i="10"/>
  <c r="F724" i="10"/>
  <c r="E724" i="10"/>
  <c r="D724" i="10"/>
  <c r="C724" i="10"/>
  <c r="B724" i="10"/>
  <c r="H725" i="10"/>
  <c r="G725" i="10"/>
  <c r="F725" i="10"/>
  <c r="E725" i="10"/>
  <c r="D725" i="10"/>
  <c r="C725" i="10"/>
  <c r="B725" i="10"/>
  <c r="H726" i="10"/>
  <c r="G726" i="10"/>
  <c r="F726" i="10"/>
  <c r="E726" i="10"/>
  <c r="D726" i="10"/>
  <c r="C726" i="10"/>
  <c r="B726" i="10"/>
  <c r="H727" i="10"/>
  <c r="G727" i="10"/>
  <c r="F727" i="10"/>
  <c r="E727" i="10"/>
  <c r="D727" i="10"/>
  <c r="C727" i="10"/>
  <c r="B727" i="10"/>
  <c r="H728" i="10"/>
  <c r="G728" i="10"/>
  <c r="F728" i="10"/>
  <c r="E728" i="10"/>
  <c r="D728" i="10"/>
  <c r="C728" i="10"/>
  <c r="B728" i="10"/>
  <c r="H729" i="10"/>
  <c r="G729" i="10"/>
  <c r="F729" i="10"/>
  <c r="E729" i="10"/>
  <c r="D729" i="10"/>
  <c r="C729" i="10"/>
  <c r="B729" i="10"/>
  <c r="H730" i="10"/>
  <c r="G730" i="10"/>
  <c r="F730" i="10"/>
  <c r="E730" i="10"/>
  <c r="D730" i="10"/>
  <c r="C730" i="10"/>
  <c r="B730" i="10"/>
  <c r="H731" i="10"/>
  <c r="G731" i="10"/>
  <c r="F731" i="10"/>
  <c r="E731" i="10"/>
  <c r="D731" i="10"/>
  <c r="C731" i="10"/>
  <c r="B731" i="10"/>
  <c r="H732" i="10"/>
  <c r="G732" i="10"/>
  <c r="F732" i="10"/>
  <c r="E732" i="10"/>
  <c r="D732" i="10"/>
  <c r="C732" i="10"/>
  <c r="B732" i="10"/>
  <c r="H733" i="10"/>
  <c r="G733" i="10"/>
  <c r="F733" i="10"/>
  <c r="E733" i="10"/>
  <c r="D733" i="10"/>
  <c r="C733" i="10"/>
  <c r="B733" i="10"/>
  <c r="H734" i="10"/>
  <c r="G734" i="10"/>
  <c r="F734" i="10"/>
  <c r="E734" i="10"/>
  <c r="D734" i="10"/>
  <c r="C734" i="10"/>
  <c r="B734" i="10"/>
  <c r="H735" i="10"/>
  <c r="G735" i="10"/>
  <c r="F735" i="10"/>
  <c r="E735" i="10"/>
  <c r="D735" i="10"/>
  <c r="C735" i="10"/>
  <c r="B735" i="10"/>
  <c r="H736" i="10"/>
  <c r="G736" i="10"/>
  <c r="F736" i="10"/>
  <c r="E736" i="10"/>
  <c r="D736" i="10"/>
  <c r="C736" i="10"/>
  <c r="B736" i="10"/>
  <c r="H737" i="10"/>
  <c r="G737" i="10"/>
  <c r="F737" i="10"/>
  <c r="E737" i="10"/>
  <c r="D737" i="10"/>
  <c r="C737" i="10"/>
  <c r="B737" i="10"/>
  <c r="H738" i="10"/>
  <c r="G738" i="10"/>
  <c r="F738" i="10"/>
  <c r="E738" i="10"/>
  <c r="D738" i="10"/>
  <c r="C738" i="10"/>
  <c r="B738" i="10"/>
  <c r="H739" i="10"/>
  <c r="G739" i="10"/>
  <c r="F739" i="10"/>
  <c r="E739" i="10"/>
  <c r="D739" i="10"/>
  <c r="C739" i="10"/>
  <c r="B739" i="10"/>
  <c r="H740" i="10"/>
  <c r="G740" i="10"/>
  <c r="F740" i="10"/>
  <c r="E740" i="10"/>
  <c r="D740" i="10"/>
  <c r="C740" i="10"/>
  <c r="B740" i="10"/>
  <c r="H741" i="10"/>
  <c r="G741" i="10"/>
  <c r="F741" i="10"/>
  <c r="E741" i="10"/>
  <c r="D741" i="10"/>
  <c r="C741" i="10"/>
  <c r="B741" i="10"/>
  <c r="H742" i="10"/>
  <c r="G742" i="10"/>
  <c r="F742" i="10"/>
  <c r="E742" i="10"/>
  <c r="D742" i="10"/>
  <c r="C742" i="10"/>
  <c r="B742" i="10"/>
  <c r="H743" i="10"/>
  <c r="G743" i="10"/>
  <c r="F743" i="10"/>
  <c r="E743" i="10"/>
  <c r="D743" i="10"/>
  <c r="C743" i="10"/>
  <c r="B743" i="10"/>
  <c r="H744" i="10"/>
  <c r="G744" i="10"/>
  <c r="F744" i="10"/>
  <c r="E744" i="10"/>
  <c r="D744" i="10"/>
  <c r="C744" i="10"/>
  <c r="B744" i="10"/>
  <c r="H745" i="10"/>
  <c r="G745" i="10"/>
  <c r="F745" i="10"/>
  <c r="E745" i="10"/>
  <c r="D745" i="10"/>
  <c r="C745" i="10"/>
  <c r="B745" i="10"/>
  <c r="H746" i="10"/>
  <c r="G746" i="10"/>
  <c r="F746" i="10"/>
  <c r="E746" i="10"/>
  <c r="D746" i="10"/>
  <c r="C746" i="10"/>
  <c r="B746" i="10"/>
  <c r="H747" i="10"/>
  <c r="G747" i="10"/>
  <c r="F747" i="10"/>
  <c r="E747" i="10"/>
  <c r="D747" i="10"/>
  <c r="C747" i="10"/>
  <c r="B747" i="10"/>
  <c r="H748" i="10"/>
  <c r="G748" i="10"/>
  <c r="F748" i="10"/>
  <c r="E748" i="10"/>
  <c r="D748" i="10"/>
  <c r="C748" i="10"/>
  <c r="B748" i="10"/>
  <c r="H749" i="10"/>
  <c r="G749" i="10"/>
  <c r="F749" i="10"/>
  <c r="E749" i="10"/>
  <c r="D749" i="10"/>
  <c r="C749" i="10"/>
  <c r="B749" i="10"/>
  <c r="H750" i="10"/>
  <c r="G750" i="10"/>
  <c r="F750" i="10"/>
  <c r="E750" i="10"/>
  <c r="D750" i="10"/>
  <c r="C750" i="10"/>
  <c r="B750" i="10"/>
  <c r="H751" i="10"/>
  <c r="G751" i="10"/>
  <c r="F751" i="10"/>
  <c r="E751" i="10"/>
  <c r="D751" i="10"/>
  <c r="C751" i="10"/>
  <c r="B751" i="10"/>
  <c r="H752" i="10"/>
  <c r="G752" i="10"/>
  <c r="F752" i="10"/>
  <c r="E752" i="10"/>
  <c r="D752" i="10"/>
  <c r="C752" i="10"/>
  <c r="B752" i="10"/>
  <c r="H753" i="10"/>
  <c r="G753" i="10"/>
  <c r="F753" i="10"/>
  <c r="E753" i="10"/>
  <c r="D753" i="10"/>
  <c r="C753" i="10"/>
  <c r="B753" i="10"/>
  <c r="H754" i="10"/>
  <c r="G754" i="10"/>
  <c r="F754" i="10"/>
  <c r="E754" i="10"/>
  <c r="D754" i="10"/>
  <c r="C754" i="10"/>
  <c r="B754" i="10"/>
  <c r="H755" i="10"/>
  <c r="G755" i="10"/>
  <c r="F755" i="10"/>
  <c r="E755" i="10"/>
  <c r="D755" i="10"/>
  <c r="C755" i="10"/>
  <c r="B755" i="10"/>
  <c r="H756" i="10"/>
  <c r="G756" i="10"/>
  <c r="F756" i="10"/>
  <c r="E756" i="10"/>
  <c r="D756" i="10"/>
  <c r="C756" i="10"/>
  <c r="B756" i="10"/>
  <c r="H757" i="10"/>
  <c r="G757" i="10"/>
  <c r="F757" i="10"/>
  <c r="E757" i="10"/>
  <c r="D757" i="10"/>
  <c r="C757" i="10"/>
  <c r="B757" i="10"/>
  <c r="H758" i="10"/>
  <c r="G758" i="10"/>
  <c r="F758" i="10"/>
  <c r="E758" i="10"/>
  <c r="D758" i="10"/>
  <c r="C758" i="10"/>
  <c r="B758" i="10"/>
  <c r="H759" i="10"/>
  <c r="G759" i="10"/>
  <c r="F759" i="10"/>
  <c r="E759" i="10"/>
  <c r="D759" i="10"/>
  <c r="C759" i="10"/>
  <c r="B759" i="10"/>
  <c r="H760" i="10"/>
  <c r="G760" i="10"/>
  <c r="F760" i="10"/>
  <c r="E760" i="10"/>
  <c r="D760" i="10"/>
  <c r="C760" i="10"/>
  <c r="B760" i="10"/>
  <c r="H761" i="10"/>
  <c r="G761" i="10"/>
  <c r="F761" i="10"/>
  <c r="E761" i="10"/>
  <c r="D761" i="10"/>
  <c r="C761" i="10"/>
  <c r="B761" i="10"/>
  <c r="H762" i="10"/>
  <c r="G762" i="10"/>
  <c r="F762" i="10"/>
  <c r="E762" i="10"/>
  <c r="D762" i="10"/>
  <c r="C762" i="10"/>
  <c r="B762" i="10"/>
  <c r="H763" i="10"/>
  <c r="G763" i="10"/>
  <c r="F763" i="10"/>
  <c r="E763" i="10"/>
  <c r="D763" i="10"/>
  <c r="C763" i="10"/>
  <c r="B763" i="10"/>
  <c r="H764" i="10"/>
  <c r="G764" i="10"/>
  <c r="F764" i="10"/>
  <c r="E764" i="10"/>
  <c r="D764" i="10"/>
  <c r="C764" i="10"/>
  <c r="B764" i="10"/>
  <c r="H765" i="10"/>
  <c r="G765" i="10"/>
  <c r="F765" i="10"/>
  <c r="E765" i="10"/>
  <c r="D765" i="10"/>
  <c r="C765" i="10"/>
  <c r="B765" i="10"/>
  <c r="H766" i="10"/>
  <c r="G766" i="10"/>
  <c r="F766" i="10"/>
  <c r="E766" i="10"/>
  <c r="D766" i="10"/>
  <c r="C766" i="10"/>
  <c r="B766" i="10"/>
  <c r="H767" i="10"/>
  <c r="G767" i="10"/>
  <c r="F767" i="10"/>
  <c r="E767" i="10"/>
  <c r="D767" i="10"/>
  <c r="C767" i="10"/>
  <c r="B767" i="10"/>
  <c r="H768" i="10"/>
  <c r="G768" i="10"/>
  <c r="F768" i="10"/>
  <c r="E768" i="10"/>
  <c r="D768" i="10"/>
  <c r="C768" i="10"/>
  <c r="B768" i="10"/>
  <c r="H769" i="10"/>
  <c r="G769" i="10"/>
  <c r="F769" i="10"/>
  <c r="E769" i="10"/>
  <c r="D769" i="10"/>
  <c r="C769" i="10"/>
  <c r="B769" i="10"/>
  <c r="H770" i="10"/>
  <c r="G770" i="10"/>
  <c r="F770" i="10"/>
  <c r="E770" i="10"/>
  <c r="D770" i="10"/>
  <c r="C770" i="10"/>
  <c r="B770" i="10"/>
  <c r="H771" i="10"/>
  <c r="G771" i="10"/>
  <c r="F771" i="10"/>
  <c r="E771" i="10"/>
  <c r="D771" i="10"/>
  <c r="C771" i="10"/>
  <c r="B771" i="10"/>
  <c r="H772" i="10"/>
  <c r="G772" i="10"/>
  <c r="F772" i="10"/>
  <c r="E772" i="10"/>
  <c r="D772" i="10"/>
  <c r="C772" i="10"/>
  <c r="B772" i="10"/>
  <c r="H773" i="10"/>
  <c r="G773" i="10"/>
  <c r="F773" i="10"/>
  <c r="E773" i="10"/>
  <c r="D773" i="10"/>
  <c r="C773" i="10"/>
  <c r="B773" i="10"/>
  <c r="H774" i="10"/>
  <c r="G774" i="10"/>
  <c r="F774" i="10"/>
  <c r="E774" i="10"/>
  <c r="D774" i="10"/>
  <c r="C774" i="10"/>
  <c r="B774" i="10"/>
  <c r="H775" i="10"/>
  <c r="G775" i="10"/>
  <c r="F775" i="10"/>
  <c r="E775" i="10"/>
  <c r="D775" i="10"/>
  <c r="C775" i="10"/>
  <c r="B775" i="10"/>
  <c r="H776" i="10"/>
  <c r="G776" i="10"/>
  <c r="F776" i="10"/>
  <c r="E776" i="10"/>
  <c r="D776" i="10"/>
  <c r="C776" i="10"/>
  <c r="B776" i="10"/>
  <c r="H777" i="10"/>
  <c r="G777" i="10"/>
  <c r="F777" i="10"/>
  <c r="E777" i="10"/>
  <c r="D777" i="10"/>
  <c r="C777" i="10"/>
  <c r="B777" i="10"/>
  <c r="H778" i="10"/>
  <c r="G778" i="10"/>
  <c r="F778" i="10"/>
  <c r="E778" i="10"/>
  <c r="D778" i="10"/>
  <c r="C778" i="10"/>
  <c r="B778" i="10"/>
  <c r="H779" i="10"/>
  <c r="G779" i="10"/>
  <c r="F779" i="10"/>
  <c r="E779" i="10"/>
  <c r="D779" i="10"/>
  <c r="C779" i="10"/>
  <c r="B779" i="10"/>
  <c r="H780" i="10"/>
  <c r="G780" i="10"/>
  <c r="F780" i="10"/>
  <c r="E780" i="10"/>
  <c r="D780" i="10"/>
  <c r="C780" i="10"/>
  <c r="B780" i="10"/>
  <c r="H781" i="10"/>
  <c r="G781" i="10"/>
  <c r="F781" i="10"/>
  <c r="E781" i="10"/>
  <c r="D781" i="10"/>
  <c r="C781" i="10"/>
  <c r="B781" i="10"/>
  <c r="H782" i="10"/>
  <c r="G782" i="10"/>
  <c r="F782" i="10"/>
  <c r="E782" i="10"/>
  <c r="D782" i="10"/>
  <c r="C782" i="10"/>
  <c r="B782" i="10"/>
  <c r="H783" i="10"/>
  <c r="G783" i="10"/>
  <c r="F783" i="10"/>
  <c r="E783" i="10"/>
  <c r="D783" i="10"/>
  <c r="C783" i="10"/>
  <c r="B783" i="10"/>
  <c r="H784" i="10"/>
  <c r="G784" i="10"/>
  <c r="F784" i="10"/>
  <c r="E784" i="10"/>
  <c r="D784" i="10"/>
  <c r="C784" i="10"/>
  <c r="B784" i="10"/>
  <c r="H785" i="10"/>
  <c r="G785" i="10"/>
  <c r="F785" i="10"/>
  <c r="E785" i="10"/>
  <c r="D785" i="10"/>
  <c r="C785" i="10"/>
  <c r="B785" i="10"/>
  <c r="H786" i="10"/>
  <c r="G786" i="10"/>
  <c r="F786" i="10"/>
  <c r="E786" i="10"/>
  <c r="D786" i="10"/>
  <c r="C786" i="10"/>
  <c r="B786" i="10"/>
  <c r="H787" i="10"/>
  <c r="G787" i="10"/>
  <c r="F787" i="10"/>
  <c r="E787" i="10"/>
  <c r="D787" i="10"/>
  <c r="C787" i="10"/>
  <c r="B787" i="10"/>
  <c r="H788" i="10"/>
  <c r="G788" i="10"/>
  <c r="F788" i="10"/>
  <c r="E788" i="10"/>
  <c r="D788" i="10"/>
  <c r="C788" i="10"/>
  <c r="B788" i="10"/>
  <c r="H789" i="10"/>
  <c r="G789" i="10"/>
  <c r="F789" i="10"/>
  <c r="E789" i="10"/>
  <c r="D789" i="10"/>
  <c r="C789" i="10"/>
  <c r="B789" i="10"/>
  <c r="H790" i="10"/>
  <c r="G790" i="10"/>
  <c r="F790" i="10"/>
  <c r="E790" i="10"/>
  <c r="D790" i="10"/>
  <c r="C790" i="10"/>
  <c r="B790" i="10"/>
  <c r="H791" i="10"/>
  <c r="G791" i="10"/>
  <c r="F791" i="10"/>
  <c r="E791" i="10"/>
  <c r="D791" i="10"/>
  <c r="C791" i="10"/>
  <c r="B791" i="10"/>
  <c r="H792" i="10"/>
  <c r="G792" i="10"/>
  <c r="F792" i="10"/>
  <c r="E792" i="10"/>
  <c r="D792" i="10"/>
  <c r="C792" i="10"/>
  <c r="B792" i="10"/>
  <c r="H793" i="10"/>
  <c r="G793" i="10"/>
  <c r="F793" i="10"/>
  <c r="E793" i="10"/>
  <c r="D793" i="10"/>
  <c r="C793" i="10"/>
  <c r="B793" i="10"/>
  <c r="H794" i="10"/>
  <c r="G794" i="10"/>
  <c r="F794" i="10"/>
  <c r="E794" i="10"/>
  <c r="D794" i="10"/>
  <c r="C794" i="10"/>
  <c r="B794" i="10"/>
  <c r="H795" i="10"/>
  <c r="G795" i="10"/>
  <c r="F795" i="10"/>
  <c r="E795" i="10"/>
  <c r="D795" i="10"/>
  <c r="C795" i="10"/>
  <c r="B795" i="10"/>
  <c r="H796" i="10"/>
  <c r="G796" i="10"/>
  <c r="F796" i="10"/>
  <c r="E796" i="10"/>
  <c r="D796" i="10"/>
  <c r="C796" i="10"/>
  <c r="B796" i="10"/>
  <c r="H797" i="10"/>
  <c r="G797" i="10"/>
  <c r="F797" i="10"/>
  <c r="E797" i="10"/>
  <c r="D797" i="10"/>
  <c r="C797" i="10"/>
  <c r="B797" i="10"/>
  <c r="H798" i="10"/>
  <c r="G798" i="10"/>
  <c r="F798" i="10"/>
  <c r="E798" i="10"/>
  <c r="D798" i="10"/>
  <c r="C798" i="10"/>
  <c r="B798" i="10"/>
  <c r="H799" i="10"/>
  <c r="G799" i="10"/>
  <c r="F799" i="10"/>
  <c r="E799" i="10"/>
  <c r="D799" i="10"/>
  <c r="C799" i="10"/>
  <c r="B799" i="10"/>
  <c r="H800" i="10"/>
  <c r="G800" i="10"/>
  <c r="F800" i="10"/>
  <c r="E800" i="10"/>
  <c r="D800" i="10"/>
  <c r="C800" i="10"/>
  <c r="B800" i="10"/>
  <c r="H801" i="10"/>
  <c r="G801" i="10"/>
  <c r="F801" i="10"/>
  <c r="E801" i="10"/>
  <c r="D801" i="10"/>
  <c r="C801" i="10"/>
  <c r="B801" i="10"/>
  <c r="H802" i="10"/>
  <c r="G802" i="10"/>
  <c r="F802" i="10"/>
  <c r="E802" i="10"/>
  <c r="D802" i="10"/>
  <c r="C802" i="10"/>
  <c r="B802" i="10"/>
  <c r="H803" i="10"/>
  <c r="G803" i="10"/>
  <c r="F803" i="10"/>
  <c r="E803" i="10"/>
  <c r="D803" i="10"/>
  <c r="C803" i="10"/>
  <c r="B803" i="10"/>
  <c r="H804" i="10"/>
  <c r="G804" i="10"/>
  <c r="F804" i="10"/>
  <c r="E804" i="10"/>
  <c r="D804" i="10"/>
  <c r="C804" i="10"/>
  <c r="B804" i="10"/>
  <c r="H805" i="10"/>
  <c r="G805" i="10"/>
  <c r="F805" i="10"/>
  <c r="E805" i="10"/>
  <c r="D805" i="10"/>
  <c r="C805" i="10"/>
  <c r="B805" i="10"/>
  <c r="H806" i="10"/>
  <c r="G806" i="10"/>
  <c r="F806" i="10"/>
  <c r="E806" i="10"/>
  <c r="D806" i="10"/>
  <c r="C806" i="10"/>
  <c r="B806" i="10"/>
  <c r="H807" i="10"/>
  <c r="G807" i="10"/>
  <c r="F807" i="10"/>
  <c r="E807" i="10"/>
  <c r="D807" i="10"/>
  <c r="C807" i="10"/>
  <c r="B807" i="10"/>
  <c r="H808" i="10"/>
  <c r="G808" i="10"/>
  <c r="F808" i="10"/>
  <c r="E808" i="10"/>
  <c r="D808" i="10"/>
  <c r="C808" i="10"/>
  <c r="B808" i="10"/>
  <c r="H809" i="10"/>
  <c r="G809" i="10"/>
  <c r="F809" i="10"/>
  <c r="E809" i="10"/>
  <c r="D809" i="10"/>
  <c r="C809" i="10"/>
  <c r="B809" i="10"/>
  <c r="H810" i="10"/>
  <c r="G810" i="10"/>
  <c r="F810" i="10"/>
  <c r="E810" i="10"/>
  <c r="D810" i="10"/>
  <c r="C810" i="10"/>
  <c r="B810" i="10"/>
  <c r="H811" i="10"/>
  <c r="G811" i="10"/>
  <c r="F811" i="10"/>
  <c r="E811" i="10"/>
  <c r="D811" i="10"/>
  <c r="C811" i="10"/>
  <c r="B811" i="10"/>
  <c r="H812" i="10"/>
  <c r="G812" i="10"/>
  <c r="F812" i="10"/>
  <c r="E812" i="10"/>
  <c r="D812" i="10"/>
  <c r="C812" i="10"/>
  <c r="B812" i="10"/>
  <c r="H813" i="10"/>
  <c r="G813" i="10"/>
  <c r="F813" i="10"/>
  <c r="E813" i="10"/>
  <c r="D813" i="10"/>
  <c r="C813" i="10"/>
  <c r="B813" i="10"/>
  <c r="H814" i="10"/>
  <c r="G814" i="10"/>
  <c r="F814" i="10"/>
  <c r="E814" i="10"/>
  <c r="D814" i="10"/>
  <c r="C814" i="10"/>
  <c r="B814" i="10"/>
  <c r="H815" i="10"/>
  <c r="G815" i="10"/>
  <c r="F815" i="10"/>
  <c r="E815" i="10"/>
  <c r="D815" i="10"/>
  <c r="C815" i="10"/>
  <c r="B815" i="10"/>
  <c r="H816" i="10"/>
  <c r="G816" i="10"/>
  <c r="F816" i="10"/>
  <c r="E816" i="10"/>
  <c r="D816" i="10"/>
  <c r="C816" i="10"/>
  <c r="B816" i="10"/>
  <c r="H817" i="10"/>
  <c r="G817" i="10"/>
  <c r="F817" i="10"/>
  <c r="E817" i="10"/>
  <c r="D817" i="10"/>
  <c r="C817" i="10"/>
  <c r="B817" i="10"/>
  <c r="H818" i="10"/>
  <c r="G818" i="10"/>
  <c r="F818" i="10"/>
  <c r="E818" i="10"/>
  <c r="D818" i="10"/>
  <c r="C818" i="10"/>
  <c r="B818" i="10"/>
  <c r="H819" i="10"/>
  <c r="G819" i="10"/>
  <c r="F819" i="10"/>
  <c r="E819" i="10"/>
  <c r="D819" i="10"/>
  <c r="C819" i="10"/>
  <c r="B819" i="10"/>
  <c r="H820" i="10"/>
  <c r="G820" i="10"/>
  <c r="F820" i="10"/>
  <c r="E820" i="10"/>
  <c r="D820" i="10"/>
  <c r="C820" i="10"/>
  <c r="B820" i="10"/>
  <c r="H821" i="10"/>
  <c r="G821" i="10"/>
  <c r="F821" i="10"/>
  <c r="E821" i="10"/>
  <c r="D821" i="10"/>
  <c r="C821" i="10"/>
  <c r="B821" i="10"/>
  <c r="H822" i="10"/>
  <c r="G822" i="10"/>
  <c r="F822" i="10"/>
  <c r="E822" i="10"/>
  <c r="D822" i="10"/>
  <c r="C822" i="10"/>
  <c r="B822" i="10"/>
  <c r="H823" i="10"/>
  <c r="G823" i="10"/>
  <c r="F823" i="10"/>
  <c r="E823" i="10"/>
  <c r="D823" i="10"/>
  <c r="C823" i="10"/>
  <c r="B823" i="10"/>
  <c r="H824" i="10"/>
  <c r="G824" i="10"/>
  <c r="F824" i="10"/>
  <c r="E824" i="10"/>
  <c r="D824" i="10"/>
  <c r="C824" i="10"/>
  <c r="B824" i="10"/>
  <c r="H825" i="10"/>
  <c r="G825" i="10"/>
  <c r="F825" i="10"/>
  <c r="E825" i="10"/>
  <c r="D825" i="10"/>
  <c r="C825" i="10"/>
  <c r="B825" i="10"/>
  <c r="H826" i="10"/>
  <c r="G826" i="10"/>
  <c r="F826" i="10"/>
  <c r="E826" i="10"/>
  <c r="D826" i="10"/>
  <c r="C826" i="10"/>
  <c r="B826" i="10"/>
  <c r="H827" i="10"/>
  <c r="G827" i="10"/>
  <c r="F827" i="10"/>
  <c r="E827" i="10"/>
  <c r="D827" i="10"/>
  <c r="C827" i="10"/>
  <c r="B827" i="10"/>
  <c r="H828" i="10"/>
  <c r="G828" i="10"/>
  <c r="F828" i="10"/>
  <c r="E828" i="10"/>
  <c r="D828" i="10"/>
  <c r="C828" i="10"/>
  <c r="B828" i="10"/>
  <c r="H829" i="10"/>
  <c r="G829" i="10"/>
  <c r="F829" i="10"/>
  <c r="E829" i="10"/>
  <c r="D829" i="10"/>
  <c r="C829" i="10"/>
  <c r="B829" i="10"/>
  <c r="H830" i="10"/>
  <c r="G830" i="10"/>
  <c r="F830" i="10"/>
  <c r="E830" i="10"/>
  <c r="D830" i="10"/>
  <c r="C830" i="10"/>
  <c r="B830" i="10"/>
  <c r="H831" i="10"/>
  <c r="G831" i="10"/>
  <c r="F831" i="10"/>
  <c r="E831" i="10"/>
  <c r="D831" i="10"/>
  <c r="C831" i="10"/>
  <c r="B831" i="10"/>
  <c r="H832" i="10"/>
  <c r="G832" i="10"/>
  <c r="F832" i="10"/>
  <c r="E832" i="10"/>
  <c r="D832" i="10"/>
  <c r="C832" i="10"/>
  <c r="B832" i="10"/>
  <c r="H833" i="10"/>
  <c r="G833" i="10"/>
  <c r="F833" i="10"/>
  <c r="E833" i="10"/>
  <c r="D833" i="10"/>
  <c r="C833" i="10"/>
  <c r="B833" i="10"/>
  <c r="H834" i="10"/>
  <c r="G834" i="10"/>
  <c r="F834" i="10"/>
  <c r="E834" i="10"/>
  <c r="D834" i="10"/>
  <c r="C834" i="10"/>
  <c r="B834" i="10"/>
  <c r="H835" i="10"/>
  <c r="G835" i="10"/>
  <c r="F835" i="10"/>
  <c r="E835" i="10"/>
  <c r="D835" i="10"/>
  <c r="C835" i="10"/>
  <c r="B835" i="10"/>
  <c r="H836" i="10"/>
  <c r="G836" i="10"/>
  <c r="F836" i="10"/>
  <c r="E836" i="10"/>
  <c r="D836" i="10"/>
  <c r="C836" i="10"/>
  <c r="B836" i="10"/>
  <c r="H837" i="10"/>
  <c r="G837" i="10"/>
  <c r="F837" i="10"/>
  <c r="E837" i="10"/>
  <c r="D837" i="10"/>
  <c r="C837" i="10"/>
  <c r="B837" i="10"/>
  <c r="H838" i="10"/>
  <c r="G838" i="10"/>
  <c r="F838" i="10"/>
  <c r="E838" i="10"/>
  <c r="D838" i="10"/>
  <c r="C838" i="10"/>
  <c r="B838" i="10"/>
  <c r="H839" i="10"/>
  <c r="G839" i="10"/>
  <c r="F839" i="10"/>
  <c r="E839" i="10"/>
  <c r="D839" i="10"/>
  <c r="C839" i="10"/>
  <c r="B839" i="10"/>
  <c r="H840" i="10"/>
  <c r="G840" i="10"/>
  <c r="F840" i="10"/>
  <c r="E840" i="10"/>
  <c r="D840" i="10"/>
  <c r="C840" i="10"/>
  <c r="B840" i="10"/>
  <c r="H841" i="10"/>
  <c r="G841" i="10"/>
  <c r="F841" i="10"/>
  <c r="E841" i="10"/>
  <c r="D841" i="10"/>
  <c r="C841" i="10"/>
  <c r="B841" i="10"/>
  <c r="H842" i="10"/>
  <c r="G842" i="10"/>
  <c r="F842" i="10"/>
  <c r="E842" i="10"/>
  <c r="D842" i="10"/>
  <c r="C842" i="10"/>
  <c r="B842" i="10"/>
  <c r="H843" i="10"/>
  <c r="G843" i="10"/>
  <c r="F843" i="10"/>
  <c r="E843" i="10"/>
  <c r="D843" i="10"/>
  <c r="C843" i="10"/>
  <c r="B843" i="10"/>
  <c r="H844" i="10"/>
  <c r="G844" i="10"/>
  <c r="F844" i="10"/>
  <c r="E844" i="10"/>
  <c r="D844" i="10"/>
  <c r="C844" i="10"/>
  <c r="B844" i="10"/>
  <c r="H845" i="10"/>
  <c r="G845" i="10"/>
  <c r="F845" i="10"/>
  <c r="E845" i="10"/>
  <c r="D845" i="10"/>
  <c r="C845" i="10"/>
  <c r="B845" i="10"/>
  <c r="H846" i="10"/>
  <c r="G846" i="10"/>
  <c r="F846" i="10"/>
  <c r="E846" i="10"/>
  <c r="D846" i="10"/>
  <c r="C846" i="10"/>
  <c r="B846" i="10"/>
  <c r="H847" i="10"/>
  <c r="G847" i="10"/>
  <c r="F847" i="10"/>
  <c r="E847" i="10"/>
  <c r="D847" i="10"/>
  <c r="C847" i="10"/>
  <c r="B847" i="10"/>
  <c r="H848" i="10"/>
  <c r="G848" i="10"/>
  <c r="F848" i="10"/>
  <c r="E848" i="10"/>
  <c r="D848" i="10"/>
  <c r="C848" i="10"/>
  <c r="B848" i="10"/>
  <c r="H849" i="10"/>
  <c r="G849" i="10"/>
  <c r="F849" i="10"/>
  <c r="E849" i="10"/>
  <c r="D849" i="10"/>
  <c r="C849" i="10"/>
  <c r="B849" i="10"/>
  <c r="H850" i="10"/>
  <c r="G850" i="10"/>
  <c r="F850" i="10"/>
  <c r="E850" i="10"/>
  <c r="D850" i="10"/>
  <c r="C850" i="10"/>
  <c r="B850" i="10"/>
  <c r="H851" i="10"/>
  <c r="G851" i="10"/>
  <c r="F851" i="10"/>
  <c r="E851" i="10"/>
  <c r="D851" i="10"/>
  <c r="C851" i="10"/>
  <c r="B851" i="10"/>
  <c r="H852" i="10"/>
  <c r="G852" i="10"/>
  <c r="F852" i="10"/>
  <c r="E852" i="10"/>
  <c r="D852" i="10"/>
  <c r="C852" i="10"/>
  <c r="B852" i="10"/>
  <c r="H853" i="10"/>
  <c r="G853" i="10"/>
  <c r="F853" i="10"/>
  <c r="E853" i="10"/>
  <c r="D853" i="10"/>
  <c r="C853" i="10"/>
  <c r="B853" i="10"/>
  <c r="H854" i="10"/>
  <c r="G854" i="10"/>
  <c r="F854" i="10"/>
  <c r="E854" i="10"/>
  <c r="D854" i="10"/>
  <c r="C854" i="10"/>
  <c r="B854" i="10"/>
  <c r="H855" i="10"/>
  <c r="G855" i="10"/>
  <c r="F855" i="10"/>
  <c r="E855" i="10"/>
  <c r="D855" i="10"/>
  <c r="C855" i="10"/>
  <c r="B855" i="10"/>
  <c r="H856" i="10"/>
  <c r="G856" i="10"/>
  <c r="F856" i="10"/>
  <c r="E856" i="10"/>
  <c r="D856" i="10"/>
  <c r="C856" i="10"/>
  <c r="B856" i="10"/>
  <c r="H857" i="10"/>
  <c r="G857" i="10"/>
  <c r="F857" i="10"/>
  <c r="E857" i="10"/>
  <c r="D857" i="10"/>
  <c r="C857" i="10"/>
  <c r="B857" i="10"/>
  <c r="H858" i="10"/>
  <c r="G858" i="10"/>
  <c r="F858" i="10"/>
  <c r="E858" i="10"/>
  <c r="D858" i="10"/>
  <c r="C858" i="10"/>
  <c r="B858" i="10"/>
  <c r="H859" i="10"/>
  <c r="G859" i="10"/>
  <c r="F859" i="10"/>
  <c r="E859" i="10"/>
  <c r="D859" i="10"/>
  <c r="C859" i="10"/>
  <c r="B859" i="10"/>
  <c r="H860" i="10"/>
  <c r="G860" i="10"/>
  <c r="F860" i="10"/>
  <c r="E860" i="10"/>
  <c r="D860" i="10"/>
  <c r="C860" i="10"/>
  <c r="B860" i="10"/>
  <c r="H861" i="10"/>
  <c r="G861" i="10"/>
  <c r="F861" i="10"/>
  <c r="E861" i="10"/>
  <c r="D861" i="10"/>
  <c r="C861" i="10"/>
  <c r="B861" i="10"/>
  <c r="H862" i="10"/>
  <c r="G862" i="10"/>
  <c r="F862" i="10"/>
  <c r="E862" i="10"/>
  <c r="D862" i="10"/>
  <c r="C862" i="10"/>
  <c r="B862" i="10"/>
  <c r="H863" i="10"/>
  <c r="G863" i="10"/>
  <c r="F863" i="10"/>
  <c r="E863" i="10"/>
  <c r="D863" i="10"/>
  <c r="C863" i="10"/>
  <c r="B863" i="10"/>
  <c r="H864" i="10"/>
  <c r="G864" i="10"/>
  <c r="F864" i="10"/>
  <c r="E864" i="10"/>
  <c r="D864" i="10"/>
  <c r="C864" i="10"/>
  <c r="B864" i="10"/>
  <c r="H865" i="10"/>
  <c r="G865" i="10"/>
  <c r="F865" i="10"/>
  <c r="E865" i="10"/>
  <c r="D865" i="10"/>
  <c r="C865" i="10"/>
  <c r="B865" i="10"/>
  <c r="H866" i="10"/>
  <c r="G866" i="10"/>
  <c r="F866" i="10"/>
  <c r="E866" i="10"/>
  <c r="D866" i="10"/>
  <c r="C866" i="10"/>
  <c r="B866" i="10"/>
  <c r="H867" i="10"/>
  <c r="G867" i="10"/>
  <c r="F867" i="10"/>
  <c r="E867" i="10"/>
  <c r="D867" i="10"/>
  <c r="C867" i="10"/>
  <c r="B867" i="10"/>
  <c r="H868" i="10"/>
  <c r="G868" i="10"/>
  <c r="F868" i="10"/>
  <c r="E868" i="10"/>
  <c r="D868" i="10"/>
  <c r="C868" i="10"/>
  <c r="B868" i="10"/>
  <c r="H869" i="10"/>
  <c r="G869" i="10"/>
  <c r="F869" i="10"/>
  <c r="E869" i="10"/>
  <c r="D869" i="10"/>
  <c r="C869" i="10"/>
  <c r="B869" i="10"/>
  <c r="H870" i="10"/>
  <c r="G870" i="10"/>
  <c r="F870" i="10"/>
  <c r="E870" i="10"/>
  <c r="D870" i="10"/>
  <c r="C870" i="10"/>
  <c r="B870" i="10"/>
  <c r="H871" i="10"/>
  <c r="G871" i="10"/>
  <c r="F871" i="10"/>
  <c r="E871" i="10"/>
  <c r="D871" i="10"/>
  <c r="C871" i="10"/>
  <c r="B871" i="10"/>
  <c r="H872" i="10"/>
  <c r="G872" i="10"/>
  <c r="F872" i="10"/>
  <c r="E872" i="10"/>
  <c r="D872" i="10"/>
  <c r="C872" i="10"/>
  <c r="B872" i="10"/>
  <c r="H873" i="10"/>
  <c r="G873" i="10"/>
  <c r="F873" i="10"/>
  <c r="E873" i="10"/>
  <c r="D873" i="10"/>
  <c r="C873" i="10"/>
  <c r="B873" i="10"/>
  <c r="H874" i="10"/>
  <c r="G874" i="10"/>
  <c r="F874" i="10"/>
  <c r="E874" i="10"/>
  <c r="D874" i="10"/>
  <c r="C874" i="10"/>
  <c r="B874" i="10"/>
  <c r="H875" i="10"/>
  <c r="G875" i="10"/>
  <c r="F875" i="10"/>
  <c r="E875" i="10"/>
  <c r="D875" i="10"/>
  <c r="C875" i="10"/>
  <c r="B875" i="10"/>
  <c r="H876" i="10"/>
  <c r="G876" i="10"/>
  <c r="F876" i="10"/>
  <c r="E876" i="10"/>
  <c r="D876" i="10"/>
  <c r="C876" i="10"/>
  <c r="B876" i="10"/>
  <c r="H877" i="10"/>
  <c r="G877" i="10"/>
  <c r="F877" i="10"/>
  <c r="E877" i="10"/>
  <c r="D877" i="10"/>
  <c r="C877" i="10"/>
  <c r="B877" i="10"/>
  <c r="H878" i="10"/>
  <c r="G878" i="10"/>
  <c r="F878" i="10"/>
  <c r="E878" i="10"/>
  <c r="D878" i="10"/>
  <c r="C878" i="10"/>
  <c r="B878" i="10"/>
  <c r="H879" i="10"/>
  <c r="G879" i="10"/>
  <c r="F879" i="10"/>
  <c r="E879" i="10"/>
  <c r="D879" i="10"/>
  <c r="C879" i="10"/>
  <c r="B879" i="10"/>
  <c r="H880" i="10"/>
  <c r="G880" i="10"/>
  <c r="F880" i="10"/>
  <c r="E880" i="10"/>
  <c r="D880" i="10"/>
  <c r="C880" i="10"/>
  <c r="B880" i="10"/>
  <c r="H881" i="10"/>
  <c r="G881" i="10"/>
  <c r="F881" i="10"/>
  <c r="E881" i="10"/>
  <c r="D881" i="10"/>
  <c r="C881" i="10"/>
  <c r="B881" i="10"/>
  <c r="H882" i="10"/>
  <c r="G882" i="10"/>
  <c r="F882" i="10"/>
  <c r="E882" i="10"/>
  <c r="D882" i="10"/>
  <c r="C882" i="10"/>
  <c r="B882" i="10"/>
  <c r="H883" i="10"/>
  <c r="G883" i="10"/>
  <c r="F883" i="10"/>
  <c r="E883" i="10"/>
  <c r="D883" i="10"/>
  <c r="C883" i="10"/>
  <c r="B883" i="10"/>
  <c r="H884" i="10"/>
  <c r="G884" i="10"/>
  <c r="F884" i="10"/>
  <c r="E884" i="10"/>
  <c r="D884" i="10"/>
  <c r="C884" i="10"/>
  <c r="B884" i="10"/>
  <c r="H885" i="10"/>
  <c r="G885" i="10"/>
  <c r="F885" i="10"/>
  <c r="E885" i="10"/>
  <c r="D885" i="10"/>
  <c r="C885" i="10"/>
  <c r="B885" i="10"/>
  <c r="H886" i="10"/>
  <c r="G886" i="10"/>
  <c r="F886" i="10"/>
  <c r="E886" i="10"/>
  <c r="D886" i="10"/>
  <c r="C886" i="10"/>
  <c r="B886" i="10"/>
  <c r="H887" i="10"/>
  <c r="G887" i="10"/>
  <c r="F887" i="10"/>
  <c r="E887" i="10"/>
  <c r="D887" i="10"/>
  <c r="C887" i="10"/>
  <c r="B887" i="10"/>
  <c r="H888" i="10"/>
  <c r="G888" i="10"/>
  <c r="F888" i="10"/>
  <c r="E888" i="10"/>
  <c r="D888" i="10"/>
  <c r="C888" i="10"/>
  <c r="B888" i="10"/>
  <c r="H889" i="10"/>
  <c r="G889" i="10"/>
  <c r="F889" i="10"/>
  <c r="E889" i="10"/>
  <c r="D889" i="10"/>
  <c r="C889" i="10"/>
  <c r="B889" i="10"/>
  <c r="H890" i="10"/>
  <c r="G890" i="10"/>
  <c r="F890" i="10"/>
  <c r="E890" i="10"/>
  <c r="D890" i="10"/>
  <c r="C890" i="10"/>
  <c r="B890" i="10"/>
  <c r="H891" i="10"/>
  <c r="G891" i="10"/>
  <c r="F891" i="10"/>
  <c r="E891" i="10"/>
  <c r="D891" i="10"/>
  <c r="C891" i="10"/>
  <c r="B891" i="10"/>
  <c r="H892" i="10"/>
  <c r="G892" i="10"/>
  <c r="F892" i="10"/>
  <c r="E892" i="10"/>
  <c r="D892" i="10"/>
  <c r="C892" i="10"/>
  <c r="B892" i="10"/>
  <c r="H893" i="10"/>
  <c r="G893" i="10"/>
  <c r="F893" i="10"/>
  <c r="E893" i="10"/>
  <c r="D893" i="10"/>
  <c r="C893" i="10"/>
  <c r="B893" i="10"/>
  <c r="H894" i="10"/>
  <c r="G894" i="10"/>
  <c r="F894" i="10"/>
  <c r="E894" i="10"/>
  <c r="D894" i="10"/>
  <c r="C894" i="10"/>
  <c r="B894" i="10"/>
  <c r="H895" i="10"/>
  <c r="G895" i="10"/>
  <c r="F895" i="10"/>
  <c r="E895" i="10"/>
  <c r="D895" i="10"/>
  <c r="C895" i="10"/>
  <c r="B895" i="10"/>
  <c r="H896" i="10"/>
  <c r="G896" i="10"/>
  <c r="F896" i="10"/>
  <c r="E896" i="10"/>
  <c r="D896" i="10"/>
  <c r="C896" i="10"/>
  <c r="B896" i="10"/>
  <c r="H897" i="10"/>
  <c r="G897" i="10"/>
  <c r="F897" i="10"/>
  <c r="E897" i="10"/>
  <c r="D897" i="10"/>
  <c r="C897" i="10"/>
  <c r="B897" i="10"/>
  <c r="H898" i="10"/>
  <c r="G898" i="10"/>
  <c r="F898" i="10"/>
  <c r="E898" i="10"/>
  <c r="D898" i="10"/>
  <c r="C898" i="10"/>
  <c r="B898" i="10"/>
  <c r="H899" i="10"/>
  <c r="G899" i="10"/>
  <c r="F899" i="10"/>
  <c r="E899" i="10"/>
  <c r="D899" i="10"/>
  <c r="C899" i="10"/>
  <c r="B899" i="10"/>
  <c r="H900" i="10"/>
  <c r="G900" i="10"/>
  <c r="F900" i="10"/>
  <c r="E900" i="10"/>
  <c r="D900" i="10"/>
  <c r="C900" i="10"/>
  <c r="B900" i="10"/>
  <c r="H901" i="10"/>
  <c r="G901" i="10"/>
  <c r="F901" i="10"/>
  <c r="E901" i="10"/>
  <c r="D901" i="10"/>
  <c r="C901" i="10"/>
  <c r="B901" i="10"/>
  <c r="H902" i="10"/>
  <c r="G902" i="10"/>
  <c r="F902" i="10"/>
  <c r="E902" i="10"/>
  <c r="D902" i="10"/>
  <c r="C902" i="10"/>
  <c r="B902" i="10"/>
  <c r="H903" i="10"/>
  <c r="G903" i="10"/>
  <c r="F903" i="10"/>
  <c r="E903" i="10"/>
  <c r="D903" i="10"/>
  <c r="C903" i="10"/>
  <c r="B903" i="10"/>
  <c r="H904" i="10"/>
  <c r="G904" i="10"/>
  <c r="F904" i="10"/>
  <c r="E904" i="10"/>
  <c r="D904" i="10"/>
  <c r="C904" i="10"/>
  <c r="B904" i="10"/>
  <c r="H905" i="10"/>
  <c r="G905" i="10"/>
  <c r="F905" i="10"/>
  <c r="E905" i="10"/>
  <c r="D905" i="10"/>
  <c r="C905" i="10"/>
  <c r="B905" i="10"/>
  <c r="H906" i="10"/>
  <c r="G906" i="10"/>
  <c r="F906" i="10"/>
  <c r="E906" i="10"/>
  <c r="D906" i="10"/>
  <c r="C906" i="10"/>
  <c r="B906" i="10"/>
  <c r="H907" i="10"/>
  <c r="G907" i="10"/>
  <c r="F907" i="10"/>
  <c r="E907" i="10"/>
  <c r="D907" i="10"/>
  <c r="C907" i="10"/>
  <c r="B907" i="10"/>
  <c r="H908" i="10"/>
  <c r="G908" i="10"/>
  <c r="F908" i="10"/>
  <c r="E908" i="10"/>
  <c r="D908" i="10"/>
  <c r="C908" i="10"/>
  <c r="B908" i="10"/>
  <c r="H909" i="10"/>
  <c r="G909" i="10"/>
  <c r="F909" i="10"/>
  <c r="E909" i="10"/>
  <c r="D909" i="10"/>
  <c r="C909" i="10"/>
  <c r="B909" i="10"/>
  <c r="H910" i="10"/>
  <c r="G910" i="10"/>
  <c r="F910" i="10"/>
  <c r="E910" i="10"/>
  <c r="D910" i="10"/>
  <c r="C910" i="10"/>
  <c r="B910" i="10"/>
  <c r="H911" i="10"/>
  <c r="G911" i="10"/>
  <c r="F911" i="10"/>
  <c r="E911" i="10"/>
  <c r="D911" i="10"/>
  <c r="C911" i="10"/>
  <c r="B911" i="10"/>
  <c r="H912" i="10"/>
  <c r="G912" i="10"/>
  <c r="F912" i="10"/>
  <c r="E912" i="10"/>
  <c r="D912" i="10"/>
  <c r="C912" i="10"/>
  <c r="B912" i="10"/>
  <c r="H913" i="10"/>
  <c r="G913" i="10"/>
  <c r="F913" i="10"/>
  <c r="E913" i="10"/>
  <c r="D913" i="10"/>
  <c r="C913" i="10"/>
  <c r="B913" i="10"/>
  <c r="H914" i="10"/>
  <c r="G914" i="10"/>
  <c r="F914" i="10"/>
  <c r="E914" i="10"/>
  <c r="D914" i="10"/>
  <c r="C914" i="10"/>
  <c r="B914" i="10"/>
  <c r="H915" i="10"/>
  <c r="G915" i="10"/>
  <c r="F915" i="10"/>
  <c r="E915" i="10"/>
  <c r="D915" i="10"/>
  <c r="C915" i="10"/>
  <c r="B915" i="10"/>
  <c r="H916" i="10"/>
  <c r="G916" i="10"/>
  <c r="F916" i="10"/>
  <c r="E916" i="10"/>
  <c r="D916" i="10"/>
  <c r="C916" i="10"/>
  <c r="B916" i="10"/>
  <c r="H917" i="10"/>
  <c r="G917" i="10"/>
  <c r="F917" i="10"/>
  <c r="E917" i="10"/>
  <c r="D917" i="10"/>
  <c r="C917" i="10"/>
  <c r="B917" i="10"/>
  <c r="H918" i="10"/>
  <c r="G918" i="10"/>
  <c r="F918" i="10"/>
  <c r="E918" i="10"/>
  <c r="D918" i="10"/>
  <c r="C918" i="10"/>
  <c r="B918" i="10"/>
  <c r="H919" i="10"/>
  <c r="G919" i="10"/>
  <c r="F919" i="10"/>
  <c r="E919" i="10"/>
  <c r="D919" i="10"/>
  <c r="C919" i="10"/>
  <c r="B919" i="10"/>
  <c r="H920" i="10"/>
  <c r="G920" i="10"/>
  <c r="F920" i="10"/>
  <c r="E920" i="10"/>
  <c r="D920" i="10"/>
  <c r="C920" i="10"/>
  <c r="B920" i="10"/>
  <c r="H921" i="10"/>
  <c r="G921" i="10"/>
  <c r="F921" i="10"/>
  <c r="E921" i="10"/>
  <c r="D921" i="10"/>
  <c r="C921" i="10"/>
  <c r="B921" i="10"/>
  <c r="H922" i="10"/>
  <c r="G922" i="10"/>
  <c r="F922" i="10"/>
  <c r="E922" i="10"/>
  <c r="D922" i="10"/>
  <c r="C922" i="10"/>
  <c r="B922" i="10"/>
  <c r="H923" i="10"/>
  <c r="G923" i="10"/>
  <c r="F923" i="10"/>
  <c r="E923" i="10"/>
  <c r="D923" i="10"/>
  <c r="C923" i="10"/>
  <c r="B923" i="10"/>
  <c r="H924" i="10"/>
  <c r="G924" i="10"/>
  <c r="F924" i="10"/>
  <c r="E924" i="10"/>
  <c r="D924" i="10"/>
  <c r="C924" i="10"/>
  <c r="B924" i="10"/>
  <c r="H925" i="10"/>
  <c r="G925" i="10"/>
  <c r="F925" i="10"/>
  <c r="E925" i="10"/>
  <c r="D925" i="10"/>
  <c r="C925" i="10"/>
  <c r="B925" i="10"/>
  <c r="H926" i="10"/>
  <c r="G926" i="10"/>
  <c r="F926" i="10"/>
  <c r="E926" i="10"/>
  <c r="D926" i="10"/>
  <c r="C926" i="10"/>
  <c r="B926" i="10"/>
  <c r="H927" i="10"/>
  <c r="G927" i="10"/>
  <c r="F927" i="10"/>
  <c r="E927" i="10"/>
  <c r="D927" i="10"/>
  <c r="C927" i="10"/>
  <c r="B927" i="10"/>
  <c r="H928" i="10"/>
  <c r="G928" i="10"/>
  <c r="F928" i="10"/>
  <c r="E928" i="10"/>
  <c r="D928" i="10"/>
  <c r="C928" i="10"/>
  <c r="B928" i="10"/>
  <c r="H929" i="10"/>
  <c r="G929" i="10"/>
  <c r="F929" i="10"/>
  <c r="E929" i="10"/>
  <c r="D929" i="10"/>
  <c r="C929" i="10"/>
  <c r="B929" i="10"/>
  <c r="H930" i="10"/>
  <c r="G930" i="10"/>
  <c r="F930" i="10"/>
  <c r="E930" i="10"/>
  <c r="D930" i="10"/>
  <c r="C930" i="10"/>
  <c r="B930" i="10"/>
  <c r="H931" i="10"/>
  <c r="G931" i="10"/>
  <c r="F931" i="10"/>
  <c r="E931" i="10"/>
  <c r="D931" i="10"/>
  <c r="C931" i="10"/>
  <c r="B931" i="10"/>
  <c r="H932" i="10"/>
  <c r="G932" i="10"/>
  <c r="F932" i="10"/>
  <c r="E932" i="10"/>
  <c r="D932" i="10"/>
  <c r="C932" i="10"/>
  <c r="B932" i="10"/>
  <c r="H933" i="10"/>
  <c r="G933" i="10"/>
  <c r="F933" i="10"/>
  <c r="E933" i="10"/>
  <c r="D933" i="10"/>
  <c r="C933" i="10"/>
  <c r="B933" i="10"/>
  <c r="H934" i="10"/>
  <c r="G934" i="10"/>
  <c r="F934" i="10"/>
  <c r="E934" i="10"/>
  <c r="D934" i="10"/>
  <c r="C934" i="10"/>
  <c r="B934" i="10"/>
  <c r="H935" i="10"/>
  <c r="G935" i="10"/>
  <c r="F935" i="10"/>
  <c r="E935" i="10"/>
  <c r="D935" i="10"/>
  <c r="C935" i="10"/>
  <c r="B935" i="10"/>
  <c r="H936" i="10"/>
  <c r="G936" i="10"/>
  <c r="F936" i="10"/>
  <c r="E936" i="10"/>
  <c r="D936" i="10"/>
  <c r="C936" i="10"/>
  <c r="B936" i="10"/>
  <c r="H937" i="10"/>
  <c r="G937" i="10"/>
  <c r="F937" i="10"/>
  <c r="E937" i="10"/>
  <c r="D937" i="10"/>
  <c r="C937" i="10"/>
  <c r="B937" i="10"/>
  <c r="H938" i="10"/>
  <c r="G938" i="10"/>
  <c r="F938" i="10"/>
  <c r="E938" i="10"/>
  <c r="D938" i="10"/>
  <c r="C938" i="10"/>
  <c r="B938" i="10"/>
  <c r="H939" i="10"/>
  <c r="G939" i="10"/>
  <c r="F939" i="10"/>
  <c r="E939" i="10"/>
  <c r="D939" i="10"/>
  <c r="C939" i="10"/>
  <c r="B939" i="10"/>
  <c r="H940" i="10"/>
  <c r="G940" i="10"/>
  <c r="F940" i="10"/>
  <c r="E940" i="10"/>
  <c r="D940" i="10"/>
  <c r="C940" i="10"/>
  <c r="B940" i="10"/>
  <c r="H941" i="10"/>
  <c r="G941" i="10"/>
  <c r="F941" i="10"/>
  <c r="E941" i="10"/>
  <c r="D941" i="10"/>
  <c r="C941" i="10"/>
  <c r="B941" i="10"/>
  <c r="H942" i="10"/>
  <c r="G942" i="10"/>
  <c r="F942" i="10"/>
  <c r="E942" i="10"/>
  <c r="D942" i="10"/>
  <c r="C942" i="10"/>
  <c r="B942" i="10"/>
  <c r="H943" i="10"/>
  <c r="G943" i="10"/>
  <c r="F943" i="10"/>
  <c r="E943" i="10"/>
  <c r="D943" i="10"/>
  <c r="C943" i="10"/>
  <c r="B943" i="10"/>
  <c r="H944" i="10"/>
  <c r="G944" i="10"/>
  <c r="F944" i="10"/>
  <c r="E944" i="10"/>
  <c r="D944" i="10"/>
  <c r="C944" i="10"/>
  <c r="B944" i="10"/>
  <c r="H945" i="10"/>
  <c r="G945" i="10"/>
  <c r="F945" i="10"/>
  <c r="E945" i="10"/>
  <c r="D945" i="10"/>
  <c r="C945" i="10"/>
  <c r="B945" i="10"/>
  <c r="H946" i="10"/>
  <c r="G946" i="10"/>
  <c r="F946" i="10"/>
  <c r="E946" i="10"/>
  <c r="D946" i="10"/>
  <c r="C946" i="10"/>
  <c r="B946" i="10"/>
  <c r="H947" i="10"/>
  <c r="G947" i="10"/>
  <c r="F947" i="10"/>
  <c r="E947" i="10"/>
  <c r="D947" i="10"/>
  <c r="C947" i="10"/>
  <c r="B947" i="10"/>
  <c r="H948" i="10"/>
  <c r="G948" i="10"/>
  <c r="F948" i="10"/>
  <c r="E948" i="10"/>
  <c r="D948" i="10"/>
  <c r="C948" i="10"/>
  <c r="B948" i="10"/>
  <c r="H949" i="10"/>
  <c r="G949" i="10"/>
  <c r="F949" i="10"/>
  <c r="E949" i="10"/>
  <c r="D949" i="10"/>
  <c r="C949" i="10"/>
  <c r="B949" i="10"/>
  <c r="H950" i="10"/>
  <c r="G950" i="10"/>
  <c r="F950" i="10"/>
  <c r="E950" i="10"/>
  <c r="D950" i="10"/>
  <c r="C950" i="10"/>
  <c r="B950" i="10"/>
  <c r="H951" i="10"/>
  <c r="G951" i="10"/>
  <c r="F951" i="10"/>
  <c r="E951" i="10"/>
  <c r="D951" i="10"/>
  <c r="C951" i="10"/>
  <c r="B951" i="10"/>
  <c r="H952" i="10"/>
  <c r="G952" i="10"/>
  <c r="F952" i="10"/>
  <c r="E952" i="10"/>
  <c r="D952" i="10"/>
  <c r="C952" i="10"/>
  <c r="B952" i="10"/>
  <c r="H953" i="10"/>
  <c r="G953" i="10"/>
  <c r="F953" i="10"/>
  <c r="E953" i="10"/>
  <c r="D953" i="10"/>
  <c r="C953" i="10"/>
  <c r="B953" i="10"/>
  <c r="H954" i="10"/>
  <c r="G954" i="10"/>
  <c r="F954" i="10"/>
  <c r="E954" i="10"/>
  <c r="D954" i="10"/>
  <c r="C954" i="10"/>
  <c r="B954" i="10"/>
  <c r="H955" i="10"/>
  <c r="G955" i="10"/>
  <c r="F955" i="10"/>
  <c r="E955" i="10"/>
  <c r="D955" i="10"/>
  <c r="C955" i="10"/>
  <c r="B955" i="10"/>
  <c r="H956" i="10"/>
  <c r="G956" i="10"/>
  <c r="F956" i="10"/>
  <c r="E956" i="10"/>
  <c r="D956" i="10"/>
  <c r="C956" i="10"/>
  <c r="B956" i="10"/>
  <c r="H957" i="10"/>
  <c r="G957" i="10"/>
  <c r="F957" i="10"/>
  <c r="E957" i="10"/>
  <c r="D957" i="10"/>
  <c r="C957" i="10"/>
  <c r="B957" i="10"/>
  <c r="H958" i="10"/>
  <c r="G958" i="10"/>
  <c r="F958" i="10"/>
  <c r="E958" i="10"/>
  <c r="D958" i="10"/>
  <c r="C958" i="10"/>
  <c r="B958" i="10"/>
  <c r="H959" i="10"/>
  <c r="G959" i="10"/>
  <c r="F959" i="10"/>
  <c r="E959" i="10"/>
  <c r="D959" i="10"/>
  <c r="C959" i="10"/>
  <c r="B959" i="10"/>
  <c r="H960" i="10"/>
  <c r="G960" i="10"/>
  <c r="F960" i="10"/>
  <c r="E960" i="10"/>
  <c r="D960" i="10"/>
  <c r="C960" i="10"/>
  <c r="B960" i="10"/>
  <c r="H961" i="10"/>
  <c r="G961" i="10"/>
  <c r="F961" i="10"/>
  <c r="E961" i="10"/>
  <c r="D961" i="10"/>
  <c r="C961" i="10"/>
  <c r="B961" i="10"/>
  <c r="H962" i="10"/>
  <c r="G962" i="10"/>
  <c r="F962" i="10"/>
  <c r="E962" i="10"/>
  <c r="D962" i="10"/>
  <c r="C962" i="10"/>
  <c r="B962" i="10"/>
  <c r="H963" i="10"/>
  <c r="G963" i="10"/>
  <c r="F963" i="10"/>
  <c r="E963" i="10"/>
  <c r="D963" i="10"/>
  <c r="C963" i="10"/>
  <c r="B963" i="10"/>
  <c r="H964" i="10"/>
  <c r="G964" i="10"/>
  <c r="F964" i="10"/>
  <c r="E964" i="10"/>
  <c r="D964" i="10"/>
  <c r="C964" i="10"/>
  <c r="B964" i="10"/>
  <c r="H965" i="10"/>
  <c r="G965" i="10"/>
  <c r="F965" i="10"/>
  <c r="E965" i="10"/>
  <c r="D965" i="10"/>
  <c r="C965" i="10"/>
  <c r="B965" i="10"/>
  <c r="H966" i="10"/>
  <c r="G966" i="10"/>
  <c r="F966" i="10"/>
  <c r="E966" i="10"/>
  <c r="D966" i="10"/>
  <c r="C966" i="10"/>
  <c r="B966" i="10"/>
  <c r="H967" i="10"/>
  <c r="G967" i="10"/>
  <c r="F967" i="10"/>
  <c r="E967" i="10"/>
  <c r="D967" i="10"/>
  <c r="C967" i="10"/>
  <c r="B967" i="10"/>
  <c r="H968" i="10"/>
  <c r="G968" i="10"/>
  <c r="F968" i="10"/>
  <c r="E968" i="10"/>
  <c r="D968" i="10"/>
  <c r="C968" i="10"/>
  <c r="B968" i="10"/>
  <c r="H969" i="10"/>
  <c r="G969" i="10"/>
  <c r="F969" i="10"/>
  <c r="E969" i="10"/>
  <c r="D969" i="10"/>
  <c r="C969" i="10"/>
  <c r="B969" i="10"/>
  <c r="H970" i="10"/>
  <c r="G970" i="10"/>
  <c r="F970" i="10"/>
  <c r="E970" i="10"/>
  <c r="D970" i="10"/>
  <c r="C970" i="10"/>
  <c r="B970" i="10"/>
  <c r="H971" i="10"/>
  <c r="G971" i="10"/>
  <c r="F971" i="10"/>
  <c r="E971" i="10"/>
  <c r="D971" i="10"/>
  <c r="C971" i="10"/>
  <c r="B971" i="10"/>
  <c r="H972" i="10"/>
  <c r="G972" i="10"/>
  <c r="F972" i="10"/>
  <c r="E972" i="10"/>
  <c r="D972" i="10"/>
  <c r="C972" i="10"/>
  <c r="B972" i="10"/>
  <c r="H973" i="10"/>
  <c r="G973" i="10"/>
  <c r="F973" i="10"/>
  <c r="E973" i="10"/>
  <c r="D973" i="10"/>
  <c r="C973" i="10"/>
  <c r="B973" i="10"/>
  <c r="H974" i="10"/>
  <c r="G974" i="10"/>
  <c r="F974" i="10"/>
  <c r="E974" i="10"/>
  <c r="D974" i="10"/>
  <c r="C974" i="10"/>
  <c r="B974" i="10"/>
  <c r="H975" i="10"/>
  <c r="G975" i="10"/>
  <c r="F975" i="10"/>
  <c r="E975" i="10"/>
  <c r="D975" i="10"/>
  <c r="C975" i="10"/>
  <c r="B975" i="10"/>
  <c r="H976" i="10"/>
  <c r="G976" i="10"/>
  <c r="F976" i="10"/>
  <c r="E976" i="10"/>
  <c r="D976" i="10"/>
  <c r="C976" i="10"/>
  <c r="B976" i="10"/>
  <c r="H977" i="10"/>
  <c r="G977" i="10"/>
  <c r="F977" i="10"/>
  <c r="E977" i="10"/>
  <c r="D977" i="10"/>
  <c r="C977" i="10"/>
  <c r="B977" i="10"/>
  <c r="H978" i="10"/>
  <c r="G978" i="10"/>
  <c r="F978" i="10"/>
  <c r="E978" i="10"/>
  <c r="D978" i="10"/>
  <c r="C978" i="10"/>
  <c r="B978" i="10"/>
  <c r="H979" i="10"/>
  <c r="G979" i="10"/>
  <c r="F979" i="10"/>
  <c r="E979" i="10"/>
  <c r="D979" i="10"/>
  <c r="C979" i="10"/>
  <c r="B979" i="10"/>
  <c r="H980" i="10"/>
  <c r="G980" i="10"/>
  <c r="F980" i="10"/>
  <c r="E980" i="10"/>
  <c r="D980" i="10"/>
  <c r="C980" i="10"/>
  <c r="B980" i="10"/>
  <c r="H981" i="10"/>
  <c r="G981" i="10"/>
  <c r="F981" i="10"/>
  <c r="E981" i="10"/>
  <c r="D981" i="10"/>
  <c r="C981" i="10"/>
  <c r="B981" i="10"/>
  <c r="H982" i="10"/>
  <c r="G982" i="10"/>
  <c r="F982" i="10"/>
  <c r="E982" i="10"/>
  <c r="D982" i="10"/>
  <c r="C982" i="10"/>
  <c r="B982" i="10"/>
  <c r="H983" i="10"/>
  <c r="G983" i="10"/>
  <c r="F983" i="10"/>
  <c r="E983" i="10"/>
  <c r="D983" i="10"/>
  <c r="C983" i="10"/>
  <c r="B983" i="10"/>
  <c r="H984" i="10"/>
  <c r="G984" i="10"/>
  <c r="F984" i="10"/>
  <c r="E984" i="10"/>
  <c r="D984" i="10"/>
  <c r="C984" i="10"/>
  <c r="B984" i="10"/>
  <c r="H985" i="10"/>
  <c r="G985" i="10"/>
  <c r="F985" i="10"/>
  <c r="E985" i="10"/>
  <c r="D985" i="10"/>
  <c r="C985" i="10"/>
  <c r="B985" i="10"/>
  <c r="H986" i="10"/>
  <c r="G986" i="10"/>
  <c r="F986" i="10"/>
  <c r="E986" i="10"/>
  <c r="D986" i="10"/>
  <c r="C986" i="10"/>
  <c r="B986" i="10"/>
  <c r="H987" i="10"/>
  <c r="G987" i="10"/>
  <c r="F987" i="10"/>
  <c r="E987" i="10"/>
  <c r="D987" i="10"/>
  <c r="C987" i="10"/>
  <c r="B987" i="10"/>
  <c r="H988" i="10"/>
  <c r="G988" i="10"/>
  <c r="F988" i="10"/>
  <c r="E988" i="10"/>
  <c r="D988" i="10"/>
  <c r="C988" i="10"/>
  <c r="B988" i="10"/>
  <c r="H989" i="10"/>
  <c r="G989" i="10"/>
  <c r="F989" i="10"/>
  <c r="E989" i="10"/>
  <c r="D989" i="10"/>
  <c r="C989" i="10"/>
  <c r="B989" i="10"/>
  <c r="H990" i="10"/>
  <c r="G990" i="10"/>
  <c r="F990" i="10"/>
  <c r="E990" i="10"/>
  <c r="D990" i="10"/>
  <c r="C990" i="10"/>
  <c r="B990" i="10"/>
  <c r="H991" i="10"/>
  <c r="G991" i="10"/>
  <c r="F991" i="10"/>
  <c r="E991" i="10"/>
  <c r="D991" i="10"/>
  <c r="C991" i="10"/>
  <c r="B991" i="10"/>
  <c r="H992" i="10"/>
  <c r="G992" i="10"/>
  <c r="F992" i="10"/>
  <c r="E992" i="10"/>
  <c r="D992" i="10"/>
  <c r="C992" i="10"/>
  <c r="B992" i="10"/>
  <c r="H993" i="10"/>
  <c r="G993" i="10"/>
  <c r="F993" i="10"/>
  <c r="E993" i="10"/>
  <c r="D993" i="10"/>
  <c r="C993" i="10"/>
  <c r="B993" i="10"/>
  <c r="H994" i="10"/>
  <c r="G994" i="10"/>
  <c r="F994" i="10"/>
  <c r="E994" i="10"/>
  <c r="D994" i="10"/>
  <c r="C994" i="10"/>
  <c r="B994" i="10"/>
  <c r="H995" i="10"/>
  <c r="G995" i="10"/>
  <c r="F995" i="10"/>
  <c r="E995" i="10"/>
  <c r="D995" i="10"/>
  <c r="C995" i="10"/>
  <c r="B995" i="10"/>
  <c r="H996" i="10"/>
  <c r="G996" i="10"/>
  <c r="F996" i="10"/>
  <c r="E996" i="10"/>
  <c r="D996" i="10"/>
  <c r="C996" i="10"/>
  <c r="B996" i="10"/>
  <c r="H997" i="10"/>
  <c r="G997" i="10"/>
  <c r="F997" i="10"/>
  <c r="E997" i="10"/>
  <c r="D997" i="10"/>
  <c r="C997" i="10"/>
  <c r="B997" i="10"/>
  <c r="H998" i="10"/>
  <c r="G998" i="10"/>
  <c r="F998" i="10"/>
  <c r="E998" i="10"/>
  <c r="D998" i="10"/>
  <c r="C998" i="10"/>
  <c r="B998" i="10"/>
  <c r="H999" i="10"/>
  <c r="G999" i="10"/>
  <c r="F999" i="10"/>
  <c r="E999" i="10"/>
  <c r="D999" i="10"/>
  <c r="C999" i="10"/>
  <c r="B999" i="10"/>
  <c r="H1000" i="10"/>
  <c r="G1000" i="10"/>
  <c r="F1000" i="10"/>
  <c r="E1000" i="10"/>
  <c r="D1000" i="10"/>
  <c r="C1000" i="10"/>
  <c r="B1000" i="10"/>
  <c r="H1001" i="10"/>
  <c r="G1001" i="10"/>
  <c r="F1001" i="10"/>
  <c r="E1001" i="10"/>
  <c r="D1001" i="10"/>
  <c r="C1001" i="10"/>
  <c r="B1001" i="10"/>
  <c r="H1002" i="10"/>
  <c r="G1002" i="10"/>
  <c r="F1002" i="10"/>
  <c r="E1002" i="10"/>
  <c r="D1002" i="10"/>
  <c r="C1002" i="10"/>
  <c r="B1002" i="10"/>
  <c r="H1003" i="10"/>
  <c r="G1003" i="10"/>
  <c r="F1003" i="10"/>
  <c r="E1003" i="10"/>
  <c r="D1003" i="10"/>
  <c r="C1003" i="10"/>
  <c r="B1003" i="10"/>
  <c r="H1004" i="10"/>
  <c r="G1004" i="10"/>
  <c r="F1004" i="10"/>
  <c r="E1004" i="10"/>
  <c r="D1004" i="10"/>
  <c r="C1004" i="10"/>
  <c r="B1004" i="10"/>
  <c r="H1005" i="10"/>
  <c r="G1005" i="10"/>
  <c r="F1005" i="10"/>
  <c r="E1005" i="10"/>
  <c r="D1005" i="10"/>
  <c r="C1005" i="10"/>
  <c r="B1005" i="10"/>
  <c r="H1006" i="10"/>
  <c r="G1006" i="10"/>
  <c r="F1006" i="10"/>
  <c r="E1006" i="10"/>
  <c r="D1006" i="10"/>
  <c r="C1006" i="10"/>
  <c r="B1006" i="10"/>
  <c r="H1007" i="10"/>
  <c r="G1007" i="10"/>
  <c r="F1007" i="10"/>
  <c r="E1007" i="10"/>
  <c r="D1007" i="10"/>
  <c r="C1007" i="10"/>
  <c r="B1007" i="10"/>
  <c r="H1008" i="10"/>
  <c r="G1008" i="10"/>
  <c r="F1008" i="10"/>
  <c r="E1008" i="10"/>
  <c r="D1008" i="10"/>
  <c r="C1008" i="10"/>
  <c r="B1008" i="10"/>
  <c r="H1009" i="10"/>
  <c r="G1009" i="10"/>
  <c r="F1009" i="10"/>
  <c r="E1009" i="10"/>
  <c r="D1009" i="10"/>
  <c r="C1009" i="10"/>
  <c r="B1009" i="10"/>
  <c r="H1010" i="10"/>
  <c r="G1010" i="10"/>
  <c r="F1010" i="10"/>
  <c r="E1010" i="10"/>
  <c r="D1010" i="10"/>
  <c r="C1010" i="10"/>
  <c r="B1010" i="10"/>
  <c r="H1011" i="10"/>
  <c r="G1011" i="10"/>
  <c r="F1011" i="10"/>
  <c r="E1011" i="10"/>
  <c r="D1011" i="10"/>
  <c r="C1011" i="10"/>
  <c r="B1011" i="10"/>
  <c r="H1012" i="10"/>
  <c r="G1012" i="10"/>
  <c r="F1012" i="10"/>
  <c r="E1012" i="10"/>
  <c r="D1012" i="10"/>
  <c r="C1012" i="10"/>
  <c r="B1012" i="10"/>
  <c r="H1013" i="10"/>
  <c r="G1013" i="10"/>
  <c r="F1013" i="10"/>
  <c r="E1013" i="10"/>
  <c r="D1013" i="10"/>
  <c r="C1013" i="10"/>
  <c r="B1013" i="10"/>
  <c r="H1014" i="10"/>
  <c r="G1014" i="10"/>
  <c r="F1014" i="10"/>
  <c r="E1014" i="10"/>
  <c r="D1014" i="10"/>
  <c r="C1014" i="10"/>
  <c r="B1014" i="10"/>
  <c r="H1015" i="10"/>
  <c r="G1015" i="10"/>
  <c r="F1015" i="10"/>
  <c r="E1015" i="10"/>
  <c r="D1015" i="10"/>
  <c r="C1015" i="10"/>
  <c r="B1015" i="10"/>
  <c r="H1016" i="10"/>
  <c r="G1016" i="10"/>
  <c r="F1016" i="10"/>
  <c r="E1016" i="10"/>
  <c r="D1016" i="10"/>
  <c r="C1016" i="10"/>
  <c r="B1016" i="10"/>
  <c r="H1017" i="10"/>
  <c r="G1017" i="10"/>
  <c r="F1017" i="10"/>
  <c r="E1017" i="10"/>
  <c r="D1017" i="10"/>
  <c r="C1017" i="10"/>
  <c r="B1017" i="10"/>
  <c r="H1018" i="10"/>
  <c r="G1018" i="10"/>
  <c r="F1018" i="10"/>
  <c r="E1018" i="10"/>
  <c r="D1018" i="10"/>
  <c r="C1018" i="10"/>
  <c r="B1018" i="10"/>
  <c r="H1019" i="10"/>
  <c r="G1019" i="10"/>
  <c r="F1019" i="10"/>
  <c r="E1019" i="10"/>
  <c r="D1019" i="10"/>
  <c r="C1019" i="10"/>
  <c r="B1019" i="10"/>
  <c r="H1020" i="10"/>
  <c r="G1020" i="10"/>
  <c r="F1020" i="10"/>
  <c r="E1020" i="10"/>
  <c r="D1020" i="10"/>
  <c r="C1020" i="10"/>
  <c r="B1020" i="10"/>
  <c r="H1021" i="10"/>
  <c r="G1021" i="10"/>
  <c r="F1021" i="10"/>
  <c r="E1021" i="10"/>
  <c r="D1021" i="10"/>
  <c r="C1021" i="10"/>
  <c r="B1021" i="10"/>
  <c r="H1022" i="10"/>
  <c r="G1022" i="10"/>
  <c r="F1022" i="10"/>
  <c r="E1022" i="10"/>
  <c r="D1022" i="10"/>
  <c r="C1022" i="10"/>
  <c r="B1022" i="10"/>
  <c r="H1023" i="10"/>
  <c r="G1023" i="10"/>
  <c r="F1023" i="10"/>
  <c r="E1023" i="10"/>
  <c r="D1023" i="10"/>
  <c r="C1023" i="10"/>
  <c r="B1023" i="10"/>
  <c r="H1024" i="10"/>
  <c r="G1024" i="10"/>
  <c r="F1024" i="10"/>
  <c r="E1024" i="10"/>
  <c r="D1024" i="10"/>
  <c r="C1024" i="10"/>
  <c r="B1024" i="10"/>
  <c r="H1025" i="10"/>
  <c r="G1025" i="10"/>
  <c r="F1025" i="10"/>
  <c r="E1025" i="10"/>
  <c r="D1025" i="10"/>
  <c r="C1025" i="10"/>
  <c r="B1025" i="10"/>
  <c r="H1026" i="10"/>
  <c r="G1026" i="10"/>
  <c r="F1026" i="10"/>
  <c r="E1026" i="10"/>
  <c r="D1026" i="10"/>
  <c r="C1026" i="10"/>
  <c r="B1026" i="10"/>
  <c r="H1027" i="10"/>
  <c r="G1027" i="10"/>
  <c r="F1027" i="10"/>
  <c r="E1027" i="10"/>
  <c r="D1027" i="10"/>
  <c r="C1027" i="10"/>
  <c r="B1027" i="10"/>
  <c r="H1028" i="10"/>
  <c r="G1028" i="10"/>
  <c r="F1028" i="10"/>
  <c r="E1028" i="10"/>
  <c r="D1028" i="10"/>
  <c r="C1028" i="10"/>
  <c r="B1028" i="10"/>
  <c r="H1029" i="10"/>
  <c r="G1029" i="10"/>
  <c r="F1029" i="10"/>
  <c r="E1029" i="10"/>
  <c r="D1029" i="10"/>
  <c r="C1029" i="10"/>
  <c r="B1029" i="10"/>
  <c r="H1030" i="10"/>
  <c r="G1030" i="10"/>
  <c r="F1030" i="10"/>
  <c r="E1030" i="10"/>
  <c r="D1030" i="10"/>
  <c r="C1030" i="10"/>
  <c r="B1030" i="10"/>
  <c r="H1031" i="10"/>
  <c r="G1031" i="10"/>
  <c r="F1031" i="10"/>
  <c r="E1031" i="10"/>
  <c r="D1031" i="10"/>
  <c r="C1031" i="10"/>
  <c r="B1031" i="10"/>
  <c r="H1032" i="10"/>
  <c r="G1032" i="10"/>
  <c r="F1032" i="10"/>
  <c r="E1032" i="10"/>
  <c r="D1032" i="10"/>
  <c r="C1032" i="10"/>
  <c r="B1032" i="10"/>
  <c r="H1033" i="10"/>
  <c r="G1033" i="10"/>
  <c r="F1033" i="10"/>
  <c r="E1033" i="10"/>
  <c r="D1033" i="10"/>
  <c r="C1033" i="10"/>
  <c r="B1033" i="10"/>
  <c r="H1034" i="10"/>
  <c r="G1034" i="10"/>
  <c r="F1034" i="10"/>
  <c r="E1034" i="10"/>
  <c r="D1034" i="10"/>
  <c r="C1034" i="10"/>
  <c r="B1034" i="10"/>
  <c r="H1035" i="10"/>
  <c r="G1035" i="10"/>
  <c r="F1035" i="10"/>
  <c r="E1035" i="10"/>
  <c r="D1035" i="10"/>
  <c r="C1035" i="10"/>
  <c r="B1035" i="10"/>
  <c r="H1036" i="10"/>
  <c r="G1036" i="10"/>
  <c r="F1036" i="10"/>
  <c r="E1036" i="10"/>
  <c r="D1036" i="10"/>
  <c r="C1036" i="10"/>
  <c r="B1036" i="10"/>
  <c r="H1037" i="10"/>
  <c r="G1037" i="10"/>
  <c r="F1037" i="10"/>
  <c r="E1037" i="10"/>
  <c r="D1037" i="10"/>
  <c r="C1037" i="10"/>
  <c r="B1037" i="10"/>
  <c r="H1038" i="10"/>
  <c r="G1038" i="10"/>
  <c r="F1038" i="10"/>
  <c r="E1038" i="10"/>
  <c r="D1038" i="10"/>
  <c r="C1038" i="10"/>
  <c r="B1038" i="10"/>
  <c r="H1039" i="10"/>
  <c r="G1039" i="10"/>
  <c r="F1039" i="10"/>
  <c r="E1039" i="10"/>
  <c r="D1039" i="10"/>
  <c r="C1039" i="10"/>
  <c r="B1039" i="10"/>
  <c r="H1040" i="10"/>
  <c r="G1040" i="10"/>
  <c r="F1040" i="10"/>
  <c r="E1040" i="10"/>
  <c r="D1040" i="10"/>
  <c r="C1040" i="10"/>
  <c r="B1040" i="10"/>
  <c r="H1041" i="10"/>
  <c r="G1041" i="10"/>
  <c r="F1041" i="10"/>
  <c r="E1041" i="10"/>
  <c r="D1041" i="10"/>
  <c r="C1041" i="10"/>
  <c r="B1041" i="10"/>
  <c r="H1042" i="10"/>
  <c r="G1042" i="10"/>
  <c r="F1042" i="10"/>
  <c r="E1042" i="10"/>
  <c r="D1042" i="10"/>
  <c r="C1042" i="10"/>
  <c r="B1042" i="10"/>
  <c r="H1043" i="10"/>
  <c r="G1043" i="10"/>
  <c r="F1043" i="10"/>
  <c r="E1043" i="10"/>
  <c r="D1043" i="10"/>
  <c r="C1043" i="10"/>
  <c r="B1043" i="10"/>
  <c r="H1044" i="10"/>
  <c r="G1044" i="10"/>
  <c r="F1044" i="10"/>
  <c r="E1044" i="10"/>
  <c r="D1044" i="10"/>
  <c r="C1044" i="10"/>
  <c r="B1044" i="10"/>
  <c r="H1045" i="10"/>
  <c r="G1045" i="10"/>
  <c r="F1045" i="10"/>
  <c r="E1045" i="10"/>
  <c r="D1045" i="10"/>
  <c r="C1045" i="10"/>
  <c r="B1045" i="10"/>
  <c r="H1046" i="10"/>
  <c r="G1046" i="10"/>
  <c r="F1046" i="10"/>
  <c r="E1046" i="10"/>
  <c r="D1046" i="10"/>
  <c r="C1046" i="10"/>
  <c r="B1046" i="10"/>
  <c r="H1047" i="10"/>
  <c r="G1047" i="10"/>
  <c r="F1047" i="10"/>
  <c r="E1047" i="10"/>
  <c r="D1047" i="10"/>
  <c r="C1047" i="10"/>
  <c r="B1047" i="10"/>
  <c r="H1048" i="10"/>
  <c r="G1048" i="10"/>
  <c r="F1048" i="10"/>
  <c r="E1048" i="10"/>
  <c r="D1048" i="10"/>
  <c r="C1048" i="10"/>
  <c r="B1048" i="10"/>
  <c r="H1049" i="10"/>
  <c r="G1049" i="10"/>
  <c r="F1049" i="10"/>
  <c r="E1049" i="10"/>
  <c r="D1049" i="10"/>
  <c r="C1049" i="10"/>
  <c r="B1049" i="10"/>
  <c r="H1050" i="10"/>
  <c r="G1050" i="10"/>
  <c r="F1050" i="10"/>
  <c r="E1050" i="10"/>
  <c r="D1050" i="10"/>
  <c r="C1050" i="10"/>
  <c r="B1050" i="10"/>
  <c r="H1051" i="10"/>
  <c r="G1051" i="10"/>
  <c r="F1051" i="10"/>
  <c r="E1051" i="10"/>
  <c r="D1051" i="10"/>
  <c r="C1051" i="10"/>
  <c r="B1051" i="10"/>
  <c r="H1052" i="10"/>
  <c r="G1052" i="10"/>
  <c r="F1052" i="10"/>
  <c r="E1052" i="10"/>
  <c r="D1052" i="10"/>
  <c r="C1052" i="10"/>
  <c r="B1052" i="10"/>
  <c r="H1053" i="10"/>
  <c r="G1053" i="10"/>
  <c r="F1053" i="10"/>
  <c r="E1053" i="10"/>
  <c r="D1053" i="10"/>
  <c r="C1053" i="10"/>
  <c r="B1053" i="10"/>
  <c r="H1054" i="10"/>
  <c r="G1054" i="10"/>
  <c r="F1054" i="10"/>
  <c r="E1054" i="10"/>
  <c r="D1054" i="10"/>
  <c r="C1054" i="10"/>
  <c r="B1054" i="10"/>
  <c r="H1055" i="10"/>
  <c r="G1055" i="10"/>
  <c r="F1055" i="10"/>
  <c r="E1055" i="10"/>
  <c r="D1055" i="10"/>
  <c r="C1055" i="10"/>
  <c r="B1055" i="10"/>
  <c r="H1056" i="10"/>
  <c r="G1056" i="10"/>
  <c r="F1056" i="10"/>
  <c r="E1056" i="10"/>
  <c r="D1056" i="10"/>
  <c r="C1056" i="10"/>
  <c r="B1056" i="10"/>
  <c r="H1057" i="10"/>
  <c r="G1057" i="10"/>
  <c r="F1057" i="10"/>
  <c r="E1057" i="10"/>
  <c r="D1057" i="10"/>
  <c r="C1057" i="10"/>
  <c r="B1057" i="10"/>
  <c r="H1058" i="10"/>
  <c r="G1058" i="10"/>
  <c r="F1058" i="10"/>
  <c r="E1058" i="10"/>
  <c r="D1058" i="10"/>
  <c r="C1058" i="10"/>
  <c r="B1058" i="10"/>
  <c r="H1059" i="10"/>
  <c r="G1059" i="10"/>
  <c r="F1059" i="10"/>
  <c r="E1059" i="10"/>
  <c r="D1059" i="10"/>
  <c r="C1059" i="10"/>
  <c r="B1059" i="10"/>
  <c r="H1060" i="10"/>
  <c r="G1060" i="10"/>
  <c r="F1060" i="10"/>
  <c r="E1060" i="10"/>
  <c r="D1060" i="10"/>
  <c r="C1060" i="10"/>
  <c r="B1060" i="10"/>
  <c r="H1061" i="10"/>
  <c r="G1061" i="10"/>
  <c r="F1061" i="10"/>
  <c r="E1061" i="10"/>
  <c r="D1061" i="10"/>
  <c r="C1061" i="10"/>
  <c r="B1061" i="10"/>
  <c r="H1062" i="10"/>
  <c r="G1062" i="10"/>
  <c r="F1062" i="10"/>
  <c r="E1062" i="10"/>
  <c r="D1062" i="10"/>
  <c r="C1062" i="10"/>
  <c r="B1062" i="10"/>
  <c r="H1063" i="10"/>
  <c r="G1063" i="10"/>
  <c r="F1063" i="10"/>
  <c r="E1063" i="10"/>
  <c r="D1063" i="10"/>
  <c r="C1063" i="10"/>
  <c r="B1063" i="10"/>
  <c r="H1064" i="10"/>
  <c r="G1064" i="10"/>
  <c r="F1064" i="10"/>
  <c r="E1064" i="10"/>
  <c r="D1064" i="10"/>
  <c r="C1064" i="10"/>
  <c r="B1064" i="10"/>
  <c r="H1065" i="10"/>
  <c r="G1065" i="10"/>
  <c r="F1065" i="10"/>
  <c r="E1065" i="10"/>
  <c r="D1065" i="10"/>
  <c r="C1065" i="10"/>
  <c r="B1065" i="10"/>
  <c r="H1066" i="10"/>
  <c r="G1066" i="10"/>
  <c r="F1066" i="10"/>
  <c r="E1066" i="10"/>
  <c r="D1066" i="10"/>
  <c r="C1066" i="10"/>
  <c r="B1066" i="10"/>
  <c r="H1067" i="10"/>
  <c r="G1067" i="10"/>
  <c r="F1067" i="10"/>
  <c r="E1067" i="10"/>
  <c r="D1067" i="10"/>
  <c r="C1067" i="10"/>
  <c r="B1067" i="10"/>
  <c r="H1068" i="10"/>
  <c r="G1068" i="10"/>
  <c r="F1068" i="10"/>
  <c r="E1068" i="10"/>
  <c r="D1068" i="10"/>
  <c r="C1068" i="10"/>
  <c r="B1068" i="10"/>
  <c r="H1069" i="10"/>
  <c r="G1069" i="10"/>
  <c r="F1069" i="10"/>
  <c r="E1069" i="10"/>
  <c r="D1069" i="10"/>
  <c r="C1069" i="10"/>
  <c r="B1069" i="10"/>
  <c r="H1070" i="10"/>
  <c r="G1070" i="10"/>
  <c r="F1070" i="10"/>
  <c r="E1070" i="10"/>
  <c r="D1070" i="10"/>
  <c r="C1070" i="10"/>
  <c r="B1070" i="10"/>
  <c r="H1071" i="10"/>
  <c r="G1071" i="10"/>
  <c r="F1071" i="10"/>
  <c r="E1071" i="10"/>
  <c r="D1071" i="10"/>
  <c r="C1071" i="10"/>
  <c r="B1071" i="10"/>
  <c r="H1072" i="10"/>
  <c r="G1072" i="10"/>
  <c r="F1072" i="10"/>
  <c r="E1072" i="10"/>
  <c r="D1072" i="10"/>
  <c r="C1072" i="10"/>
  <c r="B1072" i="10"/>
  <c r="H1073" i="10"/>
  <c r="G1073" i="10"/>
  <c r="F1073" i="10"/>
  <c r="E1073" i="10"/>
  <c r="D1073" i="10"/>
  <c r="C1073" i="10"/>
  <c r="B1073" i="10"/>
  <c r="H1074" i="10"/>
  <c r="G1074" i="10"/>
  <c r="F1074" i="10"/>
  <c r="E1074" i="10"/>
  <c r="D1074" i="10"/>
  <c r="C1074" i="10"/>
  <c r="B1074" i="10"/>
  <c r="H1075" i="10"/>
  <c r="G1075" i="10"/>
  <c r="F1075" i="10"/>
  <c r="E1075" i="10"/>
  <c r="D1075" i="10"/>
  <c r="C1075" i="10"/>
  <c r="B1075" i="10"/>
  <c r="H1076" i="10"/>
  <c r="G1076" i="10"/>
  <c r="F1076" i="10"/>
  <c r="E1076" i="10"/>
  <c r="D1076" i="10"/>
  <c r="C1076" i="10"/>
  <c r="B1076" i="10"/>
  <c r="H1077" i="10"/>
  <c r="G1077" i="10"/>
  <c r="F1077" i="10"/>
  <c r="E1077" i="10"/>
  <c r="D1077" i="10"/>
  <c r="C1077" i="10"/>
  <c r="B1077" i="10"/>
  <c r="H1078" i="10"/>
  <c r="G1078" i="10"/>
  <c r="F1078" i="10"/>
  <c r="E1078" i="10"/>
  <c r="D1078" i="10"/>
  <c r="C1078" i="10"/>
  <c r="B1078" i="10"/>
  <c r="H1079" i="10"/>
  <c r="G1079" i="10"/>
  <c r="F1079" i="10"/>
  <c r="E1079" i="10"/>
  <c r="D1079" i="10"/>
  <c r="C1079" i="10"/>
  <c r="B1079" i="10"/>
  <c r="H1080" i="10"/>
  <c r="G1080" i="10"/>
  <c r="F1080" i="10"/>
  <c r="E1080" i="10"/>
  <c r="D1080" i="10"/>
  <c r="C1080" i="10"/>
  <c r="B1080" i="10"/>
  <c r="H1081" i="10"/>
  <c r="G1081" i="10"/>
  <c r="F1081" i="10"/>
  <c r="E1081" i="10"/>
  <c r="D1081" i="10"/>
  <c r="C1081" i="10"/>
  <c r="B1081" i="10"/>
  <c r="H1082" i="10"/>
  <c r="G1082" i="10"/>
  <c r="F1082" i="10"/>
  <c r="E1082" i="10"/>
  <c r="D1082" i="10"/>
  <c r="C1082" i="10"/>
  <c r="B1082" i="10"/>
  <c r="H1083" i="10"/>
  <c r="G1083" i="10"/>
  <c r="F1083" i="10"/>
  <c r="E1083" i="10"/>
  <c r="D1083" i="10"/>
  <c r="C1083" i="10"/>
  <c r="B1083" i="10"/>
  <c r="H1084" i="10"/>
  <c r="G1084" i="10"/>
  <c r="F1084" i="10"/>
  <c r="E1084" i="10"/>
  <c r="D1084" i="10"/>
  <c r="C1084" i="10"/>
  <c r="B1084" i="10"/>
  <c r="H1085" i="10"/>
  <c r="G1085" i="10"/>
  <c r="F1085" i="10"/>
  <c r="E1085" i="10"/>
  <c r="D1085" i="10"/>
  <c r="C1085" i="10"/>
  <c r="B1085" i="10"/>
  <c r="H1086" i="10"/>
  <c r="G1086" i="10"/>
  <c r="F1086" i="10"/>
  <c r="E1086" i="10"/>
  <c r="D1086" i="10"/>
  <c r="C1086" i="10"/>
  <c r="B1086" i="10"/>
  <c r="H1087" i="10"/>
  <c r="G1087" i="10"/>
  <c r="F1087" i="10"/>
  <c r="E1087" i="10"/>
  <c r="D1087" i="10"/>
  <c r="C1087" i="10"/>
  <c r="B1087" i="10"/>
  <c r="H1088" i="10"/>
  <c r="G1088" i="10"/>
  <c r="F1088" i="10"/>
  <c r="E1088" i="10"/>
  <c r="D1088" i="10"/>
  <c r="C1088" i="10"/>
  <c r="B1088" i="10"/>
  <c r="H1089" i="10"/>
  <c r="G1089" i="10"/>
  <c r="F1089" i="10"/>
  <c r="E1089" i="10"/>
  <c r="D1089" i="10"/>
  <c r="C1089" i="10"/>
  <c r="B1089" i="10"/>
  <c r="H1090" i="10"/>
  <c r="G1090" i="10"/>
  <c r="F1090" i="10"/>
  <c r="E1090" i="10"/>
  <c r="D1090" i="10"/>
  <c r="C1090" i="10"/>
  <c r="B1090" i="10"/>
  <c r="H1091" i="10"/>
  <c r="G1091" i="10"/>
  <c r="F1091" i="10"/>
  <c r="E1091" i="10"/>
  <c r="D1091" i="10"/>
  <c r="C1091" i="10"/>
  <c r="B1091" i="10"/>
  <c r="H1092" i="10"/>
  <c r="G1092" i="10"/>
  <c r="F1092" i="10"/>
  <c r="E1092" i="10"/>
  <c r="D1092" i="10"/>
  <c r="C1092" i="10"/>
  <c r="B1092" i="10"/>
  <c r="H1093" i="10"/>
  <c r="G1093" i="10"/>
  <c r="F1093" i="10"/>
  <c r="E1093" i="10"/>
  <c r="D1093" i="10"/>
  <c r="C1093" i="10"/>
  <c r="B1093" i="10"/>
  <c r="H1094" i="10"/>
  <c r="G1094" i="10"/>
  <c r="F1094" i="10"/>
  <c r="E1094" i="10"/>
  <c r="D1094" i="10"/>
  <c r="C1094" i="10"/>
  <c r="B1094" i="10"/>
  <c r="H1095" i="10"/>
  <c r="G1095" i="10"/>
  <c r="F1095" i="10"/>
  <c r="E1095" i="10"/>
  <c r="D1095" i="10"/>
  <c r="C1095" i="10"/>
  <c r="B1095" i="10"/>
  <c r="H1096" i="10"/>
  <c r="G1096" i="10"/>
  <c r="F1096" i="10"/>
  <c r="E1096" i="10"/>
  <c r="D1096" i="10"/>
  <c r="C1096" i="10"/>
  <c r="B1096" i="10"/>
  <c r="H1097" i="10"/>
  <c r="G1097" i="10"/>
  <c r="F1097" i="10"/>
  <c r="E1097" i="10"/>
  <c r="D1097" i="10"/>
  <c r="C1097" i="10"/>
  <c r="B1097" i="10"/>
  <c r="H1098" i="10"/>
  <c r="G1098" i="10"/>
  <c r="F1098" i="10"/>
  <c r="E1098" i="10"/>
  <c r="D1098" i="10"/>
  <c r="C1098" i="10"/>
  <c r="B1098" i="10"/>
  <c r="H1099" i="10"/>
  <c r="G1099" i="10"/>
  <c r="F1099" i="10"/>
  <c r="E1099" i="10"/>
  <c r="D1099" i="10"/>
  <c r="C1099" i="10"/>
  <c r="B1099" i="10"/>
  <c r="H1100" i="10"/>
  <c r="G1100" i="10"/>
  <c r="F1100" i="10"/>
  <c r="E1100" i="10"/>
  <c r="D1100" i="10"/>
  <c r="C1100" i="10"/>
  <c r="B1100" i="10"/>
  <c r="H1101" i="10"/>
  <c r="G1101" i="10"/>
  <c r="F1101" i="10"/>
  <c r="E1101" i="10"/>
  <c r="D1101" i="10"/>
  <c r="C1101" i="10"/>
  <c r="B1101" i="10"/>
  <c r="H1102" i="10"/>
  <c r="G1102" i="10"/>
  <c r="F1102" i="10"/>
  <c r="E1102" i="10"/>
  <c r="D1102" i="10"/>
  <c r="C1102" i="10"/>
  <c r="B1102" i="10"/>
  <c r="H1103" i="10"/>
  <c r="G1103" i="10"/>
  <c r="F1103" i="10"/>
  <c r="E1103" i="10"/>
  <c r="D1103" i="10"/>
  <c r="C1103" i="10"/>
  <c r="B1103" i="10"/>
  <c r="H1104" i="10"/>
  <c r="G1104" i="10"/>
  <c r="F1104" i="10"/>
  <c r="E1104" i="10"/>
  <c r="D1104" i="10"/>
  <c r="C1104" i="10"/>
  <c r="B1104" i="10"/>
  <c r="H1105" i="10"/>
  <c r="G1105" i="10"/>
  <c r="F1105" i="10"/>
  <c r="E1105" i="10"/>
  <c r="D1105" i="10"/>
  <c r="C1105" i="10"/>
  <c r="B1105" i="10"/>
  <c r="H1106" i="10"/>
  <c r="G1106" i="10"/>
  <c r="F1106" i="10"/>
  <c r="E1106" i="10"/>
  <c r="D1106" i="10"/>
  <c r="C1106" i="10"/>
  <c r="B1106" i="10"/>
  <c r="H1107" i="10"/>
  <c r="G1107" i="10"/>
  <c r="F1107" i="10"/>
  <c r="E1107" i="10"/>
  <c r="D1107" i="10"/>
  <c r="C1107" i="10"/>
  <c r="B1107" i="10"/>
  <c r="H1108" i="10"/>
  <c r="G1108" i="10"/>
  <c r="F1108" i="10"/>
  <c r="E1108" i="10"/>
  <c r="D1108" i="10"/>
  <c r="C1108" i="10"/>
  <c r="B1108" i="10"/>
  <c r="H1109" i="10"/>
  <c r="G1109" i="10"/>
  <c r="F1109" i="10"/>
  <c r="E1109" i="10"/>
  <c r="D1109" i="10"/>
  <c r="C1109" i="10"/>
  <c r="B1109" i="10"/>
  <c r="H1110" i="10"/>
  <c r="G1110" i="10"/>
  <c r="F1110" i="10"/>
  <c r="E1110" i="10"/>
  <c r="D1110" i="10"/>
  <c r="C1110" i="10"/>
  <c r="B1110" i="10"/>
  <c r="H1111" i="10"/>
  <c r="G1111" i="10"/>
  <c r="F1111" i="10"/>
  <c r="E1111" i="10"/>
  <c r="D1111" i="10"/>
  <c r="C1111" i="10"/>
  <c r="B1111" i="10"/>
  <c r="H1112" i="10"/>
  <c r="G1112" i="10"/>
  <c r="F1112" i="10"/>
  <c r="E1112" i="10"/>
  <c r="D1112" i="10"/>
  <c r="C1112" i="10"/>
  <c r="B1112" i="10"/>
  <c r="H1113" i="10"/>
  <c r="G1113" i="10"/>
  <c r="F1113" i="10"/>
  <c r="E1113" i="10"/>
  <c r="D1113" i="10"/>
  <c r="C1113" i="10"/>
  <c r="B1113" i="10"/>
  <c r="H1114" i="10"/>
  <c r="G1114" i="10"/>
  <c r="F1114" i="10"/>
  <c r="E1114" i="10"/>
  <c r="D1114" i="10"/>
  <c r="C1114" i="10"/>
  <c r="B1114" i="10"/>
  <c r="H1115" i="10"/>
  <c r="G1115" i="10"/>
  <c r="F1115" i="10"/>
  <c r="E1115" i="10"/>
  <c r="D1115" i="10"/>
  <c r="C1115" i="10"/>
  <c r="B1115" i="10"/>
  <c r="H1116" i="10"/>
  <c r="G1116" i="10"/>
  <c r="F1116" i="10"/>
  <c r="E1116" i="10"/>
  <c r="D1116" i="10"/>
  <c r="C1116" i="10"/>
  <c r="B1116" i="10"/>
  <c r="H1117" i="10"/>
  <c r="G1117" i="10"/>
  <c r="F1117" i="10"/>
  <c r="E1117" i="10"/>
  <c r="D1117" i="10"/>
  <c r="C1117" i="10"/>
  <c r="B1117" i="10"/>
  <c r="H1118" i="10"/>
  <c r="G1118" i="10"/>
  <c r="F1118" i="10"/>
  <c r="E1118" i="10"/>
  <c r="D1118" i="10"/>
  <c r="C1118" i="10"/>
  <c r="B1118" i="10"/>
  <c r="H1119" i="10"/>
  <c r="G1119" i="10"/>
  <c r="F1119" i="10"/>
  <c r="E1119" i="10"/>
  <c r="D1119" i="10"/>
  <c r="C1119" i="10"/>
  <c r="B1119" i="10"/>
  <c r="H1120" i="10"/>
  <c r="G1120" i="10"/>
  <c r="F1120" i="10"/>
  <c r="E1120" i="10"/>
  <c r="D1120" i="10"/>
  <c r="C1120" i="10"/>
  <c r="B1120" i="10"/>
  <c r="H1121" i="10"/>
  <c r="G1121" i="10"/>
  <c r="F1121" i="10"/>
  <c r="E1121" i="10"/>
  <c r="D1121" i="10"/>
  <c r="C1121" i="10"/>
  <c r="B1121" i="10"/>
  <c r="H1122" i="10"/>
  <c r="G1122" i="10"/>
  <c r="F1122" i="10"/>
  <c r="E1122" i="10"/>
  <c r="D1122" i="10"/>
  <c r="C1122" i="10"/>
  <c r="B1122" i="10"/>
  <c r="H1123" i="10"/>
  <c r="G1123" i="10"/>
  <c r="F1123" i="10"/>
  <c r="E1123" i="10"/>
  <c r="D1123" i="10"/>
  <c r="C1123" i="10"/>
  <c r="B1123" i="10"/>
  <c r="H1124" i="10"/>
  <c r="G1124" i="10"/>
  <c r="F1124" i="10"/>
  <c r="E1124" i="10"/>
  <c r="D1124" i="10"/>
  <c r="C1124" i="10"/>
  <c r="B1124" i="10"/>
  <c r="H1125" i="10"/>
  <c r="G1125" i="10"/>
  <c r="F1125" i="10"/>
  <c r="E1125" i="10"/>
  <c r="D1125" i="10"/>
  <c r="C1125" i="10"/>
  <c r="B1125" i="10"/>
  <c r="H1126" i="10"/>
  <c r="G1126" i="10"/>
  <c r="F1126" i="10"/>
  <c r="E1126" i="10"/>
  <c r="D1126" i="10"/>
  <c r="C1126" i="10"/>
  <c r="B1126" i="10"/>
  <c r="H1127" i="10"/>
  <c r="G1127" i="10"/>
  <c r="F1127" i="10"/>
  <c r="E1127" i="10"/>
  <c r="D1127" i="10"/>
  <c r="C1127" i="10"/>
  <c r="B1127" i="10"/>
  <c r="H1128" i="10"/>
  <c r="G1128" i="10"/>
  <c r="F1128" i="10"/>
  <c r="E1128" i="10"/>
  <c r="D1128" i="10"/>
  <c r="C1128" i="10"/>
  <c r="B1128" i="10"/>
  <c r="H1129" i="10"/>
  <c r="G1129" i="10"/>
  <c r="F1129" i="10"/>
  <c r="E1129" i="10"/>
  <c r="D1129" i="10"/>
  <c r="C1129" i="10"/>
  <c r="B1129" i="10"/>
  <c r="H1130" i="10"/>
  <c r="G1130" i="10"/>
  <c r="F1130" i="10"/>
  <c r="E1130" i="10"/>
  <c r="D1130" i="10"/>
  <c r="C1130" i="10"/>
  <c r="B1130" i="10"/>
  <c r="H1131" i="10"/>
  <c r="G1131" i="10"/>
  <c r="F1131" i="10"/>
  <c r="E1131" i="10"/>
  <c r="D1131" i="10"/>
  <c r="C1131" i="10"/>
  <c r="B1131" i="10"/>
  <c r="H1132" i="10"/>
  <c r="G1132" i="10"/>
  <c r="F1132" i="10"/>
  <c r="E1132" i="10"/>
  <c r="D1132" i="10"/>
  <c r="C1132" i="10"/>
  <c r="B1132" i="10"/>
  <c r="H1133" i="10"/>
  <c r="G1133" i="10"/>
  <c r="F1133" i="10"/>
  <c r="E1133" i="10"/>
  <c r="D1133" i="10"/>
  <c r="C1133" i="10"/>
  <c r="B1133" i="10"/>
  <c r="H1134" i="10"/>
  <c r="G1134" i="10"/>
  <c r="F1134" i="10"/>
  <c r="E1134" i="10"/>
  <c r="D1134" i="10"/>
  <c r="C1134" i="10"/>
  <c r="B1134" i="10"/>
  <c r="H1135" i="10"/>
  <c r="G1135" i="10"/>
  <c r="F1135" i="10"/>
  <c r="E1135" i="10"/>
  <c r="D1135" i="10"/>
  <c r="C1135" i="10"/>
  <c r="B1135" i="10"/>
  <c r="H1136" i="10"/>
  <c r="G1136" i="10"/>
  <c r="F1136" i="10"/>
  <c r="E1136" i="10"/>
  <c r="D1136" i="10"/>
  <c r="C1136" i="10"/>
  <c r="B1136" i="10"/>
  <c r="H1137" i="10"/>
  <c r="G1137" i="10"/>
  <c r="F1137" i="10"/>
  <c r="E1137" i="10"/>
  <c r="D1137" i="10"/>
  <c r="C1137" i="10"/>
  <c r="B1137" i="10"/>
  <c r="H1138" i="10"/>
  <c r="G1138" i="10"/>
  <c r="F1138" i="10"/>
  <c r="E1138" i="10"/>
  <c r="D1138" i="10"/>
  <c r="C1138" i="10"/>
  <c r="B1138" i="10"/>
  <c r="H1139" i="10"/>
  <c r="G1139" i="10"/>
  <c r="F1139" i="10"/>
  <c r="E1139" i="10"/>
  <c r="D1139" i="10"/>
  <c r="C1139" i="10"/>
  <c r="B1139" i="10"/>
  <c r="H1140" i="10"/>
  <c r="G1140" i="10"/>
  <c r="F1140" i="10"/>
  <c r="E1140" i="10"/>
  <c r="D1140" i="10"/>
  <c r="C1140" i="10"/>
  <c r="B1140" i="10"/>
  <c r="H1141" i="10"/>
  <c r="G1141" i="10"/>
  <c r="F1141" i="10"/>
  <c r="E1141" i="10"/>
  <c r="D1141" i="10"/>
  <c r="C1141" i="10"/>
  <c r="B1141" i="10"/>
  <c r="H1142" i="10"/>
  <c r="G1142" i="10"/>
  <c r="F1142" i="10"/>
  <c r="E1142" i="10"/>
  <c r="D1142" i="10"/>
  <c r="C1142" i="10"/>
  <c r="B1142" i="10"/>
  <c r="H1143" i="10"/>
  <c r="G1143" i="10"/>
  <c r="F1143" i="10"/>
  <c r="E1143" i="10"/>
  <c r="D1143" i="10"/>
  <c r="C1143" i="10"/>
  <c r="B1143" i="10"/>
  <c r="H1144" i="10"/>
  <c r="G1144" i="10"/>
  <c r="F1144" i="10"/>
  <c r="E1144" i="10"/>
  <c r="D1144" i="10"/>
  <c r="C1144" i="10"/>
  <c r="B1144" i="10"/>
  <c r="H1145" i="10"/>
  <c r="G1145" i="10"/>
  <c r="F1145" i="10"/>
  <c r="E1145" i="10"/>
  <c r="D1145" i="10"/>
  <c r="C1145" i="10"/>
  <c r="B1145" i="10"/>
  <c r="H1146" i="10"/>
  <c r="G1146" i="10"/>
  <c r="F1146" i="10"/>
  <c r="E1146" i="10"/>
  <c r="D1146" i="10"/>
  <c r="C1146" i="10"/>
  <c r="B1146" i="10"/>
  <c r="H1147" i="10"/>
  <c r="G1147" i="10"/>
  <c r="F1147" i="10"/>
  <c r="E1147" i="10"/>
  <c r="D1147" i="10"/>
  <c r="C1147" i="10"/>
  <c r="B1147" i="10"/>
  <c r="H1148" i="10"/>
  <c r="G1148" i="10"/>
  <c r="F1148" i="10"/>
  <c r="E1148" i="10"/>
  <c r="D1148" i="10"/>
  <c r="C1148" i="10"/>
  <c r="B1148" i="10"/>
  <c r="H1149" i="10"/>
  <c r="G1149" i="10"/>
  <c r="F1149" i="10"/>
  <c r="E1149" i="10"/>
  <c r="D1149" i="10"/>
  <c r="C1149" i="10"/>
  <c r="B1149" i="10"/>
  <c r="H1150" i="10"/>
  <c r="G1150" i="10"/>
  <c r="F1150" i="10"/>
  <c r="E1150" i="10"/>
  <c r="D1150" i="10"/>
  <c r="C1150" i="10"/>
  <c r="B1150" i="10"/>
  <c r="H1151" i="10"/>
  <c r="G1151" i="10"/>
  <c r="F1151" i="10"/>
  <c r="E1151" i="10"/>
  <c r="D1151" i="10"/>
  <c r="C1151" i="10"/>
  <c r="B1151" i="10"/>
  <c r="H1152" i="10"/>
  <c r="G1152" i="10"/>
  <c r="F1152" i="10"/>
  <c r="E1152" i="10"/>
  <c r="D1152" i="10"/>
  <c r="C1152" i="10"/>
  <c r="B1152" i="10"/>
  <c r="H1153" i="10"/>
  <c r="G1153" i="10"/>
  <c r="F1153" i="10"/>
  <c r="E1153" i="10"/>
  <c r="D1153" i="10"/>
  <c r="C1153" i="10"/>
  <c r="B1153" i="10"/>
  <c r="H1154" i="10"/>
  <c r="G1154" i="10"/>
  <c r="F1154" i="10"/>
  <c r="E1154" i="10"/>
  <c r="D1154" i="10"/>
  <c r="C1154" i="10"/>
  <c r="B1154" i="10"/>
  <c r="H1155" i="10"/>
  <c r="G1155" i="10"/>
  <c r="F1155" i="10"/>
  <c r="E1155" i="10"/>
  <c r="D1155" i="10"/>
  <c r="C1155" i="10"/>
  <c r="B1155" i="10"/>
  <c r="H1156" i="10"/>
  <c r="G1156" i="10"/>
  <c r="F1156" i="10"/>
  <c r="E1156" i="10"/>
  <c r="D1156" i="10"/>
  <c r="C1156" i="10"/>
  <c r="B1156" i="10"/>
  <c r="H1157" i="10"/>
  <c r="G1157" i="10"/>
  <c r="F1157" i="10"/>
  <c r="E1157" i="10"/>
  <c r="D1157" i="10"/>
  <c r="C1157" i="10"/>
  <c r="B1157" i="10"/>
  <c r="H1158" i="10"/>
  <c r="G1158" i="10"/>
  <c r="F1158" i="10"/>
  <c r="E1158" i="10"/>
  <c r="D1158" i="10"/>
  <c r="C1158" i="10"/>
  <c r="B1158" i="10"/>
  <c r="H1159" i="10"/>
  <c r="G1159" i="10"/>
  <c r="F1159" i="10"/>
  <c r="E1159" i="10"/>
  <c r="D1159" i="10"/>
  <c r="C1159" i="10"/>
  <c r="B1159" i="10"/>
  <c r="H1160" i="10"/>
  <c r="G1160" i="10"/>
  <c r="F1160" i="10"/>
  <c r="E1160" i="10"/>
  <c r="D1160" i="10"/>
  <c r="C1160" i="10"/>
  <c r="B1160" i="10"/>
  <c r="H1161" i="10"/>
  <c r="G1161" i="10"/>
  <c r="F1161" i="10"/>
  <c r="E1161" i="10"/>
  <c r="D1161" i="10"/>
  <c r="C1161" i="10"/>
  <c r="B1161" i="10"/>
  <c r="H1162" i="10"/>
  <c r="G1162" i="10"/>
  <c r="F1162" i="10"/>
  <c r="E1162" i="10"/>
  <c r="D1162" i="10"/>
  <c r="C1162" i="10"/>
  <c r="B1162" i="10"/>
  <c r="H1163" i="10"/>
  <c r="G1163" i="10"/>
  <c r="F1163" i="10"/>
  <c r="E1163" i="10"/>
  <c r="D1163" i="10"/>
  <c r="C1163" i="10"/>
  <c r="B1163" i="10"/>
  <c r="H1164" i="10"/>
  <c r="G1164" i="10"/>
  <c r="F1164" i="10"/>
  <c r="E1164" i="10"/>
  <c r="D1164" i="10"/>
  <c r="C1164" i="10"/>
  <c r="B1164" i="10"/>
  <c r="H1165" i="10"/>
  <c r="G1165" i="10"/>
  <c r="F1165" i="10"/>
  <c r="E1165" i="10"/>
  <c r="D1165" i="10"/>
  <c r="C1165" i="10"/>
  <c r="B1165" i="10"/>
  <c r="H1166" i="10"/>
  <c r="G1166" i="10"/>
  <c r="F1166" i="10"/>
  <c r="E1166" i="10"/>
  <c r="D1166" i="10"/>
  <c r="C1166" i="10"/>
  <c r="B1166" i="10"/>
  <c r="H1167" i="10"/>
  <c r="G1167" i="10"/>
  <c r="F1167" i="10"/>
  <c r="E1167" i="10"/>
  <c r="D1167" i="10"/>
  <c r="C1167" i="10"/>
  <c r="B1167" i="10"/>
  <c r="H1168" i="10"/>
  <c r="G1168" i="10"/>
  <c r="F1168" i="10"/>
  <c r="E1168" i="10"/>
  <c r="D1168" i="10"/>
  <c r="C1168" i="10"/>
  <c r="B1168" i="10"/>
  <c r="H1169" i="10"/>
  <c r="G1169" i="10"/>
  <c r="F1169" i="10"/>
  <c r="E1169" i="10"/>
  <c r="D1169" i="10"/>
  <c r="C1169" i="10"/>
  <c r="B1169" i="10"/>
  <c r="H1170" i="10"/>
  <c r="G1170" i="10"/>
  <c r="F1170" i="10"/>
  <c r="E1170" i="10"/>
  <c r="D1170" i="10"/>
  <c r="C1170" i="10"/>
  <c r="B1170" i="10"/>
  <c r="H1171" i="10"/>
  <c r="G1171" i="10"/>
  <c r="F1171" i="10"/>
  <c r="E1171" i="10"/>
  <c r="D1171" i="10"/>
  <c r="C1171" i="10"/>
  <c r="B1171" i="10"/>
  <c r="H1172" i="10"/>
  <c r="G1172" i="10"/>
  <c r="F1172" i="10"/>
  <c r="E1172" i="10"/>
  <c r="D1172" i="10"/>
  <c r="C1172" i="10"/>
  <c r="B1172" i="10"/>
  <c r="H1173" i="10"/>
  <c r="G1173" i="10"/>
  <c r="F1173" i="10"/>
  <c r="E1173" i="10"/>
  <c r="D1173" i="10"/>
  <c r="C1173" i="10"/>
  <c r="B1173" i="10"/>
  <c r="H1174" i="10"/>
  <c r="G1174" i="10"/>
  <c r="F1174" i="10"/>
  <c r="E1174" i="10"/>
  <c r="D1174" i="10"/>
  <c r="C1174" i="10"/>
  <c r="B1174" i="10"/>
  <c r="H1175" i="10"/>
  <c r="G1175" i="10"/>
  <c r="F1175" i="10"/>
  <c r="E1175" i="10"/>
  <c r="D1175" i="10"/>
  <c r="C1175" i="10"/>
  <c r="B1175" i="10"/>
  <c r="H1176" i="10"/>
  <c r="G1176" i="10"/>
  <c r="F1176" i="10"/>
  <c r="E1176" i="10"/>
  <c r="D1176" i="10"/>
  <c r="C1176" i="10"/>
  <c r="B1176" i="10"/>
  <c r="H1177" i="10"/>
  <c r="G1177" i="10"/>
  <c r="F1177" i="10"/>
  <c r="E1177" i="10"/>
  <c r="D1177" i="10"/>
  <c r="C1177" i="10"/>
  <c r="B1177" i="10"/>
  <c r="H1178" i="10"/>
  <c r="G1178" i="10"/>
  <c r="F1178" i="10"/>
  <c r="E1178" i="10"/>
  <c r="D1178" i="10"/>
  <c r="C1178" i="10"/>
  <c r="B1178" i="10"/>
  <c r="H1179" i="10"/>
  <c r="G1179" i="10"/>
  <c r="F1179" i="10"/>
  <c r="E1179" i="10"/>
  <c r="D1179" i="10"/>
  <c r="C1179" i="10"/>
  <c r="B1179" i="10"/>
  <c r="H1180" i="10"/>
  <c r="G1180" i="10"/>
  <c r="F1180" i="10"/>
  <c r="E1180" i="10"/>
  <c r="D1180" i="10"/>
  <c r="C1180" i="10"/>
  <c r="B1180" i="10"/>
  <c r="H1181" i="10"/>
  <c r="G1181" i="10"/>
  <c r="F1181" i="10"/>
  <c r="E1181" i="10"/>
  <c r="D1181" i="10"/>
  <c r="C1181" i="10"/>
  <c r="B1181" i="10"/>
  <c r="H1182" i="10"/>
  <c r="G1182" i="10"/>
  <c r="F1182" i="10"/>
  <c r="E1182" i="10"/>
  <c r="D1182" i="10"/>
  <c r="C1182" i="10"/>
  <c r="B1182" i="10"/>
  <c r="H1183" i="10"/>
  <c r="G1183" i="10"/>
  <c r="F1183" i="10"/>
  <c r="E1183" i="10"/>
  <c r="D1183" i="10"/>
  <c r="C1183" i="10"/>
  <c r="B1183" i="10"/>
  <c r="H1184" i="10"/>
  <c r="G1184" i="10"/>
  <c r="F1184" i="10"/>
  <c r="E1184" i="10"/>
  <c r="D1184" i="10"/>
  <c r="C1184" i="10"/>
  <c r="B1184" i="10"/>
  <c r="H1185" i="10"/>
  <c r="G1185" i="10"/>
  <c r="F1185" i="10"/>
  <c r="E1185" i="10"/>
  <c r="D1185" i="10"/>
  <c r="C1185" i="10"/>
  <c r="B1185" i="10"/>
  <c r="H1186" i="10"/>
  <c r="G1186" i="10"/>
  <c r="F1186" i="10"/>
  <c r="E1186" i="10"/>
  <c r="D1186" i="10"/>
  <c r="C1186" i="10"/>
  <c r="B1186" i="10"/>
  <c r="H1187" i="10"/>
  <c r="G1187" i="10"/>
  <c r="F1187" i="10"/>
  <c r="E1187" i="10"/>
  <c r="D1187" i="10"/>
  <c r="C1187" i="10"/>
  <c r="B1187" i="10"/>
  <c r="H1188" i="10"/>
  <c r="G1188" i="10"/>
  <c r="F1188" i="10"/>
  <c r="E1188" i="10"/>
  <c r="D1188" i="10"/>
  <c r="C1188" i="10"/>
  <c r="B1188" i="10"/>
  <c r="H1189" i="10"/>
  <c r="G1189" i="10"/>
  <c r="F1189" i="10"/>
  <c r="E1189" i="10"/>
  <c r="D1189" i="10"/>
  <c r="C1189" i="10"/>
  <c r="B1189" i="10"/>
  <c r="H1190" i="10"/>
  <c r="G1190" i="10"/>
  <c r="F1190" i="10"/>
  <c r="E1190" i="10"/>
  <c r="D1190" i="10"/>
  <c r="C1190" i="10"/>
  <c r="B1190" i="10"/>
  <c r="H1191" i="10"/>
  <c r="G1191" i="10"/>
  <c r="F1191" i="10"/>
  <c r="E1191" i="10"/>
  <c r="D1191" i="10"/>
  <c r="C1191" i="10"/>
  <c r="B1191" i="10"/>
  <c r="H1192" i="10"/>
  <c r="G1192" i="10"/>
  <c r="F1192" i="10"/>
  <c r="E1192" i="10"/>
  <c r="D1192" i="10"/>
  <c r="C1192" i="10"/>
  <c r="B1192" i="10"/>
  <c r="H1193" i="10"/>
  <c r="G1193" i="10"/>
  <c r="F1193" i="10"/>
  <c r="E1193" i="10"/>
  <c r="D1193" i="10"/>
  <c r="C1193" i="10"/>
  <c r="B1193" i="10"/>
  <c r="H1194" i="10"/>
  <c r="G1194" i="10"/>
  <c r="F1194" i="10"/>
  <c r="E1194" i="10"/>
  <c r="D1194" i="10"/>
  <c r="C1194" i="10"/>
  <c r="B1194" i="10"/>
  <c r="H1195" i="10"/>
  <c r="G1195" i="10"/>
  <c r="F1195" i="10"/>
  <c r="E1195" i="10"/>
  <c r="D1195" i="10"/>
  <c r="C1195" i="10"/>
  <c r="B1195" i="10"/>
  <c r="H1196" i="10"/>
  <c r="G1196" i="10"/>
  <c r="F1196" i="10"/>
  <c r="E1196" i="10"/>
  <c r="D1196" i="10"/>
  <c r="C1196" i="10"/>
  <c r="B1196" i="10"/>
  <c r="H1197" i="10"/>
  <c r="G1197" i="10"/>
  <c r="F1197" i="10"/>
  <c r="E1197" i="10"/>
  <c r="D1197" i="10"/>
  <c r="C1197" i="10"/>
  <c r="B1197" i="10"/>
  <c r="H1198" i="10"/>
  <c r="G1198" i="10"/>
  <c r="F1198" i="10"/>
  <c r="E1198" i="10"/>
  <c r="D1198" i="10"/>
  <c r="C1198" i="10"/>
  <c r="B1198" i="10"/>
  <c r="H1199" i="10"/>
  <c r="G1199" i="10"/>
  <c r="F1199" i="10"/>
  <c r="E1199" i="10"/>
  <c r="D1199" i="10"/>
  <c r="C1199" i="10"/>
  <c r="B1199" i="10"/>
  <c r="H1200" i="10"/>
  <c r="G1200" i="10"/>
  <c r="F1200" i="10"/>
  <c r="E1200" i="10"/>
  <c r="D1200" i="10"/>
  <c r="C1200" i="10"/>
  <c r="B1200" i="10"/>
  <c r="H1201" i="10"/>
  <c r="G1201" i="10"/>
  <c r="F1201" i="10"/>
  <c r="E1201" i="10"/>
  <c r="D1201" i="10"/>
  <c r="C1201" i="10"/>
  <c r="B1201" i="10"/>
  <c r="H1202" i="10"/>
  <c r="G1202" i="10"/>
  <c r="F1202" i="10"/>
  <c r="E1202" i="10"/>
  <c r="D1202" i="10"/>
  <c r="C1202" i="10"/>
  <c r="B1202" i="10"/>
  <c r="H1203" i="10"/>
  <c r="G1203" i="10"/>
  <c r="F1203" i="10"/>
  <c r="E1203" i="10"/>
  <c r="D1203" i="10"/>
  <c r="C1203" i="10"/>
  <c r="B1203" i="10"/>
  <c r="H1204" i="10"/>
  <c r="G1204" i="10"/>
  <c r="F1204" i="10"/>
  <c r="E1204" i="10"/>
  <c r="D1204" i="10"/>
  <c r="C1204" i="10"/>
  <c r="B1204" i="10"/>
  <c r="H1205" i="10"/>
  <c r="G1205" i="10"/>
  <c r="F1205" i="10"/>
  <c r="E1205" i="10"/>
  <c r="D1205" i="10"/>
  <c r="C1205" i="10"/>
  <c r="B1205" i="10"/>
  <c r="H1206" i="10"/>
  <c r="G1206" i="10"/>
  <c r="F1206" i="10"/>
  <c r="E1206" i="10"/>
  <c r="D1206" i="10"/>
  <c r="C1206" i="10"/>
  <c r="B1206" i="10"/>
  <c r="H1207" i="10"/>
  <c r="G1207" i="10"/>
  <c r="F1207" i="10"/>
  <c r="E1207" i="10"/>
  <c r="D1207" i="10"/>
  <c r="C1207" i="10"/>
  <c r="B1207" i="10"/>
  <c r="H1208" i="10"/>
  <c r="G1208" i="10"/>
  <c r="F1208" i="10"/>
  <c r="E1208" i="10"/>
  <c r="D1208" i="10"/>
  <c r="C1208" i="10"/>
  <c r="B1208" i="10"/>
  <c r="H1209" i="10"/>
  <c r="G1209" i="10"/>
  <c r="F1209" i="10"/>
  <c r="E1209" i="10"/>
  <c r="D1209" i="10"/>
  <c r="C1209" i="10"/>
  <c r="B1209" i="10"/>
  <c r="H1210" i="10"/>
  <c r="G1210" i="10"/>
  <c r="F1210" i="10"/>
  <c r="E1210" i="10"/>
  <c r="D1210" i="10"/>
  <c r="C1210" i="10"/>
  <c r="B1210" i="10"/>
  <c r="H1211" i="10"/>
  <c r="G1211" i="10"/>
  <c r="F1211" i="10"/>
  <c r="E1211" i="10"/>
  <c r="D1211" i="10"/>
  <c r="C1211" i="10"/>
  <c r="B1211" i="10"/>
  <c r="H1212" i="10"/>
  <c r="G1212" i="10"/>
  <c r="F1212" i="10"/>
  <c r="E1212" i="10"/>
  <c r="D1212" i="10"/>
  <c r="C1212" i="10"/>
  <c r="B1212" i="10"/>
  <c r="H1213" i="10"/>
  <c r="G1213" i="10"/>
  <c r="F1213" i="10"/>
  <c r="E1213" i="10"/>
  <c r="D1213" i="10"/>
  <c r="C1213" i="10"/>
  <c r="B1213" i="10"/>
  <c r="H1214" i="10"/>
  <c r="G1214" i="10"/>
  <c r="F1214" i="10"/>
  <c r="E1214" i="10"/>
  <c r="D1214" i="10"/>
  <c r="C1214" i="10"/>
  <c r="B1214" i="10"/>
  <c r="H1215" i="10"/>
  <c r="G1215" i="10"/>
  <c r="F1215" i="10"/>
  <c r="E1215" i="10"/>
  <c r="D1215" i="10"/>
  <c r="C1215" i="10"/>
  <c r="B1215" i="10"/>
  <c r="H1216" i="10"/>
  <c r="G1216" i="10"/>
  <c r="F1216" i="10"/>
  <c r="E1216" i="10"/>
  <c r="D1216" i="10"/>
  <c r="C1216" i="10"/>
  <c r="B1216" i="10"/>
  <c r="H1217" i="10"/>
  <c r="G1217" i="10"/>
  <c r="F1217" i="10"/>
  <c r="E1217" i="10"/>
  <c r="D1217" i="10"/>
  <c r="C1217" i="10"/>
  <c r="B1217" i="10"/>
  <c r="H1218" i="10"/>
  <c r="G1218" i="10"/>
  <c r="F1218" i="10"/>
  <c r="E1218" i="10"/>
  <c r="D1218" i="10"/>
  <c r="C1218" i="10"/>
  <c r="B1218" i="10"/>
  <c r="H1219" i="10"/>
  <c r="G1219" i="10"/>
  <c r="F1219" i="10"/>
  <c r="E1219" i="10"/>
  <c r="D1219" i="10"/>
  <c r="C1219" i="10"/>
  <c r="B1219" i="10"/>
  <c r="H1220" i="10"/>
  <c r="G1220" i="10"/>
  <c r="F1220" i="10"/>
  <c r="E1220" i="10"/>
  <c r="D1220" i="10"/>
  <c r="C1220" i="10"/>
  <c r="B1220" i="10"/>
  <c r="H1221" i="10"/>
  <c r="G1221" i="10"/>
  <c r="F1221" i="10"/>
  <c r="E1221" i="10"/>
  <c r="D1221" i="10"/>
  <c r="C1221" i="10"/>
  <c r="B1221" i="10"/>
  <c r="H1222" i="10"/>
  <c r="G1222" i="10"/>
  <c r="F1222" i="10"/>
  <c r="E1222" i="10"/>
  <c r="D1222" i="10"/>
  <c r="C1222" i="10"/>
  <c r="B1222" i="10"/>
  <c r="H1223" i="10"/>
  <c r="G1223" i="10"/>
  <c r="F1223" i="10"/>
  <c r="E1223" i="10"/>
  <c r="D1223" i="10"/>
  <c r="C1223" i="10"/>
  <c r="B1223" i="10"/>
  <c r="H1224" i="10"/>
  <c r="G1224" i="10"/>
  <c r="F1224" i="10"/>
  <c r="E1224" i="10"/>
  <c r="D1224" i="10"/>
  <c r="C1224" i="10"/>
  <c r="B1224" i="10"/>
  <c r="H1225" i="10"/>
  <c r="G1225" i="10"/>
  <c r="F1225" i="10"/>
  <c r="E1225" i="10"/>
  <c r="D1225" i="10"/>
  <c r="C1225" i="10"/>
  <c r="B1225" i="10"/>
  <c r="H1226" i="10"/>
  <c r="G1226" i="10"/>
  <c r="F1226" i="10"/>
  <c r="E1226" i="10"/>
  <c r="D1226" i="10"/>
  <c r="C1226" i="10"/>
  <c r="B1226" i="10"/>
  <c r="H1227" i="10"/>
  <c r="G1227" i="10"/>
  <c r="F1227" i="10"/>
  <c r="E1227" i="10"/>
  <c r="D1227" i="10"/>
  <c r="C1227" i="10"/>
  <c r="B1227" i="10"/>
  <c r="H1228" i="10"/>
  <c r="G1228" i="10"/>
  <c r="F1228" i="10"/>
  <c r="E1228" i="10"/>
  <c r="D1228" i="10"/>
  <c r="C1228" i="10"/>
  <c r="B1228" i="10"/>
  <c r="H1229" i="10"/>
  <c r="G1229" i="10"/>
  <c r="F1229" i="10"/>
  <c r="E1229" i="10"/>
  <c r="D1229" i="10"/>
  <c r="C1229" i="10"/>
  <c r="B1229" i="10"/>
  <c r="H1230" i="10"/>
  <c r="G1230" i="10"/>
  <c r="F1230" i="10"/>
  <c r="E1230" i="10"/>
  <c r="D1230" i="10"/>
  <c r="C1230" i="10"/>
  <c r="B1230" i="10"/>
  <c r="H1231" i="10"/>
  <c r="G1231" i="10"/>
  <c r="F1231" i="10"/>
  <c r="E1231" i="10"/>
  <c r="D1231" i="10"/>
  <c r="C1231" i="10"/>
  <c r="B1231" i="10"/>
  <c r="H1232" i="10"/>
  <c r="G1232" i="10"/>
  <c r="F1232" i="10"/>
  <c r="E1232" i="10"/>
  <c r="D1232" i="10"/>
  <c r="C1232" i="10"/>
  <c r="B1232" i="10"/>
  <c r="H1233" i="10"/>
  <c r="G1233" i="10"/>
  <c r="F1233" i="10"/>
  <c r="E1233" i="10"/>
  <c r="D1233" i="10"/>
  <c r="C1233" i="10"/>
  <c r="B1233" i="10"/>
  <c r="H1234" i="10"/>
  <c r="G1234" i="10"/>
  <c r="F1234" i="10"/>
  <c r="E1234" i="10"/>
  <c r="D1234" i="10"/>
  <c r="C1234" i="10"/>
  <c r="B1234" i="10"/>
  <c r="H1235" i="10"/>
  <c r="G1235" i="10"/>
  <c r="F1235" i="10"/>
  <c r="E1235" i="10"/>
  <c r="D1235" i="10"/>
  <c r="C1235" i="10"/>
  <c r="B1235" i="10"/>
  <c r="H1236" i="10"/>
  <c r="G1236" i="10"/>
  <c r="F1236" i="10"/>
  <c r="E1236" i="10"/>
  <c r="D1236" i="10"/>
  <c r="C1236" i="10"/>
  <c r="B1236" i="10"/>
  <c r="H1237" i="10"/>
  <c r="G1237" i="10"/>
  <c r="F1237" i="10"/>
  <c r="E1237" i="10"/>
  <c r="D1237" i="10"/>
  <c r="C1237" i="10"/>
  <c r="B1237" i="10"/>
  <c r="H1238" i="10"/>
  <c r="G1238" i="10"/>
  <c r="F1238" i="10"/>
  <c r="E1238" i="10"/>
  <c r="D1238" i="10"/>
  <c r="C1238" i="10"/>
  <c r="B1238" i="10"/>
  <c r="H1239" i="10"/>
  <c r="G1239" i="10"/>
  <c r="F1239" i="10"/>
  <c r="E1239" i="10"/>
  <c r="D1239" i="10"/>
  <c r="C1239" i="10"/>
  <c r="B1239" i="10"/>
  <c r="H1240" i="10"/>
  <c r="G1240" i="10"/>
  <c r="F1240" i="10"/>
  <c r="E1240" i="10"/>
  <c r="D1240" i="10"/>
  <c r="C1240" i="10"/>
  <c r="B1240" i="10"/>
  <c r="H1241" i="10"/>
  <c r="G1241" i="10"/>
  <c r="F1241" i="10"/>
  <c r="E1241" i="10"/>
  <c r="D1241" i="10"/>
  <c r="C1241" i="10"/>
  <c r="B1241" i="10"/>
  <c r="H1242" i="10"/>
  <c r="G1242" i="10"/>
  <c r="F1242" i="10"/>
  <c r="E1242" i="10"/>
  <c r="D1242" i="10"/>
  <c r="C1242" i="10"/>
  <c r="B1242" i="10"/>
  <c r="H1243" i="10"/>
  <c r="G1243" i="10"/>
  <c r="F1243" i="10"/>
  <c r="E1243" i="10"/>
  <c r="D1243" i="10"/>
  <c r="C1243" i="10"/>
  <c r="B1243" i="10"/>
  <c r="H1244" i="10"/>
  <c r="G1244" i="10"/>
  <c r="F1244" i="10"/>
  <c r="E1244" i="10"/>
  <c r="D1244" i="10"/>
  <c r="C1244" i="10"/>
  <c r="B1244" i="10"/>
  <c r="H1245" i="10"/>
  <c r="G1245" i="10"/>
  <c r="F1245" i="10"/>
  <c r="E1245" i="10"/>
  <c r="D1245" i="10"/>
  <c r="C1245" i="10"/>
  <c r="B1245" i="10"/>
  <c r="H1246" i="10"/>
  <c r="G1246" i="10"/>
  <c r="F1246" i="10"/>
  <c r="E1246" i="10"/>
  <c r="D1246" i="10"/>
  <c r="C1246" i="10"/>
  <c r="B1246" i="10"/>
  <c r="H1247" i="10"/>
  <c r="G1247" i="10"/>
  <c r="F1247" i="10"/>
  <c r="E1247" i="10"/>
  <c r="D1247" i="10"/>
  <c r="C1247" i="10"/>
  <c r="B1247" i="10"/>
  <c r="H1248" i="10"/>
  <c r="G1248" i="10"/>
  <c r="F1248" i="10"/>
  <c r="E1248" i="10"/>
  <c r="D1248" i="10"/>
  <c r="C1248" i="10"/>
  <c r="B1248" i="10"/>
  <c r="H1249" i="10"/>
  <c r="G1249" i="10"/>
  <c r="F1249" i="10"/>
  <c r="E1249" i="10"/>
  <c r="D1249" i="10"/>
  <c r="C1249" i="10"/>
  <c r="B1249" i="10"/>
  <c r="H1250" i="10"/>
  <c r="G1250" i="10"/>
  <c r="F1250" i="10"/>
  <c r="E1250" i="10"/>
  <c r="D1250" i="10"/>
  <c r="C1250" i="10"/>
  <c r="B1250" i="10"/>
  <c r="H1251" i="10"/>
  <c r="G1251" i="10"/>
  <c r="F1251" i="10"/>
  <c r="E1251" i="10"/>
  <c r="D1251" i="10"/>
  <c r="C1251" i="10"/>
  <c r="B1251" i="10"/>
  <c r="H1252" i="10"/>
  <c r="G1252" i="10"/>
  <c r="F1252" i="10"/>
  <c r="E1252" i="10"/>
  <c r="D1252" i="10"/>
  <c r="C1252" i="10"/>
  <c r="B1252" i="10"/>
  <c r="H1253" i="10"/>
  <c r="G1253" i="10"/>
  <c r="F1253" i="10"/>
  <c r="E1253" i="10"/>
  <c r="D1253" i="10"/>
  <c r="C1253" i="10"/>
  <c r="B1253" i="10"/>
  <c r="H1254" i="10"/>
  <c r="G1254" i="10"/>
  <c r="F1254" i="10"/>
  <c r="E1254" i="10"/>
  <c r="D1254" i="10"/>
  <c r="C1254" i="10"/>
  <c r="B1254" i="10"/>
  <c r="H1255" i="10"/>
  <c r="G1255" i="10"/>
  <c r="F1255" i="10"/>
  <c r="E1255" i="10"/>
  <c r="D1255" i="10"/>
  <c r="C1255" i="10"/>
  <c r="B1255" i="10"/>
  <c r="H1256" i="10"/>
  <c r="G1256" i="10"/>
  <c r="F1256" i="10"/>
  <c r="E1256" i="10"/>
  <c r="D1256" i="10"/>
  <c r="C1256" i="10"/>
  <c r="B1256" i="10"/>
  <c r="H1257" i="10"/>
  <c r="G1257" i="10"/>
  <c r="F1257" i="10"/>
  <c r="E1257" i="10"/>
  <c r="D1257" i="10"/>
  <c r="C1257" i="10"/>
  <c r="B1257" i="10"/>
  <c r="H1258" i="10"/>
  <c r="G1258" i="10"/>
  <c r="F1258" i="10"/>
  <c r="E1258" i="10"/>
  <c r="D1258" i="10"/>
  <c r="C1258" i="10"/>
  <c r="B1258" i="10"/>
  <c r="H1259" i="10"/>
  <c r="G1259" i="10"/>
  <c r="F1259" i="10"/>
  <c r="E1259" i="10"/>
  <c r="D1259" i="10"/>
  <c r="C1259" i="10"/>
  <c r="B1259" i="10"/>
  <c r="H1260" i="10"/>
  <c r="G1260" i="10"/>
  <c r="F1260" i="10"/>
  <c r="E1260" i="10"/>
  <c r="D1260" i="10"/>
  <c r="C1260" i="10"/>
  <c r="B1260" i="10"/>
  <c r="H1261" i="10"/>
  <c r="G1261" i="10"/>
  <c r="F1261" i="10"/>
  <c r="E1261" i="10"/>
  <c r="D1261" i="10"/>
  <c r="C1261" i="10"/>
  <c r="B1261" i="10"/>
  <c r="H1262" i="10"/>
  <c r="G1262" i="10"/>
  <c r="F1262" i="10"/>
  <c r="E1262" i="10"/>
  <c r="D1262" i="10"/>
  <c r="C1262" i="10"/>
  <c r="B1262" i="10"/>
  <c r="H1263" i="10"/>
  <c r="G1263" i="10"/>
  <c r="F1263" i="10"/>
  <c r="E1263" i="10"/>
  <c r="D1263" i="10"/>
  <c r="C1263" i="10"/>
  <c r="B1263" i="10"/>
  <c r="H1264" i="10"/>
  <c r="G1264" i="10"/>
  <c r="F1264" i="10"/>
  <c r="E1264" i="10"/>
  <c r="D1264" i="10"/>
  <c r="C1264" i="10"/>
  <c r="B1264" i="10"/>
  <c r="H1265" i="10"/>
  <c r="G1265" i="10"/>
  <c r="F1265" i="10"/>
  <c r="E1265" i="10"/>
  <c r="D1265" i="10"/>
  <c r="C1265" i="10"/>
  <c r="B1265" i="10"/>
  <c r="H1266" i="10"/>
  <c r="G1266" i="10"/>
  <c r="F1266" i="10"/>
  <c r="E1266" i="10"/>
  <c r="D1266" i="10"/>
  <c r="C1266" i="10"/>
  <c r="B1266" i="10"/>
  <c r="H1267" i="10"/>
  <c r="G1267" i="10"/>
  <c r="F1267" i="10"/>
  <c r="E1267" i="10"/>
  <c r="D1267" i="10"/>
  <c r="C1267" i="10"/>
  <c r="B1267" i="10"/>
  <c r="H1268" i="10"/>
  <c r="G1268" i="10"/>
  <c r="F1268" i="10"/>
  <c r="E1268" i="10"/>
  <c r="D1268" i="10"/>
  <c r="C1268" i="10"/>
  <c r="B1268" i="10"/>
  <c r="H1269" i="10"/>
  <c r="G1269" i="10"/>
  <c r="F1269" i="10"/>
  <c r="E1269" i="10"/>
  <c r="D1269" i="10"/>
  <c r="C1269" i="10"/>
  <c r="B1269" i="10"/>
  <c r="H1270" i="10"/>
  <c r="G1270" i="10"/>
  <c r="F1270" i="10"/>
  <c r="E1270" i="10"/>
  <c r="D1270" i="10"/>
  <c r="C1270" i="10"/>
  <c r="B1270" i="10"/>
  <c r="H1271" i="10"/>
  <c r="G1271" i="10"/>
  <c r="F1271" i="10"/>
  <c r="E1271" i="10"/>
  <c r="D1271" i="10"/>
  <c r="C1271" i="10"/>
  <c r="B1271" i="10"/>
  <c r="H1272" i="10"/>
  <c r="G1272" i="10"/>
  <c r="F1272" i="10"/>
  <c r="E1272" i="10"/>
  <c r="D1272" i="10"/>
  <c r="C1272" i="10"/>
  <c r="B1272" i="10"/>
  <c r="H1273" i="10"/>
  <c r="G1273" i="10"/>
  <c r="F1273" i="10"/>
  <c r="E1273" i="10"/>
  <c r="D1273" i="10"/>
  <c r="C1273" i="10"/>
  <c r="B1273" i="10"/>
  <c r="H1274" i="10"/>
  <c r="G1274" i="10"/>
  <c r="F1274" i="10"/>
  <c r="E1274" i="10"/>
  <c r="D1274" i="10"/>
  <c r="C1274" i="10"/>
  <c r="B1274" i="10"/>
  <c r="H1275" i="10"/>
  <c r="G1275" i="10"/>
  <c r="F1275" i="10"/>
  <c r="E1275" i="10"/>
  <c r="D1275" i="10"/>
  <c r="C1275" i="10"/>
  <c r="B1275" i="10"/>
  <c r="H1276" i="10"/>
  <c r="G1276" i="10"/>
  <c r="F1276" i="10"/>
  <c r="E1276" i="10"/>
  <c r="D1276" i="10"/>
  <c r="C1276" i="10"/>
  <c r="B1276" i="10"/>
  <c r="H1277" i="10"/>
  <c r="G1277" i="10"/>
  <c r="F1277" i="10"/>
  <c r="E1277" i="10"/>
  <c r="D1277" i="10"/>
  <c r="C1277" i="10"/>
  <c r="B1277" i="10"/>
  <c r="H1278" i="10"/>
  <c r="G1278" i="10"/>
  <c r="F1278" i="10"/>
  <c r="E1278" i="10"/>
  <c r="D1278" i="10"/>
  <c r="C1278" i="10"/>
  <c r="B1278" i="10"/>
  <c r="H1279" i="10"/>
  <c r="G1279" i="10"/>
  <c r="F1279" i="10"/>
  <c r="E1279" i="10"/>
  <c r="D1279" i="10"/>
  <c r="C1279" i="10"/>
  <c r="B1279" i="10"/>
  <c r="H1280" i="10"/>
  <c r="G1280" i="10"/>
  <c r="F1280" i="10"/>
  <c r="E1280" i="10"/>
  <c r="D1280" i="10"/>
  <c r="C1280" i="10"/>
  <c r="B1280" i="10"/>
  <c r="H1281" i="10"/>
  <c r="G1281" i="10"/>
  <c r="F1281" i="10"/>
  <c r="E1281" i="10"/>
  <c r="D1281" i="10"/>
  <c r="C1281" i="10"/>
  <c r="B1281" i="10"/>
  <c r="H1282" i="10"/>
  <c r="G1282" i="10"/>
  <c r="F1282" i="10"/>
  <c r="E1282" i="10"/>
  <c r="D1282" i="10"/>
  <c r="C1282" i="10"/>
  <c r="B1282" i="10"/>
  <c r="H1283" i="10"/>
  <c r="G1283" i="10"/>
  <c r="F1283" i="10"/>
  <c r="E1283" i="10"/>
  <c r="D1283" i="10"/>
  <c r="C1283" i="10"/>
  <c r="B1283" i="10"/>
  <c r="H1284" i="10"/>
  <c r="G1284" i="10"/>
  <c r="F1284" i="10"/>
  <c r="E1284" i="10"/>
  <c r="D1284" i="10"/>
  <c r="C1284" i="10"/>
  <c r="B1284" i="10"/>
  <c r="H1285" i="10"/>
  <c r="G1285" i="10"/>
  <c r="F1285" i="10"/>
  <c r="E1285" i="10"/>
  <c r="D1285" i="10"/>
  <c r="C1285" i="10"/>
  <c r="B1285" i="10"/>
  <c r="H1286" i="10"/>
  <c r="G1286" i="10"/>
  <c r="F1286" i="10"/>
  <c r="E1286" i="10"/>
  <c r="D1286" i="10"/>
  <c r="C1286" i="10"/>
  <c r="B1286" i="10"/>
  <c r="H1287" i="10"/>
  <c r="G1287" i="10"/>
  <c r="F1287" i="10"/>
  <c r="E1287" i="10"/>
  <c r="D1287" i="10"/>
  <c r="C1287" i="10"/>
  <c r="B1287" i="10"/>
  <c r="H1288" i="10"/>
  <c r="G1288" i="10"/>
  <c r="F1288" i="10"/>
  <c r="E1288" i="10"/>
  <c r="D1288" i="10"/>
  <c r="C1288" i="10"/>
  <c r="B1288" i="10"/>
  <c r="H1289" i="10"/>
  <c r="G1289" i="10"/>
  <c r="F1289" i="10"/>
  <c r="E1289" i="10"/>
  <c r="D1289" i="10"/>
  <c r="C1289" i="10"/>
  <c r="B1289" i="10"/>
  <c r="H1290" i="10"/>
  <c r="G1290" i="10"/>
  <c r="F1290" i="10"/>
  <c r="E1290" i="10"/>
  <c r="D1290" i="10"/>
  <c r="C1290" i="10"/>
  <c r="B1290" i="10"/>
  <c r="H1291" i="10"/>
  <c r="G1291" i="10"/>
  <c r="F1291" i="10"/>
  <c r="E1291" i="10"/>
  <c r="D1291" i="10"/>
  <c r="C1291" i="10"/>
  <c r="B1291" i="10"/>
  <c r="H1292" i="10"/>
  <c r="G1292" i="10"/>
  <c r="F1292" i="10"/>
  <c r="E1292" i="10"/>
  <c r="D1292" i="10"/>
  <c r="C1292" i="10"/>
  <c r="B1292" i="10"/>
  <c r="H1293" i="10"/>
  <c r="G1293" i="10"/>
  <c r="F1293" i="10"/>
  <c r="E1293" i="10"/>
  <c r="D1293" i="10"/>
  <c r="C1293" i="10"/>
  <c r="B1293" i="10"/>
  <c r="H1294" i="10"/>
  <c r="G1294" i="10"/>
  <c r="F1294" i="10"/>
  <c r="E1294" i="10"/>
  <c r="D1294" i="10"/>
  <c r="C1294" i="10"/>
  <c r="B1294" i="10"/>
  <c r="H1295" i="10"/>
  <c r="G1295" i="10"/>
  <c r="F1295" i="10"/>
  <c r="E1295" i="10"/>
  <c r="D1295" i="10"/>
  <c r="C1295" i="10"/>
  <c r="B1295" i="10"/>
  <c r="H1296" i="10"/>
  <c r="G1296" i="10"/>
  <c r="F1296" i="10"/>
  <c r="E1296" i="10"/>
  <c r="D1296" i="10"/>
  <c r="C1296" i="10"/>
  <c r="B1296" i="10"/>
  <c r="H1297" i="10"/>
  <c r="G1297" i="10"/>
  <c r="F1297" i="10"/>
  <c r="E1297" i="10"/>
  <c r="D1297" i="10"/>
  <c r="C1297" i="10"/>
  <c r="B1297" i="10"/>
  <c r="H1298" i="10"/>
  <c r="G1298" i="10"/>
  <c r="F1298" i="10"/>
  <c r="E1298" i="10"/>
  <c r="D1298" i="10"/>
  <c r="C1298" i="10"/>
  <c r="B1298" i="10"/>
  <c r="H1299" i="10"/>
  <c r="G1299" i="10"/>
  <c r="F1299" i="10"/>
  <c r="E1299" i="10"/>
  <c r="D1299" i="10"/>
  <c r="C1299" i="10"/>
  <c r="B1299" i="10"/>
  <c r="H1300" i="10"/>
  <c r="G1300" i="10"/>
  <c r="F1300" i="10"/>
  <c r="E1300" i="10"/>
  <c r="D1300" i="10"/>
  <c r="C1300" i="10"/>
  <c r="B1300" i="10"/>
  <c r="H1301" i="10"/>
  <c r="G1301" i="10"/>
  <c r="F1301" i="10"/>
  <c r="E1301" i="10"/>
  <c r="D1301" i="10"/>
  <c r="C1301" i="10"/>
  <c r="B1301" i="10"/>
  <c r="H1302" i="10"/>
  <c r="G1302" i="10"/>
  <c r="F1302" i="10"/>
  <c r="E1302" i="10"/>
  <c r="D1302" i="10"/>
  <c r="C1302" i="10"/>
  <c r="B1302" i="10"/>
  <c r="H1303" i="10"/>
  <c r="G1303" i="10"/>
  <c r="F1303" i="10"/>
  <c r="E1303" i="10"/>
  <c r="D1303" i="10"/>
  <c r="C1303" i="10"/>
  <c r="B1303" i="10"/>
  <c r="H1304" i="10"/>
  <c r="G1304" i="10"/>
  <c r="F1304" i="10"/>
  <c r="E1304" i="10"/>
  <c r="D1304" i="10"/>
  <c r="C1304" i="10"/>
  <c r="B1304" i="10"/>
  <c r="H1305" i="10"/>
  <c r="G1305" i="10"/>
  <c r="F1305" i="10"/>
  <c r="E1305" i="10"/>
  <c r="D1305" i="10"/>
  <c r="C1305" i="10"/>
  <c r="B1305" i="10"/>
  <c r="H1306" i="10"/>
  <c r="G1306" i="10"/>
  <c r="F1306" i="10"/>
  <c r="E1306" i="10"/>
  <c r="D1306" i="10"/>
  <c r="C1306" i="10"/>
  <c r="B1306" i="10"/>
  <c r="H1307" i="10"/>
  <c r="G1307" i="10"/>
  <c r="F1307" i="10"/>
  <c r="E1307" i="10"/>
  <c r="D1307" i="10"/>
  <c r="C1307" i="10"/>
  <c r="B1307" i="10"/>
  <c r="H1308" i="10"/>
  <c r="G1308" i="10"/>
  <c r="F1308" i="10"/>
  <c r="E1308" i="10"/>
  <c r="D1308" i="10"/>
  <c r="C1308" i="10"/>
  <c r="B1308" i="10"/>
  <c r="H1309" i="10"/>
  <c r="G1309" i="10"/>
  <c r="F1309" i="10"/>
  <c r="E1309" i="10"/>
  <c r="D1309" i="10"/>
  <c r="C1309" i="10"/>
  <c r="B1309" i="10"/>
  <c r="H1310" i="10"/>
  <c r="G1310" i="10"/>
  <c r="F1310" i="10"/>
  <c r="E1310" i="10"/>
  <c r="D1310" i="10"/>
  <c r="C1310" i="10"/>
  <c r="B1310" i="10"/>
  <c r="H1311" i="10"/>
  <c r="G1311" i="10"/>
  <c r="F1311" i="10"/>
  <c r="E1311" i="10"/>
  <c r="D1311" i="10"/>
  <c r="C1311" i="10"/>
  <c r="B1311" i="10"/>
  <c r="H1312" i="10"/>
  <c r="G1312" i="10"/>
  <c r="F1312" i="10"/>
  <c r="E1312" i="10"/>
  <c r="D1312" i="10"/>
  <c r="C1312" i="10"/>
  <c r="B1312" i="10"/>
  <c r="H1313" i="10"/>
  <c r="G1313" i="10"/>
  <c r="F1313" i="10"/>
  <c r="E1313" i="10"/>
  <c r="D1313" i="10"/>
  <c r="C1313" i="10"/>
  <c r="B1313" i="10"/>
  <c r="H1314" i="10"/>
  <c r="G1314" i="10"/>
  <c r="F1314" i="10"/>
  <c r="E1314" i="10"/>
  <c r="D1314" i="10"/>
  <c r="C1314" i="10"/>
  <c r="B1314" i="10"/>
  <c r="H1315" i="10"/>
  <c r="G1315" i="10"/>
  <c r="F1315" i="10"/>
  <c r="E1315" i="10"/>
  <c r="D1315" i="10"/>
  <c r="C1315" i="10"/>
  <c r="B1315" i="10"/>
  <c r="H1316" i="10"/>
  <c r="G1316" i="10"/>
  <c r="F1316" i="10"/>
  <c r="E1316" i="10"/>
  <c r="D1316" i="10"/>
  <c r="C1316" i="10"/>
  <c r="B1316" i="10"/>
  <c r="H1317" i="10"/>
  <c r="G1317" i="10"/>
  <c r="F1317" i="10"/>
  <c r="E1317" i="10"/>
  <c r="D1317" i="10"/>
  <c r="C1317" i="10"/>
  <c r="B1317" i="10"/>
  <c r="H1318" i="10"/>
  <c r="G1318" i="10"/>
  <c r="F1318" i="10"/>
  <c r="E1318" i="10"/>
  <c r="D1318" i="10"/>
  <c r="C1318" i="10"/>
  <c r="B1318" i="10"/>
  <c r="H1319" i="10"/>
  <c r="G1319" i="10"/>
  <c r="F1319" i="10"/>
  <c r="E1319" i="10"/>
  <c r="D1319" i="10"/>
  <c r="C1319" i="10"/>
  <c r="B1319" i="10"/>
  <c r="H1320" i="10"/>
  <c r="G1320" i="10"/>
  <c r="F1320" i="10"/>
  <c r="E1320" i="10"/>
  <c r="D1320" i="10"/>
  <c r="C1320" i="10"/>
  <c r="B1320" i="10"/>
  <c r="H1321" i="10"/>
  <c r="G1321" i="10"/>
  <c r="F1321" i="10"/>
  <c r="E1321" i="10"/>
  <c r="D1321" i="10"/>
  <c r="C1321" i="10"/>
  <c r="B1321" i="10"/>
  <c r="H1322" i="10"/>
  <c r="G1322" i="10"/>
  <c r="F1322" i="10"/>
  <c r="E1322" i="10"/>
  <c r="D1322" i="10"/>
  <c r="C1322" i="10"/>
  <c r="B1322" i="10"/>
  <c r="H1323" i="10"/>
  <c r="G1323" i="10"/>
  <c r="F1323" i="10"/>
  <c r="E1323" i="10"/>
  <c r="D1323" i="10"/>
  <c r="C1323" i="10"/>
  <c r="B1323" i="10"/>
  <c r="H1324" i="10"/>
  <c r="G1324" i="10"/>
  <c r="F1324" i="10"/>
  <c r="E1324" i="10"/>
  <c r="D1324" i="10"/>
  <c r="C1324" i="10"/>
  <c r="B1324" i="10"/>
  <c r="H1325" i="10"/>
  <c r="G1325" i="10"/>
  <c r="F1325" i="10"/>
  <c r="E1325" i="10"/>
  <c r="D1325" i="10"/>
  <c r="C1325" i="10"/>
  <c r="B1325" i="10"/>
  <c r="H1326" i="10"/>
  <c r="G1326" i="10"/>
  <c r="F1326" i="10"/>
  <c r="E1326" i="10"/>
  <c r="D1326" i="10"/>
  <c r="C1326" i="10"/>
  <c r="B1326" i="10"/>
  <c r="H1327" i="10"/>
  <c r="G1327" i="10"/>
  <c r="F1327" i="10"/>
  <c r="E1327" i="10"/>
  <c r="D1327" i="10"/>
  <c r="C1327" i="10"/>
  <c r="B1327" i="10"/>
  <c r="H1328" i="10"/>
  <c r="G1328" i="10"/>
  <c r="F1328" i="10"/>
  <c r="E1328" i="10"/>
  <c r="D1328" i="10"/>
  <c r="C1328" i="10"/>
  <c r="B1328" i="10"/>
  <c r="H1329" i="10"/>
  <c r="G1329" i="10"/>
  <c r="F1329" i="10"/>
  <c r="E1329" i="10"/>
  <c r="D1329" i="10"/>
  <c r="C1329" i="10"/>
  <c r="B1329" i="10"/>
  <c r="H1330" i="10"/>
  <c r="G1330" i="10"/>
  <c r="F1330" i="10"/>
  <c r="E1330" i="10"/>
  <c r="D1330" i="10"/>
  <c r="C1330" i="10"/>
  <c r="B1330" i="10"/>
  <c r="H1331" i="10"/>
  <c r="G1331" i="10"/>
  <c r="F1331" i="10"/>
  <c r="E1331" i="10"/>
  <c r="D1331" i="10"/>
  <c r="C1331" i="10"/>
  <c r="B1331" i="10"/>
  <c r="H1332" i="10"/>
  <c r="G1332" i="10"/>
  <c r="F1332" i="10"/>
  <c r="E1332" i="10"/>
  <c r="D1332" i="10"/>
  <c r="C1332" i="10"/>
  <c r="B1332" i="10"/>
  <c r="H1333" i="10"/>
  <c r="G1333" i="10"/>
  <c r="F1333" i="10"/>
  <c r="E1333" i="10"/>
  <c r="D1333" i="10"/>
  <c r="C1333" i="10"/>
  <c r="B1333" i="10"/>
  <c r="H1334" i="10"/>
  <c r="G1334" i="10"/>
  <c r="F1334" i="10"/>
  <c r="E1334" i="10"/>
  <c r="D1334" i="10"/>
  <c r="C1334" i="10"/>
  <c r="B1334" i="10"/>
  <c r="H1335" i="10"/>
  <c r="G1335" i="10"/>
  <c r="F1335" i="10"/>
  <c r="E1335" i="10"/>
  <c r="D1335" i="10"/>
  <c r="C1335" i="10"/>
  <c r="B1335" i="10"/>
  <c r="H1336" i="10"/>
  <c r="G1336" i="10"/>
  <c r="F1336" i="10"/>
  <c r="E1336" i="10"/>
  <c r="D1336" i="10"/>
  <c r="C1336" i="10"/>
  <c r="B1336" i="10"/>
  <c r="H1337" i="10"/>
  <c r="G1337" i="10"/>
  <c r="F1337" i="10"/>
  <c r="E1337" i="10"/>
  <c r="D1337" i="10"/>
  <c r="C1337" i="10"/>
  <c r="B1337" i="10"/>
  <c r="H1338" i="10"/>
  <c r="G1338" i="10"/>
  <c r="F1338" i="10"/>
  <c r="E1338" i="10"/>
  <c r="D1338" i="10"/>
  <c r="C1338" i="10"/>
  <c r="B1338" i="10"/>
  <c r="H1339" i="10"/>
  <c r="G1339" i="10"/>
  <c r="F1339" i="10"/>
  <c r="E1339" i="10"/>
  <c r="D1339" i="10"/>
  <c r="C1339" i="10"/>
  <c r="B1339" i="10"/>
  <c r="H1340" i="10"/>
  <c r="G1340" i="10"/>
  <c r="F1340" i="10"/>
  <c r="E1340" i="10"/>
  <c r="D1340" i="10"/>
  <c r="C1340" i="10"/>
  <c r="B1340" i="10"/>
  <c r="H1341" i="10"/>
  <c r="G1341" i="10"/>
  <c r="F1341" i="10"/>
  <c r="E1341" i="10"/>
  <c r="D1341" i="10"/>
  <c r="C1341" i="10"/>
  <c r="B1341" i="10"/>
  <c r="H1342" i="10"/>
  <c r="G1342" i="10"/>
  <c r="F1342" i="10"/>
  <c r="E1342" i="10"/>
  <c r="D1342" i="10"/>
  <c r="C1342" i="10"/>
  <c r="B1342" i="10"/>
  <c r="H1343" i="10"/>
  <c r="G1343" i="10"/>
  <c r="F1343" i="10"/>
  <c r="E1343" i="10"/>
  <c r="D1343" i="10"/>
  <c r="C1343" i="10"/>
  <c r="B1343" i="10"/>
  <c r="H1344" i="10"/>
  <c r="G1344" i="10"/>
  <c r="F1344" i="10"/>
  <c r="E1344" i="10"/>
  <c r="D1344" i="10"/>
  <c r="C1344" i="10"/>
  <c r="B1344" i="10"/>
  <c r="H1345" i="10"/>
  <c r="G1345" i="10"/>
  <c r="F1345" i="10"/>
  <c r="E1345" i="10"/>
  <c r="D1345" i="10"/>
  <c r="C1345" i="10"/>
  <c r="B1345" i="10"/>
  <c r="H1346" i="10"/>
  <c r="G1346" i="10"/>
  <c r="F1346" i="10"/>
  <c r="E1346" i="10"/>
  <c r="D1346" i="10"/>
  <c r="C1346" i="10"/>
  <c r="B1346" i="10"/>
  <c r="H1347" i="10"/>
  <c r="G1347" i="10"/>
  <c r="F1347" i="10"/>
  <c r="E1347" i="10"/>
  <c r="D1347" i="10"/>
  <c r="C1347" i="10"/>
  <c r="B1347" i="10"/>
  <c r="H1348" i="10"/>
  <c r="G1348" i="10"/>
  <c r="F1348" i="10"/>
  <c r="E1348" i="10"/>
  <c r="D1348" i="10"/>
  <c r="C1348" i="10"/>
  <c r="B1348" i="10"/>
  <c r="H1349" i="10"/>
  <c r="G1349" i="10"/>
  <c r="F1349" i="10"/>
  <c r="E1349" i="10"/>
  <c r="D1349" i="10"/>
  <c r="C1349" i="10"/>
  <c r="B1349" i="10"/>
  <c r="H1350" i="10"/>
  <c r="G1350" i="10"/>
  <c r="F1350" i="10"/>
  <c r="E1350" i="10"/>
  <c r="D1350" i="10"/>
  <c r="C1350" i="10"/>
  <c r="B1350" i="10"/>
  <c r="H1351" i="10"/>
  <c r="G1351" i="10"/>
  <c r="F1351" i="10"/>
  <c r="E1351" i="10"/>
  <c r="D1351" i="10"/>
  <c r="C1351" i="10"/>
  <c r="B1351" i="10"/>
  <c r="H1352" i="10"/>
  <c r="G1352" i="10"/>
  <c r="F1352" i="10"/>
  <c r="E1352" i="10"/>
  <c r="D1352" i="10"/>
  <c r="C1352" i="10"/>
  <c r="B1352" i="10"/>
  <c r="H1353" i="10"/>
  <c r="G1353" i="10"/>
  <c r="F1353" i="10"/>
  <c r="E1353" i="10"/>
  <c r="D1353" i="10"/>
  <c r="C1353" i="10"/>
  <c r="B1353" i="10"/>
  <c r="H1354" i="10"/>
  <c r="G1354" i="10"/>
  <c r="F1354" i="10"/>
  <c r="E1354" i="10"/>
  <c r="D1354" i="10"/>
  <c r="C1354" i="10"/>
  <c r="B1354" i="10"/>
  <c r="H1355" i="10"/>
  <c r="G1355" i="10"/>
  <c r="F1355" i="10"/>
  <c r="E1355" i="10"/>
  <c r="D1355" i="10"/>
  <c r="C1355" i="10"/>
  <c r="B1355" i="10"/>
  <c r="H1356" i="10"/>
  <c r="G1356" i="10"/>
  <c r="F1356" i="10"/>
  <c r="E1356" i="10"/>
  <c r="D1356" i="10"/>
  <c r="C1356" i="10"/>
  <c r="B1356" i="10"/>
  <c r="H1357" i="10"/>
  <c r="G1357" i="10"/>
  <c r="F1357" i="10"/>
  <c r="E1357" i="10"/>
  <c r="D1357" i="10"/>
  <c r="C1357" i="10"/>
  <c r="B1357" i="10"/>
  <c r="H1358" i="10"/>
  <c r="G1358" i="10"/>
  <c r="F1358" i="10"/>
  <c r="E1358" i="10"/>
  <c r="D1358" i="10"/>
  <c r="C1358" i="10"/>
  <c r="B1358" i="10"/>
  <c r="H1359" i="10"/>
  <c r="G1359" i="10"/>
  <c r="F1359" i="10"/>
  <c r="E1359" i="10"/>
  <c r="D1359" i="10"/>
  <c r="C1359" i="10"/>
  <c r="B1359" i="10"/>
  <c r="H1360" i="10"/>
  <c r="G1360" i="10"/>
  <c r="F1360" i="10"/>
  <c r="E1360" i="10"/>
  <c r="D1360" i="10"/>
  <c r="C1360" i="10"/>
  <c r="B1360" i="10"/>
  <c r="H1361" i="10"/>
  <c r="G1361" i="10"/>
  <c r="F1361" i="10"/>
  <c r="E1361" i="10"/>
  <c r="D1361" i="10"/>
  <c r="C1361" i="10"/>
  <c r="B1361" i="10"/>
  <c r="H1362" i="10"/>
  <c r="G1362" i="10"/>
  <c r="F1362" i="10"/>
  <c r="E1362" i="10"/>
  <c r="D1362" i="10"/>
  <c r="C1362" i="10"/>
  <c r="B1362" i="10"/>
  <c r="H1363" i="10"/>
  <c r="G1363" i="10"/>
  <c r="F1363" i="10"/>
  <c r="E1363" i="10"/>
  <c r="D1363" i="10"/>
  <c r="C1363" i="10"/>
  <c r="B1363" i="10"/>
  <c r="H1364" i="10"/>
  <c r="G1364" i="10"/>
  <c r="F1364" i="10"/>
  <c r="E1364" i="10"/>
  <c r="D1364" i="10"/>
  <c r="C1364" i="10"/>
  <c r="B1364" i="10"/>
  <c r="H1365" i="10"/>
  <c r="G1365" i="10"/>
  <c r="F1365" i="10"/>
  <c r="E1365" i="10"/>
  <c r="D1365" i="10"/>
  <c r="C1365" i="10"/>
  <c r="B1365" i="10"/>
  <c r="H1366" i="10"/>
  <c r="G1366" i="10"/>
  <c r="F1366" i="10"/>
  <c r="E1366" i="10"/>
  <c r="D1366" i="10"/>
  <c r="C1366" i="10"/>
  <c r="B1366" i="10"/>
  <c r="H1367" i="10"/>
  <c r="G1367" i="10"/>
  <c r="F1367" i="10"/>
  <c r="E1367" i="10"/>
  <c r="D1367" i="10"/>
  <c r="C1367" i="10"/>
  <c r="B1367" i="10"/>
  <c r="H1368" i="10"/>
  <c r="G1368" i="10"/>
  <c r="F1368" i="10"/>
  <c r="E1368" i="10"/>
  <c r="D1368" i="10"/>
  <c r="C1368" i="10"/>
  <c r="B1368" i="10"/>
  <c r="H1369" i="10"/>
  <c r="G1369" i="10"/>
  <c r="F1369" i="10"/>
  <c r="E1369" i="10"/>
  <c r="D1369" i="10"/>
  <c r="C1369" i="10"/>
  <c r="B1369" i="10"/>
  <c r="H1370" i="10"/>
  <c r="G1370" i="10"/>
  <c r="F1370" i="10"/>
  <c r="E1370" i="10"/>
  <c r="D1370" i="10"/>
  <c r="C1370" i="10"/>
  <c r="B1370" i="10"/>
  <c r="H1371" i="10"/>
  <c r="G1371" i="10"/>
  <c r="F1371" i="10"/>
  <c r="E1371" i="10"/>
  <c r="D1371" i="10"/>
  <c r="C1371" i="10"/>
  <c r="B1371" i="10"/>
  <c r="H1372" i="10"/>
  <c r="G1372" i="10"/>
  <c r="F1372" i="10"/>
  <c r="E1372" i="10"/>
  <c r="D1372" i="10"/>
  <c r="C1372" i="10"/>
  <c r="B1372" i="10"/>
  <c r="H1373" i="10"/>
  <c r="G1373" i="10"/>
  <c r="F1373" i="10"/>
  <c r="E1373" i="10"/>
  <c r="D1373" i="10"/>
  <c r="C1373" i="10"/>
  <c r="B1373" i="10"/>
  <c r="H1374" i="10"/>
  <c r="G1374" i="10"/>
  <c r="F1374" i="10"/>
  <c r="E1374" i="10"/>
  <c r="D1374" i="10"/>
  <c r="C1374" i="10"/>
  <c r="B1374" i="10"/>
  <c r="H1375" i="10"/>
  <c r="G1375" i="10"/>
  <c r="F1375" i="10"/>
  <c r="E1375" i="10"/>
  <c r="D1375" i="10"/>
  <c r="C1375" i="10"/>
  <c r="B1375" i="10"/>
  <c r="H1376" i="10"/>
  <c r="G1376" i="10"/>
  <c r="F1376" i="10"/>
  <c r="E1376" i="10"/>
  <c r="D1376" i="10"/>
  <c r="C1376" i="10"/>
  <c r="B1376" i="10"/>
  <c r="H1377" i="10"/>
  <c r="G1377" i="10"/>
  <c r="F1377" i="10"/>
  <c r="E1377" i="10"/>
  <c r="D1377" i="10"/>
  <c r="C1377" i="10"/>
  <c r="B1377" i="10"/>
  <c r="H1378" i="10"/>
  <c r="G1378" i="10"/>
  <c r="F1378" i="10"/>
  <c r="E1378" i="10"/>
  <c r="D1378" i="10"/>
  <c r="C1378" i="10"/>
  <c r="B1378" i="10"/>
  <c r="H1379" i="10"/>
  <c r="G1379" i="10"/>
  <c r="F1379" i="10"/>
  <c r="E1379" i="10"/>
  <c r="D1379" i="10"/>
  <c r="C1379" i="10"/>
  <c r="B1379" i="10"/>
  <c r="H1380" i="10"/>
  <c r="G1380" i="10"/>
  <c r="F1380" i="10"/>
  <c r="E1380" i="10"/>
  <c r="D1380" i="10"/>
  <c r="C1380" i="10"/>
  <c r="B1380" i="10"/>
  <c r="H1381" i="10"/>
  <c r="G1381" i="10"/>
  <c r="F1381" i="10"/>
  <c r="E1381" i="10"/>
  <c r="D1381" i="10"/>
  <c r="C1381" i="10"/>
  <c r="B1381" i="10"/>
  <c r="H1382" i="10"/>
  <c r="G1382" i="10"/>
  <c r="F1382" i="10"/>
  <c r="E1382" i="10"/>
  <c r="D1382" i="10"/>
  <c r="C1382" i="10"/>
  <c r="B1382" i="10"/>
  <c r="H1383" i="10"/>
  <c r="G1383" i="10"/>
  <c r="F1383" i="10"/>
  <c r="E1383" i="10"/>
  <c r="D1383" i="10"/>
  <c r="C1383" i="10"/>
  <c r="B1383" i="10"/>
  <c r="H1384" i="10"/>
  <c r="G1384" i="10"/>
  <c r="F1384" i="10"/>
  <c r="E1384" i="10"/>
  <c r="D1384" i="10"/>
  <c r="C1384" i="10"/>
  <c r="B1384" i="10"/>
  <c r="H1385" i="10"/>
  <c r="G1385" i="10"/>
  <c r="F1385" i="10"/>
  <c r="E1385" i="10"/>
  <c r="D1385" i="10"/>
  <c r="C1385" i="10"/>
  <c r="B1385" i="10"/>
  <c r="H1386" i="10"/>
  <c r="G1386" i="10"/>
  <c r="F1386" i="10"/>
  <c r="E1386" i="10"/>
  <c r="D1386" i="10"/>
  <c r="C1386" i="10"/>
  <c r="B1386" i="10"/>
  <c r="H1387" i="10"/>
  <c r="G1387" i="10"/>
  <c r="F1387" i="10"/>
  <c r="E1387" i="10"/>
  <c r="D1387" i="10"/>
  <c r="C1387" i="10"/>
  <c r="B1387" i="10"/>
  <c r="H1388" i="10"/>
  <c r="G1388" i="10"/>
  <c r="F1388" i="10"/>
  <c r="E1388" i="10"/>
  <c r="D1388" i="10"/>
  <c r="C1388" i="10"/>
  <c r="B1388" i="10"/>
  <c r="H1389" i="10"/>
  <c r="G1389" i="10"/>
  <c r="F1389" i="10"/>
  <c r="E1389" i="10"/>
  <c r="D1389" i="10"/>
  <c r="C1389" i="10"/>
  <c r="B1389" i="10"/>
  <c r="H1390" i="10"/>
  <c r="G1390" i="10"/>
  <c r="F1390" i="10"/>
  <c r="E1390" i="10"/>
  <c r="D1390" i="10"/>
  <c r="C1390" i="10"/>
  <c r="B1390" i="10"/>
  <c r="H1391" i="10"/>
  <c r="G1391" i="10"/>
  <c r="F1391" i="10"/>
  <c r="E1391" i="10"/>
  <c r="D1391" i="10"/>
  <c r="C1391" i="10"/>
  <c r="B1391" i="10"/>
  <c r="H1392" i="10"/>
  <c r="G1392" i="10"/>
  <c r="F1392" i="10"/>
  <c r="E1392" i="10"/>
  <c r="D1392" i="10"/>
  <c r="C1392" i="10"/>
  <c r="B1392" i="10"/>
  <c r="H1393" i="10"/>
  <c r="G1393" i="10"/>
  <c r="F1393" i="10"/>
  <c r="E1393" i="10"/>
  <c r="D1393" i="10"/>
  <c r="C1393" i="10"/>
  <c r="B1393" i="10"/>
  <c r="H1394" i="10"/>
  <c r="G1394" i="10"/>
  <c r="F1394" i="10"/>
  <c r="E1394" i="10"/>
  <c r="D1394" i="10"/>
  <c r="C1394" i="10"/>
  <c r="B1394" i="10"/>
  <c r="H1395" i="10"/>
  <c r="G1395" i="10"/>
  <c r="F1395" i="10"/>
  <c r="E1395" i="10"/>
  <c r="D1395" i="10"/>
  <c r="C1395" i="10"/>
  <c r="B1395" i="10"/>
  <c r="H1396" i="10"/>
  <c r="G1396" i="10"/>
  <c r="F1396" i="10"/>
  <c r="E1396" i="10"/>
  <c r="D1396" i="10"/>
  <c r="C1396" i="10"/>
  <c r="B1396" i="10"/>
  <c r="H1397" i="10"/>
  <c r="G1397" i="10"/>
  <c r="F1397" i="10"/>
  <c r="E1397" i="10"/>
  <c r="D1397" i="10"/>
  <c r="C1397" i="10"/>
  <c r="B1397" i="10"/>
  <c r="H1398" i="10"/>
  <c r="G1398" i="10"/>
  <c r="F1398" i="10"/>
  <c r="E1398" i="10"/>
  <c r="D1398" i="10"/>
  <c r="C1398" i="10"/>
  <c r="B1398" i="10"/>
  <c r="H1399" i="10"/>
  <c r="G1399" i="10"/>
  <c r="F1399" i="10"/>
  <c r="E1399" i="10"/>
  <c r="D1399" i="10"/>
  <c r="C1399" i="10"/>
  <c r="B1399" i="10"/>
  <c r="H1400" i="10"/>
  <c r="G1400" i="10"/>
  <c r="F1400" i="10"/>
  <c r="E1400" i="10"/>
  <c r="D1400" i="10"/>
  <c r="C1400" i="10"/>
  <c r="B1400" i="10"/>
  <c r="H1401" i="10"/>
  <c r="G1401" i="10"/>
  <c r="F1401" i="10"/>
  <c r="E1401" i="10"/>
  <c r="D1401" i="10"/>
  <c r="C1401" i="10"/>
  <c r="B1401" i="10"/>
  <c r="H1402" i="10"/>
  <c r="G1402" i="10"/>
  <c r="F1402" i="10"/>
  <c r="E1402" i="10"/>
  <c r="D1402" i="10"/>
  <c r="C1402" i="10"/>
  <c r="B1402" i="10"/>
  <c r="H1403" i="10"/>
  <c r="G1403" i="10"/>
  <c r="F1403" i="10"/>
  <c r="E1403" i="10"/>
  <c r="D1403" i="10"/>
  <c r="C1403" i="10"/>
  <c r="B1403" i="10"/>
  <c r="H1404" i="10"/>
  <c r="G1404" i="10"/>
  <c r="F1404" i="10"/>
  <c r="E1404" i="10"/>
  <c r="D1404" i="10"/>
  <c r="C1404" i="10"/>
  <c r="B1404" i="10"/>
  <c r="H1405" i="10"/>
  <c r="G1405" i="10"/>
  <c r="F1405" i="10"/>
  <c r="E1405" i="10"/>
  <c r="D1405" i="10"/>
  <c r="C1405" i="10"/>
  <c r="B1405" i="10"/>
  <c r="H1406" i="10"/>
  <c r="G1406" i="10"/>
  <c r="F1406" i="10"/>
  <c r="E1406" i="10"/>
  <c r="D1406" i="10"/>
  <c r="C1406" i="10"/>
  <c r="B1406" i="10"/>
  <c r="H1407" i="10"/>
  <c r="G1407" i="10"/>
  <c r="F1407" i="10"/>
  <c r="E1407" i="10"/>
  <c r="D1407" i="10"/>
  <c r="C1407" i="10"/>
  <c r="B1407" i="10"/>
  <c r="H1408" i="10"/>
  <c r="G1408" i="10"/>
  <c r="F1408" i="10"/>
  <c r="E1408" i="10"/>
  <c r="D1408" i="10"/>
  <c r="C1408" i="10"/>
  <c r="B1408" i="10"/>
  <c r="H1409" i="10"/>
  <c r="G1409" i="10"/>
  <c r="F1409" i="10"/>
  <c r="E1409" i="10"/>
  <c r="D1409" i="10"/>
  <c r="C1409" i="10"/>
  <c r="B1409" i="10"/>
  <c r="H1410" i="10"/>
  <c r="G1410" i="10"/>
  <c r="F1410" i="10"/>
  <c r="E1410" i="10"/>
  <c r="D1410" i="10"/>
  <c r="C1410" i="10"/>
  <c r="B1410" i="10"/>
  <c r="H1411" i="10"/>
  <c r="G1411" i="10"/>
  <c r="F1411" i="10"/>
  <c r="E1411" i="10"/>
  <c r="D1411" i="10"/>
  <c r="C1411" i="10"/>
  <c r="B1411" i="10"/>
  <c r="H1412" i="10"/>
  <c r="G1412" i="10"/>
  <c r="F1412" i="10"/>
  <c r="E1412" i="10"/>
  <c r="D1412" i="10"/>
  <c r="C1412" i="10"/>
  <c r="B1412" i="10"/>
  <c r="H1413" i="10"/>
  <c r="G1413" i="10"/>
  <c r="F1413" i="10"/>
  <c r="E1413" i="10"/>
  <c r="D1413" i="10"/>
  <c r="C1413" i="10"/>
  <c r="B1413" i="10"/>
  <c r="H1414" i="10"/>
  <c r="G1414" i="10"/>
  <c r="F1414" i="10"/>
  <c r="E1414" i="10"/>
  <c r="D1414" i="10"/>
  <c r="C1414" i="10"/>
  <c r="B1414" i="10"/>
  <c r="H1415" i="10"/>
  <c r="G1415" i="10"/>
  <c r="F1415" i="10"/>
  <c r="E1415" i="10"/>
  <c r="D1415" i="10"/>
  <c r="C1415" i="10"/>
  <c r="B1415" i="10"/>
  <c r="H1416" i="10"/>
  <c r="G1416" i="10"/>
  <c r="F1416" i="10"/>
  <c r="E1416" i="10"/>
  <c r="D1416" i="10"/>
  <c r="C1416" i="10"/>
  <c r="B1416" i="10"/>
  <c r="H1417" i="10"/>
  <c r="G1417" i="10"/>
  <c r="F1417" i="10"/>
  <c r="E1417" i="10"/>
  <c r="D1417" i="10"/>
  <c r="C1417" i="10"/>
  <c r="B1417" i="10"/>
  <c r="H1418" i="10"/>
  <c r="G1418" i="10"/>
  <c r="F1418" i="10"/>
  <c r="E1418" i="10"/>
  <c r="D1418" i="10"/>
  <c r="C1418" i="10"/>
  <c r="B1418" i="10"/>
  <c r="H1419" i="10"/>
  <c r="G1419" i="10"/>
  <c r="F1419" i="10"/>
  <c r="E1419" i="10"/>
  <c r="D1419" i="10"/>
  <c r="C1419" i="10"/>
  <c r="B1419" i="10"/>
  <c r="H1420" i="10"/>
  <c r="G1420" i="10"/>
  <c r="F1420" i="10"/>
  <c r="E1420" i="10"/>
  <c r="D1420" i="10"/>
  <c r="C1420" i="10"/>
  <c r="B1420" i="10"/>
  <c r="H1421" i="10"/>
  <c r="G1421" i="10"/>
  <c r="F1421" i="10"/>
  <c r="E1421" i="10"/>
  <c r="D1421" i="10"/>
  <c r="C1421" i="10"/>
  <c r="B1421" i="10"/>
  <c r="H1422" i="10"/>
  <c r="G1422" i="10"/>
  <c r="F1422" i="10"/>
  <c r="E1422" i="10"/>
  <c r="D1422" i="10"/>
  <c r="C1422" i="10"/>
  <c r="B1422" i="10"/>
  <c r="H1423" i="10"/>
  <c r="G1423" i="10"/>
  <c r="F1423" i="10"/>
  <c r="E1423" i="10"/>
  <c r="D1423" i="10"/>
  <c r="C1423" i="10"/>
  <c r="B1423" i="10"/>
  <c r="H1424" i="10"/>
  <c r="G1424" i="10"/>
  <c r="F1424" i="10"/>
  <c r="E1424" i="10"/>
  <c r="D1424" i="10"/>
  <c r="C1424" i="10"/>
  <c r="B1424" i="10"/>
  <c r="H1425" i="10"/>
  <c r="G1425" i="10"/>
  <c r="F1425" i="10"/>
  <c r="E1425" i="10"/>
  <c r="D1425" i="10"/>
  <c r="C1425" i="10"/>
  <c r="B1425" i="10"/>
  <c r="H1426" i="10"/>
  <c r="G1426" i="10"/>
  <c r="F1426" i="10"/>
  <c r="E1426" i="10"/>
  <c r="D1426" i="10"/>
  <c r="C1426" i="10"/>
  <c r="B1426" i="10"/>
  <c r="H1427" i="10"/>
  <c r="G1427" i="10"/>
  <c r="F1427" i="10"/>
  <c r="E1427" i="10"/>
  <c r="D1427" i="10"/>
  <c r="C1427" i="10"/>
  <c r="B1427" i="10"/>
  <c r="H1428" i="10"/>
  <c r="G1428" i="10"/>
  <c r="F1428" i="10"/>
  <c r="E1428" i="10"/>
  <c r="D1428" i="10"/>
  <c r="C1428" i="10"/>
  <c r="B1428" i="10"/>
  <c r="H1429" i="10"/>
  <c r="G1429" i="10"/>
  <c r="F1429" i="10"/>
  <c r="E1429" i="10"/>
  <c r="D1429" i="10"/>
  <c r="C1429" i="10"/>
  <c r="B1429" i="10"/>
  <c r="H1430" i="10"/>
  <c r="G1430" i="10"/>
  <c r="F1430" i="10"/>
  <c r="E1430" i="10"/>
  <c r="D1430" i="10"/>
  <c r="C1430" i="10"/>
  <c r="B1430" i="10"/>
  <c r="H1431" i="10"/>
  <c r="G1431" i="10"/>
  <c r="F1431" i="10"/>
  <c r="E1431" i="10"/>
  <c r="D1431" i="10"/>
  <c r="C1431" i="10"/>
  <c r="B1431" i="10"/>
  <c r="H1432" i="10"/>
  <c r="G1432" i="10"/>
  <c r="F1432" i="10"/>
  <c r="E1432" i="10"/>
  <c r="D1432" i="10"/>
  <c r="C1432" i="10"/>
  <c r="B1432" i="10"/>
  <c r="H1433" i="10"/>
  <c r="G1433" i="10"/>
  <c r="F1433" i="10"/>
  <c r="E1433" i="10"/>
  <c r="D1433" i="10"/>
  <c r="C1433" i="10"/>
  <c r="B1433" i="10"/>
  <c r="H1434" i="10"/>
  <c r="G1434" i="10"/>
  <c r="F1434" i="10"/>
  <c r="E1434" i="10"/>
  <c r="D1434" i="10"/>
  <c r="C1434" i="10"/>
  <c r="B1434" i="10"/>
  <c r="H1435" i="10"/>
  <c r="G1435" i="10"/>
  <c r="F1435" i="10"/>
  <c r="E1435" i="10"/>
  <c r="D1435" i="10"/>
  <c r="C1435" i="10"/>
  <c r="B1435" i="10"/>
  <c r="H1436" i="10"/>
  <c r="G1436" i="10"/>
  <c r="F1436" i="10"/>
  <c r="E1436" i="10"/>
  <c r="D1436" i="10"/>
  <c r="C1436" i="10"/>
  <c r="B1436" i="10"/>
  <c r="H1437" i="10"/>
  <c r="G1437" i="10"/>
  <c r="F1437" i="10"/>
  <c r="E1437" i="10"/>
  <c r="D1437" i="10"/>
  <c r="C1437" i="10"/>
  <c r="B1437" i="10"/>
  <c r="H1438" i="10"/>
  <c r="G1438" i="10"/>
  <c r="F1438" i="10"/>
  <c r="E1438" i="10"/>
  <c r="D1438" i="10"/>
  <c r="C1438" i="10"/>
  <c r="B1438" i="10"/>
  <c r="H1439" i="10"/>
  <c r="G1439" i="10"/>
  <c r="F1439" i="10"/>
  <c r="E1439" i="10"/>
  <c r="D1439" i="10"/>
  <c r="C1439" i="10"/>
  <c r="B1439" i="10"/>
  <c r="H1440" i="10"/>
  <c r="G1440" i="10"/>
  <c r="F1440" i="10"/>
  <c r="E1440" i="10"/>
  <c r="D1440" i="10"/>
  <c r="C1440" i="10"/>
  <c r="B1440" i="10"/>
  <c r="H1441" i="10"/>
  <c r="G1441" i="10"/>
  <c r="F1441" i="10"/>
  <c r="E1441" i="10"/>
  <c r="D1441" i="10"/>
  <c r="C1441" i="10"/>
  <c r="B1441" i="10"/>
  <c r="H1442" i="10"/>
  <c r="G1442" i="10"/>
  <c r="F1442" i="10"/>
  <c r="E1442" i="10"/>
  <c r="D1442" i="10"/>
  <c r="C1442" i="10"/>
  <c r="B1442" i="10"/>
  <c r="H1443" i="10"/>
  <c r="G1443" i="10"/>
  <c r="F1443" i="10"/>
  <c r="E1443" i="10"/>
  <c r="D1443" i="10"/>
  <c r="C1443" i="10"/>
  <c r="B1443" i="10"/>
  <c r="H1444" i="10"/>
  <c r="G1444" i="10"/>
  <c r="F1444" i="10"/>
  <c r="E1444" i="10"/>
  <c r="D1444" i="10"/>
  <c r="C1444" i="10"/>
  <c r="B1444" i="10"/>
  <c r="H1445" i="10"/>
  <c r="G1445" i="10"/>
  <c r="F1445" i="10"/>
  <c r="E1445" i="10"/>
  <c r="D1445" i="10"/>
  <c r="C1445" i="10"/>
  <c r="B1445" i="10"/>
  <c r="H1446" i="10"/>
  <c r="G1446" i="10"/>
  <c r="F1446" i="10"/>
  <c r="E1446" i="10"/>
  <c r="D1446" i="10"/>
  <c r="C1446" i="10"/>
  <c r="B1446" i="10"/>
  <c r="H1447" i="10"/>
  <c r="G1447" i="10"/>
  <c r="F1447" i="10"/>
  <c r="E1447" i="10"/>
  <c r="D1447" i="10"/>
  <c r="C1447" i="10"/>
  <c r="B1447" i="10"/>
  <c r="H1448" i="10"/>
  <c r="G1448" i="10"/>
  <c r="F1448" i="10"/>
  <c r="E1448" i="10"/>
  <c r="D1448" i="10"/>
  <c r="C1448" i="10"/>
  <c r="B1448" i="10"/>
  <c r="H1449" i="10"/>
  <c r="G1449" i="10"/>
  <c r="F1449" i="10"/>
  <c r="E1449" i="10"/>
  <c r="D1449" i="10"/>
  <c r="C1449" i="10"/>
  <c r="B1449" i="10"/>
  <c r="H1450" i="10"/>
  <c r="G1450" i="10"/>
  <c r="F1450" i="10"/>
  <c r="E1450" i="10"/>
  <c r="D1450" i="10"/>
  <c r="C1450" i="10"/>
  <c r="B1450" i="10"/>
  <c r="H1451" i="10"/>
  <c r="G1451" i="10"/>
  <c r="F1451" i="10"/>
  <c r="E1451" i="10"/>
  <c r="D1451" i="10"/>
  <c r="C1451" i="10"/>
  <c r="B1451" i="10"/>
  <c r="H1452" i="10"/>
  <c r="G1452" i="10"/>
  <c r="F1452" i="10"/>
  <c r="E1452" i="10"/>
  <c r="D1452" i="10"/>
  <c r="C1452" i="10"/>
  <c r="B1452" i="10"/>
  <c r="H1453" i="10"/>
  <c r="G1453" i="10"/>
  <c r="F1453" i="10"/>
  <c r="E1453" i="10"/>
  <c r="D1453" i="10"/>
  <c r="C1453" i="10"/>
  <c r="B1453" i="10"/>
  <c r="H1454" i="10"/>
  <c r="G1454" i="10"/>
  <c r="F1454" i="10"/>
  <c r="E1454" i="10"/>
  <c r="D1454" i="10"/>
  <c r="C1454" i="10"/>
  <c r="B1454" i="10"/>
  <c r="H1455" i="10"/>
  <c r="G1455" i="10"/>
  <c r="F1455" i="10"/>
  <c r="E1455" i="10"/>
  <c r="D1455" i="10"/>
  <c r="C1455" i="10"/>
  <c r="B1455" i="10"/>
  <c r="H1456" i="10"/>
  <c r="G1456" i="10"/>
  <c r="F1456" i="10"/>
  <c r="E1456" i="10"/>
  <c r="D1456" i="10"/>
  <c r="C1456" i="10"/>
  <c r="B1456" i="10"/>
  <c r="H1457" i="10"/>
  <c r="G1457" i="10"/>
  <c r="F1457" i="10"/>
  <c r="E1457" i="10"/>
  <c r="D1457" i="10"/>
  <c r="C1457" i="10"/>
  <c r="B1457" i="10"/>
  <c r="H1458" i="10"/>
  <c r="G1458" i="10"/>
  <c r="F1458" i="10"/>
  <c r="E1458" i="10"/>
  <c r="D1458" i="10"/>
  <c r="C1458" i="10"/>
  <c r="B1458" i="10"/>
  <c r="H1459" i="10"/>
  <c r="G1459" i="10"/>
  <c r="F1459" i="10"/>
  <c r="E1459" i="10"/>
  <c r="D1459" i="10"/>
  <c r="C1459" i="10"/>
  <c r="B1459" i="10"/>
  <c r="H1460" i="10"/>
  <c r="G1460" i="10"/>
  <c r="F1460" i="10"/>
  <c r="E1460" i="10"/>
  <c r="D1460" i="10"/>
  <c r="C1460" i="10"/>
  <c r="B1460" i="10"/>
  <c r="H1461" i="10"/>
  <c r="G1461" i="10"/>
  <c r="F1461" i="10"/>
  <c r="E1461" i="10"/>
  <c r="D1461" i="10"/>
  <c r="C1461" i="10"/>
  <c r="B1461" i="10"/>
  <c r="H1462" i="10"/>
  <c r="G1462" i="10"/>
  <c r="F1462" i="10"/>
  <c r="E1462" i="10"/>
  <c r="D1462" i="10"/>
  <c r="C1462" i="10"/>
  <c r="B1462" i="10"/>
  <c r="H1463" i="10"/>
  <c r="G1463" i="10"/>
  <c r="F1463" i="10"/>
  <c r="E1463" i="10"/>
  <c r="D1463" i="10"/>
  <c r="C1463" i="10"/>
  <c r="B1463" i="10"/>
  <c r="H1464" i="10"/>
  <c r="G1464" i="10"/>
  <c r="F1464" i="10"/>
  <c r="E1464" i="10"/>
  <c r="D1464" i="10"/>
  <c r="C1464" i="10"/>
  <c r="B1464" i="10"/>
  <c r="H1465" i="10"/>
  <c r="G1465" i="10"/>
  <c r="F1465" i="10"/>
  <c r="E1465" i="10"/>
  <c r="D1465" i="10"/>
  <c r="C1465" i="10"/>
  <c r="B1465" i="10"/>
  <c r="H1466" i="10"/>
  <c r="G1466" i="10"/>
  <c r="F1466" i="10"/>
  <c r="E1466" i="10"/>
  <c r="D1466" i="10"/>
  <c r="C1466" i="10"/>
  <c r="B1466" i="10"/>
  <c r="H1467" i="10"/>
  <c r="G1467" i="10"/>
  <c r="F1467" i="10"/>
  <c r="E1467" i="10"/>
  <c r="D1467" i="10"/>
  <c r="C1467" i="10"/>
  <c r="B1467" i="10"/>
  <c r="H1468" i="10"/>
  <c r="G1468" i="10"/>
  <c r="F1468" i="10"/>
  <c r="E1468" i="10"/>
  <c r="D1468" i="10"/>
  <c r="C1468" i="10"/>
  <c r="B1468" i="10"/>
  <c r="H1469" i="10"/>
  <c r="G1469" i="10"/>
  <c r="F1469" i="10"/>
  <c r="E1469" i="10"/>
  <c r="D1469" i="10"/>
  <c r="C1469" i="10"/>
  <c r="B1469" i="10"/>
  <c r="H1470" i="10"/>
  <c r="G1470" i="10"/>
  <c r="F1470" i="10"/>
  <c r="E1470" i="10"/>
  <c r="D1470" i="10"/>
  <c r="C1470" i="10"/>
  <c r="B1470" i="10"/>
  <c r="H1471" i="10"/>
  <c r="G1471" i="10"/>
  <c r="F1471" i="10"/>
  <c r="E1471" i="10"/>
  <c r="D1471" i="10"/>
  <c r="C1471" i="10"/>
  <c r="B1471" i="10"/>
  <c r="H1472" i="10"/>
  <c r="G1472" i="10"/>
  <c r="F1472" i="10"/>
  <c r="E1472" i="10"/>
  <c r="D1472" i="10"/>
  <c r="C1472" i="10"/>
  <c r="B1472" i="10"/>
  <c r="H1473" i="10"/>
  <c r="G1473" i="10"/>
  <c r="F1473" i="10"/>
  <c r="E1473" i="10"/>
  <c r="D1473" i="10"/>
  <c r="C1473" i="10"/>
  <c r="B1473" i="10"/>
  <c r="H1474" i="10"/>
  <c r="G1474" i="10"/>
  <c r="F1474" i="10"/>
  <c r="E1474" i="10"/>
  <c r="D1474" i="10"/>
  <c r="C1474" i="10"/>
  <c r="B1474" i="10"/>
  <c r="H1475" i="10"/>
  <c r="G1475" i="10"/>
  <c r="F1475" i="10"/>
  <c r="E1475" i="10"/>
  <c r="D1475" i="10"/>
  <c r="C1475" i="10"/>
  <c r="B1475" i="10"/>
  <c r="H1476" i="10"/>
  <c r="G1476" i="10"/>
  <c r="F1476" i="10"/>
  <c r="E1476" i="10"/>
  <c r="D1476" i="10"/>
  <c r="C1476" i="10"/>
  <c r="B1476" i="10"/>
  <c r="H1477" i="10"/>
  <c r="G1477" i="10"/>
  <c r="F1477" i="10"/>
  <c r="E1477" i="10"/>
  <c r="D1477" i="10"/>
  <c r="C1477" i="10"/>
  <c r="B1477" i="10"/>
  <c r="H1478" i="10"/>
  <c r="G1478" i="10"/>
  <c r="F1478" i="10"/>
  <c r="E1478" i="10"/>
  <c r="D1478" i="10"/>
  <c r="C1478" i="10"/>
  <c r="B1478" i="10"/>
  <c r="H1479" i="10"/>
  <c r="G1479" i="10"/>
  <c r="F1479" i="10"/>
  <c r="E1479" i="10"/>
  <c r="D1479" i="10"/>
  <c r="C1479" i="10"/>
  <c r="B1479" i="10"/>
  <c r="H1480" i="10"/>
  <c r="G1480" i="10"/>
  <c r="F1480" i="10"/>
  <c r="E1480" i="10"/>
  <c r="D1480" i="10"/>
  <c r="C1480" i="10"/>
  <c r="B1480" i="10"/>
  <c r="H1481" i="10"/>
  <c r="G1481" i="10"/>
  <c r="F1481" i="10"/>
  <c r="E1481" i="10"/>
  <c r="D1481" i="10"/>
  <c r="C1481" i="10"/>
  <c r="B1481" i="10"/>
  <c r="H1482" i="10"/>
  <c r="G1482" i="10"/>
  <c r="F1482" i="10"/>
  <c r="E1482" i="10"/>
  <c r="D1482" i="10"/>
  <c r="C1482" i="10"/>
  <c r="B1482" i="10"/>
  <c r="H1483" i="10"/>
  <c r="G1483" i="10"/>
  <c r="F1483" i="10"/>
  <c r="E1483" i="10"/>
  <c r="D1483" i="10"/>
  <c r="C1483" i="10"/>
  <c r="B1483" i="10"/>
  <c r="H1484" i="10"/>
  <c r="G1484" i="10"/>
  <c r="F1484" i="10"/>
  <c r="E1484" i="10"/>
  <c r="D1484" i="10"/>
  <c r="C1484" i="10"/>
  <c r="B1484" i="10"/>
  <c r="H1485" i="10"/>
  <c r="G1485" i="10"/>
  <c r="F1485" i="10"/>
  <c r="E1485" i="10"/>
  <c r="D1485" i="10"/>
  <c r="C1485" i="10"/>
  <c r="B1485" i="10"/>
  <c r="H1486" i="10"/>
  <c r="G1486" i="10"/>
  <c r="F1486" i="10"/>
  <c r="E1486" i="10"/>
  <c r="D1486" i="10"/>
  <c r="C1486" i="10"/>
  <c r="B1486" i="10"/>
  <c r="H1487" i="10"/>
  <c r="G1487" i="10"/>
  <c r="F1487" i="10"/>
  <c r="E1487" i="10"/>
  <c r="D1487" i="10"/>
  <c r="C1487" i="10"/>
  <c r="B1487" i="10"/>
  <c r="H1488" i="10"/>
  <c r="G1488" i="10"/>
  <c r="F1488" i="10"/>
  <c r="E1488" i="10"/>
  <c r="D1488" i="10"/>
  <c r="C1488" i="10"/>
  <c r="B1488" i="10"/>
  <c r="H1489" i="10"/>
  <c r="G1489" i="10"/>
  <c r="F1489" i="10"/>
  <c r="E1489" i="10"/>
  <c r="D1489" i="10"/>
  <c r="C1489" i="10"/>
  <c r="B1489" i="10"/>
  <c r="H1490" i="10"/>
  <c r="G1490" i="10"/>
  <c r="F1490" i="10"/>
  <c r="E1490" i="10"/>
  <c r="D1490" i="10"/>
  <c r="C1490" i="10"/>
  <c r="B1490" i="10"/>
  <c r="H1491" i="10"/>
  <c r="G1491" i="10"/>
  <c r="F1491" i="10"/>
  <c r="E1491" i="10"/>
  <c r="D1491" i="10"/>
  <c r="C1491" i="10"/>
  <c r="B1491" i="10"/>
  <c r="H1492" i="10"/>
  <c r="G1492" i="10"/>
  <c r="F1492" i="10"/>
  <c r="E1492" i="10"/>
  <c r="D1492" i="10"/>
  <c r="C1492" i="10"/>
  <c r="B1492" i="10"/>
  <c r="H1493" i="10"/>
  <c r="G1493" i="10"/>
  <c r="F1493" i="10"/>
  <c r="E1493" i="10"/>
  <c r="D1493" i="10"/>
  <c r="C1493" i="10"/>
  <c r="B1493" i="10"/>
  <c r="H1494" i="10"/>
  <c r="G1494" i="10"/>
  <c r="F1494" i="10"/>
  <c r="E1494" i="10"/>
  <c r="D1494" i="10"/>
  <c r="C1494" i="10"/>
  <c r="B1494" i="10"/>
  <c r="H1495" i="10"/>
  <c r="G1495" i="10"/>
  <c r="F1495" i="10"/>
  <c r="E1495" i="10"/>
  <c r="D1495" i="10"/>
  <c r="C1495" i="10"/>
  <c r="B1495" i="10"/>
  <c r="H1496" i="10"/>
  <c r="G1496" i="10"/>
  <c r="F1496" i="10"/>
  <c r="E1496" i="10"/>
  <c r="D1496" i="10"/>
  <c r="C1496" i="10"/>
  <c r="B1496" i="10"/>
  <c r="H1497" i="10"/>
  <c r="G1497" i="10"/>
  <c r="F1497" i="10"/>
  <c r="E1497" i="10"/>
  <c r="D1497" i="10"/>
  <c r="C1497" i="10"/>
  <c r="B1497" i="10"/>
  <c r="H1498" i="10"/>
  <c r="G1498" i="10"/>
  <c r="F1498" i="10"/>
  <c r="E1498" i="10"/>
  <c r="D1498" i="10"/>
  <c r="C1498" i="10"/>
  <c r="B1498" i="10"/>
  <c r="H1499" i="10"/>
  <c r="G1499" i="10"/>
  <c r="F1499" i="10"/>
  <c r="E1499" i="10"/>
  <c r="D1499" i="10"/>
  <c r="C1499" i="10"/>
  <c r="B1499" i="10"/>
  <c r="H1500" i="10"/>
  <c r="G1500" i="10"/>
  <c r="F1500" i="10"/>
  <c r="E1500" i="10"/>
  <c r="D1500" i="10"/>
  <c r="C1500" i="10"/>
  <c r="B1500" i="10"/>
  <c r="H1501" i="10"/>
  <c r="G1501" i="10"/>
  <c r="F1501" i="10"/>
  <c r="E1501" i="10"/>
  <c r="D1501" i="10"/>
  <c r="C1501" i="10"/>
  <c r="B1501" i="10"/>
  <c r="H1502" i="10"/>
  <c r="G1502" i="10"/>
  <c r="F1502" i="10"/>
  <c r="E1502" i="10"/>
  <c r="D1502" i="10"/>
  <c r="C1502" i="10"/>
  <c r="B1502" i="10"/>
  <c r="H1503" i="10"/>
  <c r="G1503" i="10"/>
  <c r="F1503" i="10"/>
  <c r="E1503" i="10"/>
  <c r="D1503" i="10"/>
  <c r="C1503" i="10"/>
  <c r="B1503" i="10"/>
  <c r="H1504" i="10"/>
  <c r="G1504" i="10"/>
  <c r="F1504" i="10"/>
  <c r="E1504" i="10"/>
  <c r="D1504" i="10"/>
  <c r="C1504" i="10"/>
  <c r="B1504" i="10"/>
  <c r="H1505" i="10"/>
  <c r="G1505" i="10"/>
  <c r="F1505" i="10"/>
  <c r="E1505" i="10"/>
  <c r="D1505" i="10"/>
  <c r="C1505" i="10"/>
  <c r="B1505" i="10"/>
  <c r="H1506" i="10"/>
  <c r="G1506" i="10"/>
  <c r="F1506" i="10"/>
  <c r="E1506" i="10"/>
  <c r="D1506" i="10"/>
  <c r="C1506" i="10"/>
  <c r="B1506" i="10"/>
  <c r="H1507" i="10"/>
  <c r="G1507" i="10"/>
  <c r="F1507" i="10"/>
  <c r="E1507" i="10"/>
  <c r="D1507" i="10"/>
  <c r="C1507" i="10"/>
  <c r="B1507" i="10"/>
  <c r="H1508" i="10"/>
  <c r="G1508" i="10"/>
  <c r="F1508" i="10"/>
  <c r="E1508" i="10"/>
  <c r="D1508" i="10"/>
  <c r="C1508" i="10"/>
  <c r="B1508" i="10"/>
  <c r="H1509" i="10"/>
  <c r="G1509" i="10"/>
  <c r="F1509" i="10"/>
  <c r="E1509" i="10"/>
  <c r="D1509" i="10"/>
  <c r="C1509" i="10"/>
  <c r="B1509" i="10"/>
  <c r="H1510" i="10"/>
  <c r="G1510" i="10"/>
  <c r="F1510" i="10"/>
  <c r="E1510" i="10"/>
  <c r="D1510" i="10"/>
  <c r="C1510" i="10"/>
  <c r="B1510" i="10"/>
  <c r="H1511" i="10"/>
  <c r="G1511" i="10"/>
  <c r="F1511" i="10"/>
  <c r="E1511" i="10"/>
  <c r="D1511" i="10"/>
  <c r="C1511" i="10"/>
  <c r="B1511" i="10"/>
  <c r="H1512" i="10"/>
  <c r="G1512" i="10"/>
  <c r="F1512" i="10"/>
  <c r="E1512" i="10"/>
  <c r="D1512" i="10"/>
  <c r="C1512" i="10"/>
  <c r="B1512" i="10"/>
  <c r="H1513" i="10"/>
  <c r="G1513" i="10"/>
  <c r="F1513" i="10"/>
  <c r="E1513" i="10"/>
  <c r="D1513" i="10"/>
  <c r="C1513" i="10"/>
  <c r="B1513" i="10"/>
  <c r="H1514" i="10"/>
  <c r="G1514" i="10"/>
  <c r="F1514" i="10"/>
  <c r="E1514" i="10"/>
  <c r="D1514" i="10"/>
  <c r="C1514" i="10"/>
  <c r="B1514" i="10"/>
  <c r="H1515" i="10"/>
  <c r="G1515" i="10"/>
  <c r="F1515" i="10"/>
  <c r="E1515" i="10"/>
  <c r="D1515" i="10"/>
  <c r="C1515" i="10"/>
  <c r="B1515" i="10"/>
  <c r="H1516" i="10"/>
  <c r="G1516" i="10"/>
  <c r="F1516" i="10"/>
  <c r="E1516" i="10"/>
  <c r="D1516" i="10"/>
  <c r="C1516" i="10"/>
  <c r="B1516" i="10"/>
  <c r="H1517" i="10"/>
  <c r="G1517" i="10"/>
  <c r="F1517" i="10"/>
  <c r="E1517" i="10"/>
  <c r="D1517" i="10"/>
  <c r="C1517" i="10"/>
  <c r="B1517" i="10"/>
  <c r="H1518" i="10"/>
  <c r="G1518" i="10"/>
  <c r="F1518" i="10"/>
  <c r="E1518" i="10"/>
  <c r="D1518" i="10"/>
  <c r="C1518" i="10"/>
  <c r="B1518" i="10"/>
  <c r="H1519" i="10"/>
  <c r="G1519" i="10"/>
  <c r="F1519" i="10"/>
  <c r="E1519" i="10"/>
  <c r="D1519" i="10"/>
  <c r="C1519" i="10"/>
  <c r="B1519" i="10"/>
  <c r="H1520" i="10"/>
  <c r="G1520" i="10"/>
  <c r="F1520" i="10"/>
  <c r="E1520" i="10"/>
  <c r="D1520" i="10"/>
  <c r="C1520" i="10"/>
  <c r="B1520" i="10"/>
  <c r="H1521" i="10"/>
  <c r="G1521" i="10"/>
  <c r="F1521" i="10"/>
  <c r="E1521" i="10"/>
  <c r="D1521" i="10"/>
  <c r="C1521" i="10"/>
  <c r="B1521" i="10"/>
  <c r="H1522" i="10"/>
  <c r="G1522" i="10"/>
  <c r="F1522" i="10"/>
  <c r="E1522" i="10"/>
  <c r="D1522" i="10"/>
  <c r="C1522" i="10"/>
  <c r="B1522" i="10"/>
  <c r="H1523" i="10"/>
  <c r="G1523" i="10"/>
  <c r="F1523" i="10"/>
  <c r="E1523" i="10"/>
  <c r="D1523" i="10"/>
  <c r="C1523" i="10"/>
  <c r="B1523" i="10"/>
  <c r="H1524" i="10"/>
  <c r="G1524" i="10"/>
  <c r="F1524" i="10"/>
  <c r="E1524" i="10"/>
  <c r="D1524" i="10"/>
  <c r="C1524" i="10"/>
  <c r="B1524" i="10"/>
  <c r="H1525" i="10"/>
  <c r="G1525" i="10"/>
  <c r="F1525" i="10"/>
  <c r="E1525" i="10"/>
  <c r="D1525" i="10"/>
  <c r="C1525" i="10"/>
  <c r="B1525" i="10"/>
  <c r="H1526" i="10"/>
  <c r="G1526" i="10"/>
  <c r="F1526" i="10"/>
  <c r="E1526" i="10"/>
  <c r="D1526" i="10"/>
  <c r="C1526" i="10"/>
  <c r="B1526" i="10"/>
  <c r="H1527" i="10"/>
  <c r="G1527" i="10"/>
  <c r="F1527" i="10"/>
  <c r="E1527" i="10"/>
  <c r="D1527" i="10"/>
  <c r="C1527" i="10"/>
  <c r="B1527" i="10"/>
  <c r="H1528" i="10"/>
  <c r="G1528" i="10"/>
  <c r="F1528" i="10"/>
  <c r="E1528" i="10"/>
  <c r="D1528" i="10"/>
  <c r="C1528" i="10"/>
  <c r="B1528" i="10"/>
  <c r="H1529" i="10"/>
  <c r="G1529" i="10"/>
  <c r="F1529" i="10"/>
  <c r="E1529" i="10"/>
  <c r="D1529" i="10"/>
  <c r="C1529" i="10"/>
  <c r="B1529" i="10"/>
  <c r="H1530" i="10"/>
  <c r="G1530" i="10"/>
  <c r="F1530" i="10"/>
  <c r="E1530" i="10"/>
  <c r="D1530" i="10"/>
  <c r="C1530" i="10"/>
  <c r="B1530" i="10"/>
  <c r="H1531" i="10"/>
  <c r="G1531" i="10"/>
  <c r="F1531" i="10"/>
  <c r="E1531" i="10"/>
  <c r="D1531" i="10"/>
  <c r="C1531" i="10"/>
  <c r="B1531" i="10"/>
  <c r="H1532" i="10"/>
  <c r="G1532" i="10"/>
  <c r="F1532" i="10"/>
  <c r="E1532" i="10"/>
  <c r="D1532" i="10"/>
  <c r="C1532" i="10"/>
  <c r="B1532" i="10"/>
  <c r="H1533" i="10"/>
  <c r="G1533" i="10"/>
  <c r="F1533" i="10"/>
  <c r="E1533" i="10"/>
  <c r="D1533" i="10"/>
  <c r="C1533" i="10"/>
  <c r="B1533" i="10"/>
  <c r="H1534" i="10"/>
  <c r="G1534" i="10"/>
  <c r="F1534" i="10"/>
  <c r="E1534" i="10"/>
  <c r="D1534" i="10"/>
  <c r="C1534" i="10"/>
  <c r="B1534" i="10"/>
  <c r="H1535" i="10"/>
  <c r="G1535" i="10"/>
  <c r="F1535" i="10"/>
  <c r="E1535" i="10"/>
  <c r="D1535" i="10"/>
  <c r="C1535" i="10"/>
  <c r="B1535" i="10"/>
  <c r="H1536" i="10"/>
  <c r="G1536" i="10"/>
  <c r="F1536" i="10"/>
  <c r="E1536" i="10"/>
  <c r="D1536" i="10"/>
  <c r="C1536" i="10"/>
  <c r="B1536" i="10"/>
  <c r="H1537" i="10"/>
  <c r="G1537" i="10"/>
  <c r="F1537" i="10"/>
  <c r="E1537" i="10"/>
  <c r="D1537" i="10"/>
  <c r="C1537" i="10"/>
  <c r="B1537" i="10"/>
  <c r="H1538" i="10"/>
  <c r="G1538" i="10"/>
  <c r="F1538" i="10"/>
  <c r="E1538" i="10"/>
  <c r="D1538" i="10"/>
  <c r="C1538" i="10"/>
  <c r="B1538" i="10"/>
  <c r="H1539" i="10"/>
  <c r="G1539" i="10"/>
  <c r="F1539" i="10"/>
  <c r="E1539" i="10"/>
  <c r="D1539" i="10"/>
  <c r="C1539" i="10"/>
  <c r="B1539" i="10"/>
  <c r="H1540" i="10"/>
  <c r="G1540" i="10"/>
  <c r="F1540" i="10"/>
  <c r="E1540" i="10"/>
  <c r="D1540" i="10"/>
  <c r="C1540" i="10"/>
  <c r="B1540" i="10"/>
  <c r="H1541" i="10"/>
  <c r="G1541" i="10"/>
  <c r="F1541" i="10"/>
  <c r="E1541" i="10"/>
  <c r="D1541" i="10"/>
  <c r="C1541" i="10"/>
  <c r="B1541" i="10"/>
  <c r="H1542" i="10"/>
  <c r="G1542" i="10"/>
  <c r="F1542" i="10"/>
  <c r="E1542" i="10"/>
  <c r="D1542" i="10"/>
  <c r="C1542" i="10"/>
  <c r="B1542" i="10"/>
  <c r="H1543" i="10"/>
  <c r="G1543" i="10"/>
  <c r="F1543" i="10"/>
  <c r="E1543" i="10"/>
  <c r="D1543" i="10"/>
  <c r="C1543" i="10"/>
  <c r="B1543" i="10"/>
  <c r="H1544" i="10"/>
  <c r="G1544" i="10"/>
  <c r="F1544" i="10"/>
  <c r="E1544" i="10"/>
  <c r="D1544" i="10"/>
  <c r="C1544" i="10"/>
  <c r="B1544" i="10"/>
  <c r="H1545" i="10"/>
  <c r="G1545" i="10"/>
  <c r="F1545" i="10"/>
  <c r="E1545" i="10"/>
  <c r="D1545" i="10"/>
  <c r="C1545" i="10"/>
  <c r="B1545" i="10"/>
  <c r="H1546" i="10"/>
  <c r="G1546" i="10"/>
  <c r="F1546" i="10"/>
  <c r="E1546" i="10"/>
  <c r="D1546" i="10"/>
  <c r="C1546" i="10"/>
  <c r="B1546" i="10"/>
  <c r="H1547" i="10"/>
  <c r="G1547" i="10"/>
  <c r="F1547" i="10"/>
  <c r="E1547" i="10"/>
  <c r="D1547" i="10"/>
  <c r="C1547" i="10"/>
  <c r="B1547" i="10"/>
  <c r="H1548" i="10"/>
  <c r="G1548" i="10"/>
  <c r="F1548" i="10"/>
  <c r="E1548" i="10"/>
  <c r="D1548" i="10"/>
  <c r="C1548" i="10"/>
  <c r="B1548" i="10"/>
  <c r="H1549" i="10"/>
  <c r="G1549" i="10"/>
  <c r="F1549" i="10"/>
  <c r="E1549" i="10"/>
  <c r="D1549" i="10"/>
  <c r="C1549" i="10"/>
  <c r="B1549" i="10"/>
  <c r="H1550" i="10"/>
  <c r="G1550" i="10"/>
  <c r="F1550" i="10"/>
  <c r="E1550" i="10"/>
  <c r="D1550" i="10"/>
  <c r="C1550" i="10"/>
  <c r="B1550" i="10"/>
  <c r="H1551" i="10"/>
  <c r="G1551" i="10"/>
  <c r="F1551" i="10"/>
  <c r="E1551" i="10"/>
  <c r="D1551" i="10"/>
  <c r="C1551" i="10"/>
  <c r="B1551" i="10"/>
  <c r="H1552" i="10"/>
  <c r="G1552" i="10"/>
  <c r="F1552" i="10"/>
  <c r="E1552" i="10"/>
  <c r="D1552" i="10"/>
  <c r="C1552" i="10"/>
  <c r="B1552" i="10"/>
  <c r="H1553" i="10"/>
  <c r="G1553" i="10"/>
  <c r="F1553" i="10"/>
  <c r="E1553" i="10"/>
  <c r="D1553" i="10"/>
  <c r="C1553" i="10"/>
  <c r="B1553" i="10"/>
  <c r="H1554" i="10"/>
  <c r="G1554" i="10"/>
  <c r="F1554" i="10"/>
  <c r="E1554" i="10"/>
  <c r="D1554" i="10"/>
  <c r="C1554" i="10"/>
  <c r="B1554" i="10"/>
  <c r="H1555" i="10"/>
  <c r="G1555" i="10"/>
  <c r="F1555" i="10"/>
  <c r="E1555" i="10"/>
  <c r="D1555" i="10"/>
  <c r="C1555" i="10"/>
  <c r="B1555" i="10"/>
  <c r="H1556" i="10"/>
  <c r="G1556" i="10"/>
  <c r="F1556" i="10"/>
  <c r="E1556" i="10"/>
  <c r="D1556" i="10"/>
  <c r="C1556" i="10"/>
  <c r="B1556" i="10"/>
  <c r="H1557" i="10"/>
  <c r="G1557" i="10"/>
  <c r="F1557" i="10"/>
  <c r="E1557" i="10"/>
  <c r="D1557" i="10"/>
  <c r="C1557" i="10"/>
  <c r="B1557" i="10"/>
  <c r="H1558" i="10"/>
  <c r="G1558" i="10"/>
  <c r="F1558" i="10"/>
  <c r="E1558" i="10"/>
  <c r="D1558" i="10"/>
  <c r="C1558" i="10"/>
  <c r="B1558" i="10"/>
  <c r="H1559" i="10"/>
  <c r="G1559" i="10"/>
  <c r="F1559" i="10"/>
  <c r="E1559" i="10"/>
  <c r="D1559" i="10"/>
  <c r="C1559" i="10"/>
  <c r="B1559" i="10"/>
  <c r="H1560" i="10"/>
  <c r="G1560" i="10"/>
  <c r="F1560" i="10"/>
  <c r="E1560" i="10"/>
  <c r="D1560" i="10"/>
  <c r="C1560" i="10"/>
  <c r="B1560" i="10"/>
  <c r="H1561" i="10"/>
  <c r="G1561" i="10"/>
  <c r="F1561" i="10"/>
  <c r="E1561" i="10"/>
  <c r="D1561" i="10"/>
  <c r="C1561" i="10"/>
  <c r="B1561" i="10"/>
  <c r="H1562" i="10"/>
  <c r="G1562" i="10"/>
  <c r="F1562" i="10"/>
  <c r="E1562" i="10"/>
  <c r="D1562" i="10"/>
  <c r="C1562" i="10"/>
  <c r="B1562" i="10"/>
  <c r="H1563" i="10"/>
  <c r="G1563" i="10"/>
  <c r="F1563" i="10"/>
  <c r="E1563" i="10"/>
  <c r="D1563" i="10"/>
  <c r="C1563" i="10"/>
  <c r="B1563" i="10"/>
  <c r="H1564" i="10"/>
  <c r="G1564" i="10"/>
  <c r="F1564" i="10"/>
  <c r="E1564" i="10"/>
  <c r="D1564" i="10"/>
  <c r="C1564" i="10"/>
  <c r="B1564" i="10"/>
  <c r="H1565" i="10"/>
  <c r="G1565" i="10"/>
  <c r="F1565" i="10"/>
  <c r="E1565" i="10"/>
  <c r="D1565" i="10"/>
  <c r="C1565" i="10"/>
  <c r="B1565" i="10"/>
  <c r="H1566" i="10"/>
  <c r="G1566" i="10"/>
  <c r="F1566" i="10"/>
  <c r="E1566" i="10"/>
  <c r="D1566" i="10"/>
  <c r="C1566" i="10"/>
  <c r="B1566" i="10"/>
  <c r="H1567" i="10"/>
  <c r="G1567" i="10"/>
  <c r="F1567" i="10"/>
  <c r="E1567" i="10"/>
  <c r="D1567" i="10"/>
  <c r="C1567" i="10"/>
  <c r="B1567" i="10"/>
  <c r="H1568" i="10"/>
  <c r="G1568" i="10"/>
  <c r="F1568" i="10"/>
  <c r="E1568" i="10"/>
  <c r="D1568" i="10"/>
  <c r="C1568" i="10"/>
  <c r="B1568" i="10"/>
  <c r="H1569" i="10"/>
  <c r="G1569" i="10"/>
  <c r="F1569" i="10"/>
  <c r="E1569" i="10"/>
  <c r="D1569" i="10"/>
  <c r="C1569" i="10"/>
  <c r="B1569" i="10"/>
  <c r="H1570" i="10"/>
  <c r="G1570" i="10"/>
  <c r="F1570" i="10"/>
  <c r="E1570" i="10"/>
  <c r="D1570" i="10"/>
  <c r="C1570" i="10"/>
  <c r="B1570" i="10"/>
  <c r="H1571" i="10"/>
  <c r="G1571" i="10"/>
  <c r="F1571" i="10"/>
  <c r="E1571" i="10"/>
  <c r="D1571" i="10"/>
  <c r="C1571" i="10"/>
  <c r="B1571" i="10"/>
  <c r="H1572" i="10"/>
  <c r="G1572" i="10"/>
  <c r="F1572" i="10"/>
  <c r="E1572" i="10"/>
  <c r="D1572" i="10"/>
  <c r="C1572" i="10"/>
  <c r="B1572" i="10"/>
  <c r="H1573" i="10"/>
  <c r="G1573" i="10"/>
  <c r="F1573" i="10"/>
  <c r="E1573" i="10"/>
  <c r="D1573" i="10"/>
  <c r="C1573" i="10"/>
  <c r="B1573" i="10"/>
  <c r="H1574" i="10"/>
  <c r="G1574" i="10"/>
  <c r="F1574" i="10"/>
  <c r="E1574" i="10"/>
  <c r="D1574" i="10"/>
  <c r="C1574" i="10"/>
  <c r="B1574" i="10"/>
  <c r="H1575" i="10"/>
  <c r="G1575" i="10"/>
  <c r="F1575" i="10"/>
  <c r="E1575" i="10"/>
  <c r="D1575" i="10"/>
  <c r="C1575" i="10"/>
  <c r="B1575" i="10"/>
  <c r="H1576" i="10"/>
  <c r="G1576" i="10"/>
  <c r="F1576" i="10"/>
  <c r="E1576" i="10"/>
  <c r="D1576" i="10"/>
  <c r="C1576" i="10"/>
  <c r="B1576" i="10"/>
  <c r="H1577" i="10"/>
  <c r="G1577" i="10"/>
  <c r="F1577" i="10"/>
  <c r="E1577" i="10"/>
  <c r="D1577" i="10"/>
  <c r="C1577" i="10"/>
  <c r="B1577" i="10"/>
  <c r="H1578" i="10"/>
  <c r="G1578" i="10"/>
  <c r="F1578" i="10"/>
  <c r="E1578" i="10"/>
  <c r="D1578" i="10"/>
  <c r="C1578" i="10"/>
  <c r="B1578" i="10"/>
  <c r="H1579" i="10"/>
  <c r="G1579" i="10"/>
  <c r="F1579" i="10"/>
  <c r="E1579" i="10"/>
  <c r="D1579" i="10"/>
  <c r="C1579" i="10"/>
  <c r="B1579" i="10"/>
  <c r="H1580" i="10"/>
  <c r="G1580" i="10"/>
  <c r="F1580" i="10"/>
  <c r="E1580" i="10"/>
  <c r="D1580" i="10"/>
  <c r="C1580" i="10"/>
  <c r="B1580" i="10"/>
  <c r="H1581" i="10"/>
  <c r="G1581" i="10"/>
  <c r="F1581" i="10"/>
  <c r="E1581" i="10"/>
  <c r="D1581" i="10"/>
  <c r="C1581" i="10"/>
  <c r="B1581" i="10"/>
  <c r="H1582" i="10"/>
  <c r="G1582" i="10"/>
  <c r="F1582" i="10"/>
  <c r="E1582" i="10"/>
  <c r="D1582" i="10"/>
  <c r="C1582" i="10"/>
  <c r="B1582" i="10"/>
  <c r="H1583" i="10"/>
  <c r="G1583" i="10"/>
  <c r="F1583" i="10"/>
  <c r="E1583" i="10"/>
  <c r="D1583" i="10"/>
  <c r="C1583" i="10"/>
  <c r="B1583" i="10"/>
  <c r="H1584" i="10"/>
  <c r="G1584" i="10"/>
  <c r="F1584" i="10"/>
  <c r="E1584" i="10"/>
  <c r="D1584" i="10"/>
  <c r="C1584" i="10"/>
  <c r="B1584" i="10"/>
  <c r="H1585" i="10"/>
  <c r="G1585" i="10"/>
  <c r="F1585" i="10"/>
  <c r="E1585" i="10"/>
  <c r="D1585" i="10"/>
  <c r="C1585" i="10"/>
  <c r="B1585" i="10"/>
  <c r="H1586" i="10"/>
  <c r="G1586" i="10"/>
  <c r="F1586" i="10"/>
  <c r="E1586" i="10"/>
  <c r="D1586" i="10"/>
  <c r="C1586" i="10"/>
  <c r="B1586" i="10"/>
  <c r="H1587" i="10"/>
  <c r="G1587" i="10"/>
  <c r="F1587" i="10"/>
  <c r="E1587" i="10"/>
  <c r="D1587" i="10"/>
  <c r="C1587" i="10"/>
  <c r="B1587" i="10"/>
  <c r="H1588" i="10"/>
  <c r="G1588" i="10"/>
  <c r="F1588" i="10"/>
  <c r="E1588" i="10"/>
  <c r="D1588" i="10"/>
  <c r="C1588" i="10"/>
  <c r="B1588" i="10"/>
  <c r="H1589" i="10"/>
  <c r="G1589" i="10"/>
  <c r="F1589" i="10"/>
  <c r="E1589" i="10"/>
  <c r="D1589" i="10"/>
  <c r="C1589" i="10"/>
  <c r="B1589" i="10"/>
  <c r="H1590" i="10"/>
  <c r="G1590" i="10"/>
  <c r="F1590" i="10"/>
  <c r="E1590" i="10"/>
  <c r="D1590" i="10"/>
  <c r="C1590" i="10"/>
  <c r="B1590" i="10"/>
  <c r="H1591" i="10"/>
  <c r="G1591" i="10"/>
  <c r="F1591" i="10"/>
  <c r="E1591" i="10"/>
  <c r="D1591" i="10"/>
  <c r="C1591" i="10"/>
  <c r="B1591" i="10"/>
  <c r="H1592" i="10"/>
  <c r="G1592" i="10"/>
  <c r="F1592" i="10"/>
  <c r="E1592" i="10"/>
  <c r="D1592" i="10"/>
  <c r="C1592" i="10"/>
  <c r="B1592" i="10"/>
  <c r="H1593" i="10"/>
  <c r="G1593" i="10"/>
  <c r="F1593" i="10"/>
  <c r="E1593" i="10"/>
  <c r="D1593" i="10"/>
  <c r="C1593" i="10"/>
  <c r="B1593" i="10"/>
  <c r="H1594" i="10"/>
  <c r="G1594" i="10"/>
  <c r="F1594" i="10"/>
  <c r="E1594" i="10"/>
  <c r="D1594" i="10"/>
  <c r="C1594" i="10"/>
  <c r="B1594" i="10"/>
  <c r="H1595" i="10"/>
  <c r="G1595" i="10"/>
  <c r="F1595" i="10"/>
  <c r="E1595" i="10"/>
  <c r="D1595" i="10"/>
  <c r="C1595" i="10"/>
  <c r="B1595" i="10"/>
  <c r="H1596" i="10"/>
  <c r="G1596" i="10"/>
  <c r="F1596" i="10"/>
  <c r="E1596" i="10"/>
  <c r="D1596" i="10"/>
  <c r="C1596" i="10"/>
  <c r="B1596" i="10"/>
  <c r="H1597" i="10"/>
  <c r="G1597" i="10"/>
  <c r="F1597" i="10"/>
  <c r="E1597" i="10"/>
  <c r="D1597" i="10"/>
  <c r="C1597" i="10"/>
  <c r="B1597" i="10"/>
  <c r="H1598" i="10"/>
  <c r="G1598" i="10"/>
  <c r="F1598" i="10"/>
  <c r="E1598" i="10"/>
  <c r="D1598" i="10"/>
  <c r="C1598" i="10"/>
  <c r="B1598" i="10"/>
  <c r="H1599" i="10"/>
  <c r="G1599" i="10"/>
  <c r="F1599" i="10"/>
  <c r="E1599" i="10"/>
  <c r="D1599" i="10"/>
  <c r="C1599" i="10"/>
  <c r="B1599" i="10"/>
  <c r="H1600" i="10"/>
  <c r="G1600" i="10"/>
  <c r="F1600" i="10"/>
  <c r="E1600" i="10"/>
  <c r="D1600" i="10"/>
  <c r="C1600" i="10"/>
  <c r="B1600" i="10"/>
  <c r="H1601" i="10"/>
  <c r="G1601" i="10"/>
  <c r="F1601" i="10"/>
  <c r="E1601" i="10"/>
  <c r="D1601" i="10"/>
  <c r="C1601" i="10"/>
  <c r="B1601" i="10"/>
  <c r="H1602" i="10"/>
  <c r="G1602" i="10"/>
  <c r="F1602" i="10"/>
  <c r="E1602" i="10"/>
  <c r="D1602" i="10"/>
  <c r="C1602" i="10"/>
  <c r="B1602" i="10"/>
  <c r="H1603" i="10"/>
  <c r="G1603" i="10"/>
  <c r="F1603" i="10"/>
  <c r="E1603" i="10"/>
  <c r="D1603" i="10"/>
  <c r="C1603" i="10"/>
  <c r="B1603" i="10"/>
  <c r="H1604" i="10"/>
  <c r="G1604" i="10"/>
  <c r="F1604" i="10"/>
  <c r="E1604" i="10"/>
  <c r="D1604" i="10"/>
  <c r="C1604" i="10"/>
  <c r="B1604" i="10"/>
  <c r="H1605" i="10"/>
  <c r="G1605" i="10"/>
  <c r="F1605" i="10"/>
  <c r="E1605" i="10"/>
  <c r="D1605" i="10"/>
  <c r="C1605" i="10"/>
  <c r="B1605" i="10"/>
  <c r="H1606" i="10"/>
  <c r="G1606" i="10"/>
  <c r="F1606" i="10"/>
  <c r="E1606" i="10"/>
  <c r="D1606" i="10"/>
  <c r="C1606" i="10"/>
  <c r="B1606" i="10"/>
  <c r="H1607" i="10"/>
  <c r="G1607" i="10"/>
  <c r="F1607" i="10"/>
  <c r="E1607" i="10"/>
  <c r="D1607" i="10"/>
  <c r="C1607" i="10"/>
  <c r="B1607" i="10"/>
  <c r="H1608" i="10"/>
  <c r="G1608" i="10"/>
  <c r="F1608" i="10"/>
  <c r="E1608" i="10"/>
  <c r="D1608" i="10"/>
  <c r="C1608" i="10"/>
  <c r="B1608" i="10"/>
  <c r="H1609" i="10"/>
  <c r="G1609" i="10"/>
  <c r="F1609" i="10"/>
  <c r="E1609" i="10"/>
  <c r="D1609" i="10"/>
  <c r="C1609" i="10"/>
  <c r="B1609" i="10"/>
  <c r="H1610" i="10"/>
  <c r="G1610" i="10"/>
  <c r="F1610" i="10"/>
  <c r="E1610" i="10"/>
  <c r="D1610" i="10"/>
  <c r="C1610" i="10"/>
  <c r="B1610" i="10"/>
  <c r="H1611" i="10"/>
  <c r="G1611" i="10"/>
  <c r="F1611" i="10"/>
  <c r="E1611" i="10"/>
  <c r="D1611" i="10"/>
  <c r="C1611" i="10"/>
  <c r="B1611" i="10"/>
  <c r="H1612" i="10"/>
  <c r="G1612" i="10"/>
  <c r="F1612" i="10"/>
  <c r="E1612" i="10"/>
  <c r="D1612" i="10"/>
  <c r="C1612" i="10"/>
  <c r="B1612" i="10"/>
  <c r="H1613" i="10"/>
  <c r="G1613" i="10"/>
  <c r="F1613" i="10"/>
  <c r="E1613" i="10"/>
  <c r="D1613" i="10"/>
  <c r="C1613" i="10"/>
  <c r="B1613" i="10"/>
  <c r="H1614" i="10"/>
  <c r="G1614" i="10"/>
  <c r="F1614" i="10"/>
  <c r="E1614" i="10"/>
  <c r="D1614" i="10"/>
  <c r="C1614" i="10"/>
  <c r="B1614" i="10"/>
  <c r="H1615" i="10"/>
  <c r="G1615" i="10"/>
  <c r="F1615" i="10"/>
  <c r="E1615" i="10"/>
  <c r="D1615" i="10"/>
  <c r="C1615" i="10"/>
  <c r="B1615" i="10"/>
  <c r="H1616" i="10"/>
  <c r="G1616" i="10"/>
  <c r="F1616" i="10"/>
  <c r="E1616" i="10"/>
  <c r="D1616" i="10"/>
  <c r="C1616" i="10"/>
  <c r="B1616" i="10"/>
  <c r="H1617" i="10"/>
  <c r="G1617" i="10"/>
  <c r="F1617" i="10"/>
  <c r="E1617" i="10"/>
  <c r="D1617" i="10"/>
  <c r="C1617" i="10"/>
  <c r="B1617" i="10"/>
  <c r="H1618" i="10"/>
  <c r="G1618" i="10"/>
  <c r="F1618" i="10"/>
  <c r="E1618" i="10"/>
  <c r="D1618" i="10"/>
  <c r="C1618" i="10"/>
  <c r="B1618" i="10"/>
  <c r="H1619" i="10"/>
  <c r="G1619" i="10"/>
  <c r="F1619" i="10"/>
  <c r="E1619" i="10"/>
  <c r="D1619" i="10"/>
  <c r="C1619" i="10"/>
  <c r="B1619" i="10"/>
  <c r="H1620" i="10"/>
  <c r="G1620" i="10"/>
  <c r="F1620" i="10"/>
  <c r="E1620" i="10"/>
  <c r="D1620" i="10"/>
  <c r="C1620" i="10"/>
  <c r="B1620" i="10"/>
  <c r="H1621" i="10"/>
  <c r="G1621" i="10"/>
  <c r="F1621" i="10"/>
  <c r="E1621" i="10"/>
  <c r="D1621" i="10"/>
  <c r="C1621" i="10"/>
  <c r="B1621" i="10"/>
  <c r="H1622" i="10"/>
  <c r="G1622" i="10"/>
  <c r="F1622" i="10"/>
  <c r="E1622" i="10"/>
  <c r="D1622" i="10"/>
  <c r="C1622" i="10"/>
  <c r="B1622" i="10"/>
  <c r="H1623" i="10"/>
  <c r="G1623" i="10"/>
  <c r="F1623" i="10"/>
  <c r="E1623" i="10"/>
  <c r="D1623" i="10"/>
  <c r="C1623" i="10"/>
  <c r="B1623" i="10"/>
  <c r="H1624" i="10"/>
  <c r="G1624" i="10"/>
  <c r="F1624" i="10"/>
  <c r="E1624" i="10"/>
  <c r="D1624" i="10"/>
  <c r="C1624" i="10"/>
  <c r="B1624" i="10"/>
  <c r="H1625" i="10"/>
  <c r="G1625" i="10"/>
  <c r="F1625" i="10"/>
  <c r="E1625" i="10"/>
  <c r="D1625" i="10"/>
  <c r="C1625" i="10"/>
  <c r="B1625" i="10"/>
  <c r="H1626" i="10"/>
  <c r="G1626" i="10"/>
  <c r="F1626" i="10"/>
  <c r="E1626" i="10"/>
  <c r="D1626" i="10"/>
  <c r="C1626" i="10"/>
  <c r="B1626" i="10"/>
  <c r="H1627" i="10"/>
  <c r="G1627" i="10"/>
  <c r="F1627" i="10"/>
  <c r="E1627" i="10"/>
  <c r="D1627" i="10"/>
  <c r="C1627" i="10"/>
  <c r="B1627" i="10"/>
  <c r="H1628" i="10"/>
  <c r="G1628" i="10"/>
  <c r="F1628" i="10"/>
  <c r="E1628" i="10"/>
  <c r="D1628" i="10"/>
  <c r="C1628" i="10"/>
  <c r="B1628" i="10"/>
  <c r="H1629" i="10"/>
  <c r="G1629" i="10"/>
  <c r="F1629" i="10"/>
  <c r="E1629" i="10"/>
  <c r="D1629" i="10"/>
  <c r="C1629" i="10"/>
  <c r="B1629" i="10"/>
  <c r="H1630" i="10"/>
  <c r="G1630" i="10"/>
  <c r="F1630" i="10"/>
  <c r="E1630" i="10"/>
  <c r="D1630" i="10"/>
  <c r="C1630" i="10"/>
  <c r="B1630" i="10"/>
  <c r="H1631" i="10"/>
  <c r="G1631" i="10"/>
  <c r="F1631" i="10"/>
  <c r="E1631" i="10"/>
  <c r="D1631" i="10"/>
  <c r="C1631" i="10"/>
  <c r="B1631" i="10"/>
  <c r="H1632" i="10"/>
  <c r="G1632" i="10"/>
  <c r="F1632" i="10"/>
  <c r="E1632" i="10"/>
  <c r="D1632" i="10"/>
  <c r="C1632" i="10"/>
  <c r="B1632" i="10"/>
  <c r="H1633" i="10"/>
  <c r="G1633" i="10"/>
  <c r="F1633" i="10"/>
  <c r="E1633" i="10"/>
  <c r="D1633" i="10"/>
  <c r="C1633" i="10"/>
  <c r="B1633" i="10"/>
  <c r="H1634" i="10"/>
  <c r="G1634" i="10"/>
  <c r="F1634" i="10"/>
  <c r="E1634" i="10"/>
  <c r="D1634" i="10"/>
  <c r="C1634" i="10"/>
  <c r="B1634" i="10"/>
  <c r="H1635" i="10"/>
  <c r="G1635" i="10"/>
  <c r="F1635" i="10"/>
  <c r="E1635" i="10"/>
  <c r="D1635" i="10"/>
  <c r="C1635" i="10"/>
  <c r="B1635" i="10"/>
  <c r="H1636" i="10"/>
  <c r="G1636" i="10"/>
  <c r="F1636" i="10"/>
  <c r="E1636" i="10"/>
  <c r="D1636" i="10"/>
  <c r="C1636" i="10"/>
  <c r="B1636" i="10"/>
  <c r="H1637" i="10"/>
  <c r="G1637" i="10"/>
  <c r="F1637" i="10"/>
  <c r="E1637" i="10"/>
  <c r="D1637" i="10"/>
  <c r="C1637" i="10"/>
  <c r="B1637" i="10"/>
  <c r="H1638" i="10"/>
  <c r="G1638" i="10"/>
  <c r="F1638" i="10"/>
  <c r="E1638" i="10"/>
  <c r="D1638" i="10"/>
  <c r="C1638" i="10"/>
  <c r="B1638" i="10"/>
  <c r="H1639" i="10"/>
  <c r="G1639" i="10"/>
  <c r="F1639" i="10"/>
  <c r="E1639" i="10"/>
  <c r="D1639" i="10"/>
  <c r="C1639" i="10"/>
  <c r="B1639" i="10"/>
  <c r="H1640" i="10"/>
  <c r="G1640" i="10"/>
  <c r="F1640" i="10"/>
  <c r="E1640" i="10"/>
  <c r="D1640" i="10"/>
  <c r="C1640" i="10"/>
  <c r="B1640" i="10"/>
  <c r="H1641" i="10"/>
  <c r="G1641" i="10"/>
  <c r="F1641" i="10"/>
  <c r="E1641" i="10"/>
  <c r="D1641" i="10"/>
  <c r="C1641" i="10"/>
  <c r="B1641" i="10"/>
  <c r="H1642" i="10"/>
  <c r="G1642" i="10"/>
  <c r="F1642" i="10"/>
  <c r="E1642" i="10"/>
  <c r="D1642" i="10"/>
  <c r="C1642" i="10"/>
  <c r="B1642" i="10"/>
  <c r="H1643" i="10"/>
  <c r="G1643" i="10"/>
  <c r="F1643" i="10"/>
  <c r="E1643" i="10"/>
  <c r="D1643" i="10"/>
  <c r="C1643" i="10"/>
  <c r="B1643" i="10"/>
  <c r="H1644" i="10"/>
  <c r="G1644" i="10"/>
  <c r="F1644" i="10"/>
  <c r="E1644" i="10"/>
  <c r="D1644" i="10"/>
  <c r="C1644" i="10"/>
  <c r="B1644" i="10"/>
  <c r="H1645" i="10"/>
  <c r="G1645" i="10"/>
  <c r="F1645" i="10"/>
  <c r="E1645" i="10"/>
  <c r="D1645" i="10"/>
  <c r="C1645" i="10"/>
  <c r="B1645" i="10"/>
  <c r="H1646" i="10"/>
  <c r="G1646" i="10"/>
  <c r="F1646" i="10"/>
  <c r="E1646" i="10"/>
  <c r="D1646" i="10"/>
  <c r="C1646" i="10"/>
  <c r="B1646" i="10"/>
  <c r="H1647" i="10"/>
  <c r="G1647" i="10"/>
  <c r="F1647" i="10"/>
  <c r="E1647" i="10"/>
  <c r="D1647" i="10"/>
  <c r="C1647" i="10"/>
  <c r="B1647" i="10"/>
  <c r="H1648" i="10"/>
  <c r="G1648" i="10"/>
  <c r="F1648" i="10"/>
  <c r="E1648" i="10"/>
  <c r="D1648" i="10"/>
  <c r="C1648" i="10"/>
  <c r="B1648" i="10"/>
  <c r="H1649" i="10"/>
  <c r="G1649" i="10"/>
  <c r="F1649" i="10"/>
  <c r="E1649" i="10"/>
  <c r="D1649" i="10"/>
  <c r="C1649" i="10"/>
  <c r="B1649" i="10"/>
  <c r="H1650" i="10"/>
  <c r="G1650" i="10"/>
  <c r="F1650" i="10"/>
  <c r="E1650" i="10"/>
  <c r="D1650" i="10"/>
  <c r="C1650" i="10"/>
  <c r="B1650" i="10"/>
  <c r="H1651" i="10"/>
  <c r="G1651" i="10"/>
  <c r="F1651" i="10"/>
  <c r="E1651" i="10"/>
  <c r="D1651" i="10"/>
  <c r="C1651" i="10"/>
  <c r="B1651" i="10"/>
  <c r="H1652" i="10"/>
  <c r="G1652" i="10"/>
  <c r="F1652" i="10"/>
  <c r="E1652" i="10"/>
  <c r="D1652" i="10"/>
  <c r="C1652" i="10"/>
  <c r="B1652" i="10"/>
  <c r="H1653" i="10"/>
  <c r="G1653" i="10"/>
  <c r="F1653" i="10"/>
  <c r="E1653" i="10"/>
  <c r="D1653" i="10"/>
  <c r="C1653" i="10"/>
  <c r="B1653" i="10"/>
  <c r="H1654" i="10"/>
  <c r="G1654" i="10"/>
  <c r="F1654" i="10"/>
  <c r="E1654" i="10"/>
  <c r="D1654" i="10"/>
  <c r="C1654" i="10"/>
  <c r="B1654" i="10"/>
  <c r="H1655" i="10"/>
  <c r="G1655" i="10"/>
  <c r="F1655" i="10"/>
  <c r="E1655" i="10"/>
  <c r="D1655" i="10"/>
  <c r="C1655" i="10"/>
  <c r="B1655" i="10"/>
  <c r="H1656" i="10"/>
  <c r="G1656" i="10"/>
  <c r="F1656" i="10"/>
  <c r="E1656" i="10"/>
  <c r="D1656" i="10"/>
  <c r="C1656" i="10"/>
  <c r="B1656" i="10"/>
  <c r="H1657" i="10"/>
  <c r="G1657" i="10"/>
  <c r="F1657" i="10"/>
  <c r="E1657" i="10"/>
  <c r="D1657" i="10"/>
  <c r="C1657" i="10"/>
  <c r="B1657" i="10"/>
  <c r="H1658" i="10"/>
  <c r="G1658" i="10"/>
  <c r="F1658" i="10"/>
  <c r="E1658" i="10"/>
  <c r="D1658" i="10"/>
  <c r="C1658" i="10"/>
  <c r="B1658" i="10"/>
  <c r="H1659" i="10"/>
  <c r="G1659" i="10"/>
  <c r="F1659" i="10"/>
  <c r="E1659" i="10"/>
  <c r="D1659" i="10"/>
  <c r="C1659" i="10"/>
  <c r="B1659" i="10"/>
  <c r="H1660" i="10"/>
  <c r="G1660" i="10"/>
  <c r="F1660" i="10"/>
  <c r="E1660" i="10"/>
  <c r="D1660" i="10"/>
  <c r="C1660" i="10"/>
  <c r="B1660" i="10"/>
  <c r="H1661" i="10"/>
  <c r="G1661" i="10"/>
  <c r="F1661" i="10"/>
  <c r="E1661" i="10"/>
  <c r="D1661" i="10"/>
  <c r="C1661" i="10"/>
  <c r="B1661" i="10"/>
  <c r="H1662" i="10"/>
  <c r="G1662" i="10"/>
  <c r="F1662" i="10"/>
  <c r="E1662" i="10"/>
  <c r="D1662" i="10"/>
  <c r="C1662" i="10"/>
  <c r="B1662" i="10"/>
  <c r="H1663" i="10"/>
  <c r="G1663" i="10"/>
  <c r="F1663" i="10"/>
  <c r="E1663" i="10"/>
  <c r="D1663" i="10"/>
  <c r="C1663" i="10"/>
  <c r="B1663" i="10"/>
  <c r="H1664" i="10"/>
  <c r="G1664" i="10"/>
  <c r="F1664" i="10"/>
  <c r="E1664" i="10"/>
  <c r="D1664" i="10"/>
  <c r="C1664" i="10"/>
  <c r="B1664" i="10"/>
  <c r="H1665" i="10"/>
  <c r="G1665" i="10"/>
  <c r="F1665" i="10"/>
  <c r="E1665" i="10"/>
  <c r="D1665" i="10"/>
  <c r="C1665" i="10"/>
  <c r="B1665" i="10"/>
  <c r="H1666" i="10"/>
  <c r="G1666" i="10"/>
  <c r="F1666" i="10"/>
  <c r="E1666" i="10"/>
  <c r="D1666" i="10"/>
  <c r="C1666" i="10"/>
  <c r="B1666" i="10"/>
  <c r="H1667" i="10"/>
  <c r="G1667" i="10"/>
  <c r="F1667" i="10"/>
  <c r="E1667" i="10"/>
  <c r="D1667" i="10"/>
  <c r="C1667" i="10"/>
  <c r="B1667" i="10"/>
  <c r="H1668" i="10"/>
  <c r="G1668" i="10"/>
  <c r="F1668" i="10"/>
  <c r="E1668" i="10"/>
  <c r="D1668" i="10"/>
  <c r="C1668" i="10"/>
  <c r="B1668" i="10"/>
  <c r="H1669" i="10"/>
  <c r="G1669" i="10"/>
  <c r="F1669" i="10"/>
  <c r="E1669" i="10"/>
  <c r="D1669" i="10"/>
  <c r="C1669" i="10"/>
  <c r="B1669" i="10"/>
  <c r="H1670" i="10"/>
  <c r="G1670" i="10"/>
  <c r="F1670" i="10"/>
  <c r="E1670" i="10"/>
  <c r="D1670" i="10"/>
  <c r="C1670" i="10"/>
  <c r="B1670" i="10"/>
  <c r="H1671" i="10"/>
  <c r="G1671" i="10"/>
  <c r="F1671" i="10"/>
  <c r="E1671" i="10"/>
  <c r="D1671" i="10"/>
  <c r="C1671" i="10"/>
  <c r="B1671" i="10"/>
  <c r="H1672" i="10"/>
  <c r="G1672" i="10"/>
  <c r="F1672" i="10"/>
  <c r="E1672" i="10"/>
  <c r="D1672" i="10"/>
  <c r="C1672" i="10"/>
  <c r="B1672" i="10"/>
  <c r="H1673" i="10"/>
  <c r="G1673" i="10"/>
  <c r="F1673" i="10"/>
  <c r="E1673" i="10"/>
  <c r="D1673" i="10"/>
  <c r="C1673" i="10"/>
  <c r="B1673" i="10"/>
  <c r="H1674" i="10"/>
  <c r="G1674" i="10"/>
  <c r="F1674" i="10"/>
  <c r="E1674" i="10"/>
  <c r="D1674" i="10"/>
  <c r="C1674" i="10"/>
  <c r="B1674" i="10"/>
  <c r="H1675" i="10"/>
  <c r="G1675" i="10"/>
  <c r="F1675" i="10"/>
  <c r="E1675" i="10"/>
  <c r="D1675" i="10"/>
  <c r="C1675" i="10"/>
  <c r="B1675" i="10"/>
  <c r="H1676" i="10"/>
  <c r="G1676" i="10"/>
  <c r="F1676" i="10"/>
  <c r="E1676" i="10"/>
  <c r="D1676" i="10"/>
  <c r="C1676" i="10"/>
  <c r="B1676" i="10"/>
  <c r="H1677" i="10"/>
  <c r="G1677" i="10"/>
  <c r="F1677" i="10"/>
  <c r="E1677" i="10"/>
  <c r="D1677" i="10"/>
  <c r="C1677" i="10"/>
  <c r="B1677" i="10"/>
  <c r="H1678" i="10"/>
  <c r="G1678" i="10"/>
  <c r="F1678" i="10"/>
  <c r="E1678" i="10"/>
  <c r="D1678" i="10"/>
  <c r="C1678" i="10"/>
  <c r="B1678" i="10"/>
  <c r="H1679" i="10"/>
  <c r="G1679" i="10"/>
  <c r="F1679" i="10"/>
  <c r="E1679" i="10"/>
  <c r="D1679" i="10"/>
  <c r="C1679" i="10"/>
  <c r="B1679" i="10"/>
  <c r="H1680" i="10"/>
  <c r="G1680" i="10"/>
  <c r="F1680" i="10"/>
  <c r="E1680" i="10"/>
  <c r="D1680" i="10"/>
  <c r="C1680" i="10"/>
  <c r="B1680" i="10"/>
  <c r="H1681" i="10"/>
  <c r="G1681" i="10"/>
  <c r="F1681" i="10"/>
  <c r="E1681" i="10"/>
  <c r="D1681" i="10"/>
  <c r="C1681" i="10"/>
  <c r="B1681" i="10"/>
  <c r="H1682" i="10"/>
  <c r="G1682" i="10"/>
  <c r="F1682" i="10"/>
  <c r="E1682" i="10"/>
  <c r="D1682" i="10"/>
  <c r="C1682" i="10"/>
  <c r="B1682" i="10"/>
  <c r="H1683" i="10"/>
  <c r="G1683" i="10"/>
  <c r="F1683" i="10"/>
  <c r="E1683" i="10"/>
  <c r="D1683" i="10"/>
  <c r="C1683" i="10"/>
  <c r="B1683" i="10"/>
  <c r="H1684" i="10"/>
  <c r="G1684" i="10"/>
  <c r="F1684" i="10"/>
  <c r="E1684" i="10"/>
  <c r="D1684" i="10"/>
  <c r="C1684" i="10"/>
  <c r="B1684" i="10"/>
  <c r="H1685" i="10"/>
  <c r="G1685" i="10"/>
  <c r="F1685" i="10"/>
  <c r="E1685" i="10"/>
  <c r="D1685" i="10"/>
  <c r="C1685" i="10"/>
  <c r="B1685" i="10"/>
  <c r="H1686" i="10"/>
  <c r="G1686" i="10"/>
  <c r="F1686" i="10"/>
  <c r="E1686" i="10"/>
  <c r="D1686" i="10"/>
  <c r="C1686" i="10"/>
  <c r="B1686" i="10"/>
  <c r="H1687" i="10"/>
  <c r="G1687" i="10"/>
  <c r="F1687" i="10"/>
  <c r="E1687" i="10"/>
  <c r="D1687" i="10"/>
  <c r="C1687" i="10"/>
  <c r="B1687" i="10"/>
  <c r="H1688" i="10"/>
  <c r="G1688" i="10"/>
  <c r="F1688" i="10"/>
  <c r="E1688" i="10"/>
  <c r="D1688" i="10"/>
  <c r="C1688" i="10"/>
  <c r="B1688" i="10"/>
  <c r="H1689" i="10"/>
  <c r="G1689" i="10"/>
  <c r="F1689" i="10"/>
  <c r="E1689" i="10"/>
  <c r="D1689" i="10"/>
  <c r="C1689" i="10"/>
  <c r="B1689" i="10"/>
  <c r="H1690" i="10"/>
  <c r="G1690" i="10"/>
  <c r="F1690" i="10"/>
  <c r="E1690" i="10"/>
  <c r="D1690" i="10"/>
  <c r="C1690" i="10"/>
  <c r="B1690" i="10"/>
  <c r="H1691" i="10"/>
  <c r="G1691" i="10"/>
  <c r="F1691" i="10"/>
  <c r="E1691" i="10"/>
  <c r="D1691" i="10"/>
  <c r="C1691" i="10"/>
  <c r="B1691" i="10"/>
  <c r="H1692" i="10"/>
  <c r="G1692" i="10"/>
  <c r="F1692" i="10"/>
  <c r="E1692" i="10"/>
  <c r="D1692" i="10"/>
  <c r="C1692" i="10"/>
  <c r="B1692" i="10"/>
  <c r="H1693" i="10"/>
  <c r="G1693" i="10"/>
  <c r="F1693" i="10"/>
  <c r="E1693" i="10"/>
  <c r="D1693" i="10"/>
  <c r="C1693" i="10"/>
  <c r="B1693" i="10"/>
  <c r="H1694" i="10"/>
  <c r="G1694" i="10"/>
  <c r="F1694" i="10"/>
  <c r="E1694" i="10"/>
  <c r="D1694" i="10"/>
  <c r="C1694" i="10"/>
  <c r="B1694" i="10"/>
  <c r="H1695" i="10"/>
  <c r="G1695" i="10"/>
  <c r="F1695" i="10"/>
  <c r="E1695" i="10"/>
  <c r="D1695" i="10"/>
  <c r="C1695" i="10"/>
  <c r="B1695" i="10"/>
  <c r="H1696" i="10"/>
  <c r="G1696" i="10"/>
  <c r="F1696" i="10"/>
  <c r="E1696" i="10"/>
  <c r="D1696" i="10"/>
  <c r="C1696" i="10"/>
  <c r="B1696" i="10"/>
  <c r="H1697" i="10"/>
  <c r="G1697" i="10"/>
  <c r="F1697" i="10"/>
  <c r="E1697" i="10"/>
  <c r="D1697" i="10"/>
  <c r="C1697" i="10"/>
  <c r="B1697" i="10"/>
  <c r="H1698" i="10"/>
  <c r="G1698" i="10"/>
  <c r="F1698" i="10"/>
  <c r="E1698" i="10"/>
  <c r="D1698" i="10"/>
  <c r="C1698" i="10"/>
  <c r="B1698" i="10"/>
  <c r="H1699" i="10"/>
  <c r="G1699" i="10"/>
  <c r="F1699" i="10"/>
  <c r="E1699" i="10"/>
  <c r="D1699" i="10"/>
  <c r="C1699" i="10"/>
  <c r="B1699" i="10"/>
  <c r="H1700" i="10"/>
  <c r="G1700" i="10"/>
  <c r="F1700" i="10"/>
  <c r="E1700" i="10"/>
  <c r="D1700" i="10"/>
  <c r="C1700" i="10"/>
  <c r="B1700" i="10"/>
  <c r="H1701" i="10"/>
  <c r="G1701" i="10"/>
  <c r="F1701" i="10"/>
  <c r="E1701" i="10"/>
  <c r="D1701" i="10"/>
  <c r="C1701" i="10"/>
  <c r="B1701" i="10"/>
  <c r="H1702" i="10"/>
  <c r="G1702" i="10"/>
  <c r="F1702" i="10"/>
  <c r="E1702" i="10"/>
  <c r="D1702" i="10"/>
  <c r="C1702" i="10"/>
  <c r="B1702" i="10"/>
  <c r="H1703" i="10"/>
  <c r="G1703" i="10"/>
  <c r="F1703" i="10"/>
  <c r="E1703" i="10"/>
  <c r="D1703" i="10"/>
  <c r="C1703" i="10"/>
  <c r="B1703" i="10"/>
  <c r="H1704" i="10"/>
  <c r="G1704" i="10"/>
  <c r="F1704" i="10"/>
  <c r="E1704" i="10"/>
  <c r="D1704" i="10"/>
  <c r="C1704" i="10"/>
  <c r="B1704" i="10"/>
  <c r="H1705" i="10"/>
  <c r="G1705" i="10"/>
  <c r="F1705" i="10"/>
  <c r="E1705" i="10"/>
  <c r="D1705" i="10"/>
  <c r="C1705" i="10"/>
  <c r="B1705" i="10"/>
  <c r="H1706" i="10"/>
  <c r="G1706" i="10"/>
  <c r="F1706" i="10"/>
  <c r="E1706" i="10"/>
  <c r="D1706" i="10"/>
  <c r="C1706" i="10"/>
  <c r="B1706" i="10"/>
  <c r="H1707" i="10"/>
  <c r="G1707" i="10"/>
  <c r="F1707" i="10"/>
  <c r="E1707" i="10"/>
  <c r="D1707" i="10"/>
  <c r="C1707" i="10"/>
  <c r="B1707" i="10"/>
  <c r="H1708" i="10"/>
  <c r="G1708" i="10"/>
  <c r="F1708" i="10"/>
  <c r="E1708" i="10"/>
  <c r="D1708" i="10"/>
  <c r="C1708" i="10"/>
  <c r="B1708" i="10"/>
  <c r="H1709" i="10"/>
  <c r="G1709" i="10"/>
  <c r="F1709" i="10"/>
  <c r="E1709" i="10"/>
  <c r="D1709" i="10"/>
  <c r="C1709" i="10"/>
  <c r="B1709" i="10"/>
  <c r="H1710" i="10"/>
  <c r="G1710" i="10"/>
  <c r="F1710" i="10"/>
  <c r="E1710" i="10"/>
  <c r="D1710" i="10"/>
  <c r="C1710" i="10"/>
  <c r="B1710" i="10"/>
  <c r="H1711" i="10"/>
  <c r="G1711" i="10"/>
  <c r="F1711" i="10"/>
  <c r="E1711" i="10"/>
  <c r="D1711" i="10"/>
  <c r="C1711" i="10"/>
  <c r="B1711" i="10"/>
  <c r="H1712" i="10"/>
  <c r="G1712" i="10"/>
  <c r="F1712" i="10"/>
  <c r="E1712" i="10"/>
  <c r="D1712" i="10"/>
  <c r="C1712" i="10"/>
  <c r="B1712" i="10"/>
  <c r="H1713" i="10"/>
  <c r="G1713" i="10"/>
  <c r="F1713" i="10"/>
  <c r="E1713" i="10"/>
  <c r="D1713" i="10"/>
  <c r="C1713" i="10"/>
  <c r="B1713" i="10"/>
  <c r="H1714" i="10"/>
  <c r="G1714" i="10"/>
  <c r="F1714" i="10"/>
  <c r="E1714" i="10"/>
  <c r="D1714" i="10"/>
  <c r="C1714" i="10"/>
  <c r="B1714" i="10"/>
  <c r="H1715" i="10"/>
  <c r="G1715" i="10"/>
  <c r="F1715" i="10"/>
  <c r="E1715" i="10"/>
  <c r="D1715" i="10"/>
  <c r="C1715" i="10"/>
  <c r="B1715" i="10"/>
  <c r="H1716" i="10"/>
  <c r="G1716" i="10"/>
  <c r="F1716" i="10"/>
  <c r="E1716" i="10"/>
  <c r="D1716" i="10"/>
  <c r="C1716" i="10"/>
  <c r="B1716" i="10"/>
  <c r="H1717" i="10"/>
  <c r="G1717" i="10"/>
  <c r="F1717" i="10"/>
  <c r="E1717" i="10"/>
  <c r="D1717" i="10"/>
  <c r="C1717" i="10"/>
  <c r="B1717" i="10"/>
  <c r="H1718" i="10"/>
  <c r="G1718" i="10"/>
  <c r="F1718" i="10"/>
  <c r="E1718" i="10"/>
  <c r="D1718" i="10"/>
  <c r="C1718" i="10"/>
  <c r="B1718" i="10"/>
  <c r="H1719" i="10"/>
  <c r="G1719" i="10"/>
  <c r="F1719" i="10"/>
  <c r="E1719" i="10"/>
  <c r="D1719" i="10"/>
  <c r="C1719" i="10"/>
  <c r="B1719" i="10"/>
  <c r="H1720" i="10"/>
  <c r="G1720" i="10"/>
  <c r="F1720" i="10"/>
  <c r="E1720" i="10"/>
  <c r="D1720" i="10"/>
  <c r="C1720" i="10"/>
  <c r="B1720" i="10"/>
  <c r="H1721" i="10"/>
  <c r="G1721" i="10"/>
  <c r="F1721" i="10"/>
  <c r="E1721" i="10"/>
  <c r="D1721" i="10"/>
  <c r="C1721" i="10"/>
  <c r="B1721" i="10"/>
  <c r="H1722" i="10"/>
  <c r="G1722" i="10"/>
  <c r="F1722" i="10"/>
  <c r="E1722" i="10"/>
  <c r="D1722" i="10"/>
  <c r="C1722" i="10"/>
  <c r="B1722" i="10"/>
  <c r="H1723" i="10"/>
  <c r="G1723" i="10"/>
  <c r="F1723" i="10"/>
  <c r="E1723" i="10"/>
  <c r="D1723" i="10"/>
  <c r="C1723" i="10"/>
  <c r="B1723" i="10"/>
  <c r="H1724" i="10"/>
  <c r="G1724" i="10"/>
  <c r="F1724" i="10"/>
  <c r="E1724" i="10"/>
  <c r="D1724" i="10"/>
  <c r="C1724" i="10"/>
  <c r="B1724" i="10"/>
  <c r="H1725" i="10"/>
  <c r="G1725" i="10"/>
  <c r="F1725" i="10"/>
  <c r="E1725" i="10"/>
  <c r="D1725" i="10"/>
  <c r="C1725" i="10"/>
  <c r="B1725" i="10"/>
  <c r="H1726" i="10"/>
  <c r="G1726" i="10"/>
  <c r="F1726" i="10"/>
  <c r="E1726" i="10"/>
  <c r="D1726" i="10"/>
  <c r="C1726" i="10"/>
  <c r="B1726" i="10"/>
  <c r="H1727" i="10"/>
  <c r="G1727" i="10"/>
  <c r="F1727" i="10"/>
  <c r="E1727" i="10"/>
  <c r="D1727" i="10"/>
  <c r="C1727" i="10"/>
  <c r="B1727" i="10"/>
  <c r="H1728" i="10"/>
  <c r="G1728" i="10"/>
  <c r="F1728" i="10"/>
  <c r="E1728" i="10"/>
  <c r="D1728" i="10"/>
  <c r="C1728" i="10"/>
  <c r="B1728" i="10"/>
  <c r="H1729" i="10"/>
  <c r="G1729" i="10"/>
  <c r="F1729" i="10"/>
  <c r="E1729" i="10"/>
  <c r="D1729" i="10"/>
  <c r="C1729" i="10"/>
  <c r="B1729" i="10"/>
  <c r="H1730" i="10"/>
  <c r="G1730" i="10"/>
  <c r="F1730" i="10"/>
  <c r="E1730" i="10"/>
  <c r="D1730" i="10"/>
  <c r="C1730" i="10"/>
  <c r="B1730" i="10"/>
  <c r="H1731" i="10"/>
  <c r="G1731" i="10"/>
  <c r="F1731" i="10"/>
  <c r="E1731" i="10"/>
  <c r="D1731" i="10"/>
  <c r="C1731" i="10"/>
  <c r="B1731" i="10"/>
  <c r="H1732" i="10"/>
  <c r="G1732" i="10"/>
  <c r="F1732" i="10"/>
  <c r="E1732" i="10"/>
  <c r="D1732" i="10"/>
  <c r="C1732" i="10"/>
  <c r="B1732" i="10"/>
  <c r="H1733" i="10"/>
  <c r="G1733" i="10"/>
  <c r="F1733" i="10"/>
  <c r="E1733" i="10"/>
  <c r="D1733" i="10"/>
  <c r="C1733" i="10"/>
  <c r="B1733" i="10"/>
  <c r="H1734" i="10"/>
  <c r="G1734" i="10"/>
  <c r="F1734" i="10"/>
  <c r="E1734" i="10"/>
  <c r="D1734" i="10"/>
  <c r="C1734" i="10"/>
  <c r="B1734" i="10"/>
  <c r="H1735" i="10"/>
  <c r="G1735" i="10"/>
  <c r="F1735" i="10"/>
  <c r="E1735" i="10"/>
  <c r="D1735" i="10"/>
  <c r="C1735" i="10"/>
  <c r="B1735" i="10"/>
  <c r="H1736" i="10"/>
  <c r="G1736" i="10"/>
  <c r="F1736" i="10"/>
  <c r="E1736" i="10"/>
  <c r="D1736" i="10"/>
  <c r="C1736" i="10"/>
  <c r="B1736" i="10"/>
  <c r="H1737" i="10"/>
  <c r="G1737" i="10"/>
  <c r="F1737" i="10"/>
  <c r="E1737" i="10"/>
  <c r="D1737" i="10"/>
  <c r="C1737" i="10"/>
  <c r="B1737" i="10"/>
  <c r="H1738" i="10"/>
  <c r="G1738" i="10"/>
  <c r="F1738" i="10"/>
  <c r="E1738" i="10"/>
  <c r="D1738" i="10"/>
  <c r="C1738" i="10"/>
  <c r="B1738" i="10"/>
  <c r="H1739" i="10"/>
  <c r="G1739" i="10"/>
  <c r="F1739" i="10"/>
  <c r="E1739" i="10"/>
  <c r="D1739" i="10"/>
  <c r="C1739" i="10"/>
  <c r="B1739" i="10"/>
  <c r="H1740" i="10"/>
  <c r="G1740" i="10"/>
  <c r="F1740" i="10"/>
  <c r="E1740" i="10"/>
  <c r="D1740" i="10"/>
  <c r="C1740" i="10"/>
  <c r="B1740" i="10"/>
  <c r="H1741" i="10"/>
  <c r="G1741" i="10"/>
  <c r="F1741" i="10"/>
  <c r="E1741" i="10"/>
  <c r="D1741" i="10"/>
  <c r="C1741" i="10"/>
  <c r="B1741" i="10"/>
  <c r="H1742" i="10"/>
  <c r="G1742" i="10"/>
  <c r="F1742" i="10"/>
  <c r="E1742" i="10"/>
  <c r="D1742" i="10"/>
  <c r="C1742" i="10"/>
  <c r="B1742" i="10"/>
  <c r="H1743" i="10"/>
  <c r="G1743" i="10"/>
  <c r="F1743" i="10"/>
  <c r="E1743" i="10"/>
  <c r="D1743" i="10"/>
  <c r="C1743" i="10"/>
  <c r="B1743" i="10"/>
  <c r="H1744" i="10"/>
  <c r="G1744" i="10"/>
  <c r="F1744" i="10"/>
  <c r="E1744" i="10"/>
  <c r="D1744" i="10"/>
  <c r="C1744" i="10"/>
  <c r="B1744" i="10"/>
  <c r="H1745" i="10"/>
  <c r="G1745" i="10"/>
  <c r="F1745" i="10"/>
  <c r="E1745" i="10"/>
  <c r="D1745" i="10"/>
  <c r="C1745" i="10"/>
  <c r="B1745" i="10"/>
  <c r="H1746" i="10"/>
  <c r="G1746" i="10"/>
  <c r="F1746" i="10"/>
  <c r="E1746" i="10"/>
  <c r="D1746" i="10"/>
  <c r="C1746" i="10"/>
  <c r="B1746" i="10"/>
  <c r="H1747" i="10"/>
  <c r="G1747" i="10"/>
  <c r="F1747" i="10"/>
  <c r="E1747" i="10"/>
  <c r="D1747" i="10"/>
  <c r="C1747" i="10"/>
  <c r="B1747" i="10"/>
  <c r="H1748" i="10"/>
  <c r="G1748" i="10"/>
  <c r="F1748" i="10"/>
  <c r="E1748" i="10"/>
  <c r="D1748" i="10"/>
  <c r="C1748" i="10"/>
  <c r="B1748" i="10"/>
  <c r="H1749" i="10"/>
  <c r="G1749" i="10"/>
  <c r="F1749" i="10"/>
  <c r="E1749" i="10"/>
  <c r="D1749" i="10"/>
  <c r="C1749" i="10"/>
  <c r="B1749" i="10"/>
  <c r="H1750" i="10"/>
  <c r="G1750" i="10"/>
  <c r="F1750" i="10"/>
  <c r="E1750" i="10"/>
  <c r="D1750" i="10"/>
  <c r="C1750" i="10"/>
  <c r="B1750" i="10"/>
  <c r="H1751" i="10"/>
  <c r="G1751" i="10"/>
  <c r="F1751" i="10"/>
  <c r="E1751" i="10"/>
  <c r="D1751" i="10"/>
  <c r="C1751" i="10"/>
  <c r="B1751" i="10"/>
  <c r="H1752" i="10"/>
  <c r="G1752" i="10"/>
  <c r="F1752" i="10"/>
  <c r="E1752" i="10"/>
  <c r="D1752" i="10"/>
  <c r="C1752" i="10"/>
  <c r="B1752" i="10"/>
  <c r="H1753" i="10"/>
  <c r="G1753" i="10"/>
  <c r="F1753" i="10"/>
  <c r="E1753" i="10"/>
  <c r="D1753" i="10"/>
  <c r="C1753" i="10"/>
  <c r="B1753" i="10"/>
  <c r="H1754" i="10"/>
  <c r="G1754" i="10"/>
  <c r="F1754" i="10"/>
  <c r="E1754" i="10"/>
  <c r="D1754" i="10"/>
  <c r="C1754" i="10"/>
  <c r="B1754" i="10"/>
  <c r="H1755" i="10"/>
  <c r="G1755" i="10"/>
  <c r="F1755" i="10"/>
  <c r="E1755" i="10"/>
  <c r="D1755" i="10"/>
  <c r="C1755" i="10"/>
  <c r="B1755" i="10"/>
  <c r="H1756" i="10"/>
  <c r="G1756" i="10"/>
  <c r="F1756" i="10"/>
  <c r="E1756" i="10"/>
  <c r="D1756" i="10"/>
  <c r="C1756" i="10"/>
  <c r="B1756" i="10"/>
  <c r="H1757" i="10"/>
  <c r="G1757" i="10"/>
  <c r="F1757" i="10"/>
  <c r="E1757" i="10"/>
  <c r="D1757" i="10"/>
  <c r="C1757" i="10"/>
  <c r="B1757" i="10"/>
  <c r="H1758" i="10"/>
  <c r="G1758" i="10"/>
  <c r="F1758" i="10"/>
  <c r="E1758" i="10"/>
  <c r="D1758" i="10"/>
  <c r="C1758" i="10"/>
  <c r="B1758" i="10"/>
  <c r="H1759" i="10"/>
  <c r="G1759" i="10"/>
  <c r="F1759" i="10"/>
  <c r="E1759" i="10"/>
  <c r="D1759" i="10"/>
  <c r="C1759" i="10"/>
  <c r="B1759" i="10"/>
  <c r="H1760" i="10"/>
  <c r="G1760" i="10"/>
  <c r="F1760" i="10"/>
  <c r="E1760" i="10"/>
  <c r="D1760" i="10"/>
  <c r="C1760" i="10"/>
  <c r="B1760" i="10"/>
  <c r="H1761" i="10"/>
  <c r="G1761" i="10"/>
  <c r="F1761" i="10"/>
  <c r="E1761" i="10"/>
  <c r="D1761" i="10"/>
  <c r="C1761" i="10"/>
  <c r="B1761" i="10"/>
  <c r="H1762" i="10"/>
  <c r="G1762" i="10"/>
  <c r="F1762" i="10"/>
  <c r="E1762" i="10"/>
  <c r="D1762" i="10"/>
  <c r="C1762" i="10"/>
  <c r="B1762" i="10"/>
  <c r="H1763" i="10"/>
  <c r="G1763" i="10"/>
  <c r="F1763" i="10"/>
  <c r="E1763" i="10"/>
  <c r="D1763" i="10"/>
  <c r="C1763" i="10"/>
  <c r="B1763" i="10"/>
  <c r="H1764" i="10"/>
  <c r="G1764" i="10"/>
  <c r="F1764" i="10"/>
  <c r="E1764" i="10"/>
  <c r="D1764" i="10"/>
  <c r="C1764" i="10"/>
  <c r="B1764" i="10"/>
  <c r="H1765" i="10"/>
  <c r="G1765" i="10"/>
  <c r="F1765" i="10"/>
  <c r="E1765" i="10"/>
  <c r="D1765" i="10"/>
  <c r="C1765" i="10"/>
  <c r="B1765" i="10"/>
  <c r="H1766" i="10"/>
  <c r="G1766" i="10"/>
  <c r="F1766" i="10"/>
  <c r="E1766" i="10"/>
  <c r="D1766" i="10"/>
  <c r="C1766" i="10"/>
  <c r="B1766" i="10"/>
  <c r="H1767" i="10"/>
  <c r="G1767" i="10"/>
  <c r="F1767" i="10"/>
  <c r="E1767" i="10"/>
  <c r="D1767" i="10"/>
  <c r="C1767" i="10"/>
  <c r="B1767" i="10"/>
  <c r="H1768" i="10"/>
  <c r="G1768" i="10"/>
  <c r="F1768" i="10"/>
  <c r="E1768" i="10"/>
  <c r="D1768" i="10"/>
  <c r="C1768" i="10"/>
  <c r="B1768" i="10"/>
  <c r="H1769" i="10"/>
  <c r="G1769" i="10"/>
  <c r="F1769" i="10"/>
  <c r="E1769" i="10"/>
  <c r="D1769" i="10"/>
  <c r="C1769" i="10"/>
  <c r="B1769" i="10"/>
  <c r="H1770" i="10"/>
  <c r="G1770" i="10"/>
  <c r="F1770" i="10"/>
  <c r="E1770" i="10"/>
  <c r="D1770" i="10"/>
  <c r="C1770" i="10"/>
  <c r="B1770" i="10"/>
  <c r="H1771" i="10"/>
  <c r="G1771" i="10"/>
  <c r="F1771" i="10"/>
  <c r="E1771" i="10"/>
  <c r="D1771" i="10"/>
  <c r="C1771" i="10"/>
  <c r="B1771" i="10"/>
  <c r="H1772" i="10"/>
  <c r="G1772" i="10"/>
  <c r="F1772" i="10"/>
  <c r="E1772" i="10"/>
  <c r="D1772" i="10"/>
  <c r="C1772" i="10"/>
  <c r="B1772" i="10"/>
  <c r="H1773" i="10"/>
  <c r="G1773" i="10"/>
  <c r="F1773" i="10"/>
  <c r="E1773" i="10"/>
  <c r="D1773" i="10"/>
  <c r="C1773" i="10"/>
  <c r="B1773" i="10"/>
  <c r="H1774" i="10"/>
  <c r="G1774" i="10"/>
  <c r="F1774" i="10"/>
  <c r="E1774" i="10"/>
  <c r="D1774" i="10"/>
  <c r="C1774" i="10"/>
  <c r="B1774" i="10"/>
  <c r="H1775" i="10"/>
  <c r="G1775" i="10"/>
  <c r="F1775" i="10"/>
  <c r="E1775" i="10"/>
  <c r="D1775" i="10"/>
  <c r="C1775" i="10"/>
  <c r="B1775" i="10"/>
  <c r="H1776" i="10"/>
  <c r="G1776" i="10"/>
  <c r="F1776" i="10"/>
  <c r="E1776" i="10"/>
  <c r="D1776" i="10"/>
  <c r="C1776" i="10"/>
  <c r="B1776" i="10"/>
  <c r="H1777" i="10"/>
  <c r="G1777" i="10"/>
  <c r="F1777" i="10"/>
  <c r="E1777" i="10"/>
  <c r="D1777" i="10"/>
  <c r="C1777" i="10"/>
  <c r="B1777" i="10"/>
  <c r="H1778" i="10"/>
  <c r="G1778" i="10"/>
  <c r="F1778" i="10"/>
  <c r="E1778" i="10"/>
  <c r="D1778" i="10"/>
  <c r="C1778" i="10"/>
  <c r="B1778" i="10"/>
  <c r="H1779" i="10"/>
  <c r="G1779" i="10"/>
  <c r="F1779" i="10"/>
  <c r="E1779" i="10"/>
  <c r="D1779" i="10"/>
  <c r="C1779" i="10"/>
  <c r="B1779" i="10"/>
  <c r="H1780" i="10"/>
  <c r="G1780" i="10"/>
  <c r="F1780" i="10"/>
  <c r="E1780" i="10"/>
  <c r="D1780" i="10"/>
  <c r="C1780" i="10"/>
  <c r="B1780" i="10"/>
  <c r="H1781" i="10"/>
  <c r="G1781" i="10"/>
  <c r="F1781" i="10"/>
  <c r="E1781" i="10"/>
  <c r="D1781" i="10"/>
  <c r="C1781" i="10"/>
  <c r="B1781" i="10"/>
  <c r="H1782" i="10"/>
  <c r="G1782" i="10"/>
  <c r="F1782" i="10"/>
  <c r="E1782" i="10"/>
  <c r="D1782" i="10"/>
  <c r="C1782" i="10"/>
  <c r="B1782" i="10"/>
  <c r="H1783" i="10"/>
  <c r="G1783" i="10"/>
  <c r="F1783" i="10"/>
  <c r="E1783" i="10"/>
  <c r="D1783" i="10"/>
  <c r="C1783" i="10"/>
  <c r="B1783" i="10"/>
  <c r="H1784" i="10"/>
  <c r="G1784" i="10"/>
  <c r="F1784" i="10"/>
  <c r="E1784" i="10"/>
  <c r="D1784" i="10"/>
  <c r="C1784" i="10"/>
  <c r="B1784" i="10"/>
  <c r="H1785" i="10"/>
  <c r="G1785" i="10"/>
  <c r="F1785" i="10"/>
  <c r="E1785" i="10"/>
  <c r="D1785" i="10"/>
  <c r="C1785" i="10"/>
  <c r="B1785" i="10"/>
  <c r="H1786" i="10"/>
  <c r="G1786" i="10"/>
  <c r="F1786" i="10"/>
  <c r="E1786" i="10"/>
  <c r="D1786" i="10"/>
  <c r="C1786" i="10"/>
  <c r="B1786" i="10"/>
  <c r="H1787" i="10"/>
  <c r="G1787" i="10"/>
  <c r="F1787" i="10"/>
  <c r="E1787" i="10"/>
  <c r="D1787" i="10"/>
  <c r="C1787" i="10"/>
  <c r="B1787" i="10"/>
  <c r="H1788" i="10"/>
  <c r="G1788" i="10"/>
  <c r="F1788" i="10"/>
  <c r="E1788" i="10"/>
  <c r="D1788" i="10"/>
  <c r="C1788" i="10"/>
  <c r="B1788" i="10"/>
  <c r="H1789" i="10"/>
  <c r="G1789" i="10"/>
  <c r="F1789" i="10"/>
  <c r="E1789" i="10"/>
  <c r="D1789" i="10"/>
  <c r="C1789" i="10"/>
  <c r="B1789" i="10"/>
  <c r="H1790" i="10"/>
  <c r="G1790" i="10"/>
  <c r="F1790" i="10"/>
  <c r="E1790" i="10"/>
  <c r="D1790" i="10"/>
  <c r="C1790" i="10"/>
  <c r="B1790" i="10"/>
  <c r="H1791" i="10"/>
  <c r="G1791" i="10"/>
  <c r="F1791" i="10"/>
  <c r="E1791" i="10"/>
  <c r="D1791" i="10"/>
  <c r="C1791" i="10"/>
  <c r="B1791" i="10"/>
  <c r="H1792" i="10"/>
  <c r="G1792" i="10"/>
  <c r="F1792" i="10"/>
  <c r="E1792" i="10"/>
  <c r="D1792" i="10"/>
  <c r="C1792" i="10"/>
  <c r="B1792" i="10"/>
  <c r="H1793" i="10"/>
  <c r="G1793" i="10"/>
  <c r="F1793" i="10"/>
  <c r="E1793" i="10"/>
  <c r="D1793" i="10"/>
  <c r="C1793" i="10"/>
  <c r="B1793" i="10"/>
  <c r="H1794" i="10"/>
  <c r="G1794" i="10"/>
  <c r="F1794" i="10"/>
  <c r="E1794" i="10"/>
  <c r="D1794" i="10"/>
  <c r="C1794" i="10"/>
  <c r="B1794" i="10"/>
  <c r="H1795" i="10"/>
  <c r="G1795" i="10"/>
  <c r="F1795" i="10"/>
  <c r="E1795" i="10"/>
  <c r="D1795" i="10"/>
  <c r="C1795" i="10"/>
  <c r="B1795" i="10"/>
  <c r="H1796" i="10"/>
  <c r="G1796" i="10"/>
  <c r="F1796" i="10"/>
  <c r="E1796" i="10"/>
  <c r="D1796" i="10"/>
  <c r="C1796" i="10"/>
  <c r="B1796" i="10"/>
  <c r="H1797" i="10"/>
  <c r="G1797" i="10"/>
  <c r="F1797" i="10"/>
  <c r="E1797" i="10"/>
  <c r="D1797" i="10"/>
  <c r="C1797" i="10"/>
  <c r="B1797" i="10"/>
  <c r="H1798" i="10"/>
  <c r="G1798" i="10"/>
  <c r="F1798" i="10"/>
  <c r="E1798" i="10"/>
  <c r="D1798" i="10"/>
  <c r="C1798" i="10"/>
  <c r="B1798" i="10"/>
  <c r="H1799" i="10"/>
  <c r="G1799" i="10"/>
  <c r="F1799" i="10"/>
  <c r="E1799" i="10"/>
  <c r="D1799" i="10"/>
  <c r="C1799" i="10"/>
  <c r="B1799" i="10"/>
  <c r="H1800" i="10"/>
  <c r="G1800" i="10"/>
  <c r="F1800" i="10"/>
  <c r="E1800" i="10"/>
  <c r="D1800" i="10"/>
  <c r="C1800" i="10"/>
  <c r="B1800" i="10"/>
  <c r="H1801" i="10"/>
  <c r="G1801" i="10"/>
  <c r="F1801" i="10"/>
  <c r="E1801" i="10"/>
  <c r="D1801" i="10"/>
  <c r="C1801" i="10"/>
  <c r="B1801" i="10"/>
  <c r="H1802" i="10"/>
  <c r="G1802" i="10"/>
  <c r="F1802" i="10"/>
  <c r="E1802" i="10"/>
  <c r="D1802" i="10"/>
  <c r="C1802" i="10"/>
  <c r="B1802" i="10"/>
  <c r="H1803" i="10"/>
  <c r="G1803" i="10"/>
  <c r="F1803" i="10"/>
  <c r="E1803" i="10"/>
  <c r="D1803" i="10"/>
  <c r="C1803" i="10"/>
  <c r="B1803" i="10"/>
  <c r="H1804" i="10"/>
  <c r="G1804" i="10"/>
  <c r="F1804" i="10"/>
  <c r="E1804" i="10"/>
  <c r="D1804" i="10"/>
  <c r="C1804" i="10"/>
  <c r="B1804" i="10"/>
  <c r="H1805" i="10"/>
  <c r="G1805" i="10"/>
  <c r="F1805" i="10"/>
  <c r="E1805" i="10"/>
  <c r="D1805" i="10"/>
  <c r="C1805" i="10"/>
  <c r="B1805" i="10"/>
  <c r="H1806" i="10"/>
  <c r="G1806" i="10"/>
  <c r="F1806" i="10"/>
  <c r="E1806" i="10"/>
  <c r="D1806" i="10"/>
  <c r="C1806" i="10"/>
  <c r="B1806" i="10"/>
  <c r="H1807" i="10"/>
  <c r="G1807" i="10"/>
  <c r="F1807" i="10"/>
  <c r="E1807" i="10"/>
  <c r="D1807" i="10"/>
  <c r="C1807" i="10"/>
  <c r="B1807" i="10"/>
  <c r="H1808" i="10"/>
  <c r="G1808" i="10"/>
  <c r="F1808" i="10"/>
  <c r="E1808" i="10"/>
  <c r="D1808" i="10"/>
  <c r="C1808" i="10"/>
  <c r="B1808" i="10"/>
  <c r="H1809" i="10"/>
  <c r="G1809" i="10"/>
  <c r="F1809" i="10"/>
  <c r="E1809" i="10"/>
  <c r="D1809" i="10"/>
  <c r="C1809" i="10"/>
  <c r="B1809" i="10"/>
  <c r="H1810" i="10"/>
  <c r="G1810" i="10"/>
  <c r="F1810" i="10"/>
  <c r="E1810" i="10"/>
  <c r="D1810" i="10"/>
  <c r="C1810" i="10"/>
  <c r="B1810" i="10"/>
  <c r="H1811" i="10"/>
  <c r="G1811" i="10"/>
  <c r="F1811" i="10"/>
  <c r="E1811" i="10"/>
  <c r="D1811" i="10"/>
  <c r="C1811" i="10"/>
  <c r="B1811" i="10"/>
  <c r="H1812" i="10"/>
  <c r="G1812" i="10"/>
  <c r="F1812" i="10"/>
  <c r="E1812" i="10"/>
  <c r="D1812" i="10"/>
  <c r="C1812" i="10"/>
  <c r="B1812" i="10"/>
  <c r="H1813" i="10"/>
  <c r="G1813" i="10"/>
  <c r="F1813" i="10"/>
  <c r="E1813" i="10"/>
  <c r="D1813" i="10"/>
  <c r="C1813" i="10"/>
  <c r="B1813" i="10"/>
  <c r="H1814" i="10"/>
  <c r="G1814" i="10"/>
  <c r="F1814" i="10"/>
  <c r="E1814" i="10"/>
  <c r="D1814" i="10"/>
  <c r="C1814" i="10"/>
  <c r="B1814" i="10"/>
  <c r="H1815" i="10"/>
  <c r="G1815" i="10"/>
  <c r="F1815" i="10"/>
  <c r="E1815" i="10"/>
  <c r="D1815" i="10"/>
  <c r="C1815" i="10"/>
  <c r="B1815" i="10"/>
  <c r="H1816" i="10"/>
  <c r="G1816" i="10"/>
  <c r="F1816" i="10"/>
  <c r="E1816" i="10"/>
  <c r="D1816" i="10"/>
  <c r="C1816" i="10"/>
  <c r="B1816" i="10"/>
  <c r="H1817" i="10"/>
  <c r="G1817" i="10"/>
  <c r="F1817" i="10"/>
  <c r="E1817" i="10"/>
  <c r="D1817" i="10"/>
  <c r="C1817" i="10"/>
  <c r="B1817" i="10"/>
  <c r="H1818" i="10"/>
  <c r="G1818" i="10"/>
  <c r="F1818" i="10"/>
  <c r="E1818" i="10"/>
  <c r="D1818" i="10"/>
  <c r="C1818" i="10"/>
  <c r="B1818" i="10"/>
  <c r="H1819" i="10"/>
  <c r="G1819" i="10"/>
  <c r="F1819" i="10"/>
  <c r="E1819" i="10"/>
  <c r="D1819" i="10"/>
  <c r="C1819" i="10"/>
  <c r="B1819" i="10"/>
  <c r="H1820" i="10"/>
  <c r="G1820" i="10"/>
  <c r="F1820" i="10"/>
  <c r="E1820" i="10"/>
  <c r="D1820" i="10"/>
  <c r="C1820" i="10"/>
  <c r="B1820" i="10"/>
  <c r="H1821" i="10"/>
  <c r="G1821" i="10"/>
  <c r="F1821" i="10"/>
  <c r="E1821" i="10"/>
  <c r="D1821" i="10"/>
  <c r="C1821" i="10"/>
  <c r="B1821" i="10"/>
  <c r="H1822" i="10"/>
  <c r="G1822" i="10"/>
  <c r="F1822" i="10"/>
  <c r="E1822" i="10"/>
  <c r="D1822" i="10"/>
  <c r="C1822" i="10"/>
  <c r="B1822" i="10"/>
  <c r="H1823" i="10"/>
  <c r="G1823" i="10"/>
  <c r="F1823" i="10"/>
  <c r="E1823" i="10"/>
  <c r="D1823" i="10"/>
  <c r="C1823" i="10"/>
  <c r="B1823" i="10"/>
  <c r="H1824" i="10"/>
  <c r="G1824" i="10"/>
  <c r="F1824" i="10"/>
  <c r="E1824" i="10"/>
  <c r="D1824" i="10"/>
  <c r="C1824" i="10"/>
  <c r="B1824" i="10"/>
  <c r="H1825" i="10"/>
  <c r="G1825" i="10"/>
  <c r="F1825" i="10"/>
  <c r="E1825" i="10"/>
  <c r="D1825" i="10"/>
  <c r="C1825" i="10"/>
  <c r="B1825" i="10"/>
  <c r="H1826" i="10"/>
  <c r="G1826" i="10"/>
  <c r="F1826" i="10"/>
  <c r="E1826" i="10"/>
  <c r="D1826" i="10"/>
  <c r="C1826" i="10"/>
  <c r="B1826" i="10"/>
  <c r="H1827" i="10"/>
  <c r="G1827" i="10"/>
  <c r="F1827" i="10"/>
  <c r="E1827" i="10"/>
  <c r="D1827" i="10"/>
  <c r="C1827" i="10"/>
  <c r="B1827" i="10"/>
  <c r="H1828" i="10"/>
  <c r="G1828" i="10"/>
  <c r="F1828" i="10"/>
  <c r="E1828" i="10"/>
  <c r="D1828" i="10"/>
  <c r="C1828" i="10"/>
  <c r="B1828" i="10"/>
  <c r="H1829" i="10"/>
  <c r="G1829" i="10"/>
  <c r="F1829" i="10"/>
  <c r="E1829" i="10"/>
  <c r="D1829" i="10"/>
  <c r="C1829" i="10"/>
  <c r="B1829" i="10"/>
  <c r="H1830" i="10"/>
  <c r="G1830" i="10"/>
  <c r="F1830" i="10"/>
  <c r="E1830" i="10"/>
  <c r="D1830" i="10"/>
  <c r="C1830" i="10"/>
  <c r="B1830" i="10"/>
  <c r="H1831" i="10"/>
  <c r="G1831" i="10"/>
  <c r="F1831" i="10"/>
  <c r="E1831" i="10"/>
  <c r="D1831" i="10"/>
  <c r="C1831" i="10"/>
  <c r="B1831" i="10"/>
  <c r="H1832" i="10"/>
  <c r="G1832" i="10"/>
  <c r="F1832" i="10"/>
  <c r="E1832" i="10"/>
  <c r="D1832" i="10"/>
  <c r="C1832" i="10"/>
  <c r="B1832" i="10"/>
  <c r="H1833" i="10"/>
  <c r="G1833" i="10"/>
  <c r="F1833" i="10"/>
  <c r="E1833" i="10"/>
  <c r="D1833" i="10"/>
  <c r="C1833" i="10"/>
  <c r="B1833" i="10"/>
  <c r="H1834" i="10"/>
  <c r="G1834" i="10"/>
  <c r="F1834" i="10"/>
  <c r="E1834" i="10"/>
  <c r="D1834" i="10"/>
  <c r="C1834" i="10"/>
  <c r="B1834" i="10"/>
  <c r="H1835" i="10"/>
  <c r="G1835" i="10"/>
  <c r="F1835" i="10"/>
  <c r="E1835" i="10"/>
  <c r="D1835" i="10"/>
  <c r="C1835" i="10"/>
  <c r="B1835" i="10"/>
  <c r="H1836" i="10"/>
  <c r="G1836" i="10"/>
  <c r="F1836" i="10"/>
  <c r="E1836" i="10"/>
  <c r="D1836" i="10"/>
  <c r="C1836" i="10"/>
  <c r="B1836" i="10"/>
  <c r="H1837" i="10"/>
  <c r="G1837" i="10"/>
  <c r="F1837" i="10"/>
  <c r="E1837" i="10"/>
  <c r="D1837" i="10"/>
  <c r="C1837" i="10"/>
  <c r="B1837" i="10"/>
  <c r="H1838" i="10"/>
  <c r="G1838" i="10"/>
  <c r="F1838" i="10"/>
  <c r="E1838" i="10"/>
  <c r="D1838" i="10"/>
  <c r="C1838" i="10"/>
  <c r="B1838" i="10"/>
  <c r="H1839" i="10"/>
  <c r="G1839" i="10"/>
  <c r="F1839" i="10"/>
  <c r="E1839" i="10"/>
  <c r="D1839" i="10"/>
  <c r="C1839" i="10"/>
  <c r="B1839" i="10"/>
  <c r="H1840" i="10"/>
  <c r="G1840" i="10"/>
  <c r="F1840" i="10"/>
  <c r="E1840" i="10"/>
  <c r="D1840" i="10"/>
  <c r="C1840" i="10"/>
  <c r="B1840" i="10"/>
  <c r="H1841" i="10"/>
  <c r="G1841" i="10"/>
  <c r="F1841" i="10"/>
  <c r="E1841" i="10"/>
  <c r="D1841" i="10"/>
  <c r="C1841" i="10"/>
  <c r="B1841" i="10"/>
  <c r="H1842" i="10"/>
  <c r="G1842" i="10"/>
  <c r="F1842" i="10"/>
  <c r="E1842" i="10"/>
  <c r="D1842" i="10"/>
  <c r="C1842" i="10"/>
  <c r="B1842" i="10"/>
  <c r="H1843" i="10"/>
  <c r="G1843" i="10"/>
  <c r="F1843" i="10"/>
  <c r="E1843" i="10"/>
  <c r="D1843" i="10"/>
  <c r="C1843" i="10"/>
  <c r="B1843" i="10"/>
  <c r="H1844" i="10"/>
  <c r="G1844" i="10"/>
  <c r="F1844" i="10"/>
  <c r="E1844" i="10"/>
  <c r="D1844" i="10"/>
  <c r="C1844" i="10"/>
  <c r="B1844" i="10"/>
  <c r="H1845" i="10"/>
  <c r="G1845" i="10"/>
  <c r="F1845" i="10"/>
  <c r="E1845" i="10"/>
  <c r="D1845" i="10"/>
  <c r="C1845" i="10"/>
  <c r="B1845" i="10"/>
  <c r="H1846" i="10"/>
  <c r="G1846" i="10"/>
  <c r="F1846" i="10"/>
  <c r="E1846" i="10"/>
  <c r="D1846" i="10"/>
  <c r="C1846" i="10"/>
  <c r="B1846" i="10"/>
  <c r="H1847" i="10"/>
  <c r="G1847" i="10"/>
  <c r="F1847" i="10"/>
  <c r="E1847" i="10"/>
  <c r="D1847" i="10"/>
  <c r="C1847" i="10"/>
  <c r="B1847" i="10"/>
  <c r="H1848" i="10"/>
  <c r="G1848" i="10"/>
  <c r="F1848" i="10"/>
  <c r="E1848" i="10"/>
  <c r="D1848" i="10"/>
  <c r="C1848" i="10"/>
  <c r="B1848" i="10"/>
  <c r="H1849" i="10"/>
  <c r="G1849" i="10"/>
  <c r="F1849" i="10"/>
  <c r="E1849" i="10"/>
  <c r="D1849" i="10"/>
  <c r="C1849" i="10"/>
  <c r="B1849" i="10"/>
  <c r="H1850" i="10"/>
  <c r="G1850" i="10"/>
  <c r="F1850" i="10"/>
  <c r="E1850" i="10"/>
  <c r="D1850" i="10"/>
  <c r="C1850" i="10"/>
  <c r="B1850" i="10"/>
  <c r="H1851" i="10"/>
  <c r="G1851" i="10"/>
  <c r="F1851" i="10"/>
  <c r="E1851" i="10"/>
  <c r="D1851" i="10"/>
  <c r="C1851" i="10"/>
  <c r="B1851" i="10"/>
  <c r="H1852" i="10"/>
  <c r="G1852" i="10"/>
  <c r="F1852" i="10"/>
  <c r="E1852" i="10"/>
  <c r="D1852" i="10"/>
  <c r="C1852" i="10"/>
  <c r="B1852" i="10"/>
  <c r="H1853" i="10"/>
  <c r="G1853" i="10"/>
  <c r="F1853" i="10"/>
  <c r="E1853" i="10"/>
  <c r="D1853" i="10"/>
  <c r="C1853" i="10"/>
  <c r="B1853" i="10"/>
  <c r="H1854" i="10"/>
  <c r="G1854" i="10"/>
  <c r="F1854" i="10"/>
  <c r="E1854" i="10"/>
  <c r="D1854" i="10"/>
  <c r="C1854" i="10"/>
  <c r="B1854" i="10"/>
  <c r="H1855" i="10"/>
  <c r="G1855" i="10"/>
  <c r="F1855" i="10"/>
  <c r="E1855" i="10"/>
  <c r="D1855" i="10"/>
  <c r="C1855" i="10"/>
  <c r="B1855" i="10"/>
  <c r="H1856" i="10"/>
  <c r="G1856" i="10"/>
  <c r="F1856" i="10"/>
  <c r="E1856" i="10"/>
  <c r="D1856" i="10"/>
  <c r="C1856" i="10"/>
  <c r="B1856" i="10"/>
  <c r="H1857" i="10"/>
  <c r="G1857" i="10"/>
  <c r="F1857" i="10"/>
  <c r="E1857" i="10"/>
  <c r="D1857" i="10"/>
  <c r="C1857" i="10"/>
  <c r="B1857" i="10"/>
  <c r="H1858" i="10"/>
  <c r="G1858" i="10"/>
  <c r="F1858" i="10"/>
  <c r="E1858" i="10"/>
  <c r="D1858" i="10"/>
  <c r="C1858" i="10"/>
  <c r="B1858" i="10"/>
  <c r="H1859" i="10"/>
  <c r="G1859" i="10"/>
  <c r="F1859" i="10"/>
  <c r="E1859" i="10"/>
  <c r="D1859" i="10"/>
  <c r="C1859" i="10"/>
  <c r="B1859" i="10"/>
  <c r="H1860" i="10"/>
  <c r="G1860" i="10"/>
  <c r="F1860" i="10"/>
  <c r="E1860" i="10"/>
  <c r="D1860" i="10"/>
  <c r="C1860" i="10"/>
  <c r="B1860" i="10"/>
  <c r="H1861" i="10"/>
  <c r="G1861" i="10"/>
  <c r="F1861" i="10"/>
  <c r="E1861" i="10"/>
  <c r="D1861" i="10"/>
  <c r="C1861" i="10"/>
  <c r="B1861" i="10"/>
  <c r="H1862" i="10"/>
  <c r="G1862" i="10"/>
  <c r="F1862" i="10"/>
  <c r="E1862" i="10"/>
  <c r="D1862" i="10"/>
  <c r="C1862" i="10"/>
  <c r="B1862" i="10"/>
  <c r="H1863" i="10"/>
  <c r="G1863" i="10"/>
  <c r="F1863" i="10"/>
  <c r="E1863" i="10"/>
  <c r="D1863" i="10"/>
  <c r="C1863" i="10"/>
  <c r="B1863" i="10"/>
  <c r="H1864" i="10"/>
  <c r="G1864" i="10"/>
  <c r="F1864" i="10"/>
  <c r="E1864" i="10"/>
  <c r="D1864" i="10"/>
  <c r="C1864" i="10"/>
  <c r="B1864" i="10"/>
  <c r="H1865" i="10"/>
  <c r="G1865" i="10"/>
  <c r="F1865" i="10"/>
  <c r="E1865" i="10"/>
  <c r="D1865" i="10"/>
  <c r="C1865" i="10"/>
  <c r="B1865" i="10"/>
  <c r="H1866" i="10"/>
  <c r="G1866" i="10"/>
  <c r="F1866" i="10"/>
  <c r="E1866" i="10"/>
  <c r="D1866" i="10"/>
  <c r="C1866" i="10"/>
  <c r="B1866" i="10"/>
  <c r="H1867" i="10"/>
  <c r="G1867" i="10"/>
  <c r="F1867" i="10"/>
  <c r="E1867" i="10"/>
  <c r="D1867" i="10"/>
  <c r="C1867" i="10"/>
  <c r="B1867" i="10"/>
  <c r="H1868" i="10"/>
  <c r="G1868" i="10"/>
  <c r="F1868" i="10"/>
  <c r="E1868" i="10"/>
  <c r="D1868" i="10"/>
  <c r="C1868" i="10"/>
  <c r="B1868" i="10"/>
  <c r="H1869" i="10"/>
  <c r="G1869" i="10"/>
  <c r="F1869" i="10"/>
  <c r="E1869" i="10"/>
  <c r="D1869" i="10"/>
  <c r="C1869" i="10"/>
  <c r="B1869" i="10"/>
  <c r="H1870" i="10"/>
  <c r="G1870" i="10"/>
  <c r="F1870" i="10"/>
  <c r="E1870" i="10"/>
  <c r="D1870" i="10"/>
  <c r="C1870" i="10"/>
  <c r="B1870" i="10"/>
  <c r="H1871" i="10"/>
  <c r="G1871" i="10"/>
  <c r="F1871" i="10"/>
  <c r="E1871" i="10"/>
  <c r="D1871" i="10"/>
  <c r="C1871" i="10"/>
  <c r="B1871" i="10"/>
  <c r="H1872" i="10"/>
  <c r="G1872" i="10"/>
  <c r="F1872" i="10"/>
  <c r="E1872" i="10"/>
  <c r="D1872" i="10"/>
  <c r="C1872" i="10"/>
  <c r="B1872" i="10"/>
  <c r="H1873" i="10"/>
  <c r="G1873" i="10"/>
  <c r="F1873" i="10"/>
  <c r="E1873" i="10"/>
  <c r="D1873" i="10"/>
  <c r="C1873" i="10"/>
  <c r="B1873" i="10"/>
  <c r="H1874" i="10"/>
  <c r="G1874" i="10"/>
  <c r="F1874" i="10"/>
  <c r="E1874" i="10"/>
  <c r="D1874" i="10"/>
  <c r="C1874" i="10"/>
  <c r="B1874" i="10"/>
  <c r="H1875" i="10"/>
  <c r="G1875" i="10"/>
  <c r="F1875" i="10"/>
  <c r="E1875" i="10"/>
  <c r="D1875" i="10"/>
  <c r="C1875" i="10"/>
  <c r="B1875" i="10"/>
  <c r="H1876" i="10"/>
  <c r="G1876" i="10"/>
  <c r="F1876" i="10"/>
  <c r="E1876" i="10"/>
  <c r="D1876" i="10"/>
  <c r="C1876" i="10"/>
  <c r="B1876" i="10"/>
  <c r="H1877" i="10"/>
  <c r="G1877" i="10"/>
  <c r="F1877" i="10"/>
  <c r="E1877" i="10"/>
  <c r="D1877" i="10"/>
  <c r="C1877" i="10"/>
  <c r="B1877" i="10"/>
  <c r="H1878" i="10"/>
  <c r="G1878" i="10"/>
  <c r="F1878" i="10"/>
  <c r="E1878" i="10"/>
  <c r="D1878" i="10"/>
  <c r="C1878" i="10"/>
  <c r="B1878" i="10"/>
  <c r="H1879" i="10"/>
  <c r="G1879" i="10"/>
  <c r="F1879" i="10"/>
  <c r="E1879" i="10"/>
  <c r="D1879" i="10"/>
  <c r="C1879" i="10"/>
  <c r="B1879" i="10"/>
  <c r="H1880" i="10"/>
  <c r="G1880" i="10"/>
  <c r="F1880" i="10"/>
  <c r="E1880" i="10"/>
  <c r="D1880" i="10"/>
  <c r="C1880" i="10"/>
  <c r="B1880" i="10"/>
  <c r="H1881" i="10"/>
  <c r="G1881" i="10"/>
  <c r="F1881" i="10"/>
  <c r="E1881" i="10"/>
  <c r="D1881" i="10"/>
  <c r="C1881" i="10"/>
  <c r="B1881" i="10"/>
  <c r="H1882" i="10"/>
  <c r="G1882" i="10"/>
  <c r="F1882" i="10"/>
  <c r="E1882" i="10"/>
  <c r="D1882" i="10"/>
  <c r="C1882" i="10"/>
  <c r="B1882" i="10"/>
  <c r="H1883" i="10"/>
  <c r="G1883" i="10"/>
  <c r="F1883" i="10"/>
  <c r="E1883" i="10"/>
  <c r="D1883" i="10"/>
  <c r="C1883" i="10"/>
  <c r="B1883" i="10"/>
  <c r="H1884" i="10"/>
  <c r="G1884" i="10"/>
  <c r="F1884" i="10"/>
  <c r="E1884" i="10"/>
  <c r="D1884" i="10"/>
  <c r="C1884" i="10"/>
  <c r="B1884" i="10"/>
  <c r="H1885" i="10"/>
  <c r="G1885" i="10"/>
  <c r="F1885" i="10"/>
  <c r="E1885" i="10"/>
  <c r="D1885" i="10"/>
  <c r="C1885" i="10"/>
  <c r="B1885" i="10"/>
  <c r="H1886" i="10"/>
  <c r="G1886" i="10"/>
  <c r="F1886" i="10"/>
  <c r="E1886" i="10"/>
  <c r="D1886" i="10"/>
  <c r="C1886" i="10"/>
  <c r="B1886" i="10"/>
  <c r="H1887" i="10"/>
  <c r="G1887" i="10"/>
  <c r="F1887" i="10"/>
  <c r="E1887" i="10"/>
  <c r="D1887" i="10"/>
  <c r="C1887" i="10"/>
  <c r="B1887" i="10"/>
  <c r="H1888" i="10"/>
  <c r="G1888" i="10"/>
  <c r="F1888" i="10"/>
  <c r="E1888" i="10"/>
  <c r="D1888" i="10"/>
  <c r="C1888" i="10"/>
  <c r="B1888" i="10"/>
  <c r="H1889" i="10"/>
  <c r="G1889" i="10"/>
  <c r="F1889" i="10"/>
  <c r="E1889" i="10"/>
  <c r="D1889" i="10"/>
  <c r="C1889" i="10"/>
  <c r="B1889" i="10"/>
  <c r="H1890" i="10"/>
  <c r="G1890" i="10"/>
  <c r="F1890" i="10"/>
  <c r="E1890" i="10"/>
  <c r="D1890" i="10"/>
  <c r="C1890" i="10"/>
  <c r="B1890" i="10"/>
  <c r="H1891" i="10"/>
  <c r="G1891" i="10"/>
  <c r="F1891" i="10"/>
  <c r="E1891" i="10"/>
  <c r="D1891" i="10"/>
  <c r="C1891" i="10"/>
  <c r="B1891" i="10"/>
  <c r="H1892" i="10"/>
  <c r="G1892" i="10"/>
  <c r="F1892" i="10"/>
  <c r="E1892" i="10"/>
  <c r="D1892" i="10"/>
  <c r="C1892" i="10"/>
  <c r="B1892" i="10"/>
  <c r="H1893" i="10"/>
  <c r="G1893" i="10"/>
  <c r="F1893" i="10"/>
  <c r="E1893" i="10"/>
  <c r="D1893" i="10"/>
  <c r="C1893" i="10"/>
  <c r="B1893" i="10"/>
  <c r="H1894" i="10"/>
  <c r="G1894" i="10"/>
  <c r="F1894" i="10"/>
  <c r="E1894" i="10"/>
  <c r="D1894" i="10"/>
  <c r="C1894" i="10"/>
  <c r="B1894" i="10"/>
  <c r="H1895" i="10"/>
  <c r="G1895" i="10"/>
  <c r="F1895" i="10"/>
  <c r="E1895" i="10"/>
  <c r="D1895" i="10"/>
  <c r="C1895" i="10"/>
  <c r="B1895" i="10"/>
  <c r="H1896" i="10"/>
  <c r="G1896" i="10"/>
  <c r="F1896" i="10"/>
  <c r="E1896" i="10"/>
  <c r="D1896" i="10"/>
  <c r="C1896" i="10"/>
  <c r="B1896" i="10"/>
  <c r="H1897" i="10"/>
  <c r="G1897" i="10"/>
  <c r="F1897" i="10"/>
  <c r="E1897" i="10"/>
  <c r="D1897" i="10"/>
  <c r="C1897" i="10"/>
  <c r="B1897" i="10"/>
  <c r="H1898" i="10"/>
  <c r="G1898" i="10"/>
  <c r="F1898" i="10"/>
  <c r="E1898" i="10"/>
  <c r="D1898" i="10"/>
  <c r="C1898" i="10"/>
  <c r="B1898" i="10"/>
  <c r="H1899" i="10"/>
  <c r="G1899" i="10"/>
  <c r="F1899" i="10"/>
  <c r="E1899" i="10"/>
  <c r="D1899" i="10"/>
  <c r="C1899" i="10"/>
  <c r="B1899" i="10"/>
  <c r="H1900" i="10"/>
  <c r="G1900" i="10"/>
  <c r="F1900" i="10"/>
  <c r="E1900" i="10"/>
  <c r="D1900" i="10"/>
  <c r="C1900" i="10"/>
  <c r="B1900" i="10"/>
  <c r="H1901" i="10"/>
  <c r="G1901" i="10"/>
  <c r="F1901" i="10"/>
  <c r="E1901" i="10"/>
  <c r="D1901" i="10"/>
  <c r="C1901" i="10"/>
  <c r="B1901" i="10"/>
  <c r="H1902" i="10"/>
  <c r="G1902" i="10"/>
  <c r="F1902" i="10"/>
  <c r="E1902" i="10"/>
  <c r="D1902" i="10"/>
  <c r="C1902" i="10"/>
  <c r="B1902" i="10"/>
  <c r="H1903" i="10"/>
  <c r="G1903" i="10"/>
  <c r="F1903" i="10"/>
  <c r="E1903" i="10"/>
  <c r="D1903" i="10"/>
  <c r="C1903" i="10"/>
  <c r="B1903" i="10"/>
  <c r="H1904" i="10"/>
  <c r="G1904" i="10"/>
  <c r="F1904" i="10"/>
  <c r="E1904" i="10"/>
  <c r="D1904" i="10"/>
  <c r="C1904" i="10"/>
  <c r="B1904" i="10"/>
  <c r="H1905" i="10"/>
  <c r="G1905" i="10"/>
  <c r="F1905" i="10"/>
  <c r="E1905" i="10"/>
  <c r="D1905" i="10"/>
  <c r="C1905" i="10"/>
  <c r="B1905" i="10"/>
  <c r="H1906" i="10"/>
  <c r="G1906" i="10"/>
  <c r="F1906" i="10"/>
  <c r="E1906" i="10"/>
  <c r="D1906" i="10"/>
  <c r="C1906" i="10"/>
  <c r="B1906" i="10"/>
  <c r="H1907" i="10"/>
  <c r="G1907" i="10"/>
  <c r="F1907" i="10"/>
  <c r="E1907" i="10"/>
  <c r="D1907" i="10"/>
  <c r="C1907" i="10"/>
  <c r="B1907" i="10"/>
  <c r="H1908" i="10"/>
  <c r="G1908" i="10"/>
  <c r="F1908" i="10"/>
  <c r="E1908" i="10"/>
  <c r="D1908" i="10"/>
  <c r="C1908" i="10"/>
  <c r="B1908" i="10"/>
  <c r="H1909" i="10"/>
  <c r="G1909" i="10"/>
  <c r="F1909" i="10"/>
  <c r="E1909" i="10"/>
  <c r="D1909" i="10"/>
  <c r="C1909" i="10"/>
  <c r="B1909" i="10"/>
  <c r="H1910" i="10"/>
  <c r="G1910" i="10"/>
  <c r="F1910" i="10"/>
  <c r="E1910" i="10"/>
  <c r="D1910" i="10"/>
  <c r="C1910" i="10"/>
  <c r="B1910" i="10"/>
  <c r="H1911" i="10"/>
  <c r="G1911" i="10"/>
  <c r="F1911" i="10"/>
  <c r="E1911" i="10"/>
  <c r="D1911" i="10"/>
  <c r="C1911" i="10"/>
  <c r="B1911" i="10"/>
  <c r="H1912" i="10"/>
  <c r="G1912" i="10"/>
  <c r="F1912" i="10"/>
  <c r="E1912" i="10"/>
  <c r="D1912" i="10"/>
  <c r="C1912" i="10"/>
  <c r="B1912" i="10"/>
  <c r="H1913" i="10"/>
  <c r="G1913" i="10"/>
  <c r="F1913" i="10"/>
  <c r="E1913" i="10"/>
  <c r="D1913" i="10"/>
  <c r="C1913" i="10"/>
  <c r="B1913" i="10"/>
  <c r="H1914" i="10"/>
  <c r="G1914" i="10"/>
  <c r="F1914" i="10"/>
  <c r="E1914" i="10"/>
  <c r="D1914" i="10"/>
  <c r="C1914" i="10"/>
  <c r="B1914" i="10"/>
  <c r="H1915" i="10"/>
  <c r="G1915" i="10"/>
  <c r="F1915" i="10"/>
  <c r="E1915" i="10"/>
  <c r="D1915" i="10"/>
  <c r="C1915" i="10"/>
  <c r="B1915" i="10"/>
  <c r="H1916" i="10"/>
  <c r="G1916" i="10"/>
  <c r="F1916" i="10"/>
  <c r="E1916" i="10"/>
  <c r="D1916" i="10"/>
  <c r="C1916" i="10"/>
  <c r="B1916" i="10"/>
  <c r="H1917" i="10"/>
  <c r="G1917" i="10"/>
  <c r="F1917" i="10"/>
  <c r="E1917" i="10"/>
  <c r="D1917" i="10"/>
  <c r="C1917" i="10"/>
  <c r="B1917" i="10"/>
  <c r="H1918" i="10"/>
  <c r="G1918" i="10"/>
  <c r="F1918" i="10"/>
  <c r="E1918" i="10"/>
  <c r="D1918" i="10"/>
  <c r="C1918" i="10"/>
  <c r="B1918" i="10"/>
  <c r="H1919" i="10"/>
  <c r="G1919" i="10"/>
  <c r="F1919" i="10"/>
  <c r="E1919" i="10"/>
  <c r="D1919" i="10"/>
  <c r="C1919" i="10"/>
  <c r="B1919" i="10"/>
  <c r="H1920" i="10"/>
  <c r="G1920" i="10"/>
  <c r="F1920" i="10"/>
  <c r="E1920" i="10"/>
  <c r="D1920" i="10"/>
  <c r="C1920" i="10"/>
  <c r="B1920" i="10"/>
  <c r="H1921" i="10"/>
  <c r="G1921" i="10"/>
  <c r="F1921" i="10"/>
  <c r="E1921" i="10"/>
  <c r="D1921" i="10"/>
  <c r="C1921" i="10"/>
  <c r="B1921" i="10"/>
  <c r="H1922" i="10"/>
  <c r="G1922" i="10"/>
  <c r="F1922" i="10"/>
  <c r="E1922" i="10"/>
  <c r="D1922" i="10"/>
  <c r="C1922" i="10"/>
  <c r="B1922" i="10"/>
  <c r="H1923" i="10"/>
  <c r="G1923" i="10"/>
  <c r="F1923" i="10"/>
  <c r="E1923" i="10"/>
  <c r="D1923" i="10"/>
  <c r="C1923" i="10"/>
  <c r="B1923" i="10"/>
  <c r="H1924" i="10"/>
  <c r="G1924" i="10"/>
  <c r="F1924" i="10"/>
  <c r="E1924" i="10"/>
  <c r="D1924" i="10"/>
  <c r="C1924" i="10"/>
  <c r="B1924" i="10"/>
  <c r="H1925" i="10"/>
  <c r="G1925" i="10"/>
  <c r="F1925" i="10"/>
  <c r="E1925" i="10"/>
  <c r="D1925" i="10"/>
  <c r="C1925" i="10"/>
  <c r="B1925" i="10"/>
  <c r="H1926" i="10"/>
  <c r="G1926" i="10"/>
  <c r="F1926" i="10"/>
  <c r="E1926" i="10"/>
  <c r="D1926" i="10"/>
  <c r="C1926" i="10"/>
  <c r="B1926" i="10"/>
  <c r="H1927" i="10"/>
  <c r="G1927" i="10"/>
  <c r="F1927" i="10"/>
  <c r="E1927" i="10"/>
  <c r="D1927" i="10"/>
  <c r="C1927" i="10"/>
  <c r="B1927" i="10"/>
  <c r="H1928" i="10"/>
  <c r="G1928" i="10"/>
  <c r="F1928" i="10"/>
  <c r="E1928" i="10"/>
  <c r="D1928" i="10"/>
  <c r="C1928" i="10"/>
  <c r="B1928" i="10"/>
  <c r="H1929" i="10"/>
  <c r="G1929" i="10"/>
  <c r="F1929" i="10"/>
  <c r="E1929" i="10"/>
  <c r="D1929" i="10"/>
  <c r="C1929" i="10"/>
  <c r="B1929" i="10"/>
  <c r="H1930" i="10"/>
  <c r="G1930" i="10"/>
  <c r="F1930" i="10"/>
  <c r="E1930" i="10"/>
  <c r="D1930" i="10"/>
  <c r="C1930" i="10"/>
  <c r="B1930" i="10"/>
  <c r="H1931" i="10"/>
  <c r="G1931" i="10"/>
  <c r="F1931" i="10"/>
  <c r="E1931" i="10"/>
  <c r="D1931" i="10"/>
  <c r="C1931" i="10"/>
  <c r="B1931" i="10"/>
  <c r="H1932" i="10"/>
  <c r="G1932" i="10"/>
  <c r="F1932" i="10"/>
  <c r="E1932" i="10"/>
  <c r="D1932" i="10"/>
  <c r="C1932" i="10"/>
  <c r="B1932" i="10"/>
  <c r="H1933" i="10"/>
  <c r="G1933" i="10"/>
  <c r="F1933" i="10"/>
  <c r="E1933" i="10"/>
  <c r="D1933" i="10"/>
  <c r="C1933" i="10"/>
  <c r="B1933" i="10"/>
  <c r="H1934" i="10"/>
  <c r="G1934" i="10"/>
  <c r="F1934" i="10"/>
  <c r="E1934" i="10"/>
  <c r="D1934" i="10"/>
  <c r="C1934" i="10"/>
  <c r="B1934" i="10"/>
  <c r="H1935" i="10"/>
  <c r="G1935" i="10"/>
  <c r="F1935" i="10"/>
  <c r="E1935" i="10"/>
  <c r="D1935" i="10"/>
  <c r="C1935" i="10"/>
  <c r="B1935" i="10"/>
  <c r="H1936" i="10"/>
  <c r="G1936" i="10"/>
  <c r="F1936" i="10"/>
  <c r="E1936" i="10"/>
  <c r="D1936" i="10"/>
  <c r="C1936" i="10"/>
  <c r="B1936" i="10"/>
  <c r="H1937" i="10"/>
  <c r="G1937" i="10"/>
  <c r="F1937" i="10"/>
  <c r="E1937" i="10"/>
  <c r="D1937" i="10"/>
  <c r="C1937" i="10"/>
  <c r="B1937" i="10"/>
  <c r="H1938" i="10"/>
  <c r="G1938" i="10"/>
  <c r="F1938" i="10"/>
  <c r="E1938" i="10"/>
  <c r="D1938" i="10"/>
  <c r="C1938" i="10"/>
  <c r="B1938" i="10"/>
  <c r="H1939" i="10"/>
  <c r="G1939" i="10"/>
  <c r="F1939" i="10"/>
  <c r="E1939" i="10"/>
  <c r="D1939" i="10"/>
  <c r="C1939" i="10"/>
  <c r="B1939" i="10"/>
  <c r="H1940" i="10"/>
  <c r="G1940" i="10"/>
  <c r="F1940" i="10"/>
  <c r="E1940" i="10"/>
  <c r="D1940" i="10"/>
  <c r="C1940" i="10"/>
  <c r="B1940" i="10"/>
  <c r="H1941" i="10"/>
  <c r="G1941" i="10"/>
  <c r="F1941" i="10"/>
  <c r="E1941" i="10"/>
  <c r="D1941" i="10"/>
  <c r="C1941" i="10"/>
  <c r="B1941" i="10"/>
  <c r="H1942" i="10"/>
  <c r="G1942" i="10"/>
  <c r="F1942" i="10"/>
  <c r="E1942" i="10"/>
  <c r="D1942" i="10"/>
  <c r="C1942" i="10"/>
  <c r="B1942" i="10"/>
  <c r="H1943" i="10"/>
  <c r="G1943" i="10"/>
  <c r="F1943" i="10"/>
  <c r="E1943" i="10"/>
  <c r="D1943" i="10"/>
  <c r="C1943" i="10"/>
  <c r="B1943" i="10"/>
  <c r="H1944" i="10"/>
  <c r="G1944" i="10"/>
  <c r="F1944" i="10"/>
  <c r="E1944" i="10"/>
  <c r="D1944" i="10"/>
  <c r="C1944" i="10"/>
  <c r="B1944" i="10"/>
  <c r="H1945" i="10"/>
  <c r="G1945" i="10"/>
  <c r="F1945" i="10"/>
  <c r="E1945" i="10"/>
  <c r="D1945" i="10"/>
  <c r="C1945" i="10"/>
  <c r="B1945" i="10"/>
  <c r="H1946" i="10"/>
  <c r="G1946" i="10"/>
  <c r="F1946" i="10"/>
  <c r="E1946" i="10"/>
  <c r="D1946" i="10"/>
  <c r="C1946" i="10"/>
  <c r="B1946" i="10"/>
  <c r="H1947" i="10"/>
  <c r="G1947" i="10"/>
  <c r="F1947" i="10"/>
  <c r="E1947" i="10"/>
  <c r="D1947" i="10"/>
  <c r="C1947" i="10"/>
  <c r="B1947" i="10"/>
  <c r="H1948" i="10"/>
  <c r="G1948" i="10"/>
  <c r="F1948" i="10"/>
  <c r="E1948" i="10"/>
  <c r="D1948" i="10"/>
  <c r="C1948" i="10"/>
  <c r="B1948" i="10"/>
  <c r="H1949" i="10"/>
  <c r="G1949" i="10"/>
  <c r="F1949" i="10"/>
  <c r="E1949" i="10"/>
  <c r="D1949" i="10"/>
  <c r="C1949" i="10"/>
  <c r="B1949" i="10"/>
  <c r="H1950" i="10"/>
  <c r="G1950" i="10"/>
  <c r="F1950" i="10"/>
  <c r="E1950" i="10"/>
  <c r="D1950" i="10"/>
  <c r="C1950" i="10"/>
  <c r="B1950" i="10"/>
  <c r="H1951" i="10"/>
  <c r="G1951" i="10"/>
  <c r="F1951" i="10"/>
  <c r="E1951" i="10"/>
  <c r="D1951" i="10"/>
  <c r="C1951" i="10"/>
  <c r="B1951" i="10"/>
  <c r="H1952" i="10"/>
  <c r="G1952" i="10"/>
  <c r="F1952" i="10"/>
  <c r="E1952" i="10"/>
  <c r="D1952" i="10"/>
  <c r="C1952" i="10"/>
  <c r="B1952" i="10"/>
  <c r="H1953" i="10"/>
  <c r="G1953" i="10"/>
  <c r="F1953" i="10"/>
  <c r="E1953" i="10"/>
  <c r="D1953" i="10"/>
  <c r="C1953" i="10"/>
  <c r="B1953" i="10"/>
  <c r="H1954" i="10"/>
  <c r="G1954" i="10"/>
  <c r="F1954" i="10"/>
  <c r="E1954" i="10"/>
  <c r="D1954" i="10"/>
  <c r="C1954" i="10"/>
  <c r="B1954" i="10"/>
  <c r="H1955" i="10"/>
  <c r="G1955" i="10"/>
  <c r="F1955" i="10"/>
  <c r="E1955" i="10"/>
  <c r="D1955" i="10"/>
  <c r="C1955" i="10"/>
  <c r="B1955" i="10"/>
  <c r="H1956" i="10"/>
  <c r="G1956" i="10"/>
  <c r="F1956" i="10"/>
  <c r="E1956" i="10"/>
  <c r="D1956" i="10"/>
  <c r="C1956" i="10"/>
  <c r="B1956" i="10"/>
  <c r="H1957" i="10"/>
  <c r="G1957" i="10"/>
  <c r="F1957" i="10"/>
  <c r="E1957" i="10"/>
  <c r="D1957" i="10"/>
  <c r="C1957" i="10"/>
  <c r="B1957" i="10"/>
  <c r="H1958" i="10"/>
  <c r="G1958" i="10"/>
  <c r="F1958" i="10"/>
  <c r="E1958" i="10"/>
  <c r="D1958" i="10"/>
  <c r="C1958" i="10"/>
  <c r="B1958" i="10"/>
  <c r="H1959" i="10"/>
  <c r="G1959" i="10"/>
  <c r="F1959" i="10"/>
  <c r="E1959" i="10"/>
  <c r="D1959" i="10"/>
  <c r="C1959" i="10"/>
  <c r="B1959" i="10"/>
  <c r="H1960" i="10"/>
  <c r="G1960" i="10"/>
  <c r="F1960" i="10"/>
  <c r="E1960" i="10"/>
  <c r="D1960" i="10"/>
  <c r="C1960" i="10"/>
  <c r="B1960" i="10"/>
  <c r="H1961" i="10"/>
  <c r="G1961" i="10"/>
  <c r="F1961" i="10"/>
  <c r="E1961" i="10"/>
  <c r="D1961" i="10"/>
  <c r="C1961" i="10"/>
  <c r="B1961" i="10"/>
  <c r="H1962" i="10"/>
  <c r="G1962" i="10"/>
  <c r="F1962" i="10"/>
  <c r="E1962" i="10"/>
  <c r="D1962" i="10"/>
  <c r="C1962" i="10"/>
  <c r="B1962" i="10"/>
  <c r="H1963" i="10"/>
  <c r="G1963" i="10"/>
  <c r="F1963" i="10"/>
  <c r="E1963" i="10"/>
  <c r="D1963" i="10"/>
  <c r="C1963" i="10"/>
  <c r="B1963" i="10"/>
  <c r="H1964" i="10"/>
  <c r="G1964" i="10"/>
  <c r="F1964" i="10"/>
  <c r="E1964" i="10"/>
  <c r="D1964" i="10"/>
  <c r="C1964" i="10"/>
  <c r="B1964" i="10"/>
  <c r="H1965" i="10"/>
  <c r="G1965" i="10"/>
  <c r="F1965" i="10"/>
  <c r="E1965" i="10"/>
  <c r="D1965" i="10"/>
  <c r="C1965" i="10"/>
  <c r="B1965" i="10"/>
  <c r="H1966" i="10"/>
  <c r="G1966" i="10"/>
  <c r="F1966" i="10"/>
  <c r="E1966" i="10"/>
  <c r="D1966" i="10"/>
  <c r="C1966" i="10"/>
  <c r="B1966" i="10"/>
  <c r="H1967" i="10"/>
  <c r="G1967" i="10"/>
  <c r="F1967" i="10"/>
  <c r="E1967" i="10"/>
  <c r="D1967" i="10"/>
  <c r="C1967" i="10"/>
  <c r="B1967" i="10"/>
  <c r="H1968" i="10"/>
  <c r="G1968" i="10"/>
  <c r="F1968" i="10"/>
  <c r="E1968" i="10"/>
  <c r="D1968" i="10"/>
  <c r="C1968" i="10"/>
  <c r="B1968" i="10"/>
  <c r="H1969" i="10"/>
  <c r="G1969" i="10"/>
  <c r="F1969" i="10"/>
  <c r="E1969" i="10"/>
  <c r="D1969" i="10"/>
  <c r="C1969" i="10"/>
  <c r="B1969" i="10"/>
  <c r="H1970" i="10"/>
  <c r="G1970" i="10"/>
  <c r="F1970" i="10"/>
  <c r="E1970" i="10"/>
  <c r="D1970" i="10"/>
  <c r="C1970" i="10"/>
  <c r="B1970" i="10"/>
  <c r="H1971" i="10"/>
  <c r="G1971" i="10"/>
  <c r="F1971" i="10"/>
  <c r="E1971" i="10"/>
  <c r="D1971" i="10"/>
  <c r="C1971" i="10"/>
  <c r="B1971" i="10"/>
  <c r="H1972" i="10"/>
  <c r="G1972" i="10"/>
  <c r="F1972" i="10"/>
  <c r="E1972" i="10"/>
  <c r="D1972" i="10"/>
  <c r="C1972" i="10"/>
  <c r="B1972" i="10"/>
  <c r="H1973" i="10"/>
  <c r="G1973" i="10"/>
  <c r="F1973" i="10"/>
  <c r="E1973" i="10"/>
  <c r="D1973" i="10"/>
  <c r="C1973" i="10"/>
  <c r="B1973" i="10"/>
  <c r="H1974" i="10"/>
  <c r="G1974" i="10"/>
  <c r="F1974" i="10"/>
  <c r="E1974" i="10"/>
  <c r="D1974" i="10"/>
  <c r="C1974" i="10"/>
  <c r="B1974" i="10"/>
  <c r="H1975" i="10"/>
  <c r="G1975" i="10"/>
  <c r="F1975" i="10"/>
  <c r="E1975" i="10"/>
  <c r="D1975" i="10"/>
  <c r="C1975" i="10"/>
  <c r="B1975" i="10"/>
  <c r="H1976" i="10"/>
  <c r="G1976" i="10"/>
  <c r="F1976" i="10"/>
  <c r="E1976" i="10"/>
  <c r="D1976" i="10"/>
  <c r="C1976" i="10"/>
  <c r="B1976" i="10"/>
  <c r="H1977" i="10"/>
  <c r="G1977" i="10"/>
  <c r="F1977" i="10"/>
  <c r="E1977" i="10"/>
  <c r="D1977" i="10"/>
  <c r="C1977" i="10"/>
  <c r="B1977" i="10"/>
  <c r="H1978" i="10"/>
  <c r="G1978" i="10"/>
  <c r="F1978" i="10"/>
  <c r="E1978" i="10"/>
  <c r="D1978" i="10"/>
  <c r="C1978" i="10"/>
  <c r="B1978" i="10"/>
  <c r="H1979" i="10"/>
  <c r="G1979" i="10"/>
  <c r="F1979" i="10"/>
  <c r="E1979" i="10"/>
  <c r="D1979" i="10"/>
  <c r="C1979" i="10"/>
  <c r="B1979" i="10"/>
  <c r="H1980" i="10"/>
  <c r="G1980" i="10"/>
  <c r="F1980" i="10"/>
  <c r="E1980" i="10"/>
  <c r="D1980" i="10"/>
  <c r="C1980" i="10"/>
  <c r="B1980" i="10"/>
  <c r="H1981" i="10"/>
  <c r="G1981" i="10"/>
  <c r="F1981" i="10"/>
  <c r="E1981" i="10"/>
  <c r="D1981" i="10"/>
  <c r="C1981" i="10"/>
  <c r="B1981" i="10"/>
  <c r="H1982" i="10"/>
  <c r="G1982" i="10"/>
  <c r="F1982" i="10"/>
  <c r="E1982" i="10"/>
  <c r="D1982" i="10"/>
  <c r="C1982" i="10"/>
  <c r="B1982" i="10"/>
  <c r="H1983" i="10"/>
  <c r="G1983" i="10"/>
  <c r="F1983" i="10"/>
  <c r="E1983" i="10"/>
  <c r="D1983" i="10"/>
  <c r="C1983" i="10"/>
  <c r="B1983" i="10"/>
  <c r="H1984" i="10"/>
  <c r="G1984" i="10"/>
  <c r="F1984" i="10"/>
  <c r="E1984" i="10"/>
  <c r="D1984" i="10"/>
  <c r="C1984" i="10"/>
  <c r="B1984" i="10"/>
  <c r="H1985" i="10"/>
  <c r="G1985" i="10"/>
  <c r="F1985" i="10"/>
  <c r="E1985" i="10"/>
  <c r="D1985" i="10"/>
  <c r="C1985" i="10"/>
  <c r="B1985" i="10"/>
  <c r="H1986" i="10"/>
  <c r="G1986" i="10"/>
  <c r="F1986" i="10"/>
  <c r="E1986" i="10"/>
  <c r="D1986" i="10"/>
  <c r="C1986" i="10"/>
  <c r="B1986" i="10"/>
  <c r="H1987" i="10"/>
  <c r="G1987" i="10"/>
  <c r="F1987" i="10"/>
  <c r="E1987" i="10"/>
  <c r="D1987" i="10"/>
  <c r="C1987" i="10"/>
  <c r="B1987" i="10"/>
  <c r="H1988" i="10"/>
  <c r="G1988" i="10"/>
  <c r="F1988" i="10"/>
  <c r="E1988" i="10"/>
  <c r="D1988" i="10"/>
  <c r="C1988" i="10"/>
  <c r="B1988" i="10"/>
  <c r="H1989" i="10"/>
  <c r="G1989" i="10"/>
  <c r="F1989" i="10"/>
  <c r="E1989" i="10"/>
  <c r="D1989" i="10"/>
  <c r="C1989" i="10"/>
  <c r="B1989" i="10"/>
  <c r="H1990" i="10"/>
  <c r="G1990" i="10"/>
  <c r="F1990" i="10"/>
  <c r="E1990" i="10"/>
  <c r="D1990" i="10"/>
  <c r="C1990" i="10"/>
  <c r="B1990" i="10"/>
  <c r="H1991" i="10"/>
  <c r="G1991" i="10"/>
  <c r="F1991" i="10"/>
  <c r="E1991" i="10"/>
  <c r="D1991" i="10"/>
  <c r="C1991" i="10"/>
  <c r="B1991" i="10"/>
  <c r="H1992" i="10"/>
  <c r="G1992" i="10"/>
  <c r="F1992" i="10"/>
  <c r="E1992" i="10"/>
  <c r="D1992" i="10"/>
  <c r="C1992" i="10"/>
  <c r="B1992" i="10"/>
  <c r="H1993" i="10"/>
  <c r="G1993" i="10"/>
  <c r="F1993" i="10"/>
  <c r="E1993" i="10"/>
  <c r="D1993" i="10"/>
  <c r="C1993" i="10"/>
  <c r="B1993" i="10"/>
  <c r="H1994" i="10"/>
  <c r="G1994" i="10"/>
  <c r="F1994" i="10"/>
  <c r="E1994" i="10"/>
  <c r="D1994" i="10"/>
  <c r="C1994" i="10"/>
  <c r="B1994" i="10"/>
  <c r="H1995" i="10"/>
  <c r="G1995" i="10"/>
  <c r="F1995" i="10"/>
  <c r="E1995" i="10"/>
  <c r="D1995" i="10"/>
  <c r="C1995" i="10"/>
  <c r="B1995" i="10"/>
  <c r="H1996" i="10"/>
  <c r="G1996" i="10"/>
  <c r="F1996" i="10"/>
  <c r="E1996" i="10"/>
  <c r="D1996" i="10"/>
  <c r="C1996" i="10"/>
  <c r="B1996" i="10"/>
  <c r="H1997" i="10"/>
  <c r="G1997" i="10"/>
  <c r="F1997" i="10"/>
  <c r="E1997" i="10"/>
  <c r="D1997" i="10"/>
  <c r="C1997" i="10"/>
  <c r="B1997" i="10"/>
  <c r="H1998" i="10"/>
  <c r="G1998" i="10"/>
  <c r="F1998" i="10"/>
  <c r="E1998" i="10"/>
  <c r="D1998" i="10"/>
  <c r="C1998" i="10"/>
  <c r="B1998" i="10"/>
  <c r="H1999" i="10"/>
  <c r="G1999" i="10"/>
  <c r="F1999" i="10"/>
  <c r="E1999" i="10"/>
  <c r="D1999" i="10"/>
  <c r="C1999" i="10"/>
  <c r="B1999" i="10"/>
  <c r="H2000" i="10"/>
  <c r="G2000" i="10"/>
  <c r="F2000" i="10"/>
  <c r="E2000" i="10"/>
  <c r="D2000" i="10"/>
  <c r="C2000" i="10"/>
  <c r="B2000" i="10"/>
  <c r="H2001" i="10"/>
  <c r="G2001" i="10"/>
  <c r="F2001" i="10"/>
  <c r="E2001" i="10"/>
  <c r="D2001" i="10"/>
  <c r="C2001" i="10"/>
  <c r="B2001" i="10"/>
  <c r="T23" i="8" l="1"/>
  <c r="W23" i="8" s="1"/>
  <c r="L39" i="8"/>
  <c r="O39" i="8" s="1"/>
  <c r="L24" i="8"/>
  <c r="D38" i="8"/>
  <c r="D14" i="8"/>
  <c r="D18" i="8"/>
  <c r="L40" i="8"/>
  <c r="T6" i="8"/>
  <c r="Z6" i="8" s="1"/>
  <c r="L14" i="8"/>
  <c r="O14" i="8" s="1"/>
  <c r="D25" i="8"/>
  <c r="T40" i="8"/>
  <c r="W40" i="8" s="1"/>
  <c r="L10" i="8"/>
  <c r="P10" i="8" s="1"/>
  <c r="L25" i="8"/>
  <c r="P25" i="8" s="1"/>
  <c r="L42" i="8"/>
  <c r="P42" i="8" s="1"/>
  <c r="L11" i="8"/>
  <c r="O11" i="8" s="1"/>
  <c r="T14" i="8"/>
  <c r="X14" i="8" s="1"/>
  <c r="D19" i="8"/>
  <c r="T26" i="8"/>
  <c r="W26" i="8" s="1"/>
  <c r="D44" i="8"/>
  <c r="D7" i="8"/>
  <c r="H7" i="8" s="1"/>
  <c r="D15" i="8"/>
  <c r="J15" i="8" s="1"/>
  <c r="L15" i="8"/>
  <c r="D31" i="8"/>
  <c r="H31" i="8" s="1"/>
  <c r="L48" i="8"/>
  <c r="Q48" i="8" s="1"/>
  <c r="L6" i="8"/>
  <c r="T11" i="8"/>
  <c r="U11" i="8" s="1"/>
  <c r="D28" i="8"/>
  <c r="K28" i="8" s="1"/>
  <c r="AF28" i="8" s="1"/>
  <c r="D12" i="8"/>
  <c r="E12" i="8" s="1"/>
  <c r="D9" i="8"/>
  <c r="I9" i="8" s="1"/>
  <c r="T15" i="8"/>
  <c r="Z15" i="8" s="1"/>
  <c r="T20" i="8"/>
  <c r="L18" i="8"/>
  <c r="N18" i="8" s="1"/>
  <c r="D20" i="8"/>
  <c r="J20" i="8" s="1"/>
  <c r="L31" i="8"/>
  <c r="Q31" i="8" s="1"/>
  <c r="L7" i="8"/>
  <c r="O7" i="8" s="1"/>
  <c r="T19" i="8"/>
  <c r="Z19" i="8" s="1"/>
  <c r="L8" i="8"/>
  <c r="L12" i="8"/>
  <c r="R12" i="8" s="1"/>
  <c r="D21" i="8"/>
  <c r="K21" i="8" s="1"/>
  <c r="AQ21" i="8" s="1"/>
  <c r="L27" i="8"/>
  <c r="N27" i="8" s="1"/>
  <c r="T37" i="8"/>
  <c r="U37" i="8" s="1"/>
  <c r="D46" i="8"/>
  <c r="H46" i="8" s="1"/>
  <c r="D13" i="8"/>
  <c r="K13" i="8" s="1"/>
  <c r="AF13" i="8" s="1"/>
  <c r="D17" i="8"/>
  <c r="G17" i="8" s="1"/>
  <c r="T21" i="8"/>
  <c r="X21" i="8" s="1"/>
  <c r="D35" i="8"/>
  <c r="G35" i="8" s="1"/>
  <c r="L16" i="8"/>
  <c r="N16" i="8" s="1"/>
  <c r="T13" i="8"/>
  <c r="U13" i="8" s="1"/>
  <c r="T22" i="8"/>
  <c r="AA22" i="8" s="1"/>
  <c r="D8" i="8"/>
  <c r="G8" i="8" s="1"/>
  <c r="L45" i="8"/>
  <c r="O45" i="8" s="1"/>
  <c r="L20" i="8"/>
  <c r="O20" i="8" s="1"/>
  <c r="L34" i="8"/>
  <c r="N34" i="8" s="1"/>
  <c r="T9" i="8"/>
  <c r="Y9" i="8" s="1"/>
  <c r="L17" i="8"/>
  <c r="M17" i="8" s="1"/>
  <c r="L35" i="8"/>
  <c r="N35" i="8" s="1"/>
  <c r="T17" i="8"/>
  <c r="U17" i="8" s="1"/>
  <c r="X23" i="8"/>
  <c r="T38" i="8"/>
  <c r="AA38" i="8" s="1"/>
  <c r="U20" i="8"/>
  <c r="V20" i="8"/>
  <c r="AA20" i="8"/>
  <c r="X20" i="8"/>
  <c r="AB13" i="8"/>
  <c r="R31" i="8"/>
  <c r="P31" i="8"/>
  <c r="S31" i="8"/>
  <c r="S24" i="8"/>
  <c r="O24" i="8"/>
  <c r="K35" i="8"/>
  <c r="F35" i="8"/>
  <c r="M40" i="8"/>
  <c r="N40" i="8"/>
  <c r="K44" i="8"/>
  <c r="AB44" i="8" s="1"/>
  <c r="F44" i="8"/>
  <c r="J44" i="8"/>
  <c r="K15" i="8"/>
  <c r="AQ15" i="8" s="1"/>
  <c r="D11" i="8"/>
  <c r="G11" i="8" s="1"/>
  <c r="E18" i="8"/>
  <c r="E25" i="8"/>
  <c r="T47" i="8"/>
  <c r="W47" i="8" s="1"/>
  <c r="S11" i="8"/>
  <c r="U14" i="8"/>
  <c r="L26" i="8"/>
  <c r="M26" i="8" s="1"/>
  <c r="L33" i="8"/>
  <c r="E28" i="8"/>
  <c r="T33" i="8"/>
  <c r="U33" i="8" s="1"/>
  <c r="Q39" i="8"/>
  <c r="T50" i="8"/>
  <c r="Z50" i="8" s="1"/>
  <c r="Z23" i="8"/>
  <c r="S25" i="8"/>
  <c r="J35" i="8"/>
  <c r="D45" i="8"/>
  <c r="I45" i="8" s="1"/>
  <c r="L57" i="8"/>
  <c r="S57" i="8" s="1"/>
  <c r="E35" i="8"/>
  <c r="F13" i="8"/>
  <c r="D29" i="8"/>
  <c r="D30" i="8"/>
  <c r="D39" i="8"/>
  <c r="S15" i="8"/>
  <c r="R15" i="8"/>
  <c r="U23" i="8"/>
  <c r="Y23" i="8"/>
  <c r="N39" i="8"/>
  <c r="P39" i="8"/>
  <c r="R39" i="8"/>
  <c r="S39" i="8"/>
  <c r="T24" i="8"/>
  <c r="V24" i="8" s="1"/>
  <c r="T7" i="8"/>
  <c r="X7" i="8" s="1"/>
  <c r="D6" i="8"/>
  <c r="E6" i="8" s="1"/>
  <c r="D50" i="8"/>
  <c r="K50" i="8" s="1"/>
  <c r="T27" i="8"/>
  <c r="V27" i="8" s="1"/>
  <c r="D24" i="8"/>
  <c r="E24" i="8" s="1"/>
  <c r="L23" i="8"/>
  <c r="L22" i="8"/>
  <c r="D16" i="8"/>
  <c r="L13" i="8"/>
  <c r="T10" i="8"/>
  <c r="W10" i="8" s="1"/>
  <c r="D33" i="8"/>
  <c r="K33" i="8" s="1"/>
  <c r="D32" i="8"/>
  <c r="G32" i="8" s="1"/>
  <c r="T30" i="8"/>
  <c r="X30" i="8" s="1"/>
  <c r="L21" i="8"/>
  <c r="P21" i="8" s="1"/>
  <c r="L28" i="8"/>
  <c r="M28" i="8" s="1"/>
  <c r="L19" i="8"/>
  <c r="M19" i="8" s="1"/>
  <c r="T16" i="8"/>
  <c r="T12" i="8"/>
  <c r="W12" i="8" s="1"/>
  <c r="D10" i="8"/>
  <c r="F10" i="8" s="1"/>
  <c r="L9" i="8"/>
  <c r="S9" i="8" s="1"/>
  <c r="T8" i="8"/>
  <c r="X8" i="8" s="1"/>
  <c r="T52" i="8"/>
  <c r="V52" i="8" s="1"/>
  <c r="D48" i="8"/>
  <c r="F48" i="8" s="1"/>
  <c r="T35" i="8"/>
  <c r="U35" i="8" s="1"/>
  <c r="L29" i="8"/>
  <c r="N29" i="8" s="1"/>
  <c r="D51" i="8"/>
  <c r="I51" i="8" s="1"/>
  <c r="L46" i="8"/>
  <c r="S46" i="8" s="1"/>
  <c r="L44" i="8"/>
  <c r="Q44" i="8" s="1"/>
  <c r="D43" i="8"/>
  <c r="T34" i="8"/>
  <c r="U34" i="8" s="1"/>
  <c r="E17" i="8"/>
  <c r="R11" i="8"/>
  <c r="D37" i="8"/>
  <c r="I37" i="8" s="1"/>
  <c r="T43" i="8"/>
  <c r="V43" i="8" s="1"/>
  <c r="S20" i="8"/>
  <c r="M20" i="8"/>
  <c r="Q20" i="8"/>
  <c r="G7" i="8"/>
  <c r="H8" i="8"/>
  <c r="N20" i="8"/>
  <c r="Y6" i="8"/>
  <c r="Q11" i="8"/>
  <c r="K19" i="8"/>
  <c r="AE19" i="8" s="1"/>
  <c r="E19" i="8"/>
  <c r="J19" i="8"/>
  <c r="P24" i="8"/>
  <c r="T39" i="8"/>
  <c r="AA39" i="8" s="1"/>
  <c r="H44" i="8"/>
  <c r="T46" i="8"/>
  <c r="AA46" i="8" s="1"/>
  <c r="J13" i="8"/>
  <c r="I13" i="8"/>
  <c r="X6" i="8"/>
  <c r="J8" i="8"/>
  <c r="K8" i="8" s="1"/>
  <c r="AQ8" i="8" s="1"/>
  <c r="CC8" i="8" s="1"/>
  <c r="P11" i="8"/>
  <c r="K14" i="8"/>
  <c r="F14" i="8"/>
  <c r="M24" i="8"/>
  <c r="D34" i="8"/>
  <c r="E44" i="8"/>
  <c r="T29" i="8"/>
  <c r="Y29" i="8" s="1"/>
  <c r="L30" i="8"/>
  <c r="T36" i="8"/>
  <c r="X36" i="8" s="1"/>
  <c r="D40" i="8"/>
  <c r="F40" i="8" s="1"/>
  <c r="T41" i="8"/>
  <c r="V41" i="8" s="1"/>
  <c r="L43" i="8"/>
  <c r="D56" i="8"/>
  <c r="K56" i="8" s="1"/>
  <c r="L37" i="8"/>
  <c r="S37" i="8" s="1"/>
  <c r="D42" i="8"/>
  <c r="H42" i="8" s="1"/>
  <c r="T44" i="8"/>
  <c r="V44" i="8" s="1"/>
  <c r="L58" i="8"/>
  <c r="O58" i="8" s="1"/>
  <c r="T18" i="8"/>
  <c r="X18" i="8" s="1"/>
  <c r="D22" i="8"/>
  <c r="D23" i="8"/>
  <c r="D27" i="8"/>
  <c r="T28" i="8"/>
  <c r="Z28" i="8" s="1"/>
  <c r="L32" i="8"/>
  <c r="T42" i="8"/>
  <c r="U42" i="8" s="1"/>
  <c r="D49" i="8"/>
  <c r="H49" i="8" s="1"/>
  <c r="D36" i="8"/>
  <c r="G36" i="8" s="1"/>
  <c r="L38" i="8"/>
  <c r="Q38" i="8" s="1"/>
  <c r="D41" i="8"/>
  <c r="G41" i="8" s="1"/>
  <c r="T45" i="8"/>
  <c r="AA45" i="8" s="1"/>
  <c r="T25" i="8"/>
  <c r="X25" i="8" s="1"/>
  <c r="D26" i="8"/>
  <c r="T31" i="8"/>
  <c r="U31" i="8" s="1"/>
  <c r="T32" i="8"/>
  <c r="V32" i="8" s="1"/>
  <c r="L36" i="8"/>
  <c r="N36" i="8" s="1"/>
  <c r="L41" i="8"/>
  <c r="AR8" i="8"/>
  <c r="O13" i="8"/>
  <c r="R13" i="8"/>
  <c r="S13" i="8"/>
  <c r="O6" i="8"/>
  <c r="P6" i="8"/>
  <c r="E7" i="8"/>
  <c r="K12" i="8"/>
  <c r="G12" i="8"/>
  <c r="H12" i="8"/>
  <c r="N8" i="8"/>
  <c r="Q8" i="8"/>
  <c r="R8" i="8"/>
  <c r="N13" i="8"/>
  <c r="S12" i="8"/>
  <c r="M12" i="8"/>
  <c r="O12" i="8"/>
  <c r="Q12" i="8"/>
  <c r="AA6" i="8"/>
  <c r="P12" i="8"/>
  <c r="N12" i="8"/>
  <c r="W11" i="8"/>
  <c r="Z11" i="8"/>
  <c r="AA11" i="8"/>
  <c r="Q17" i="8"/>
  <c r="R17" i="8"/>
  <c r="O17" i="8"/>
  <c r="S17" i="8"/>
  <c r="N17" i="8"/>
  <c r="P17" i="8"/>
  <c r="AA17" i="8"/>
  <c r="F7" i="8"/>
  <c r="M13" i="8"/>
  <c r="U6" i="8"/>
  <c r="V6" i="8"/>
  <c r="O8" i="8"/>
  <c r="AC13" i="8"/>
  <c r="W6" i="8"/>
  <c r="P8" i="8"/>
  <c r="N6" i="8"/>
  <c r="I7" i="8"/>
  <c r="J10" i="8"/>
  <c r="K10" i="8" s="1"/>
  <c r="AB10" i="8" s="1"/>
  <c r="X11" i="8"/>
  <c r="I12" i="8"/>
  <c r="Q13" i="8"/>
  <c r="Q6" i="8"/>
  <c r="J7" i="8"/>
  <c r="K7" i="8" s="1"/>
  <c r="AD7" i="8" s="1"/>
  <c r="AA7" i="8"/>
  <c r="M8" i="8"/>
  <c r="Y11" i="8"/>
  <c r="J12" i="8"/>
  <c r="Z7" i="8"/>
  <c r="F9" i="8"/>
  <c r="M6" i="8"/>
  <c r="R6" i="8" s="1"/>
  <c r="S6" i="8" s="1"/>
  <c r="S8" i="8"/>
  <c r="I10" i="8"/>
  <c r="E11" i="8"/>
  <c r="V11" i="8"/>
  <c r="F12" i="8"/>
  <c r="P13" i="8"/>
  <c r="G13" i="8"/>
  <c r="E13" i="8"/>
  <c r="AA14" i="8"/>
  <c r="N15" i="8"/>
  <c r="Z14" i="8"/>
  <c r="Y21" i="8"/>
  <c r="Q15" i="8"/>
  <c r="O15" i="8"/>
  <c r="P15" i="8"/>
  <c r="M15" i="8"/>
  <c r="V21" i="8"/>
  <c r="V14" i="8"/>
  <c r="Q24" i="8"/>
  <c r="Y27" i="8"/>
  <c r="G18" i="8"/>
  <c r="S18" i="8"/>
  <c r="N24" i="8"/>
  <c r="R24" i="8"/>
  <c r="X27" i="8"/>
  <c r="J17" i="8"/>
  <c r="K17" i="8"/>
  <c r="Q18" i="8"/>
  <c r="I19" i="8"/>
  <c r="Z20" i="8"/>
  <c r="Y22" i="8"/>
  <c r="I25" i="8"/>
  <c r="P18" i="8"/>
  <c r="Y20" i="8"/>
  <c r="F25" i="8"/>
  <c r="U22" i="8"/>
  <c r="V22" i="8"/>
  <c r="X22" i="8"/>
  <c r="G25" i="8"/>
  <c r="H25" i="8"/>
  <c r="AE28" i="8"/>
  <c r="AB28" i="8"/>
  <c r="W20" i="8"/>
  <c r="P26" i="8"/>
  <c r="Q26" i="8"/>
  <c r="N26" i="8"/>
  <c r="R26" i="8"/>
  <c r="S27" i="8"/>
  <c r="M27" i="8"/>
  <c r="P27" i="8"/>
  <c r="Q27" i="8"/>
  <c r="I14" i="8"/>
  <c r="J18" i="8"/>
  <c r="R27" i="8"/>
  <c r="I18" i="8"/>
  <c r="P19" i="8"/>
  <c r="O27" i="8"/>
  <c r="N31" i="8"/>
  <c r="V23" i="8"/>
  <c r="N25" i="8"/>
  <c r="Q25" i="8"/>
  <c r="M31" i="8"/>
  <c r="K38" i="8"/>
  <c r="G38" i="8"/>
  <c r="E38" i="8"/>
  <c r="F38" i="8"/>
  <c r="H38" i="8"/>
  <c r="I38" i="8"/>
  <c r="J38" i="8"/>
  <c r="I21" i="8"/>
  <c r="R25" i="8"/>
  <c r="J28" i="8"/>
  <c r="F29" i="8"/>
  <c r="P33" i="8"/>
  <c r="H28" i="8"/>
  <c r="N33" i="8"/>
  <c r="O33" i="8"/>
  <c r="Q33" i="8"/>
  <c r="G21" i="8"/>
  <c r="O25" i="8"/>
  <c r="G28" i="8"/>
  <c r="AA23" i="8"/>
  <c r="F28" i="8"/>
  <c r="O42" i="8"/>
  <c r="Q42" i="8"/>
  <c r="R42" i="8"/>
  <c r="AE44" i="8"/>
  <c r="R40" i="8"/>
  <c r="N42" i="8"/>
  <c r="Z37" i="8"/>
  <c r="Q40" i="8"/>
  <c r="M42" i="8"/>
  <c r="AA43" i="8"/>
  <c r="Y37" i="8"/>
  <c r="P40" i="8"/>
  <c r="O40" i="8"/>
  <c r="S40" i="8"/>
  <c r="AD44" i="8"/>
  <c r="S42" i="8"/>
  <c r="N57" i="8"/>
  <c r="P57" i="8"/>
  <c r="R57" i="8"/>
  <c r="M57" i="8"/>
  <c r="Q57" i="8"/>
  <c r="O57" i="8"/>
  <c r="T63" i="8"/>
  <c r="T59" i="8"/>
  <c r="L65" i="8"/>
  <c r="L61" i="8"/>
  <c r="D65" i="8"/>
  <c r="D61" i="8"/>
  <c r="T65" i="8"/>
  <c r="T61" i="8"/>
  <c r="L63" i="8"/>
  <c r="L59" i="8"/>
  <c r="D63" i="8"/>
  <c r="D59" i="8"/>
  <c r="T57" i="8"/>
  <c r="D53" i="8"/>
  <c r="L60" i="8"/>
  <c r="T53" i="8"/>
  <c r="T62" i="8"/>
  <c r="D60" i="8"/>
  <c r="L55" i="8"/>
  <c r="D64" i="8"/>
  <c r="L62" i="8"/>
  <c r="T60" i="8"/>
  <c r="L53" i="8"/>
  <c r="L49" i="8"/>
  <c r="D57" i="8"/>
  <c r="L56" i="8"/>
  <c r="L54" i="8"/>
  <c r="D55" i="8"/>
  <c r="D54" i="8"/>
  <c r="T51" i="8"/>
  <c r="D62" i="8"/>
  <c r="T58" i="8"/>
  <c r="T56" i="8"/>
  <c r="T55" i="8"/>
  <c r="T64" i="8"/>
  <c r="L64" i="8"/>
  <c r="T54" i="8"/>
  <c r="L50" i="8"/>
  <c r="D52" i="8"/>
  <c r="L51" i="8"/>
  <c r="T48" i="8"/>
  <c r="V47" i="8"/>
  <c r="L52" i="8"/>
  <c r="T49" i="8"/>
  <c r="I44" i="8"/>
  <c r="D47" i="8"/>
  <c r="G44" i="8"/>
  <c r="L47" i="8"/>
  <c r="D58" i="8"/>
  <c r="AC8" i="8"/>
  <c r="AD8" i="8"/>
  <c r="AE8" i="8"/>
  <c r="AF8" i="8"/>
  <c r="AS8" i="8"/>
  <c r="B8" i="11" s="1"/>
  <c r="BW8" i="8"/>
  <c r="BZ8" i="8"/>
  <c r="CF8" i="8" s="1"/>
  <c r="CA8" i="8"/>
  <c r="H21" i="8" l="1"/>
  <c r="E21" i="8"/>
  <c r="I6" i="8"/>
  <c r="R45" i="8"/>
  <c r="I28" i="8"/>
  <c r="AC28" i="8"/>
  <c r="AQ28" i="8"/>
  <c r="AD28" i="8"/>
  <c r="F6" i="8"/>
  <c r="F50" i="8"/>
  <c r="X13" i="8"/>
  <c r="R48" i="8"/>
  <c r="H50" i="8"/>
  <c r="G50" i="8"/>
  <c r="AA13" i="8"/>
  <c r="W19" i="8"/>
  <c r="Z13" i="8"/>
  <c r="O28" i="8"/>
  <c r="V19" i="8"/>
  <c r="W13" i="8"/>
  <c r="M48" i="8"/>
  <c r="U19" i="8"/>
  <c r="V13" i="8"/>
  <c r="P48" i="8"/>
  <c r="M46" i="8"/>
  <c r="Y19" i="8"/>
  <c r="P46" i="8"/>
  <c r="X19" i="8"/>
  <c r="Y13" i="8"/>
  <c r="Q10" i="8"/>
  <c r="AA19" i="8"/>
  <c r="I15" i="8"/>
  <c r="Z33" i="8"/>
  <c r="AA33" i="8"/>
  <c r="Y33" i="8"/>
  <c r="P14" i="8"/>
  <c r="X33" i="8"/>
  <c r="V33" i="8"/>
  <c r="E15" i="8"/>
  <c r="AA40" i="8"/>
  <c r="M7" i="8"/>
  <c r="W33" i="8"/>
  <c r="V50" i="8"/>
  <c r="X50" i="8"/>
  <c r="Y40" i="8"/>
  <c r="P7" i="8"/>
  <c r="Z24" i="8"/>
  <c r="F31" i="8"/>
  <c r="W38" i="8"/>
  <c r="Y24" i="8"/>
  <c r="W24" i="8"/>
  <c r="O16" i="8"/>
  <c r="X24" i="8"/>
  <c r="I42" i="8"/>
  <c r="AA24" i="8"/>
  <c r="F32" i="8"/>
  <c r="U24" i="8"/>
  <c r="Z40" i="8"/>
  <c r="J32" i="8"/>
  <c r="W50" i="8"/>
  <c r="U40" i="8"/>
  <c r="H32" i="8"/>
  <c r="I32" i="8"/>
  <c r="Y50" i="8"/>
  <c r="K32" i="8"/>
  <c r="AF32" i="8" s="1"/>
  <c r="X40" i="8"/>
  <c r="E32" i="8"/>
  <c r="U38" i="8"/>
  <c r="M18" i="8"/>
  <c r="P9" i="8"/>
  <c r="H51" i="8"/>
  <c r="G6" i="8"/>
  <c r="M35" i="8"/>
  <c r="R9" i="8"/>
  <c r="I17" i="8"/>
  <c r="J48" i="8"/>
  <c r="G33" i="8"/>
  <c r="Y38" i="8"/>
  <c r="BP8" i="8"/>
  <c r="Y8" i="11" s="1"/>
  <c r="AB8" i="8"/>
  <c r="BR8" i="8"/>
  <c r="AA8" i="11" s="1"/>
  <c r="H48" i="8"/>
  <c r="BY8" i="8"/>
  <c r="I11" i="8"/>
  <c r="J11" i="8"/>
  <c r="K11" i="8" s="1"/>
  <c r="AQ11" i="8" s="1"/>
  <c r="BY11" i="8" s="1"/>
  <c r="F11" i="8"/>
  <c r="J33" i="8"/>
  <c r="CD8" i="8"/>
  <c r="I48" i="8"/>
  <c r="AC19" i="8"/>
  <c r="BE8" i="8"/>
  <c r="N8" i="11" s="1"/>
  <c r="BI8" i="8"/>
  <c r="R8" i="11" s="1"/>
  <c r="G48" i="8"/>
  <c r="AF19" i="8"/>
  <c r="H11" i="8"/>
  <c r="BN8" i="8"/>
  <c r="W8" i="11" s="1"/>
  <c r="AY8" i="8"/>
  <c r="H8" i="11" s="1"/>
  <c r="E48" i="8"/>
  <c r="K48" i="8"/>
  <c r="AB48" i="8" s="1"/>
  <c r="AD19" i="8"/>
  <c r="BH8" i="8"/>
  <c r="Q8" i="11" s="1"/>
  <c r="BC8" i="8"/>
  <c r="L8" i="11" s="1"/>
  <c r="AX8" i="8"/>
  <c r="G8" i="11" s="1"/>
  <c r="Z42" i="8"/>
  <c r="BD8" i="8"/>
  <c r="M8" i="11" s="1"/>
  <c r="BK8" i="8"/>
  <c r="T8" i="11" s="1"/>
  <c r="AW8" i="8"/>
  <c r="F8" i="11" s="1"/>
  <c r="AT8" i="8"/>
  <c r="C8" i="11" s="1"/>
  <c r="BU8" i="8"/>
  <c r="AD8" i="11" s="1"/>
  <c r="AZ8" i="8"/>
  <c r="I8" i="11" s="1"/>
  <c r="BS8" i="8"/>
  <c r="AB8" i="11" s="1"/>
  <c r="O18" i="8"/>
  <c r="R19" i="8"/>
  <c r="AD10" i="8"/>
  <c r="BV8" i="8"/>
  <c r="AE8" i="11" s="1"/>
  <c r="BX8" i="8"/>
  <c r="O19" i="8"/>
  <c r="AE13" i="8"/>
  <c r="N44" i="8"/>
  <c r="AA41" i="8"/>
  <c r="I35" i="8"/>
  <c r="O44" i="8"/>
  <c r="AD13" i="8"/>
  <c r="AI13" i="8" s="1"/>
  <c r="AN13" i="8" s="1"/>
  <c r="K42" i="8"/>
  <c r="AD42" i="8" s="1"/>
  <c r="AI42" i="8" s="1"/>
  <c r="Y46" i="8"/>
  <c r="Y39" i="8"/>
  <c r="M25" i="8"/>
  <c r="S35" i="8"/>
  <c r="AF7" i="8"/>
  <c r="X29" i="8"/>
  <c r="AE7" i="8"/>
  <c r="P45" i="8"/>
  <c r="W39" i="8"/>
  <c r="AA29" i="8"/>
  <c r="X43" i="8"/>
  <c r="W43" i="8"/>
  <c r="U43" i="8"/>
  <c r="S28" i="8"/>
  <c r="AG28" i="8" s="1"/>
  <c r="Z18" i="8"/>
  <c r="M45" i="8"/>
  <c r="F17" i="8"/>
  <c r="AA25" i="8"/>
  <c r="E8" i="8"/>
  <c r="Z45" i="8"/>
  <c r="Q35" i="8"/>
  <c r="Z22" i="8"/>
  <c r="F8" i="8"/>
  <c r="K20" i="8"/>
  <c r="Q58" i="8"/>
  <c r="U45" i="8"/>
  <c r="Z21" i="8"/>
  <c r="AF15" i="8"/>
  <c r="AK15" i="8" s="1"/>
  <c r="AA10" i="8"/>
  <c r="R20" i="8"/>
  <c r="O48" i="8"/>
  <c r="G20" i="8"/>
  <c r="X52" i="8"/>
  <c r="X45" i="8"/>
  <c r="AA21" i="8"/>
  <c r="U10" i="8"/>
  <c r="N46" i="8"/>
  <c r="W21" i="8"/>
  <c r="F15" i="8"/>
  <c r="G15" i="8"/>
  <c r="I8" i="8"/>
  <c r="Q21" i="8"/>
  <c r="U21" i="8"/>
  <c r="X17" i="8"/>
  <c r="Y10" i="8"/>
  <c r="P20" i="8"/>
  <c r="S14" i="8"/>
  <c r="H15" i="8"/>
  <c r="Z52" i="8"/>
  <c r="V17" i="8"/>
  <c r="V10" i="8"/>
  <c r="J21" i="8"/>
  <c r="N14" i="8"/>
  <c r="F21" i="8"/>
  <c r="E51" i="8"/>
  <c r="X10" i="8"/>
  <c r="W17" i="8"/>
  <c r="AB15" i="8"/>
  <c r="AG15" i="8" s="1"/>
  <c r="Z10" i="8"/>
  <c r="W52" i="8"/>
  <c r="U52" i="8"/>
  <c r="Z17" i="8"/>
  <c r="R14" i="8"/>
  <c r="M14" i="8"/>
  <c r="I40" i="8"/>
  <c r="Y17" i="8"/>
  <c r="H20" i="8"/>
  <c r="Y52" i="8"/>
  <c r="F20" i="8"/>
  <c r="G56" i="8"/>
  <c r="S45" i="8"/>
  <c r="Q14" i="8"/>
  <c r="E20" i="8"/>
  <c r="AA52" i="8"/>
  <c r="I20" i="8"/>
  <c r="M34" i="8"/>
  <c r="Z26" i="8"/>
  <c r="V15" i="8"/>
  <c r="U26" i="8"/>
  <c r="Y26" i="8"/>
  <c r="AY28" i="8"/>
  <c r="H28" i="11" s="1"/>
  <c r="BN28" i="8"/>
  <c r="W28" i="11" s="1"/>
  <c r="AA15" i="8"/>
  <c r="X9" i="8"/>
  <c r="F49" i="8"/>
  <c r="H45" i="8"/>
  <c r="J56" i="8"/>
  <c r="AC44" i="8"/>
  <c r="X37" i="8"/>
  <c r="AA37" i="8"/>
  <c r="AX28" i="8"/>
  <c r="G28" i="11" s="1"/>
  <c r="P16" i="8"/>
  <c r="Y7" i="8"/>
  <c r="U9" i="8"/>
  <c r="R35" i="8"/>
  <c r="I46" i="8"/>
  <c r="H56" i="8"/>
  <c r="Q34" i="8"/>
  <c r="G24" i="8"/>
  <c r="BB28" i="8"/>
  <c r="K28" i="11" s="1"/>
  <c r="CB28" i="8"/>
  <c r="G9" i="8"/>
  <c r="Z9" i="8"/>
  <c r="P35" i="8"/>
  <c r="O34" i="8"/>
  <c r="E46" i="8"/>
  <c r="AI8" i="8"/>
  <c r="V26" i="8"/>
  <c r="F46" i="8"/>
  <c r="X34" i="8"/>
  <c r="AJ8" i="8"/>
  <c r="G46" i="8"/>
  <c r="I56" i="8"/>
  <c r="K24" i="8"/>
  <c r="AD24" i="8" s="1"/>
  <c r="AI24" i="8" s="1"/>
  <c r="AN24" i="8" s="1"/>
  <c r="BS28" i="8"/>
  <c r="AB28" i="11" s="1"/>
  <c r="AH8" i="8"/>
  <c r="CD11" i="8"/>
  <c r="K46" i="8"/>
  <c r="F56" i="8"/>
  <c r="V37" i="8"/>
  <c r="AA42" i="8"/>
  <c r="R29" i="8"/>
  <c r="Z34" i="8"/>
  <c r="BL28" i="8"/>
  <c r="U28" i="11" s="1"/>
  <c r="W29" i="8"/>
  <c r="O35" i="8"/>
  <c r="AA26" i="8"/>
  <c r="H17" i="8"/>
  <c r="Y15" i="8"/>
  <c r="J49" i="8"/>
  <c r="E56" i="8"/>
  <c r="O37" i="8"/>
  <c r="BU28" i="8"/>
  <c r="AD28" i="11" s="1"/>
  <c r="AC11" i="8"/>
  <c r="AH11" i="8" s="1"/>
  <c r="AM11" i="8" s="1"/>
  <c r="R58" i="8"/>
  <c r="J45" i="8"/>
  <c r="AA34" i="8"/>
  <c r="N37" i="8"/>
  <c r="BW28" i="8"/>
  <c r="BO28" i="8"/>
  <c r="X28" i="11" s="1"/>
  <c r="R16" i="8"/>
  <c r="H9" i="8"/>
  <c r="U7" i="8"/>
  <c r="W7" i="8"/>
  <c r="J9" i="8"/>
  <c r="K9" i="8" s="1"/>
  <c r="R18" i="8"/>
  <c r="AB11" i="8"/>
  <c r="AG11" i="8" s="1"/>
  <c r="AL11" i="8" s="1"/>
  <c r="P58" i="8"/>
  <c r="J46" i="8"/>
  <c r="W37" i="8"/>
  <c r="Y34" i="8"/>
  <c r="W30" i="8"/>
  <c r="J42" i="8"/>
  <c r="M37" i="8"/>
  <c r="BH28" i="8"/>
  <c r="Q28" i="11" s="1"/>
  <c r="BC28" i="8"/>
  <c r="L28" i="11" s="1"/>
  <c r="N9" i="8"/>
  <c r="E9" i="8"/>
  <c r="AQ13" i="8"/>
  <c r="BI13" i="8" s="1"/>
  <c r="R13" i="11" s="1"/>
  <c r="M39" i="8"/>
  <c r="M58" i="8"/>
  <c r="V34" i="8"/>
  <c r="X26" i="8"/>
  <c r="BA28" i="8"/>
  <c r="J28" i="11" s="1"/>
  <c r="AW28" i="8"/>
  <c r="F28" i="11" s="1"/>
  <c r="U15" i="8"/>
  <c r="V9" i="8"/>
  <c r="H13" i="8"/>
  <c r="H35" i="8"/>
  <c r="O31" i="8"/>
  <c r="CE28" i="8"/>
  <c r="X15" i="8"/>
  <c r="V45" i="8"/>
  <c r="AF44" i="8"/>
  <c r="P29" i="8"/>
  <c r="W34" i="8"/>
  <c r="BF28" i="8"/>
  <c r="O28" i="11" s="1"/>
  <c r="AZ28" i="8"/>
  <c r="I28" i="11" s="1"/>
  <c r="W15" i="8"/>
  <c r="S34" i="8"/>
  <c r="R7" i="8"/>
  <c r="M10" i="8"/>
  <c r="S10" i="8"/>
  <c r="AG10" i="8" s="1"/>
  <c r="O10" i="8"/>
  <c r="N10" i="8"/>
  <c r="H41" i="8"/>
  <c r="H37" i="8"/>
  <c r="Z44" i="8"/>
  <c r="X28" i="8"/>
  <c r="AC10" i="8"/>
  <c r="N58" i="8"/>
  <c r="AQ44" i="8"/>
  <c r="BN44" i="8" s="1"/>
  <c r="W44" i="11" s="1"/>
  <c r="V38" i="8"/>
  <c r="U28" i="8"/>
  <c r="V18" i="8"/>
  <c r="Q9" i="8"/>
  <c r="BL8" i="8"/>
  <c r="U8" i="11" s="1"/>
  <c r="BA8" i="8"/>
  <c r="J8" i="11" s="1"/>
  <c r="P34" i="8"/>
  <c r="Q45" i="8"/>
  <c r="G31" i="8"/>
  <c r="S48" i="8"/>
  <c r="K25" i="8"/>
  <c r="J25" i="8"/>
  <c r="J31" i="8"/>
  <c r="AK8" i="8"/>
  <c r="S58" i="8"/>
  <c r="V36" i="8"/>
  <c r="S16" i="8"/>
  <c r="Q7" i="8"/>
  <c r="K31" i="8"/>
  <c r="AQ31" i="8" s="1"/>
  <c r="N48" i="8"/>
  <c r="J36" i="8"/>
  <c r="N45" i="8"/>
  <c r="E31" i="8"/>
  <c r="V40" i="8"/>
  <c r="I31" i="8"/>
  <c r="S7" i="8"/>
  <c r="AI7" i="8" s="1"/>
  <c r="AN7" i="8" s="1"/>
  <c r="X38" i="8"/>
  <c r="W9" i="8"/>
  <c r="AA9" i="8"/>
  <c r="K18" i="8"/>
  <c r="F18" i="8"/>
  <c r="H18" i="8"/>
  <c r="Z38" i="8"/>
  <c r="Q16" i="8"/>
  <c r="G19" i="8"/>
  <c r="F19" i="8"/>
  <c r="H19" i="8"/>
  <c r="J14" i="8"/>
  <c r="E14" i="8"/>
  <c r="H14" i="8"/>
  <c r="G14" i="8"/>
  <c r="Q46" i="8"/>
  <c r="AA44" i="8"/>
  <c r="R46" i="8"/>
  <c r="K40" i="8"/>
  <c r="AQ40" i="8" s="1"/>
  <c r="K36" i="8"/>
  <c r="AB36" i="8" s="1"/>
  <c r="I36" i="8"/>
  <c r="R37" i="8"/>
  <c r="W18" i="8"/>
  <c r="E10" i="8"/>
  <c r="O9" i="8"/>
  <c r="M9" i="8"/>
  <c r="M16" i="8"/>
  <c r="W14" i="8"/>
  <c r="Y14" i="8"/>
  <c r="AG8" i="8"/>
  <c r="G40" i="8"/>
  <c r="AA28" i="8"/>
  <c r="AF11" i="8"/>
  <c r="AK11" i="8" s="1"/>
  <c r="AP11" i="8" s="1"/>
  <c r="AE11" i="8"/>
  <c r="AJ11" i="8" s="1"/>
  <c r="AO11" i="8" s="1"/>
  <c r="O46" i="8"/>
  <c r="Q37" i="8"/>
  <c r="R34" i="8"/>
  <c r="M11" i="8"/>
  <c r="N11" i="8"/>
  <c r="Z43" i="8"/>
  <c r="Y43" i="8"/>
  <c r="P37" i="8"/>
  <c r="W22" i="8"/>
  <c r="N7" i="8"/>
  <c r="R10" i="8"/>
  <c r="AA31" i="8"/>
  <c r="X31" i="8"/>
  <c r="I27" i="8"/>
  <c r="H27" i="8"/>
  <c r="J27" i="8"/>
  <c r="K27" i="8"/>
  <c r="E27" i="8"/>
  <c r="F27" i="8"/>
  <c r="G27" i="8"/>
  <c r="G37" i="8"/>
  <c r="K37" i="8"/>
  <c r="AC37" i="8" s="1"/>
  <c r="AH37" i="8" s="1"/>
  <c r="F37" i="8"/>
  <c r="F51" i="8"/>
  <c r="K51" i="8"/>
  <c r="AE51" i="8" s="1"/>
  <c r="AA32" i="8"/>
  <c r="Y32" i="8"/>
  <c r="W32" i="8"/>
  <c r="Z32" i="8"/>
  <c r="X32" i="8"/>
  <c r="V31" i="8"/>
  <c r="W31" i="8"/>
  <c r="Y31" i="8"/>
  <c r="Z31" i="8"/>
  <c r="I23" i="8"/>
  <c r="E23" i="8"/>
  <c r="G23" i="8"/>
  <c r="J23" i="8"/>
  <c r="F23" i="8"/>
  <c r="H23" i="8"/>
  <c r="K23" i="8"/>
  <c r="E26" i="8"/>
  <c r="G26" i="8"/>
  <c r="F26" i="8"/>
  <c r="H26" i="8"/>
  <c r="I26" i="8"/>
  <c r="J26" i="8"/>
  <c r="K26" i="8"/>
  <c r="U36" i="8"/>
  <c r="Y36" i="8"/>
  <c r="Z36" i="8"/>
  <c r="AA36" i="8"/>
  <c r="W36" i="8"/>
  <c r="G51" i="8"/>
  <c r="AQ10" i="8"/>
  <c r="BQ10" i="8" s="1"/>
  <c r="Z10" i="11" s="1"/>
  <c r="AE10" i="8"/>
  <c r="AF10" i="8"/>
  <c r="U32" i="8"/>
  <c r="J51" i="8"/>
  <c r="AQ7" i="8"/>
  <c r="BR7" i="8" s="1"/>
  <c r="AA7" i="11" s="1"/>
  <c r="AB7" i="8"/>
  <c r="AC7" i="8"/>
  <c r="E37" i="8"/>
  <c r="J37" i="8"/>
  <c r="P38" i="8"/>
  <c r="M38" i="8"/>
  <c r="O38" i="8"/>
  <c r="N38" i="8"/>
  <c r="S38" i="8"/>
  <c r="R38" i="8"/>
  <c r="Y42" i="8"/>
  <c r="Q29" i="8"/>
  <c r="BT28" i="8"/>
  <c r="AC28" i="11" s="1"/>
  <c r="AR28" i="8"/>
  <c r="V29" i="8"/>
  <c r="BJ8" i="8"/>
  <c r="S8" i="11" s="1"/>
  <c r="AV8" i="8"/>
  <c r="E8" i="11" s="1"/>
  <c r="BO8" i="8"/>
  <c r="X8" i="11" s="1"/>
  <c r="AU8" i="8"/>
  <c r="D8" i="11" s="1"/>
  <c r="E36" i="8"/>
  <c r="H36" i="8"/>
  <c r="F36" i="8"/>
  <c r="AF14" i="8"/>
  <c r="AC14" i="8"/>
  <c r="AQ14" i="8"/>
  <c r="AD14" i="8"/>
  <c r="AB14" i="8"/>
  <c r="AE14" i="8"/>
  <c r="G10" i="8"/>
  <c r="H10" i="8"/>
  <c r="N22" i="8"/>
  <c r="M22" i="8"/>
  <c r="R22" i="8"/>
  <c r="O22" i="8"/>
  <c r="P22" i="8"/>
  <c r="Q22" i="8"/>
  <c r="S22" i="8"/>
  <c r="K45" i="8"/>
  <c r="F45" i="8"/>
  <c r="E45" i="8"/>
  <c r="G45" i="8"/>
  <c r="BM28" i="8"/>
  <c r="V28" i="11" s="1"/>
  <c r="CD28" i="8"/>
  <c r="U29" i="8"/>
  <c r="BF8" i="8"/>
  <c r="O8" i="11" s="1"/>
  <c r="H6" i="8"/>
  <c r="K49" i="8"/>
  <c r="G49" i="8"/>
  <c r="E49" i="8"/>
  <c r="U12" i="8"/>
  <c r="Z12" i="8"/>
  <c r="V12" i="8"/>
  <c r="X12" i="8"/>
  <c r="AA12" i="8"/>
  <c r="Y12" i="8"/>
  <c r="M23" i="8"/>
  <c r="O23" i="8"/>
  <c r="R23" i="8"/>
  <c r="Q23" i="8"/>
  <c r="S23" i="8"/>
  <c r="N23" i="8"/>
  <c r="P23" i="8"/>
  <c r="M43" i="8"/>
  <c r="O43" i="8"/>
  <c r="Q43" i="8"/>
  <c r="S43" i="8"/>
  <c r="N43" i="8"/>
  <c r="P43" i="8"/>
  <c r="R43" i="8"/>
  <c r="BQ8" i="8"/>
  <c r="Z8" i="11" s="1"/>
  <c r="BB8" i="8"/>
  <c r="K8" i="11" s="1"/>
  <c r="AB19" i="8"/>
  <c r="AQ19" i="8"/>
  <c r="I43" i="8"/>
  <c r="J43" i="8"/>
  <c r="E43" i="8"/>
  <c r="F43" i="8"/>
  <c r="G43" i="8"/>
  <c r="K43" i="8"/>
  <c r="H43" i="8"/>
  <c r="Y16" i="8"/>
  <c r="X16" i="8"/>
  <c r="Z16" i="8"/>
  <c r="AA16" i="8"/>
  <c r="V16" i="8"/>
  <c r="U16" i="8"/>
  <c r="W16" i="8"/>
  <c r="I24" i="8"/>
  <c r="F24" i="8"/>
  <c r="J24" i="8"/>
  <c r="H24" i="8"/>
  <c r="AE31" i="8"/>
  <c r="AJ31" i="8" s="1"/>
  <c r="N41" i="8"/>
  <c r="S41" i="8"/>
  <c r="O41" i="8"/>
  <c r="P41" i="8"/>
  <c r="Q41" i="8"/>
  <c r="M41" i="8"/>
  <c r="R41" i="8"/>
  <c r="N32" i="8"/>
  <c r="O32" i="8"/>
  <c r="P32" i="8"/>
  <c r="S32" i="8"/>
  <c r="M32" i="8"/>
  <c r="Q32" i="8"/>
  <c r="R32" i="8"/>
  <c r="U41" i="8"/>
  <c r="W41" i="8"/>
  <c r="Y41" i="8"/>
  <c r="Z41" i="8"/>
  <c r="S44" i="8"/>
  <c r="M44" i="8"/>
  <c r="P44" i="8"/>
  <c r="R44" i="8"/>
  <c r="Q19" i="8"/>
  <c r="S19" i="8"/>
  <c r="AF21" i="8"/>
  <c r="AB21" i="8"/>
  <c r="AC21" i="8"/>
  <c r="AD21" i="8"/>
  <c r="AE21" i="8"/>
  <c r="X41" i="8"/>
  <c r="X42" i="8"/>
  <c r="CC28" i="8"/>
  <c r="N21" i="8"/>
  <c r="M36" i="8"/>
  <c r="P36" i="8"/>
  <c r="R36" i="8"/>
  <c r="S36" i="8"/>
  <c r="O36" i="8"/>
  <c r="Q36" i="8"/>
  <c r="W28" i="8"/>
  <c r="V28" i="8"/>
  <c r="Y28" i="8"/>
  <c r="J40" i="8"/>
  <c r="E40" i="8"/>
  <c r="H40" i="8"/>
  <c r="N28" i="8"/>
  <c r="Q28" i="8"/>
  <c r="P28" i="8"/>
  <c r="R28" i="8"/>
  <c r="I50" i="8"/>
  <c r="E50" i="8"/>
  <c r="J50" i="8"/>
  <c r="AA47" i="8"/>
  <c r="U47" i="8"/>
  <c r="X47" i="8"/>
  <c r="Z47" i="8"/>
  <c r="Y47" i="8"/>
  <c r="AB20" i="8"/>
  <c r="AG20" i="8" s="1"/>
  <c r="AL20" i="8" s="1"/>
  <c r="AQ20" i="8"/>
  <c r="AF20" i="8"/>
  <c r="AK20" i="8" s="1"/>
  <c r="AP20" i="8" s="1"/>
  <c r="S21" i="8"/>
  <c r="M21" i="8"/>
  <c r="O21" i="8"/>
  <c r="R21" i="8"/>
  <c r="AS28" i="8"/>
  <c r="B28" i="11" s="1"/>
  <c r="BY28" i="8"/>
  <c r="AU28" i="8"/>
  <c r="D28" i="11" s="1"/>
  <c r="AV28" i="8"/>
  <c r="E28" i="11" s="1"/>
  <c r="BJ28" i="8"/>
  <c r="S28" i="11" s="1"/>
  <c r="BK28" i="8"/>
  <c r="T28" i="11" s="1"/>
  <c r="BP28" i="8"/>
  <c r="Y28" i="11" s="1"/>
  <c r="BZ28" i="8"/>
  <c r="CF28" i="8" s="1"/>
  <c r="Q30" i="8"/>
  <c r="N30" i="8"/>
  <c r="P30" i="8"/>
  <c r="S30" i="8"/>
  <c r="M30" i="8"/>
  <c r="O30" i="8"/>
  <c r="R30" i="8"/>
  <c r="S29" i="8"/>
  <c r="M29" i="8"/>
  <c r="O29" i="8"/>
  <c r="AA30" i="8"/>
  <c r="Y30" i="8"/>
  <c r="AF35" i="8"/>
  <c r="AK35" i="8" s="1"/>
  <c r="AQ35" i="8"/>
  <c r="AC35" i="8"/>
  <c r="AH35" i="8" s="1"/>
  <c r="AD35" i="8"/>
  <c r="AI35" i="8" s="1"/>
  <c r="AB35" i="8"/>
  <c r="AG35" i="8" s="1"/>
  <c r="AE35" i="8"/>
  <c r="AJ35" i="8" s="1"/>
  <c r="F22" i="8"/>
  <c r="H22" i="8"/>
  <c r="G22" i="8"/>
  <c r="E22" i="8"/>
  <c r="I22" i="8"/>
  <c r="J22" i="8"/>
  <c r="K22" i="8"/>
  <c r="X46" i="8"/>
  <c r="U46" i="8"/>
  <c r="W46" i="8"/>
  <c r="Z46" i="8"/>
  <c r="V46" i="8"/>
  <c r="Y35" i="8"/>
  <c r="X35" i="8"/>
  <c r="AA35" i="8"/>
  <c r="V35" i="8"/>
  <c r="W35" i="8"/>
  <c r="Z35" i="8"/>
  <c r="V25" i="8"/>
  <c r="W25" i="8"/>
  <c r="Z25" i="8"/>
  <c r="U25" i="8"/>
  <c r="Y25" i="8"/>
  <c r="U18" i="8"/>
  <c r="AA18" i="8"/>
  <c r="H33" i="8"/>
  <c r="E33" i="8"/>
  <c r="F33" i="8"/>
  <c r="I33" i="8"/>
  <c r="F39" i="8"/>
  <c r="K39" i="8"/>
  <c r="H39" i="8"/>
  <c r="I39" i="8"/>
  <c r="J39" i="8"/>
  <c r="E39" i="8"/>
  <c r="G39" i="8"/>
  <c r="AC15" i="8"/>
  <c r="AH15" i="8" s="1"/>
  <c r="AD15" i="8"/>
  <c r="AI15" i="8" s="1"/>
  <c r="AE15" i="8"/>
  <c r="AJ15" i="8" s="1"/>
  <c r="AO15" i="8" s="1"/>
  <c r="I49" i="8"/>
  <c r="W42" i="8"/>
  <c r="G42" i="8"/>
  <c r="BQ28" i="8"/>
  <c r="Z28" i="11" s="1"/>
  <c r="AT28" i="8"/>
  <c r="C28" i="11" s="1"/>
  <c r="BE28" i="8"/>
  <c r="N28" i="11" s="1"/>
  <c r="BG28" i="8"/>
  <c r="P28" i="11" s="1"/>
  <c r="W27" i="8"/>
  <c r="Z29" i="8"/>
  <c r="V7" i="8"/>
  <c r="BM8" i="8"/>
  <c r="V8" i="11" s="1"/>
  <c r="Y45" i="8"/>
  <c r="W45" i="8"/>
  <c r="H34" i="8"/>
  <c r="K34" i="8"/>
  <c r="J34" i="8"/>
  <c r="E34" i="8"/>
  <c r="F34" i="8"/>
  <c r="G34" i="8"/>
  <c r="I34" i="8"/>
  <c r="V39" i="8"/>
  <c r="U39" i="8"/>
  <c r="Z39" i="8"/>
  <c r="X39" i="8"/>
  <c r="U50" i="8"/>
  <c r="AA50" i="8"/>
  <c r="F42" i="8"/>
  <c r="V42" i="8"/>
  <c r="U30" i="8"/>
  <c r="V30" i="8"/>
  <c r="E42" i="8"/>
  <c r="Z30" i="8"/>
  <c r="Z27" i="8"/>
  <c r="AA27" i="8"/>
  <c r="BR28" i="8"/>
  <c r="AA28" i="11" s="1"/>
  <c r="BV28" i="8"/>
  <c r="AE28" i="11" s="1"/>
  <c r="CA28" i="8"/>
  <c r="BX28" i="8"/>
  <c r="U27" i="8"/>
  <c r="N19" i="8"/>
  <c r="Y18" i="8"/>
  <c r="BT8" i="8"/>
  <c r="AC8" i="11" s="1"/>
  <c r="BG8" i="8"/>
  <c r="P8" i="11" s="1"/>
  <c r="J41" i="8"/>
  <c r="E41" i="8"/>
  <c r="F41" i="8"/>
  <c r="I41" i="8"/>
  <c r="K41" i="8"/>
  <c r="U44" i="8"/>
  <c r="X44" i="8"/>
  <c r="Y44" i="8"/>
  <c r="W44" i="8"/>
  <c r="W8" i="8"/>
  <c r="Z8" i="8"/>
  <c r="V8" i="8"/>
  <c r="AA8" i="8"/>
  <c r="U8" i="8"/>
  <c r="Y8" i="8"/>
  <c r="E30" i="8"/>
  <c r="G30" i="8"/>
  <c r="H30" i="8"/>
  <c r="I30" i="8"/>
  <c r="K30" i="8"/>
  <c r="F30" i="8"/>
  <c r="J30" i="8"/>
  <c r="S33" i="8"/>
  <c r="R33" i="8"/>
  <c r="M33" i="8"/>
  <c r="E16" i="8"/>
  <c r="I16" i="8"/>
  <c r="J16" i="8"/>
  <c r="K16" i="8"/>
  <c r="G16" i="8"/>
  <c r="F16" i="8"/>
  <c r="H16" i="8"/>
  <c r="E29" i="8"/>
  <c r="G29" i="8"/>
  <c r="I29" i="8"/>
  <c r="K29" i="8"/>
  <c r="H29" i="8"/>
  <c r="J29" i="8"/>
  <c r="S26" i="8"/>
  <c r="O26" i="8"/>
  <c r="F47" i="8"/>
  <c r="J47" i="8"/>
  <c r="I47" i="8"/>
  <c r="K47" i="8"/>
  <c r="E47" i="8"/>
  <c r="G47" i="8"/>
  <c r="H47" i="8"/>
  <c r="W64" i="8"/>
  <c r="Y64" i="8"/>
  <c r="AA64" i="8"/>
  <c r="U64" i="8"/>
  <c r="V64" i="8"/>
  <c r="Z64" i="8"/>
  <c r="X64" i="8"/>
  <c r="R53" i="8"/>
  <c r="N53" i="8"/>
  <c r="Q53" i="8"/>
  <c r="O53" i="8"/>
  <c r="P53" i="8"/>
  <c r="S53" i="8"/>
  <c r="M53" i="8"/>
  <c r="H63" i="8"/>
  <c r="J63" i="8"/>
  <c r="F63" i="8"/>
  <c r="K63" i="8"/>
  <c r="G63" i="8"/>
  <c r="E63" i="8"/>
  <c r="I63" i="8"/>
  <c r="AH28" i="8"/>
  <c r="AJ28" i="8"/>
  <c r="AI28" i="8"/>
  <c r="X55" i="8"/>
  <c r="Z55" i="8"/>
  <c r="V55" i="8"/>
  <c r="AA55" i="8"/>
  <c r="U55" i="8"/>
  <c r="Y55" i="8"/>
  <c r="W55" i="8"/>
  <c r="W60" i="8"/>
  <c r="U60" i="8"/>
  <c r="Z60" i="8"/>
  <c r="X60" i="8"/>
  <c r="V60" i="8"/>
  <c r="AA60" i="8"/>
  <c r="Y60" i="8"/>
  <c r="R59" i="8"/>
  <c r="S59" i="8"/>
  <c r="P59" i="8"/>
  <c r="Q59" i="8"/>
  <c r="N59" i="8"/>
  <c r="O59" i="8"/>
  <c r="M59" i="8"/>
  <c r="AC51" i="8"/>
  <c r="AD51" i="8"/>
  <c r="K58" i="8"/>
  <c r="I58" i="8"/>
  <c r="G58" i="8"/>
  <c r="J58" i="8"/>
  <c r="F58" i="8"/>
  <c r="E58" i="8"/>
  <c r="H58" i="8"/>
  <c r="U56" i="8"/>
  <c r="Y56" i="8"/>
  <c r="AA56" i="8"/>
  <c r="W56" i="8"/>
  <c r="V56" i="8"/>
  <c r="Z56" i="8"/>
  <c r="X56" i="8"/>
  <c r="S62" i="8"/>
  <c r="M62" i="8"/>
  <c r="O62" i="8"/>
  <c r="Q62" i="8"/>
  <c r="R62" i="8"/>
  <c r="N62" i="8"/>
  <c r="P62" i="8"/>
  <c r="N63" i="8"/>
  <c r="P63" i="8"/>
  <c r="R63" i="8"/>
  <c r="Q63" i="8"/>
  <c r="M63" i="8"/>
  <c r="S63" i="8"/>
  <c r="O63" i="8"/>
  <c r="AB46" i="8"/>
  <c r="AG46" i="8" s="1"/>
  <c r="AL46" i="8" s="1"/>
  <c r="AC46" i="8"/>
  <c r="AH46" i="8" s="1"/>
  <c r="AM46" i="8" s="1"/>
  <c r="AD46" i="8"/>
  <c r="AI46" i="8" s="1"/>
  <c r="AN46" i="8" s="1"/>
  <c r="AE46" i="8"/>
  <c r="AJ46" i="8" s="1"/>
  <c r="AO46" i="8" s="1"/>
  <c r="AQ46" i="8"/>
  <c r="AF46" i="8"/>
  <c r="AK46" i="8" s="1"/>
  <c r="AP46" i="8" s="1"/>
  <c r="AF33" i="8"/>
  <c r="AB33" i="8"/>
  <c r="AC33" i="8"/>
  <c r="AD33" i="8"/>
  <c r="AE33" i="8"/>
  <c r="AQ33" i="8"/>
  <c r="AT15" i="8"/>
  <c r="C15" i="11" s="1"/>
  <c r="AZ15" i="8"/>
  <c r="I15" i="11" s="1"/>
  <c r="BF15" i="8"/>
  <c r="O15" i="11" s="1"/>
  <c r="BL15" i="8"/>
  <c r="U15" i="11" s="1"/>
  <c r="BR15" i="8"/>
  <c r="AA15" i="11" s="1"/>
  <c r="BY15" i="8"/>
  <c r="BG15" i="8"/>
  <c r="P15" i="11" s="1"/>
  <c r="BT15" i="8"/>
  <c r="AC15" i="11" s="1"/>
  <c r="CC15" i="8"/>
  <c r="BA15" i="8"/>
  <c r="J15" i="11" s="1"/>
  <c r="BN15" i="8"/>
  <c r="W15" i="11" s="1"/>
  <c r="CD15" i="8"/>
  <c r="AW15" i="8"/>
  <c r="F15" i="11" s="1"/>
  <c r="AR15" i="8"/>
  <c r="AY15" i="8"/>
  <c r="H15" i="11" s="1"/>
  <c r="BS15" i="8"/>
  <c r="AB15" i="11" s="1"/>
  <c r="CA15" i="8"/>
  <c r="BJ15" i="8"/>
  <c r="S15" i="11" s="1"/>
  <c r="BK15" i="8"/>
  <c r="T15" i="11" s="1"/>
  <c r="BU15" i="8"/>
  <c r="AD15" i="11" s="1"/>
  <c r="AV15" i="8"/>
  <c r="E15" i="11" s="1"/>
  <c r="BE15" i="8"/>
  <c r="N15" i="11" s="1"/>
  <c r="BO15" i="8"/>
  <c r="X15" i="11" s="1"/>
  <c r="BW15" i="8"/>
  <c r="BH15" i="8"/>
  <c r="Q15" i="11" s="1"/>
  <c r="BP15" i="8"/>
  <c r="Y15" i="11" s="1"/>
  <c r="BZ15" i="8"/>
  <c r="CF15" i="8" s="1"/>
  <c r="AX15" i="8"/>
  <c r="G15" i="11" s="1"/>
  <c r="BQ15" i="8"/>
  <c r="Z15" i="11" s="1"/>
  <c r="BB15" i="8"/>
  <c r="K15" i="11" s="1"/>
  <c r="BC15" i="8"/>
  <c r="L15" i="11" s="1"/>
  <c r="BD15" i="8"/>
  <c r="M15" i="11" s="1"/>
  <c r="BV15" i="8"/>
  <c r="AE15" i="11" s="1"/>
  <c r="BX15" i="8"/>
  <c r="BI15" i="8"/>
  <c r="R15" i="11" s="1"/>
  <c r="CB15" i="8"/>
  <c r="CE15" i="8"/>
  <c r="AS15" i="8"/>
  <c r="B15" i="11" s="1"/>
  <c r="AU15" i="8"/>
  <c r="D15" i="11" s="1"/>
  <c r="BM15" i="8"/>
  <c r="V15" i="11" s="1"/>
  <c r="Y58" i="8"/>
  <c r="AA58" i="8"/>
  <c r="U58" i="8"/>
  <c r="Z58" i="8"/>
  <c r="W58" i="8"/>
  <c r="V58" i="8"/>
  <c r="X58" i="8"/>
  <c r="E64" i="8"/>
  <c r="K64" i="8"/>
  <c r="G64" i="8"/>
  <c r="I64" i="8"/>
  <c r="J64" i="8"/>
  <c r="F64" i="8"/>
  <c r="H64" i="8"/>
  <c r="Z61" i="8"/>
  <c r="V61" i="8"/>
  <c r="X61" i="8"/>
  <c r="U61" i="8"/>
  <c r="Y61" i="8"/>
  <c r="AA61" i="8"/>
  <c r="W61" i="8"/>
  <c r="O52" i="8"/>
  <c r="S52" i="8"/>
  <c r="R52" i="8"/>
  <c r="P52" i="8"/>
  <c r="N52" i="8"/>
  <c r="Q52" i="8"/>
  <c r="M52" i="8"/>
  <c r="E62" i="8"/>
  <c r="K62" i="8"/>
  <c r="G62" i="8"/>
  <c r="I62" i="8"/>
  <c r="H62" i="8"/>
  <c r="J62" i="8"/>
  <c r="F62" i="8"/>
  <c r="N55" i="8"/>
  <c r="P55" i="8"/>
  <c r="O55" i="8"/>
  <c r="Q55" i="8"/>
  <c r="M55" i="8"/>
  <c r="R55" i="8"/>
  <c r="S55" i="8"/>
  <c r="Z65" i="8"/>
  <c r="V65" i="8"/>
  <c r="X65" i="8"/>
  <c r="U65" i="8"/>
  <c r="Y65" i="8"/>
  <c r="W65" i="8"/>
  <c r="AA65" i="8"/>
  <c r="V51" i="8"/>
  <c r="W51" i="8"/>
  <c r="X51" i="8"/>
  <c r="Z51" i="8"/>
  <c r="U51" i="8"/>
  <c r="Y51" i="8"/>
  <c r="AA51" i="8"/>
  <c r="K60" i="8"/>
  <c r="G60" i="8"/>
  <c r="I60" i="8"/>
  <c r="J60" i="8"/>
  <c r="F60" i="8"/>
  <c r="H60" i="8"/>
  <c r="E60" i="8"/>
  <c r="J61" i="8"/>
  <c r="H61" i="8"/>
  <c r="F61" i="8"/>
  <c r="K61" i="8"/>
  <c r="I61" i="8"/>
  <c r="G61" i="8"/>
  <c r="E61" i="8"/>
  <c r="AD38" i="8"/>
  <c r="AC38" i="8"/>
  <c r="AE38" i="8"/>
  <c r="AF38" i="8"/>
  <c r="AB38" i="8"/>
  <c r="AQ38" i="8"/>
  <c r="AU11" i="8"/>
  <c r="D11" i="11" s="1"/>
  <c r="BA11" i="8"/>
  <c r="J11" i="11" s="1"/>
  <c r="BG11" i="8"/>
  <c r="P11" i="11" s="1"/>
  <c r="BM11" i="8"/>
  <c r="V11" i="11" s="1"/>
  <c r="BS11" i="8"/>
  <c r="AB11" i="11" s="1"/>
  <c r="AW11" i="8"/>
  <c r="F11" i="11" s="1"/>
  <c r="BC11" i="8"/>
  <c r="L11" i="11" s="1"/>
  <c r="BI11" i="8"/>
  <c r="R11" i="11" s="1"/>
  <c r="BO11" i="8"/>
  <c r="X11" i="11" s="1"/>
  <c r="BU11" i="8"/>
  <c r="AD11" i="11" s="1"/>
  <c r="AX11" i="8"/>
  <c r="G11" i="11" s="1"/>
  <c r="BD11" i="8"/>
  <c r="M11" i="11" s="1"/>
  <c r="BJ11" i="8"/>
  <c r="S11" i="11" s="1"/>
  <c r="BP11" i="8"/>
  <c r="Y11" i="11" s="1"/>
  <c r="BV11" i="8"/>
  <c r="AE11" i="11" s="1"/>
  <c r="BH11" i="8"/>
  <c r="Q11" i="11" s="1"/>
  <c r="AZ11" i="8"/>
  <c r="I11" i="11" s="1"/>
  <c r="BR11" i="8"/>
  <c r="AA11" i="11" s="1"/>
  <c r="AT11" i="8"/>
  <c r="C11" i="11" s="1"/>
  <c r="BL11" i="8"/>
  <c r="U11" i="11" s="1"/>
  <c r="BK11" i="8"/>
  <c r="T11" i="11" s="1"/>
  <c r="AR11" i="8"/>
  <c r="BB11" i="8"/>
  <c r="K11" i="11" s="1"/>
  <c r="BT11" i="8"/>
  <c r="AC11" i="11" s="1"/>
  <c r="BE11" i="8"/>
  <c r="N11" i="11" s="1"/>
  <c r="BX11" i="8"/>
  <c r="AV11" i="8"/>
  <c r="E11" i="11" s="1"/>
  <c r="BN11" i="8"/>
  <c r="W11" i="11" s="1"/>
  <c r="CC11" i="8"/>
  <c r="BF11" i="8"/>
  <c r="O11" i="11" s="1"/>
  <c r="AY11" i="8"/>
  <c r="H11" i="11" s="1"/>
  <c r="BQ11" i="8"/>
  <c r="Z11" i="11" s="1"/>
  <c r="AD50" i="8"/>
  <c r="AB50" i="8"/>
  <c r="AC50" i="8"/>
  <c r="AQ50" i="8"/>
  <c r="AF50" i="8"/>
  <c r="AE50" i="8"/>
  <c r="V48" i="8"/>
  <c r="X48" i="8"/>
  <c r="W48" i="8"/>
  <c r="Z48" i="8"/>
  <c r="AA48" i="8"/>
  <c r="U48" i="8"/>
  <c r="Y48" i="8"/>
  <c r="I54" i="8"/>
  <c r="K54" i="8"/>
  <c r="G54" i="8"/>
  <c r="E54" i="8"/>
  <c r="H54" i="8"/>
  <c r="F54" i="8"/>
  <c r="J54" i="8"/>
  <c r="U62" i="8"/>
  <c r="W62" i="8"/>
  <c r="Y62" i="8"/>
  <c r="AA62" i="8"/>
  <c r="X62" i="8"/>
  <c r="V62" i="8"/>
  <c r="Z62" i="8"/>
  <c r="F65" i="8"/>
  <c r="H65" i="8"/>
  <c r="J65" i="8"/>
  <c r="I65" i="8"/>
  <c r="E65" i="8"/>
  <c r="G65" i="8"/>
  <c r="K65" i="8"/>
  <c r="O51" i="8"/>
  <c r="P51" i="8"/>
  <c r="R51" i="8"/>
  <c r="M51" i="8"/>
  <c r="N51" i="8"/>
  <c r="S51" i="8"/>
  <c r="Q51" i="8"/>
  <c r="J55" i="8"/>
  <c r="I55" i="8"/>
  <c r="G55" i="8"/>
  <c r="F55" i="8"/>
  <c r="H55" i="8"/>
  <c r="K55" i="8"/>
  <c r="E55" i="8"/>
  <c r="U53" i="8"/>
  <c r="W53" i="8"/>
  <c r="Y53" i="8"/>
  <c r="AA53" i="8"/>
  <c r="V53" i="8"/>
  <c r="X53" i="8"/>
  <c r="Z53" i="8"/>
  <c r="P61" i="8"/>
  <c r="N61" i="8"/>
  <c r="S61" i="8"/>
  <c r="R61" i="8"/>
  <c r="O61" i="8"/>
  <c r="Q61" i="8"/>
  <c r="M61" i="8"/>
  <c r="AE56" i="8"/>
  <c r="AB56" i="8"/>
  <c r="AC56" i="8"/>
  <c r="AQ56" i="8"/>
  <c r="AF56" i="8"/>
  <c r="AD56" i="8"/>
  <c r="AQ12" i="8"/>
  <c r="AD12" i="8"/>
  <c r="AI12" i="8" s="1"/>
  <c r="AE12" i="8"/>
  <c r="AJ12" i="8" s="1"/>
  <c r="AF12" i="8"/>
  <c r="AK12" i="8" s="1"/>
  <c r="AB12" i="8"/>
  <c r="AG12" i="8" s="1"/>
  <c r="AC12" i="8"/>
  <c r="AH12" i="8" s="1"/>
  <c r="Q47" i="8"/>
  <c r="R47" i="8"/>
  <c r="M47" i="8"/>
  <c r="N47" i="8"/>
  <c r="S47" i="8"/>
  <c r="O47" i="8"/>
  <c r="P47" i="8"/>
  <c r="X49" i="8"/>
  <c r="Z49" i="8"/>
  <c r="V49" i="8"/>
  <c r="W49" i="8"/>
  <c r="Y49" i="8"/>
  <c r="AA49" i="8"/>
  <c r="U49" i="8"/>
  <c r="E52" i="8"/>
  <c r="G52" i="8"/>
  <c r="H52" i="8"/>
  <c r="J52" i="8"/>
  <c r="F52" i="8"/>
  <c r="K52" i="8"/>
  <c r="I52" i="8"/>
  <c r="M54" i="8"/>
  <c r="N54" i="8"/>
  <c r="P54" i="8"/>
  <c r="S54" i="8"/>
  <c r="Q54" i="8"/>
  <c r="R54" i="8"/>
  <c r="O54" i="8"/>
  <c r="M60" i="8"/>
  <c r="N60" i="8"/>
  <c r="S60" i="8"/>
  <c r="R60" i="8"/>
  <c r="Q60" i="8"/>
  <c r="O60" i="8"/>
  <c r="P60" i="8"/>
  <c r="P65" i="8"/>
  <c r="R65" i="8"/>
  <c r="N65" i="8"/>
  <c r="O65" i="8"/>
  <c r="S65" i="8"/>
  <c r="M65" i="8"/>
  <c r="Q65" i="8"/>
  <c r="S50" i="8"/>
  <c r="R50" i="8"/>
  <c r="P50" i="8"/>
  <c r="N50" i="8"/>
  <c r="O50" i="8"/>
  <c r="Q50" i="8"/>
  <c r="M50" i="8"/>
  <c r="Q56" i="8"/>
  <c r="S56" i="8"/>
  <c r="O56" i="8"/>
  <c r="M56" i="8"/>
  <c r="P56" i="8"/>
  <c r="R56" i="8"/>
  <c r="N56" i="8"/>
  <c r="F53" i="8"/>
  <c r="H53" i="8"/>
  <c r="J53" i="8"/>
  <c r="E53" i="8"/>
  <c r="G53" i="8"/>
  <c r="I53" i="8"/>
  <c r="K53" i="8"/>
  <c r="Z59" i="8"/>
  <c r="X59" i="8"/>
  <c r="V59" i="8"/>
  <c r="U59" i="8"/>
  <c r="Y59" i="8"/>
  <c r="W59" i="8"/>
  <c r="AA59" i="8"/>
  <c r="AD17" i="8"/>
  <c r="AI17" i="8" s="1"/>
  <c r="AN17" i="8" s="1"/>
  <c r="AF17" i="8"/>
  <c r="AK17" i="8" s="1"/>
  <c r="AP17" i="8" s="1"/>
  <c r="AB17" i="8"/>
  <c r="AG17" i="8" s="1"/>
  <c r="AL17" i="8" s="1"/>
  <c r="AC17" i="8"/>
  <c r="AH17" i="8" s="1"/>
  <c r="AM17" i="8" s="1"/>
  <c r="AQ17" i="8"/>
  <c r="AE17" i="8"/>
  <c r="AJ17" i="8" s="1"/>
  <c r="AO17" i="8" s="1"/>
  <c r="U54" i="8"/>
  <c r="W54" i="8"/>
  <c r="X54" i="8"/>
  <c r="V54" i="8"/>
  <c r="Y54" i="8"/>
  <c r="AA54" i="8"/>
  <c r="Z54" i="8"/>
  <c r="J57" i="8"/>
  <c r="F57" i="8"/>
  <c r="E57" i="8"/>
  <c r="H57" i="8"/>
  <c r="I57" i="8"/>
  <c r="K57" i="8"/>
  <c r="G57" i="8"/>
  <c r="V57" i="8"/>
  <c r="X57" i="8"/>
  <c r="W57" i="8"/>
  <c r="Z57" i="8"/>
  <c r="Y57" i="8"/>
  <c r="AA57" i="8"/>
  <c r="U57" i="8"/>
  <c r="V63" i="8"/>
  <c r="X63" i="8"/>
  <c r="Z63" i="8"/>
  <c r="AA63" i="8"/>
  <c r="W63" i="8"/>
  <c r="Y63" i="8"/>
  <c r="U63" i="8"/>
  <c r="M64" i="8"/>
  <c r="O64" i="8"/>
  <c r="Q64" i="8"/>
  <c r="S64" i="8"/>
  <c r="P64" i="8"/>
  <c r="N64" i="8"/>
  <c r="R64" i="8"/>
  <c r="O49" i="8"/>
  <c r="Q49" i="8"/>
  <c r="M49" i="8"/>
  <c r="N49" i="8"/>
  <c r="R49" i="8"/>
  <c r="S49" i="8"/>
  <c r="P49" i="8"/>
  <c r="F59" i="8"/>
  <c r="H59" i="8"/>
  <c r="J59" i="8"/>
  <c r="E59" i="8"/>
  <c r="K59" i="8"/>
  <c r="I59" i="8"/>
  <c r="G59" i="8"/>
  <c r="AV21" i="8"/>
  <c r="E21" i="11" s="1"/>
  <c r="BB21" i="8"/>
  <c r="K21" i="11" s="1"/>
  <c r="BH21" i="8"/>
  <c r="Q21" i="11" s="1"/>
  <c r="BN21" i="8"/>
  <c r="W21" i="11" s="1"/>
  <c r="BT21" i="8"/>
  <c r="AC21" i="11" s="1"/>
  <c r="CB21" i="8"/>
  <c r="AW21" i="8"/>
  <c r="F21" i="11" s="1"/>
  <c r="BC21" i="8"/>
  <c r="L21" i="11" s="1"/>
  <c r="BI21" i="8"/>
  <c r="R21" i="11" s="1"/>
  <c r="BO21" i="8"/>
  <c r="X21" i="11" s="1"/>
  <c r="BU21" i="8"/>
  <c r="AD21" i="11" s="1"/>
  <c r="CD21" i="8"/>
  <c r="AY21" i="8"/>
  <c r="H21" i="11" s="1"/>
  <c r="BF21" i="8"/>
  <c r="O21" i="11" s="1"/>
  <c r="BM21" i="8"/>
  <c r="V21" i="11" s="1"/>
  <c r="AR21" i="8"/>
  <c r="BX21" i="8"/>
  <c r="AU21" i="8"/>
  <c r="D21" i="11" s="1"/>
  <c r="BJ21" i="8"/>
  <c r="S21" i="11" s="1"/>
  <c r="BQ21" i="8"/>
  <c r="Z21" i="11" s="1"/>
  <c r="BY21" i="8"/>
  <c r="CA21" i="8"/>
  <c r="AX21" i="8"/>
  <c r="G21" i="11" s="1"/>
  <c r="BE21" i="8"/>
  <c r="N21" i="11" s="1"/>
  <c r="BL21" i="8"/>
  <c r="U21" i="11" s="1"/>
  <c r="BS21" i="8"/>
  <c r="AB21" i="11" s="1"/>
  <c r="CC21" i="8"/>
  <c r="CE21" i="8"/>
  <c r="BR21" i="8"/>
  <c r="AA21" i="11" s="1"/>
  <c r="AZ21" i="8"/>
  <c r="I21" i="11" s="1"/>
  <c r="BV21" i="8"/>
  <c r="AE21" i="11" s="1"/>
  <c r="BA21" i="8"/>
  <c r="J21" i="11" s="1"/>
  <c r="BW21" i="8"/>
  <c r="BZ21" i="8"/>
  <c r="CF21" i="8" s="1"/>
  <c r="BG21" i="8"/>
  <c r="P21" i="11" s="1"/>
  <c r="AS21" i="8"/>
  <c r="B21" i="11" s="1"/>
  <c r="AT21" i="8"/>
  <c r="C21" i="11" s="1"/>
  <c r="BP21" i="8"/>
  <c r="Y21" i="11" s="1"/>
  <c r="BD21" i="8"/>
  <c r="M21" i="11" s="1"/>
  <c r="BK21" i="8"/>
  <c r="T21" i="11" s="1"/>
  <c r="AH13" i="8"/>
  <c r="AM13" i="8" s="1"/>
  <c r="AJ13" i="8"/>
  <c r="AO13" i="8" s="1"/>
  <c r="AG13" i="8"/>
  <c r="AL13" i="8" s="1"/>
  <c r="AK13" i="8"/>
  <c r="AP13" i="8" s="1"/>
  <c r="CB8" i="8"/>
  <c r="CE8" i="8" s="1"/>
  <c r="J6" i="8" l="1"/>
  <c r="K6" i="8" s="1"/>
  <c r="BI28" i="8"/>
  <c r="R28" i="11" s="1"/>
  <c r="BD28" i="8"/>
  <c r="M28" i="11" s="1"/>
  <c r="AL15" i="8"/>
  <c r="AN15" i="8"/>
  <c r="AJ14" i="8"/>
  <c r="AO14" i="8" s="1"/>
  <c r="AM15" i="8"/>
  <c r="AG14" i="8"/>
  <c r="AL14" i="8" s="1"/>
  <c r="AI14" i="8"/>
  <c r="AN14" i="8" s="1"/>
  <c r="AP15" i="8"/>
  <c r="AH14" i="8"/>
  <c r="AM14" i="8" s="1"/>
  <c r="AK14" i="8"/>
  <c r="AP14" i="8" s="1"/>
  <c r="AB51" i="8"/>
  <c r="AG51" i="8" s="1"/>
  <c r="AL51" i="8" s="1"/>
  <c r="AE32" i="8"/>
  <c r="AJ32" i="8" s="1"/>
  <c r="AO32" i="8" s="1"/>
  <c r="AQ32" i="8"/>
  <c r="BO32" i="8" s="1"/>
  <c r="X32" i="11" s="1"/>
  <c r="AK28" i="8"/>
  <c r="AD32" i="8"/>
  <c r="AB32" i="8"/>
  <c r="AC32" i="8"/>
  <c r="AH32" i="8" s="1"/>
  <c r="AM32" i="8" s="1"/>
  <c r="AS11" i="8"/>
  <c r="B11" i="11" s="1"/>
  <c r="CE11" i="8"/>
  <c r="CA11" i="8"/>
  <c r="BH7" i="8"/>
  <c r="Q7" i="11" s="1"/>
  <c r="CB11" i="8"/>
  <c r="AI19" i="8"/>
  <c r="AN19" i="8" s="1"/>
  <c r="AO31" i="8"/>
  <c r="BZ11" i="8"/>
  <c r="CF11" i="8" s="1"/>
  <c r="AD11" i="8"/>
  <c r="AI11" i="8" s="1"/>
  <c r="AN11" i="8" s="1"/>
  <c r="AD31" i="8"/>
  <c r="AI31" i="8" s="1"/>
  <c r="AN31" i="8" s="1"/>
  <c r="AF48" i="8"/>
  <c r="AK48" i="8" s="1"/>
  <c r="AP48" i="8" s="1"/>
  <c r="AQ48" i="8"/>
  <c r="BF48" i="8" s="1"/>
  <c r="O48" i="11" s="1"/>
  <c r="BW11" i="8"/>
  <c r="AE48" i="8"/>
  <c r="AJ48" i="8" s="1"/>
  <c r="AO48" i="8" s="1"/>
  <c r="AO8" i="8"/>
  <c r="AD48" i="8"/>
  <c r="AI48" i="8" s="1"/>
  <c r="AN48" i="8" s="1"/>
  <c r="AC48" i="8"/>
  <c r="AH48" i="8" s="1"/>
  <c r="AM48" i="8" s="1"/>
  <c r="AL10" i="8"/>
  <c r="AN42" i="8"/>
  <c r="AC36" i="8"/>
  <c r="AH36" i="8" s="1"/>
  <c r="AM36" i="8" s="1"/>
  <c r="AM37" i="8"/>
  <c r="AF42" i="8"/>
  <c r="AK42" i="8" s="1"/>
  <c r="AP42" i="8" s="1"/>
  <c r="CA13" i="8"/>
  <c r="AC42" i="8"/>
  <c r="AH42" i="8" s="1"/>
  <c r="AM42" i="8" s="1"/>
  <c r="AE42" i="8"/>
  <c r="AJ42" i="8" s="1"/>
  <c r="AO42" i="8" s="1"/>
  <c r="AB42" i="8"/>
  <c r="AG42" i="8" s="1"/>
  <c r="AL42" i="8" s="1"/>
  <c r="AQ42" i="8"/>
  <c r="BR42" i="8" s="1"/>
  <c r="AA42" i="11" s="1"/>
  <c r="AY13" i="8"/>
  <c r="H13" i="11" s="1"/>
  <c r="BL13" i="8"/>
  <c r="U13" i="11" s="1"/>
  <c r="BQ13" i="8"/>
  <c r="Z13" i="11" s="1"/>
  <c r="BK13" i="8"/>
  <c r="T13" i="11" s="1"/>
  <c r="AC31" i="8"/>
  <c r="AH31" i="8" s="1"/>
  <c r="AM31" i="8" s="1"/>
  <c r="AG36" i="8"/>
  <c r="AL36" i="8" s="1"/>
  <c r="AG32" i="8"/>
  <c r="AL32" i="8" s="1"/>
  <c r="AG38" i="8"/>
  <c r="AL38" i="8" s="1"/>
  <c r="AF40" i="8"/>
  <c r="AK40" i="8" s="1"/>
  <c r="AP40" i="8" s="1"/>
  <c r="AE40" i="8"/>
  <c r="AJ40" i="8" s="1"/>
  <c r="AO40" i="8" s="1"/>
  <c r="AK38" i="8"/>
  <c r="AP38" i="8" s="1"/>
  <c r="AI32" i="8"/>
  <c r="AN32" i="8" s="1"/>
  <c r="AK33" i="8"/>
  <c r="AP33" i="8" s="1"/>
  <c r="BP44" i="8"/>
  <c r="Y44" i="11" s="1"/>
  <c r="BL44" i="8"/>
  <c r="U44" i="11" s="1"/>
  <c r="AC24" i="8"/>
  <c r="AH24" i="8" s="1"/>
  <c r="AM24" i="8" s="1"/>
  <c r="AB24" i="8"/>
  <c r="AG24" i="8" s="1"/>
  <c r="AL24" i="8" s="1"/>
  <c r="BE44" i="8"/>
  <c r="N44" i="11" s="1"/>
  <c r="BH44" i="8"/>
  <c r="Q44" i="11" s="1"/>
  <c r="AQ24" i="8"/>
  <c r="CD24" i="8" s="1"/>
  <c r="BB44" i="8"/>
  <c r="K44" i="11" s="1"/>
  <c r="AF24" i="8"/>
  <c r="AK24" i="8" s="1"/>
  <c r="AP24" i="8" s="1"/>
  <c r="AF31" i="8"/>
  <c r="AK31" i="8" s="1"/>
  <c r="AP31" i="8" s="1"/>
  <c r="AE24" i="8"/>
  <c r="AJ24" i="8" s="1"/>
  <c r="AO24" i="8" s="1"/>
  <c r="AB31" i="8"/>
  <c r="AG31" i="8" s="1"/>
  <c r="AL31" i="8" s="1"/>
  <c r="AG48" i="8"/>
  <c r="AL48" i="8" s="1"/>
  <c r="AE20" i="8"/>
  <c r="AJ20" i="8" s="1"/>
  <c r="AO20" i="8" s="1"/>
  <c r="AD20" i="8"/>
  <c r="AI20" i="8" s="1"/>
  <c r="AN20" i="8" s="1"/>
  <c r="AC20" i="8"/>
  <c r="AH20" i="8" s="1"/>
  <c r="AM20" i="8" s="1"/>
  <c r="AE37" i="8"/>
  <c r="AJ37" i="8" s="1"/>
  <c r="AO37" i="8" s="1"/>
  <c r="AV13" i="8"/>
  <c r="E13" i="11" s="1"/>
  <c r="BT13" i="8"/>
  <c r="AC13" i="11" s="1"/>
  <c r="AI10" i="8"/>
  <c r="AN10" i="8" s="1"/>
  <c r="AD37" i="8"/>
  <c r="AI37" i="8" s="1"/>
  <c r="AN37" i="8" s="1"/>
  <c r="AQ36" i="8"/>
  <c r="BB36" i="8" s="1"/>
  <c r="K36" i="11" s="1"/>
  <c r="BO44" i="8"/>
  <c r="X44" i="11" s="1"/>
  <c r="BZ13" i="8"/>
  <c r="CF13" i="8" s="1"/>
  <c r="AW13" i="8"/>
  <c r="F13" i="11" s="1"/>
  <c r="AJ10" i="8"/>
  <c r="AO10" i="8" s="1"/>
  <c r="BN13" i="8"/>
  <c r="W13" i="11" s="1"/>
  <c r="AS13" i="8"/>
  <c r="B13" i="11" s="1"/>
  <c r="AF37" i="8"/>
  <c r="AK37" i="8" s="1"/>
  <c r="AP37" i="8" s="1"/>
  <c r="AB37" i="8"/>
  <c r="AG37" i="8" s="1"/>
  <c r="AL37" i="8" s="1"/>
  <c r="AQ37" i="8"/>
  <c r="BB37" i="8" s="1"/>
  <c r="K37" i="11" s="1"/>
  <c r="BV10" i="8"/>
  <c r="AE10" i="11" s="1"/>
  <c r="BO10" i="8"/>
  <c r="X10" i="11" s="1"/>
  <c r="AJ38" i="8"/>
  <c r="AO38" i="8" s="1"/>
  <c r="AZ44" i="8"/>
  <c r="I44" i="11" s="1"/>
  <c r="BS10" i="8"/>
  <c r="AB10" i="11" s="1"/>
  <c r="AH38" i="8"/>
  <c r="AM38" i="8" s="1"/>
  <c r="AH10" i="8"/>
  <c r="AM10" i="8" s="1"/>
  <c r="BD10" i="8"/>
  <c r="M10" i="11" s="1"/>
  <c r="AU13" i="8"/>
  <c r="D13" i="11" s="1"/>
  <c r="BY13" i="8"/>
  <c r="BH13" i="8"/>
  <c r="Q13" i="11" s="1"/>
  <c r="AT13" i="8"/>
  <c r="C13" i="11" s="1"/>
  <c r="BU13" i="8"/>
  <c r="AD13" i="11" s="1"/>
  <c r="BB13" i="8"/>
  <c r="K13" i="11" s="1"/>
  <c r="BO13" i="8"/>
  <c r="X13" i="11" s="1"/>
  <c r="BV13" i="8"/>
  <c r="AE13" i="11" s="1"/>
  <c r="BS13" i="8"/>
  <c r="AB13" i="11" s="1"/>
  <c r="BX13" i="8"/>
  <c r="BJ13" i="8"/>
  <c r="S13" i="11" s="1"/>
  <c r="BR13" i="8"/>
  <c r="AA13" i="11" s="1"/>
  <c r="BD13" i="8"/>
  <c r="M13" i="11" s="1"/>
  <c r="CE13" i="8"/>
  <c r="BW13" i="8"/>
  <c r="AZ13" i="8"/>
  <c r="I13" i="11" s="1"/>
  <c r="CC13" i="8"/>
  <c r="BM13" i="8"/>
  <c r="V13" i="11" s="1"/>
  <c r="BG13" i="8"/>
  <c r="P13" i="11" s="1"/>
  <c r="CB13" i="8"/>
  <c r="AX13" i="8"/>
  <c r="G13" i="11" s="1"/>
  <c r="BC13" i="8"/>
  <c r="L13" i="11" s="1"/>
  <c r="CD13" i="8"/>
  <c r="BD44" i="8"/>
  <c r="M44" i="11" s="1"/>
  <c r="BP13" i="8"/>
  <c r="Y13" i="11" s="1"/>
  <c r="BK44" i="8"/>
  <c r="T44" i="11" s="1"/>
  <c r="BI10" i="8"/>
  <c r="R10" i="11" s="1"/>
  <c r="AI38" i="8"/>
  <c r="AN38" i="8" s="1"/>
  <c r="BE13" i="8"/>
  <c r="N13" i="11" s="1"/>
  <c r="BY44" i="8"/>
  <c r="AZ10" i="8"/>
  <c r="I10" i="11" s="1"/>
  <c r="AR13" i="8"/>
  <c r="AQ9" i="8"/>
  <c r="AE9" i="8"/>
  <c r="AJ9" i="8" s="1"/>
  <c r="AO9" i="8" s="1"/>
  <c r="AB9" i="8"/>
  <c r="AG9" i="8" s="1"/>
  <c r="AL9" i="8" s="1"/>
  <c r="AF9" i="8"/>
  <c r="AK9" i="8" s="1"/>
  <c r="AP9" i="8" s="1"/>
  <c r="AD9" i="8"/>
  <c r="AI9" i="8" s="1"/>
  <c r="AN9" i="8" s="1"/>
  <c r="AC9" i="8"/>
  <c r="AH9" i="8" s="1"/>
  <c r="AM9" i="8" s="1"/>
  <c r="BQ44" i="8"/>
  <c r="Z44" i="11" s="1"/>
  <c r="BT10" i="8"/>
  <c r="AC10" i="11" s="1"/>
  <c r="BF13" i="8"/>
  <c r="O13" i="11" s="1"/>
  <c r="BA13" i="8"/>
  <c r="J13" i="11" s="1"/>
  <c r="BJ44" i="8"/>
  <c r="S44" i="11" s="1"/>
  <c r="AV44" i="8"/>
  <c r="E44" i="11" s="1"/>
  <c r="BF10" i="8"/>
  <c r="O10" i="11" s="1"/>
  <c r="AK32" i="8"/>
  <c r="AP32" i="8" s="1"/>
  <c r="AD40" i="8"/>
  <c r="AI40" i="8" s="1"/>
  <c r="AN40" i="8" s="1"/>
  <c r="AY44" i="8"/>
  <c r="H44" i="11" s="1"/>
  <c r="AU44" i="8"/>
  <c r="D44" i="11" s="1"/>
  <c r="CD44" i="8"/>
  <c r="BX10" i="8"/>
  <c r="BJ10" i="8"/>
  <c r="S10" i="11" s="1"/>
  <c r="CC10" i="8"/>
  <c r="AN28" i="8"/>
  <c r="AH19" i="8"/>
  <c r="AM19" i="8" s="1"/>
  <c r="AJ7" i="8"/>
  <c r="AO7" i="8" s="1"/>
  <c r="AE36" i="8"/>
  <c r="AJ36" i="8" s="1"/>
  <c r="AO36" i="8" s="1"/>
  <c r="BM44" i="8"/>
  <c r="V44" i="11" s="1"/>
  <c r="AX44" i="8"/>
  <c r="G44" i="11" s="1"/>
  <c r="BG10" i="8"/>
  <c r="P10" i="11" s="1"/>
  <c r="BA10" i="8"/>
  <c r="J10" i="11" s="1"/>
  <c r="AC40" i="8"/>
  <c r="AH40" i="8" s="1"/>
  <c r="AM40" i="8" s="1"/>
  <c r="AL12" i="8"/>
  <c r="CA44" i="8"/>
  <c r="BW44" i="8"/>
  <c r="BU44" i="8"/>
  <c r="AD44" i="11" s="1"/>
  <c r="AY10" i="8"/>
  <c r="H10" i="11" s="1"/>
  <c r="AR10" i="8"/>
  <c r="BP10" i="8"/>
  <c r="Y10" i="11" s="1"/>
  <c r="AO28" i="8"/>
  <c r="AN12" i="8"/>
  <c r="AU10" i="8"/>
  <c r="D10" i="11" s="1"/>
  <c r="AK7" i="8"/>
  <c r="AP7" i="8" s="1"/>
  <c r="BZ44" i="8"/>
  <c r="CF44" i="8" s="1"/>
  <c r="AT44" i="8"/>
  <c r="C44" i="11" s="1"/>
  <c r="AM12" i="8"/>
  <c r="AB40" i="8"/>
  <c r="AG40" i="8" s="1"/>
  <c r="AL40" i="8" s="1"/>
  <c r="BV44" i="8"/>
  <c r="AE44" i="11" s="1"/>
  <c r="AR44" i="8"/>
  <c r="AW44" i="8"/>
  <c r="F44" i="11" s="1"/>
  <c r="BE10" i="8"/>
  <c r="N10" i="11" s="1"/>
  <c r="BR10" i="8"/>
  <c r="AA10" i="11" s="1"/>
  <c r="BB10" i="8"/>
  <c r="K10" i="11" s="1"/>
  <c r="AM28" i="8"/>
  <c r="BI44" i="8"/>
  <c r="R44" i="11" s="1"/>
  <c r="BK10" i="8"/>
  <c r="T10" i="11" s="1"/>
  <c r="AP28" i="8"/>
  <c r="AG7" i="8"/>
  <c r="AL7" i="8" s="1"/>
  <c r="AE25" i="8"/>
  <c r="AJ25" i="8" s="1"/>
  <c r="AO25" i="8" s="1"/>
  <c r="AB25" i="8"/>
  <c r="AG25" i="8" s="1"/>
  <c r="AL25" i="8" s="1"/>
  <c r="AF25" i="8"/>
  <c r="AK25" i="8" s="1"/>
  <c r="AP25" i="8" s="1"/>
  <c r="AQ25" i="8"/>
  <c r="AC25" i="8"/>
  <c r="AH25" i="8" s="1"/>
  <c r="AM25" i="8" s="1"/>
  <c r="AD25" i="8"/>
  <c r="AI25" i="8" s="1"/>
  <c r="AN25" i="8" s="1"/>
  <c r="BC44" i="8"/>
  <c r="L44" i="11" s="1"/>
  <c r="BM10" i="8"/>
  <c r="V10" i="11" s="1"/>
  <c r="AF36" i="8"/>
  <c r="AK36" i="8" s="1"/>
  <c r="AP36" i="8" s="1"/>
  <c r="BG44" i="8"/>
  <c r="P44" i="11" s="1"/>
  <c r="CE44" i="8"/>
  <c r="CB44" i="8"/>
  <c r="BU10" i="8"/>
  <c r="AD10" i="11" s="1"/>
  <c r="BC10" i="8"/>
  <c r="L10" i="11" s="1"/>
  <c r="AV10" i="8"/>
  <c r="E10" i="11" s="1"/>
  <c r="AE18" i="8"/>
  <c r="AJ18" i="8" s="1"/>
  <c r="AO18" i="8" s="1"/>
  <c r="AQ18" i="8"/>
  <c r="AF18" i="8"/>
  <c r="AK18" i="8" s="1"/>
  <c r="AP18" i="8" s="1"/>
  <c r="AC18" i="8"/>
  <c r="AH18" i="8" s="1"/>
  <c r="AM18" i="8" s="1"/>
  <c r="AB18" i="8"/>
  <c r="AG18" i="8" s="1"/>
  <c r="AL18" i="8" s="1"/>
  <c r="AD18" i="8"/>
  <c r="AI18" i="8" s="1"/>
  <c r="AN18" i="8" s="1"/>
  <c r="AP12" i="8"/>
  <c r="BA44" i="8"/>
  <c r="J44" i="11" s="1"/>
  <c r="AX10" i="8"/>
  <c r="G10" i="11" s="1"/>
  <c r="AL28" i="8"/>
  <c r="AD36" i="8"/>
  <c r="AI36" i="8" s="1"/>
  <c r="AN36" i="8" s="1"/>
  <c r="AS44" i="8"/>
  <c r="B44" i="11" s="1"/>
  <c r="CC44" i="8"/>
  <c r="BT44" i="8"/>
  <c r="AC44" i="11" s="1"/>
  <c r="BL10" i="8"/>
  <c r="U10" i="11" s="1"/>
  <c r="AT10" i="8"/>
  <c r="C10" i="11" s="1"/>
  <c r="AV7" i="8"/>
  <c r="E7" i="11" s="1"/>
  <c r="AH7" i="8"/>
  <c r="AM7" i="8" s="1"/>
  <c r="AO12" i="8"/>
  <c r="BN10" i="8"/>
  <c r="W10" i="11" s="1"/>
  <c r="BX44" i="8"/>
  <c r="BH10" i="8"/>
  <c r="Q10" i="11" s="1"/>
  <c r="BR44" i="8"/>
  <c r="AA44" i="11" s="1"/>
  <c r="BF44" i="8"/>
  <c r="O44" i="11" s="1"/>
  <c r="BS44" i="8"/>
  <c r="AB44" i="11" s="1"/>
  <c r="AW10" i="8"/>
  <c r="F10" i="11" s="1"/>
  <c r="AK10" i="8"/>
  <c r="AP10" i="8" s="1"/>
  <c r="AD34" i="8"/>
  <c r="AI34" i="8" s="1"/>
  <c r="AN34" i="8" s="1"/>
  <c r="AC34" i="8"/>
  <c r="AH34" i="8" s="1"/>
  <c r="AM34" i="8" s="1"/>
  <c r="AB34" i="8"/>
  <c r="AG34" i="8" s="1"/>
  <c r="AL34" i="8" s="1"/>
  <c r="AQ34" i="8"/>
  <c r="AF34" i="8"/>
  <c r="AK34" i="8" s="1"/>
  <c r="AP34" i="8" s="1"/>
  <c r="AE34" i="8"/>
  <c r="AJ34" i="8" s="1"/>
  <c r="AO34" i="8" s="1"/>
  <c r="AK44" i="8"/>
  <c r="AP44" i="8" s="1"/>
  <c r="AJ44" i="8"/>
  <c r="AO44" i="8" s="1"/>
  <c r="AG44" i="8"/>
  <c r="AL44" i="8" s="1"/>
  <c r="BO7" i="8"/>
  <c r="X7" i="11" s="1"/>
  <c r="BQ7" i="8"/>
  <c r="Z7" i="11" s="1"/>
  <c r="BM7" i="8"/>
  <c r="V7" i="11" s="1"/>
  <c r="AF43" i="8"/>
  <c r="AK43" i="8" s="1"/>
  <c r="AP43" i="8" s="1"/>
  <c r="AB43" i="8"/>
  <c r="AG43" i="8" s="1"/>
  <c r="AL43" i="8" s="1"/>
  <c r="AE43" i="8"/>
  <c r="AJ43" i="8" s="1"/>
  <c r="AO43" i="8" s="1"/>
  <c r="AQ43" i="8"/>
  <c r="AD43" i="8"/>
  <c r="AI43" i="8" s="1"/>
  <c r="AN43" i="8" s="1"/>
  <c r="AC43" i="8"/>
  <c r="AH43" i="8" s="1"/>
  <c r="AM43" i="8" s="1"/>
  <c r="BU7" i="8"/>
  <c r="AD7" i="11" s="1"/>
  <c r="BB7" i="8"/>
  <c r="K7" i="11" s="1"/>
  <c r="BG7" i="8"/>
  <c r="P7" i="11" s="1"/>
  <c r="AL35" i="8"/>
  <c r="AP8" i="8"/>
  <c r="AB26" i="8"/>
  <c r="AG26" i="8" s="1"/>
  <c r="AL26" i="8" s="1"/>
  <c r="AC26" i="8"/>
  <c r="AH26" i="8" s="1"/>
  <c r="AM26" i="8" s="1"/>
  <c r="AF26" i="8"/>
  <c r="AK26" i="8" s="1"/>
  <c r="AP26" i="8" s="1"/>
  <c r="AE26" i="8"/>
  <c r="AJ26" i="8" s="1"/>
  <c r="AO26" i="8" s="1"/>
  <c r="AD26" i="8"/>
  <c r="AI26" i="8" s="1"/>
  <c r="AN26" i="8" s="1"/>
  <c r="AQ26" i="8"/>
  <c r="AL8" i="8"/>
  <c r="AW7" i="8"/>
  <c r="F7" i="11" s="1"/>
  <c r="BJ7" i="8"/>
  <c r="S7" i="11" s="1"/>
  <c r="AU7" i="8"/>
  <c r="D7" i="11" s="1"/>
  <c r="AM35" i="8"/>
  <c r="BC7" i="8"/>
  <c r="L7" i="11" s="1"/>
  <c r="BN7" i="8"/>
  <c r="W7" i="11" s="1"/>
  <c r="BT7" i="8"/>
  <c r="AC7" i="11" s="1"/>
  <c r="BK7" i="8"/>
  <c r="T7" i="11" s="1"/>
  <c r="AF39" i="8"/>
  <c r="AK39" i="8" s="1"/>
  <c r="AP39" i="8" s="1"/>
  <c r="AQ39" i="8"/>
  <c r="AE39" i="8"/>
  <c r="AJ39" i="8" s="1"/>
  <c r="AO39" i="8" s="1"/>
  <c r="AB39" i="8"/>
  <c r="AG39" i="8" s="1"/>
  <c r="AL39" i="8" s="1"/>
  <c r="AC39" i="8"/>
  <c r="AH39" i="8" s="1"/>
  <c r="AM39" i="8" s="1"/>
  <c r="AD39" i="8"/>
  <c r="AI39" i="8" s="1"/>
  <c r="AN39" i="8" s="1"/>
  <c r="AR35" i="8"/>
  <c r="BA35" i="8"/>
  <c r="J35" i="11" s="1"/>
  <c r="BL35" i="8"/>
  <c r="U35" i="11" s="1"/>
  <c r="BY35" i="8"/>
  <c r="CE35" i="8"/>
  <c r="AT35" i="8"/>
  <c r="C35" i="11" s="1"/>
  <c r="BD35" i="8"/>
  <c r="M35" i="11" s="1"/>
  <c r="BF35" i="8"/>
  <c r="O35" i="11" s="1"/>
  <c r="BV35" i="8"/>
  <c r="AE35" i="11" s="1"/>
  <c r="BP35" i="8"/>
  <c r="Y35" i="11" s="1"/>
  <c r="BB35" i="8"/>
  <c r="K35" i="11" s="1"/>
  <c r="BJ35" i="8"/>
  <c r="S35" i="11" s="1"/>
  <c r="BN35" i="8"/>
  <c r="W35" i="11" s="1"/>
  <c r="AU35" i="8"/>
  <c r="D35" i="11" s="1"/>
  <c r="BH35" i="8"/>
  <c r="Q35" i="11" s="1"/>
  <c r="AZ35" i="8"/>
  <c r="I35" i="11" s="1"/>
  <c r="BK35" i="8"/>
  <c r="T35" i="11" s="1"/>
  <c r="BC35" i="8"/>
  <c r="L35" i="11" s="1"/>
  <c r="BX35" i="8"/>
  <c r="BZ35" i="8"/>
  <c r="CF35" i="8" s="1"/>
  <c r="BU35" i="8"/>
  <c r="AD35" i="11" s="1"/>
  <c r="BS35" i="8"/>
  <c r="AB35" i="11" s="1"/>
  <c r="BM35" i="8"/>
  <c r="V35" i="11" s="1"/>
  <c r="CA35" i="8"/>
  <c r="CD35" i="8"/>
  <c r="BO35" i="8"/>
  <c r="X35" i="11" s="1"/>
  <c r="CC35" i="8"/>
  <c r="AS35" i="8"/>
  <c r="B35" i="11" s="1"/>
  <c r="BW35" i="8"/>
  <c r="AW35" i="8"/>
  <c r="F35" i="11" s="1"/>
  <c r="BR35" i="8"/>
  <c r="AA35" i="11" s="1"/>
  <c r="AY35" i="8"/>
  <c r="H35" i="11" s="1"/>
  <c r="BE35" i="8"/>
  <c r="N35" i="11" s="1"/>
  <c r="BQ35" i="8"/>
  <c r="Z35" i="11" s="1"/>
  <c r="AV35" i="8"/>
  <c r="E35" i="11" s="1"/>
  <c r="BT35" i="8"/>
  <c r="AC35" i="11" s="1"/>
  <c r="CB35" i="8"/>
  <c r="BG35" i="8"/>
  <c r="P35" i="11" s="1"/>
  <c r="BI35" i="8"/>
  <c r="R35" i="11" s="1"/>
  <c r="AX35" i="8"/>
  <c r="G35" i="11" s="1"/>
  <c r="AI44" i="8"/>
  <c r="AN44" i="8" s="1"/>
  <c r="AB41" i="8"/>
  <c r="AG41" i="8" s="1"/>
  <c r="AL41" i="8" s="1"/>
  <c r="AF41" i="8"/>
  <c r="AK41" i="8" s="1"/>
  <c r="AP41" i="8" s="1"/>
  <c r="AQ41" i="8"/>
  <c r="AD41" i="8"/>
  <c r="AI41" i="8" s="1"/>
  <c r="AN41" i="8" s="1"/>
  <c r="AE41" i="8"/>
  <c r="AJ41" i="8" s="1"/>
  <c r="AO41" i="8" s="1"/>
  <c r="AC41" i="8"/>
  <c r="AH41" i="8" s="1"/>
  <c r="AM41" i="8" s="1"/>
  <c r="AF27" i="8"/>
  <c r="AK27" i="8" s="1"/>
  <c r="AP27" i="8" s="1"/>
  <c r="AQ27" i="8"/>
  <c r="AC27" i="8"/>
  <c r="AH27" i="8" s="1"/>
  <c r="AM27" i="8" s="1"/>
  <c r="AE27" i="8"/>
  <c r="AJ27" i="8" s="1"/>
  <c r="AO27" i="8" s="1"/>
  <c r="AD27" i="8"/>
  <c r="AI27" i="8" s="1"/>
  <c r="AN27" i="8" s="1"/>
  <c r="AB27" i="8"/>
  <c r="AG27" i="8" s="1"/>
  <c r="AL27" i="8" s="1"/>
  <c r="BV7" i="8"/>
  <c r="AE7" i="11" s="1"/>
  <c r="AD29" i="8"/>
  <c r="AI29" i="8" s="1"/>
  <c r="AN29" i="8" s="1"/>
  <c r="AB29" i="8"/>
  <c r="AG29" i="8" s="1"/>
  <c r="AL29" i="8" s="1"/>
  <c r="AE29" i="8"/>
  <c r="AJ29" i="8" s="1"/>
  <c r="AO29" i="8" s="1"/>
  <c r="AC29" i="8"/>
  <c r="AH29" i="8" s="1"/>
  <c r="AM29" i="8" s="1"/>
  <c r="AQ29" i="8"/>
  <c r="AF29" i="8"/>
  <c r="AK29" i="8" s="1"/>
  <c r="AP29" i="8" s="1"/>
  <c r="BL7" i="8"/>
  <c r="U7" i="11" s="1"/>
  <c r="BE7" i="8"/>
  <c r="N7" i="11" s="1"/>
  <c r="AJ33" i="8"/>
  <c r="AO33" i="8" s="1"/>
  <c r="AB22" i="8"/>
  <c r="AG22" i="8" s="1"/>
  <c r="AL22" i="8" s="1"/>
  <c r="AD22" i="8"/>
  <c r="AI22" i="8" s="1"/>
  <c r="AN22" i="8" s="1"/>
  <c r="AE22" i="8"/>
  <c r="AJ22" i="8" s="1"/>
  <c r="AO22" i="8" s="1"/>
  <c r="AF22" i="8"/>
  <c r="AK22" i="8" s="1"/>
  <c r="AP22" i="8" s="1"/>
  <c r="AQ22" i="8"/>
  <c r="AC22" i="8"/>
  <c r="AH22" i="8" s="1"/>
  <c r="AM22" i="8" s="1"/>
  <c r="AP35" i="8"/>
  <c r="AK21" i="8"/>
  <c r="AP21" i="8" s="1"/>
  <c r="AJ21" i="8"/>
  <c r="AO21" i="8" s="1"/>
  <c r="AH21" i="8"/>
  <c r="AM21" i="8" s="1"/>
  <c r="AG21" i="8"/>
  <c r="AL21" i="8" s="1"/>
  <c r="AI21" i="8"/>
  <c r="AN21" i="8" s="1"/>
  <c r="AS10" i="8"/>
  <c r="B10" i="11" s="1"/>
  <c r="BY10" i="8"/>
  <c r="CE10" i="8"/>
  <c r="BZ10" i="8"/>
  <c r="CF10" i="8" s="1"/>
  <c r="CA10" i="8"/>
  <c r="CB10" i="8"/>
  <c r="BW10" i="8"/>
  <c r="BD7" i="8"/>
  <c r="M7" i="11" s="1"/>
  <c r="BP7" i="8"/>
  <c r="Y7" i="11" s="1"/>
  <c r="AY7" i="8"/>
  <c r="H7" i="11" s="1"/>
  <c r="AI33" i="8"/>
  <c r="AN33" i="8" s="1"/>
  <c r="AQ51" i="8"/>
  <c r="BR51" i="8" s="1"/>
  <c r="AA51" i="11" s="1"/>
  <c r="AG19" i="8"/>
  <c r="AL19" i="8" s="1"/>
  <c r="BP19" i="8"/>
  <c r="Y19" i="11" s="1"/>
  <c r="BE19" i="8"/>
  <c r="N19" i="11" s="1"/>
  <c r="BV19" i="8"/>
  <c r="AE19" i="11" s="1"/>
  <c r="BZ19" i="8"/>
  <c r="CF19" i="8" s="1"/>
  <c r="AX19" i="8"/>
  <c r="G19" i="11" s="1"/>
  <c r="BB19" i="8"/>
  <c r="K19" i="11" s="1"/>
  <c r="BI19" i="8"/>
  <c r="R19" i="11" s="1"/>
  <c r="BO19" i="8"/>
  <c r="X19" i="11" s="1"/>
  <c r="BR19" i="8"/>
  <c r="AA19" i="11" s="1"/>
  <c r="BD19" i="8"/>
  <c r="M19" i="11" s="1"/>
  <c r="CC19" i="8"/>
  <c r="BA19" i="8"/>
  <c r="J19" i="11" s="1"/>
  <c r="BX19" i="8"/>
  <c r="BC19" i="8"/>
  <c r="L19" i="11" s="1"/>
  <c r="AV19" i="8"/>
  <c r="E19" i="11" s="1"/>
  <c r="BY19" i="8"/>
  <c r="BQ19" i="8"/>
  <c r="Z19" i="11" s="1"/>
  <c r="BK19" i="8"/>
  <c r="T19" i="11" s="1"/>
  <c r="BH19" i="8"/>
  <c r="Q19" i="11" s="1"/>
  <c r="CA19" i="8"/>
  <c r="AZ19" i="8"/>
  <c r="I19" i="11" s="1"/>
  <c r="AW19" i="8"/>
  <c r="F19" i="11" s="1"/>
  <c r="CB19" i="8"/>
  <c r="BF19" i="8"/>
  <c r="O19" i="11" s="1"/>
  <c r="BJ19" i="8"/>
  <c r="S19" i="11" s="1"/>
  <c r="BG19" i="8"/>
  <c r="P19" i="11" s="1"/>
  <c r="BL19" i="8"/>
  <c r="U19" i="11" s="1"/>
  <c r="BT19" i="8"/>
  <c r="AC19" i="11" s="1"/>
  <c r="BN19" i="8"/>
  <c r="W19" i="11" s="1"/>
  <c r="CD19" i="8"/>
  <c r="BW19" i="8"/>
  <c r="AS19" i="8"/>
  <c r="B19" i="11" s="1"/>
  <c r="AU19" i="8"/>
  <c r="D19" i="11" s="1"/>
  <c r="BU19" i="8"/>
  <c r="AD19" i="11" s="1"/>
  <c r="CE19" i="8"/>
  <c r="AR19" i="8"/>
  <c r="AY19" i="8"/>
  <c r="H19" i="11" s="1"/>
  <c r="BS19" i="8"/>
  <c r="AB19" i="11" s="1"/>
  <c r="AT19" i="8"/>
  <c r="C19" i="11" s="1"/>
  <c r="BM19" i="8"/>
  <c r="V19" i="11" s="1"/>
  <c r="AK19" i="8"/>
  <c r="AP19" i="8" s="1"/>
  <c r="AM8" i="8"/>
  <c r="AD16" i="8"/>
  <c r="AI16" i="8" s="1"/>
  <c r="AN16" i="8" s="1"/>
  <c r="AQ16" i="8"/>
  <c r="AB16" i="8"/>
  <c r="AG16" i="8" s="1"/>
  <c r="AL16" i="8" s="1"/>
  <c r="AF16" i="8"/>
  <c r="AK16" i="8" s="1"/>
  <c r="AP16" i="8" s="1"/>
  <c r="AC16" i="8"/>
  <c r="AH16" i="8" s="1"/>
  <c r="AM16" i="8" s="1"/>
  <c r="AE16" i="8"/>
  <c r="AJ16" i="8" s="1"/>
  <c r="AO16" i="8" s="1"/>
  <c r="AN35" i="8"/>
  <c r="AO35" i="8"/>
  <c r="AB23" i="8"/>
  <c r="AG23" i="8" s="1"/>
  <c r="AL23" i="8" s="1"/>
  <c r="AQ23" i="8"/>
  <c r="AE23" i="8"/>
  <c r="AJ23" i="8" s="1"/>
  <c r="AO23" i="8" s="1"/>
  <c r="AF23" i="8"/>
  <c r="AK23" i="8" s="1"/>
  <c r="AP23" i="8" s="1"/>
  <c r="AC23" i="8"/>
  <c r="AH23" i="8" s="1"/>
  <c r="AM23" i="8" s="1"/>
  <c r="AD23" i="8"/>
  <c r="AI23" i="8" s="1"/>
  <c r="AN23" i="8" s="1"/>
  <c r="BS7" i="8"/>
  <c r="AB7" i="11" s="1"/>
  <c r="AX7" i="8"/>
  <c r="G7" i="11" s="1"/>
  <c r="AZ7" i="8"/>
  <c r="I7" i="11" s="1"/>
  <c r="AH33" i="8"/>
  <c r="AM33" i="8" s="1"/>
  <c r="AF51" i="8"/>
  <c r="AK51" i="8" s="1"/>
  <c r="AP51" i="8" s="1"/>
  <c r="AB30" i="8"/>
  <c r="AG30" i="8" s="1"/>
  <c r="AL30" i="8" s="1"/>
  <c r="AF30" i="8"/>
  <c r="AK30" i="8" s="1"/>
  <c r="AP30" i="8" s="1"/>
  <c r="AQ30" i="8"/>
  <c r="AC30" i="8"/>
  <c r="AH30" i="8" s="1"/>
  <c r="AM30" i="8" s="1"/>
  <c r="AE30" i="8"/>
  <c r="AJ30" i="8" s="1"/>
  <c r="AO30" i="8" s="1"/>
  <c r="AD30" i="8"/>
  <c r="AI30" i="8" s="1"/>
  <c r="AN30" i="8" s="1"/>
  <c r="BO20" i="8"/>
  <c r="X20" i="11" s="1"/>
  <c r="BZ20" i="8"/>
  <c r="CF20" i="8" s="1"/>
  <c r="BB20" i="8"/>
  <c r="K20" i="11" s="1"/>
  <c r="AS20" i="8"/>
  <c r="B20" i="11" s="1"/>
  <c r="AU20" i="8"/>
  <c r="D20" i="11" s="1"/>
  <c r="BE20" i="8"/>
  <c r="N20" i="11" s="1"/>
  <c r="BA20" i="8"/>
  <c r="J20" i="11" s="1"/>
  <c r="CE20" i="8"/>
  <c r="BF20" i="8"/>
  <c r="O20" i="11" s="1"/>
  <c r="BH20" i="8"/>
  <c r="Q20" i="11" s="1"/>
  <c r="BS20" i="8"/>
  <c r="AB20" i="11" s="1"/>
  <c r="BR20" i="8"/>
  <c r="AA20" i="11" s="1"/>
  <c r="BU20" i="8"/>
  <c r="AD20" i="11" s="1"/>
  <c r="CB20" i="8"/>
  <c r="BL20" i="8"/>
  <c r="U20" i="11" s="1"/>
  <c r="BC20" i="8"/>
  <c r="L20" i="11" s="1"/>
  <c r="BM20" i="8"/>
  <c r="V20" i="11" s="1"/>
  <c r="AW20" i="8"/>
  <c r="F20" i="11" s="1"/>
  <c r="AZ20" i="8"/>
  <c r="I20" i="11" s="1"/>
  <c r="BP20" i="8"/>
  <c r="Y20" i="11" s="1"/>
  <c r="BX20" i="8"/>
  <c r="BG20" i="8"/>
  <c r="P20" i="11" s="1"/>
  <c r="BY20" i="8"/>
  <c r="AV20" i="8"/>
  <c r="E20" i="11" s="1"/>
  <c r="AR20" i="8"/>
  <c r="BI20" i="8"/>
  <c r="R20" i="11" s="1"/>
  <c r="BQ20" i="8"/>
  <c r="Z20" i="11" s="1"/>
  <c r="AX20" i="8"/>
  <c r="G20" i="11" s="1"/>
  <c r="BK20" i="8"/>
  <c r="T20" i="11" s="1"/>
  <c r="AT20" i="8"/>
  <c r="C20" i="11" s="1"/>
  <c r="CA20" i="8"/>
  <c r="BJ20" i="8"/>
  <c r="S20" i="11" s="1"/>
  <c r="AY20" i="8"/>
  <c r="H20" i="11" s="1"/>
  <c r="CC20" i="8"/>
  <c r="BT20" i="8"/>
  <c r="AC20" i="11" s="1"/>
  <c r="BN20" i="8"/>
  <c r="W20" i="11" s="1"/>
  <c r="CD20" i="8"/>
  <c r="BV20" i="8"/>
  <c r="AE20" i="11" s="1"/>
  <c r="BD20" i="8"/>
  <c r="M20" i="11" s="1"/>
  <c r="BW20" i="8"/>
  <c r="AD45" i="8"/>
  <c r="AI45" i="8" s="1"/>
  <c r="AN45" i="8" s="1"/>
  <c r="AB45" i="8"/>
  <c r="AG45" i="8" s="1"/>
  <c r="AL45" i="8" s="1"/>
  <c r="AC45" i="8"/>
  <c r="AH45" i="8" s="1"/>
  <c r="AM45" i="8" s="1"/>
  <c r="AE45" i="8"/>
  <c r="AJ45" i="8" s="1"/>
  <c r="AO45" i="8" s="1"/>
  <c r="AQ45" i="8"/>
  <c r="AF45" i="8"/>
  <c r="AK45" i="8" s="1"/>
  <c r="AP45" i="8" s="1"/>
  <c r="AJ19" i="8"/>
  <c r="AO19" i="8" s="1"/>
  <c r="AN8" i="8"/>
  <c r="AR7" i="8"/>
  <c r="BA7" i="8"/>
  <c r="J7" i="11" s="1"/>
  <c r="BF7" i="8"/>
  <c r="O7" i="11" s="1"/>
  <c r="BI7" i="8"/>
  <c r="R7" i="11" s="1"/>
  <c r="AG33" i="8"/>
  <c r="AL33" i="8" s="1"/>
  <c r="AR31" i="8"/>
  <c r="AY31" i="8"/>
  <c r="H31" i="11" s="1"/>
  <c r="BW31" i="8"/>
  <c r="BF31" i="8"/>
  <c r="O31" i="11" s="1"/>
  <c r="BZ31" i="8"/>
  <c r="CF31" i="8" s="1"/>
  <c r="BG31" i="8"/>
  <c r="P31" i="11" s="1"/>
  <c r="CC31" i="8"/>
  <c r="AS31" i="8"/>
  <c r="B31" i="11" s="1"/>
  <c r="BP31" i="8"/>
  <c r="Y31" i="11" s="1"/>
  <c r="BQ31" i="8"/>
  <c r="Z31" i="11" s="1"/>
  <c r="BX31" i="8"/>
  <c r="CE31" i="8"/>
  <c r="AT31" i="8"/>
  <c r="C31" i="11" s="1"/>
  <c r="BA31" i="8"/>
  <c r="J31" i="11" s="1"/>
  <c r="BJ31" i="8"/>
  <c r="S31" i="11" s="1"/>
  <c r="BK31" i="8"/>
  <c r="T31" i="11" s="1"/>
  <c r="BR31" i="8"/>
  <c r="AA31" i="11" s="1"/>
  <c r="BU31" i="8"/>
  <c r="AD31" i="11" s="1"/>
  <c r="BS31" i="8"/>
  <c r="AB31" i="11" s="1"/>
  <c r="AU31" i="8"/>
  <c r="D31" i="11" s="1"/>
  <c r="CA31" i="8"/>
  <c r="CD31" i="8"/>
  <c r="BE31" i="8"/>
  <c r="N31" i="11" s="1"/>
  <c r="BL31" i="8"/>
  <c r="U31" i="11" s="1"/>
  <c r="BD31" i="8"/>
  <c r="M31" i="11" s="1"/>
  <c r="AV31" i="8"/>
  <c r="E31" i="11" s="1"/>
  <c r="BY31" i="8"/>
  <c r="BT31" i="8"/>
  <c r="AC31" i="11" s="1"/>
  <c r="BC31" i="8"/>
  <c r="L31" i="11" s="1"/>
  <c r="BI31" i="8"/>
  <c r="R31" i="11" s="1"/>
  <c r="AW31" i="8"/>
  <c r="F31" i="11" s="1"/>
  <c r="BO31" i="8"/>
  <c r="X31" i="11" s="1"/>
  <c r="BV31" i="8"/>
  <c r="AE31" i="11" s="1"/>
  <c r="AZ31" i="8"/>
  <c r="I31" i="11" s="1"/>
  <c r="BM31" i="8"/>
  <c r="V31" i="11" s="1"/>
  <c r="AX31" i="8"/>
  <c r="G31" i="11" s="1"/>
  <c r="BB31" i="8"/>
  <c r="K31" i="11" s="1"/>
  <c r="BH31" i="8"/>
  <c r="Q31" i="11" s="1"/>
  <c r="BN31" i="8"/>
  <c r="W31" i="11" s="1"/>
  <c r="CB31" i="8"/>
  <c r="AF49" i="8"/>
  <c r="AK49" i="8" s="1"/>
  <c r="AP49" i="8" s="1"/>
  <c r="AD49" i="8"/>
  <c r="AI49" i="8" s="1"/>
  <c r="AN49" i="8" s="1"/>
  <c r="AE49" i="8"/>
  <c r="AJ49" i="8" s="1"/>
  <c r="AO49" i="8" s="1"/>
  <c r="AC49" i="8"/>
  <c r="AH49" i="8" s="1"/>
  <c r="AM49" i="8" s="1"/>
  <c r="AQ49" i="8"/>
  <c r="AB49" i="8"/>
  <c r="AG49" i="8" s="1"/>
  <c r="AL49" i="8" s="1"/>
  <c r="AW14" i="8"/>
  <c r="F14" i="11" s="1"/>
  <c r="BL14" i="8"/>
  <c r="U14" i="11" s="1"/>
  <c r="CC14" i="8"/>
  <c r="BA14" i="8"/>
  <c r="J14" i="11" s="1"/>
  <c r="BS14" i="8"/>
  <c r="AB14" i="11" s="1"/>
  <c r="BV14" i="8"/>
  <c r="AE14" i="11" s="1"/>
  <c r="BG14" i="8"/>
  <c r="P14" i="11" s="1"/>
  <c r="CD14" i="8"/>
  <c r="AS14" i="8"/>
  <c r="B14" i="11" s="1"/>
  <c r="BH14" i="8"/>
  <c r="Q14" i="11" s="1"/>
  <c r="CE14" i="8"/>
  <c r="BC14" i="8"/>
  <c r="L14" i="11" s="1"/>
  <c r="BY14" i="8"/>
  <c r="BJ14" i="8"/>
  <c r="S14" i="11" s="1"/>
  <c r="AT14" i="8"/>
  <c r="C14" i="11" s="1"/>
  <c r="BN14" i="8"/>
  <c r="W14" i="11" s="1"/>
  <c r="AZ14" i="8"/>
  <c r="I14" i="11" s="1"/>
  <c r="AV14" i="8"/>
  <c r="E14" i="11" s="1"/>
  <c r="BO14" i="8"/>
  <c r="X14" i="11" s="1"/>
  <c r="AX14" i="8"/>
  <c r="G14" i="11" s="1"/>
  <c r="BT14" i="8"/>
  <c r="AC14" i="11" s="1"/>
  <c r="BU14" i="8"/>
  <c r="AD14" i="11" s="1"/>
  <c r="BX14" i="8"/>
  <c r="BE14" i="8"/>
  <c r="N14" i="11" s="1"/>
  <c r="CA14" i="8"/>
  <c r="BP14" i="8"/>
  <c r="Y14" i="11" s="1"/>
  <c r="BQ14" i="8"/>
  <c r="Z14" i="11" s="1"/>
  <c r="AY14" i="8"/>
  <c r="H14" i="11" s="1"/>
  <c r="BZ14" i="8"/>
  <c r="CF14" i="8" s="1"/>
  <c r="BI14" i="8"/>
  <c r="R14" i="11" s="1"/>
  <c r="BR14" i="8"/>
  <c r="AA14" i="11" s="1"/>
  <c r="BB14" i="8"/>
  <c r="K14" i="11" s="1"/>
  <c r="AU14" i="8"/>
  <c r="D14" i="11" s="1"/>
  <c r="BW14" i="8"/>
  <c r="CB14" i="8"/>
  <c r="BM14" i="8"/>
  <c r="V14" i="11" s="1"/>
  <c r="BF14" i="8"/>
  <c r="O14" i="11" s="1"/>
  <c r="AR14" i="8"/>
  <c r="BD14" i="8"/>
  <c r="M14" i="11" s="1"/>
  <c r="BK14" i="8"/>
  <c r="T14" i="11" s="1"/>
  <c r="AH44" i="8"/>
  <c r="AM44" i="8" s="1"/>
  <c r="AB53" i="8"/>
  <c r="AG53" i="8" s="1"/>
  <c r="AL53" i="8" s="1"/>
  <c r="AQ53" i="8"/>
  <c r="AC53" i="8"/>
  <c r="AH53" i="8" s="1"/>
  <c r="AM53" i="8" s="1"/>
  <c r="AD53" i="8"/>
  <c r="AI53" i="8" s="1"/>
  <c r="AN53" i="8" s="1"/>
  <c r="AE53" i="8"/>
  <c r="AJ53" i="8" s="1"/>
  <c r="AO53" i="8" s="1"/>
  <c r="AF53" i="8"/>
  <c r="AK53" i="8" s="1"/>
  <c r="AP53" i="8" s="1"/>
  <c r="AC54" i="8"/>
  <c r="AH54" i="8" s="1"/>
  <c r="AM54" i="8" s="1"/>
  <c r="AQ54" i="8"/>
  <c r="AD54" i="8"/>
  <c r="AI54" i="8" s="1"/>
  <c r="AN54" i="8" s="1"/>
  <c r="AB54" i="8"/>
  <c r="AG54" i="8" s="1"/>
  <c r="AL54" i="8" s="1"/>
  <c r="AE54" i="8"/>
  <c r="AJ54" i="8" s="1"/>
  <c r="AO54" i="8" s="1"/>
  <c r="AF54" i="8"/>
  <c r="AK54" i="8" s="1"/>
  <c r="AP54" i="8" s="1"/>
  <c r="AH51" i="8"/>
  <c r="AM51" i="8" s="1"/>
  <c r="AI51" i="8"/>
  <c r="AN51" i="8" s="1"/>
  <c r="AJ51" i="8"/>
  <c r="AO51" i="8" s="1"/>
  <c r="BF42" i="8"/>
  <c r="O42" i="11" s="1"/>
  <c r="BL42" i="8"/>
  <c r="U42" i="11" s="1"/>
  <c r="AW42" i="8"/>
  <c r="F42" i="11" s="1"/>
  <c r="BD42" i="8"/>
  <c r="M42" i="11" s="1"/>
  <c r="AX42" i="8"/>
  <c r="G42" i="11" s="1"/>
  <c r="BX42" i="8"/>
  <c r="AR48" i="8"/>
  <c r="BO48" i="8"/>
  <c r="X48" i="11" s="1"/>
  <c r="BR48" i="8"/>
  <c r="AA48" i="11" s="1"/>
  <c r="AX48" i="8"/>
  <c r="G48" i="11" s="1"/>
  <c r="AE62" i="8"/>
  <c r="AJ62" i="8" s="1"/>
  <c r="AO62" i="8" s="1"/>
  <c r="AC62" i="8"/>
  <c r="AH62" i="8" s="1"/>
  <c r="AM62" i="8" s="1"/>
  <c r="AQ62" i="8"/>
  <c r="AF62" i="8"/>
  <c r="AK62" i="8" s="1"/>
  <c r="AP62" i="8" s="1"/>
  <c r="AB62" i="8"/>
  <c r="AG62" i="8" s="1"/>
  <c r="AL62" i="8" s="1"/>
  <c r="AD62" i="8"/>
  <c r="AI62" i="8" s="1"/>
  <c r="AN62" i="8" s="1"/>
  <c r="AQ58" i="8"/>
  <c r="AC58" i="8"/>
  <c r="AH58" i="8" s="1"/>
  <c r="AM58" i="8" s="1"/>
  <c r="AD58" i="8"/>
  <c r="AI58" i="8" s="1"/>
  <c r="AN58" i="8" s="1"/>
  <c r="AE58" i="8"/>
  <c r="AJ58" i="8" s="1"/>
  <c r="AO58" i="8" s="1"/>
  <c r="AF58" i="8"/>
  <c r="AK58" i="8" s="1"/>
  <c r="AP58" i="8" s="1"/>
  <c r="AB58" i="8"/>
  <c r="AG58" i="8" s="1"/>
  <c r="AL58" i="8" s="1"/>
  <c r="AC52" i="8"/>
  <c r="AH52" i="8" s="1"/>
  <c r="AM52" i="8" s="1"/>
  <c r="AD52" i="8"/>
  <c r="AI52" i="8" s="1"/>
  <c r="AN52" i="8" s="1"/>
  <c r="AE52" i="8"/>
  <c r="AJ52" i="8" s="1"/>
  <c r="AO52" i="8" s="1"/>
  <c r="AB52" i="8"/>
  <c r="AG52" i="8" s="1"/>
  <c r="AL52" i="8" s="1"/>
  <c r="AQ52" i="8"/>
  <c r="AF52" i="8"/>
  <c r="AK52" i="8" s="1"/>
  <c r="AP52" i="8" s="1"/>
  <c r="AV12" i="8"/>
  <c r="E12" i="11" s="1"/>
  <c r="BB12" i="8"/>
  <c r="K12" i="11" s="1"/>
  <c r="BH12" i="8"/>
  <c r="Q12" i="11" s="1"/>
  <c r="BN12" i="8"/>
  <c r="W12" i="11" s="1"/>
  <c r="BT12" i="8"/>
  <c r="AC12" i="11" s="1"/>
  <c r="CB12" i="8"/>
  <c r="AW12" i="8"/>
  <c r="F12" i="11" s="1"/>
  <c r="BJ12" i="8"/>
  <c r="S12" i="11" s="1"/>
  <c r="BW12" i="8"/>
  <c r="BE12" i="8"/>
  <c r="N12" i="11" s="1"/>
  <c r="BR12" i="8"/>
  <c r="AA12" i="11" s="1"/>
  <c r="BZ12" i="8"/>
  <c r="CF12" i="8" s="1"/>
  <c r="AR12" i="8"/>
  <c r="AY12" i="8"/>
  <c r="H12" i="11" s="1"/>
  <c r="BL12" i="8"/>
  <c r="U12" i="11" s="1"/>
  <c r="AZ12" i="8"/>
  <c r="I12" i="11" s="1"/>
  <c r="BM12" i="8"/>
  <c r="V12" i="11" s="1"/>
  <c r="CC12" i="8"/>
  <c r="BK12" i="8"/>
  <c r="T12" i="11" s="1"/>
  <c r="BA12" i="8"/>
  <c r="J12" i="11" s="1"/>
  <c r="BU12" i="8"/>
  <c r="AD12" i="11" s="1"/>
  <c r="AS12" i="8"/>
  <c r="B12" i="11" s="1"/>
  <c r="BV12" i="8"/>
  <c r="AE12" i="11" s="1"/>
  <c r="AX12" i="8"/>
  <c r="G12" i="11" s="1"/>
  <c r="AT12" i="8"/>
  <c r="C12" i="11" s="1"/>
  <c r="BC12" i="8"/>
  <c r="L12" i="11" s="1"/>
  <c r="BD12" i="8"/>
  <c r="M12" i="11" s="1"/>
  <c r="BX12" i="8"/>
  <c r="AU12" i="8"/>
  <c r="D12" i="11" s="1"/>
  <c r="BO12" i="8"/>
  <c r="X12" i="11" s="1"/>
  <c r="BY12" i="8"/>
  <c r="BF12" i="8"/>
  <c r="O12" i="11" s="1"/>
  <c r="CA12" i="8"/>
  <c r="BG12" i="8"/>
  <c r="P12" i="11" s="1"/>
  <c r="BP12" i="8"/>
  <c r="Y12" i="11" s="1"/>
  <c r="CD12" i="8"/>
  <c r="BQ12" i="8"/>
  <c r="Z12" i="11" s="1"/>
  <c r="CE12" i="8"/>
  <c r="BI12" i="8"/>
  <c r="R12" i="11" s="1"/>
  <c r="BS12" i="8"/>
  <c r="AB12" i="11" s="1"/>
  <c r="AD55" i="8"/>
  <c r="AI55" i="8" s="1"/>
  <c r="AN55" i="8" s="1"/>
  <c r="AQ55" i="8"/>
  <c r="AB55" i="8"/>
  <c r="AG55" i="8" s="1"/>
  <c r="AL55" i="8" s="1"/>
  <c r="AE55" i="8"/>
  <c r="AJ55" i="8" s="1"/>
  <c r="AO55" i="8" s="1"/>
  <c r="AF55" i="8"/>
  <c r="AK55" i="8" s="1"/>
  <c r="AP55" i="8" s="1"/>
  <c r="AC55" i="8"/>
  <c r="AH55" i="8" s="1"/>
  <c r="AM55" i="8" s="1"/>
  <c r="AV50" i="8"/>
  <c r="E50" i="11" s="1"/>
  <c r="BB50" i="8"/>
  <c r="K50" i="11" s="1"/>
  <c r="BH50" i="8"/>
  <c r="Q50" i="11" s="1"/>
  <c r="BN50" i="8"/>
  <c r="W50" i="11" s="1"/>
  <c r="BT50" i="8"/>
  <c r="AC50" i="11" s="1"/>
  <c r="CB50" i="8"/>
  <c r="AW50" i="8"/>
  <c r="F50" i="11" s="1"/>
  <c r="BJ50" i="8"/>
  <c r="S50" i="11" s="1"/>
  <c r="BC50" i="8"/>
  <c r="L50" i="11" s="1"/>
  <c r="BQ50" i="8"/>
  <c r="Z50" i="11" s="1"/>
  <c r="BX50" i="8"/>
  <c r="BR50" i="8"/>
  <c r="AA50" i="11" s="1"/>
  <c r="BZ50" i="8"/>
  <c r="CF50" i="8" s="1"/>
  <c r="BI50" i="8"/>
  <c r="R50" i="11" s="1"/>
  <c r="BP50" i="8"/>
  <c r="Y50" i="11" s="1"/>
  <c r="BF50" i="8"/>
  <c r="O50" i="11" s="1"/>
  <c r="BO50" i="8"/>
  <c r="X50" i="11" s="1"/>
  <c r="BY50" i="8"/>
  <c r="AX50" i="8"/>
  <c r="G50" i="11" s="1"/>
  <c r="BG50" i="8"/>
  <c r="P50" i="11" s="1"/>
  <c r="CA50" i="8"/>
  <c r="CD50" i="8"/>
  <c r="BK50" i="8"/>
  <c r="T50" i="11" s="1"/>
  <c r="AS50" i="8"/>
  <c r="B50" i="11" s="1"/>
  <c r="BU50" i="8"/>
  <c r="AD50" i="11" s="1"/>
  <c r="BD50" i="8"/>
  <c r="M50" i="11" s="1"/>
  <c r="BM50" i="8"/>
  <c r="V50" i="11" s="1"/>
  <c r="AT50" i="8"/>
  <c r="C50" i="11" s="1"/>
  <c r="BE50" i="8"/>
  <c r="N50" i="11" s="1"/>
  <c r="BV50" i="8"/>
  <c r="AE50" i="11" s="1"/>
  <c r="AU50" i="8"/>
  <c r="D50" i="11" s="1"/>
  <c r="BW50" i="8"/>
  <c r="AY50" i="8"/>
  <c r="H50" i="11" s="1"/>
  <c r="CC50" i="8"/>
  <c r="AZ50" i="8"/>
  <c r="I50" i="11" s="1"/>
  <c r="CE50" i="8"/>
  <c r="BA50" i="8"/>
  <c r="J50" i="11" s="1"/>
  <c r="BL50" i="8"/>
  <c r="U50" i="11" s="1"/>
  <c r="BS50" i="8"/>
  <c r="AB50" i="11" s="1"/>
  <c r="AR50" i="8"/>
  <c r="BO24" i="8"/>
  <c r="X24" i="11" s="1"/>
  <c r="BU24" i="8"/>
  <c r="AD24" i="11" s="1"/>
  <c r="BS24" i="8"/>
  <c r="AB24" i="11" s="1"/>
  <c r="BT24" i="8"/>
  <c r="AC24" i="11" s="1"/>
  <c r="BV24" i="8"/>
  <c r="AE24" i="11" s="1"/>
  <c r="BW24" i="8"/>
  <c r="AV32" i="8"/>
  <c r="E32" i="11" s="1"/>
  <c r="BC32" i="8"/>
  <c r="L32" i="11" s="1"/>
  <c r="BV32" i="8"/>
  <c r="AE32" i="11" s="1"/>
  <c r="AY32" i="8"/>
  <c r="H32" i="11" s="1"/>
  <c r="BW32" i="8"/>
  <c r="AS32" i="8"/>
  <c r="B32" i="11" s="1"/>
  <c r="BA32" i="8"/>
  <c r="J32" i="11" s="1"/>
  <c r="BR32" i="8"/>
  <c r="AA32" i="11" s="1"/>
  <c r="BL32" i="8"/>
  <c r="U32" i="11" s="1"/>
  <c r="BM32" i="8"/>
  <c r="V32" i="11" s="1"/>
  <c r="BD32" i="8"/>
  <c r="M32" i="11" s="1"/>
  <c r="AD65" i="8"/>
  <c r="AI65" i="8" s="1"/>
  <c r="AN65" i="8" s="1"/>
  <c r="AB65" i="8"/>
  <c r="AG65" i="8" s="1"/>
  <c r="AL65" i="8" s="1"/>
  <c r="AF65" i="8"/>
  <c r="AK65" i="8" s="1"/>
  <c r="AP65" i="8" s="1"/>
  <c r="AE65" i="8"/>
  <c r="AJ65" i="8" s="1"/>
  <c r="AO65" i="8" s="1"/>
  <c r="AQ65" i="8"/>
  <c r="AC65" i="8"/>
  <c r="AH65" i="8" s="1"/>
  <c r="AM65" i="8" s="1"/>
  <c r="N8" i="1"/>
  <c r="AV33" i="8"/>
  <c r="E33" i="11" s="1"/>
  <c r="BB33" i="8"/>
  <c r="K33" i="11" s="1"/>
  <c r="BH33" i="8"/>
  <c r="Q33" i="11" s="1"/>
  <c r="BN33" i="8"/>
  <c r="W33" i="11" s="1"/>
  <c r="BT33" i="8"/>
  <c r="AC33" i="11" s="1"/>
  <c r="CB33" i="8"/>
  <c r="CE33" i="8"/>
  <c r="AR33" i="8"/>
  <c r="AS33" i="8"/>
  <c r="B33" i="11" s="1"/>
  <c r="AY33" i="8"/>
  <c r="H33" i="11" s="1"/>
  <c r="BE33" i="8"/>
  <c r="N33" i="11" s="1"/>
  <c r="BK33" i="8"/>
  <c r="T33" i="11" s="1"/>
  <c r="BQ33" i="8"/>
  <c r="Z33" i="11" s="1"/>
  <c r="BW33" i="8"/>
  <c r="AT33" i="8"/>
  <c r="C33" i="11" s="1"/>
  <c r="AZ33" i="8"/>
  <c r="I33" i="11" s="1"/>
  <c r="BF33" i="8"/>
  <c r="O33" i="11" s="1"/>
  <c r="BL33" i="8"/>
  <c r="U33" i="11" s="1"/>
  <c r="BR33" i="8"/>
  <c r="AA33" i="11" s="1"/>
  <c r="BY33" i="8"/>
  <c r="AU33" i="8"/>
  <c r="D33" i="11" s="1"/>
  <c r="BO33" i="8"/>
  <c r="X33" i="11" s="1"/>
  <c r="CA33" i="8"/>
  <c r="BP33" i="8"/>
  <c r="Y33" i="11" s="1"/>
  <c r="CC33" i="8"/>
  <c r="BG33" i="8"/>
  <c r="P33" i="11" s="1"/>
  <c r="CD33" i="8"/>
  <c r="AW33" i="8"/>
  <c r="F33" i="11" s="1"/>
  <c r="AX33" i="8"/>
  <c r="G33" i="11" s="1"/>
  <c r="BS33" i="8"/>
  <c r="AB33" i="11" s="1"/>
  <c r="BI33" i="8"/>
  <c r="R33" i="11" s="1"/>
  <c r="BJ33" i="8"/>
  <c r="S33" i="11" s="1"/>
  <c r="BA33" i="8"/>
  <c r="J33" i="11" s="1"/>
  <c r="BU33" i="8"/>
  <c r="AD33" i="11" s="1"/>
  <c r="BV33" i="8"/>
  <c r="AE33" i="11" s="1"/>
  <c r="BC33" i="8"/>
  <c r="L33" i="11" s="1"/>
  <c r="BZ33" i="8"/>
  <c r="CF33" i="8" s="1"/>
  <c r="BD33" i="8"/>
  <c r="M33" i="11" s="1"/>
  <c r="BM33" i="8"/>
  <c r="V33" i="11" s="1"/>
  <c r="BX33" i="8"/>
  <c r="AR46" i="8"/>
  <c r="AS46" i="8"/>
  <c r="B46" i="11" s="1"/>
  <c r="AY46" i="8"/>
  <c r="H46" i="11" s="1"/>
  <c r="BE46" i="8"/>
  <c r="N46" i="11" s="1"/>
  <c r="BK46" i="8"/>
  <c r="T46" i="11" s="1"/>
  <c r="BQ46" i="8"/>
  <c r="Z46" i="11" s="1"/>
  <c r="BW46" i="8"/>
  <c r="AT46" i="8"/>
  <c r="C46" i="11" s="1"/>
  <c r="AZ46" i="8"/>
  <c r="I46" i="11" s="1"/>
  <c r="BF46" i="8"/>
  <c r="O46" i="11" s="1"/>
  <c r="BL46" i="8"/>
  <c r="U46" i="11" s="1"/>
  <c r="BR46" i="8"/>
  <c r="AA46" i="11" s="1"/>
  <c r="BY46" i="8"/>
  <c r="AV46" i="8"/>
  <c r="E46" i="11" s="1"/>
  <c r="BB46" i="8"/>
  <c r="K46" i="11" s="1"/>
  <c r="BH46" i="8"/>
  <c r="Q46" i="11" s="1"/>
  <c r="BN46" i="8"/>
  <c r="W46" i="11" s="1"/>
  <c r="BT46" i="8"/>
  <c r="AC46" i="11" s="1"/>
  <c r="CB46" i="8"/>
  <c r="AU46" i="8"/>
  <c r="D46" i="11" s="1"/>
  <c r="BM46" i="8"/>
  <c r="V46" i="11" s="1"/>
  <c r="BD46" i="8"/>
  <c r="M46" i="11" s="1"/>
  <c r="BV46" i="8"/>
  <c r="AE46" i="11" s="1"/>
  <c r="BX46" i="8"/>
  <c r="AW46" i="8"/>
  <c r="F46" i="11" s="1"/>
  <c r="BO46" i="8"/>
  <c r="X46" i="11" s="1"/>
  <c r="BZ46" i="8"/>
  <c r="CF46" i="8" s="1"/>
  <c r="BG46" i="8"/>
  <c r="P46" i="11" s="1"/>
  <c r="AX46" i="8"/>
  <c r="G46" i="11" s="1"/>
  <c r="BP46" i="8"/>
  <c r="Y46" i="11" s="1"/>
  <c r="CA46" i="8"/>
  <c r="CC46" i="8"/>
  <c r="BI46" i="8"/>
  <c r="R46" i="11" s="1"/>
  <c r="CD46" i="8"/>
  <c r="BA46" i="8"/>
  <c r="J46" i="11" s="1"/>
  <c r="BS46" i="8"/>
  <c r="AB46" i="11" s="1"/>
  <c r="CE46" i="8"/>
  <c r="BJ46" i="8"/>
  <c r="S46" i="11" s="1"/>
  <c r="BC46" i="8"/>
  <c r="L46" i="11" s="1"/>
  <c r="BU46" i="8"/>
  <c r="AD46" i="11" s="1"/>
  <c r="AG56" i="8"/>
  <c r="AL56" i="8" s="1"/>
  <c r="AI56" i="8"/>
  <c r="AN56" i="8" s="1"/>
  <c r="AJ56" i="8"/>
  <c r="AO56" i="8" s="1"/>
  <c r="AH56" i="8"/>
  <c r="AM56" i="8" s="1"/>
  <c r="AK56" i="8"/>
  <c r="AP56" i="8" s="1"/>
  <c r="AC60" i="8"/>
  <c r="AH60" i="8" s="1"/>
  <c r="AM60" i="8" s="1"/>
  <c r="AQ60" i="8"/>
  <c r="AE60" i="8"/>
  <c r="AJ60" i="8" s="1"/>
  <c r="AO60" i="8" s="1"/>
  <c r="AF60" i="8"/>
  <c r="AK60" i="8" s="1"/>
  <c r="AP60" i="8" s="1"/>
  <c r="AB60" i="8"/>
  <c r="AG60" i="8" s="1"/>
  <c r="AL60" i="8" s="1"/>
  <c r="AD60" i="8"/>
  <c r="AI60" i="8" s="1"/>
  <c r="AN60" i="8" s="1"/>
  <c r="AC47" i="8"/>
  <c r="AH47" i="8" s="1"/>
  <c r="AM47" i="8" s="1"/>
  <c r="AQ47" i="8"/>
  <c r="AD47" i="8"/>
  <c r="AI47" i="8" s="1"/>
  <c r="AN47" i="8" s="1"/>
  <c r="AE47" i="8"/>
  <c r="AJ47" i="8" s="1"/>
  <c r="AO47" i="8" s="1"/>
  <c r="AF47" i="8"/>
  <c r="AK47" i="8" s="1"/>
  <c r="AP47" i="8" s="1"/>
  <c r="AB47" i="8"/>
  <c r="AG47" i="8" s="1"/>
  <c r="AL47" i="8" s="1"/>
  <c r="AW17" i="8"/>
  <c r="F17" i="11" s="1"/>
  <c r="BC17" i="8"/>
  <c r="L17" i="11" s="1"/>
  <c r="BI17" i="8"/>
  <c r="R17" i="11" s="1"/>
  <c r="BO17" i="8"/>
  <c r="X17" i="11" s="1"/>
  <c r="BU17" i="8"/>
  <c r="AD17" i="11" s="1"/>
  <c r="CD17" i="8"/>
  <c r="BA17" i="8"/>
  <c r="J17" i="11" s="1"/>
  <c r="BN17" i="8"/>
  <c r="W17" i="11" s="1"/>
  <c r="CE17" i="8"/>
  <c r="AU17" i="8"/>
  <c r="D17" i="11" s="1"/>
  <c r="BH17" i="8"/>
  <c r="Q17" i="11" s="1"/>
  <c r="AX17" i="8"/>
  <c r="G17" i="11" s="1"/>
  <c r="BK17" i="8"/>
  <c r="T17" i="11" s="1"/>
  <c r="BY17" i="8"/>
  <c r="AZ17" i="8"/>
  <c r="I17" i="11" s="1"/>
  <c r="BM17" i="8"/>
  <c r="V17" i="11" s="1"/>
  <c r="CB17" i="8"/>
  <c r="AS17" i="8"/>
  <c r="B17" i="11" s="1"/>
  <c r="BW17" i="8"/>
  <c r="AT17" i="8"/>
  <c r="C17" i="11" s="1"/>
  <c r="BD17" i="8"/>
  <c r="M17" i="11" s="1"/>
  <c r="BX17" i="8"/>
  <c r="BE17" i="8"/>
  <c r="N17" i="11" s="1"/>
  <c r="BZ17" i="8"/>
  <c r="CF17" i="8" s="1"/>
  <c r="BF17" i="8"/>
  <c r="O17" i="11" s="1"/>
  <c r="CA17" i="8"/>
  <c r="BG17" i="8"/>
  <c r="P17" i="11" s="1"/>
  <c r="BQ17" i="8"/>
  <c r="Z17" i="11" s="1"/>
  <c r="CC17" i="8"/>
  <c r="BR17" i="8"/>
  <c r="AA17" i="11" s="1"/>
  <c r="BJ17" i="8"/>
  <c r="S17" i="11" s="1"/>
  <c r="BS17" i="8"/>
  <c r="AB17" i="11" s="1"/>
  <c r="BT17" i="8"/>
  <c r="AC17" i="11" s="1"/>
  <c r="BL17" i="8"/>
  <c r="U17" i="11" s="1"/>
  <c r="BP17" i="8"/>
  <c r="Y17" i="11" s="1"/>
  <c r="BV17" i="8"/>
  <c r="AE17" i="11" s="1"/>
  <c r="AR17" i="8"/>
  <c r="AV17" i="8"/>
  <c r="E17" i="11" s="1"/>
  <c r="AY17" i="8"/>
  <c r="H17" i="11" s="1"/>
  <c r="BB17" i="8"/>
  <c r="K17" i="11" s="1"/>
  <c r="AE59" i="8"/>
  <c r="AJ59" i="8" s="1"/>
  <c r="AO59" i="8" s="1"/>
  <c r="AF59" i="8"/>
  <c r="AK59" i="8" s="1"/>
  <c r="AP59" i="8" s="1"/>
  <c r="AB59" i="8"/>
  <c r="AG59" i="8" s="1"/>
  <c r="AL59" i="8" s="1"/>
  <c r="AD59" i="8"/>
  <c r="AI59" i="8" s="1"/>
  <c r="AN59" i="8" s="1"/>
  <c r="AQ59" i="8"/>
  <c r="AC59" i="8"/>
  <c r="AH59" i="8" s="1"/>
  <c r="AM59" i="8" s="1"/>
  <c r="AJ50" i="8"/>
  <c r="AO50" i="8" s="1"/>
  <c r="AH50" i="8"/>
  <c r="AM50" i="8" s="1"/>
  <c r="AG50" i="8"/>
  <c r="AL50" i="8" s="1"/>
  <c r="AI50" i="8"/>
  <c r="AN50" i="8" s="1"/>
  <c r="AK50" i="8"/>
  <c r="AP50" i="8" s="1"/>
  <c r="AV38" i="8"/>
  <c r="E38" i="11" s="1"/>
  <c r="BB38" i="8"/>
  <c r="K38" i="11" s="1"/>
  <c r="BH38" i="8"/>
  <c r="Q38" i="11" s="1"/>
  <c r="BN38" i="8"/>
  <c r="W38" i="11" s="1"/>
  <c r="AT38" i="8"/>
  <c r="C38" i="11" s="1"/>
  <c r="BA38" i="8"/>
  <c r="J38" i="11" s="1"/>
  <c r="CE38" i="8"/>
  <c r="BI38" i="8"/>
  <c r="R38" i="11" s="1"/>
  <c r="BP38" i="8"/>
  <c r="Y38" i="11" s="1"/>
  <c r="BV38" i="8"/>
  <c r="AE38" i="11" s="1"/>
  <c r="AU38" i="8"/>
  <c r="D38" i="11" s="1"/>
  <c r="BC38" i="8"/>
  <c r="L38" i="11" s="1"/>
  <c r="BJ38" i="8"/>
  <c r="S38" i="11" s="1"/>
  <c r="BQ38" i="8"/>
  <c r="Z38" i="11" s="1"/>
  <c r="BW38" i="8"/>
  <c r="BX38" i="8"/>
  <c r="AW38" i="8"/>
  <c r="F38" i="11" s="1"/>
  <c r="BD38" i="8"/>
  <c r="M38" i="11" s="1"/>
  <c r="BK38" i="8"/>
  <c r="T38" i="11" s="1"/>
  <c r="BR38" i="8"/>
  <c r="AA38" i="11" s="1"/>
  <c r="BY38" i="8"/>
  <c r="BL38" i="8"/>
  <c r="U38" i="11" s="1"/>
  <c r="BZ38" i="8"/>
  <c r="CF38" i="8" s="1"/>
  <c r="AX38" i="8"/>
  <c r="G38" i="11" s="1"/>
  <c r="BE38" i="8"/>
  <c r="N38" i="11" s="1"/>
  <c r="BS38" i="8"/>
  <c r="AB38" i="11" s="1"/>
  <c r="BF38" i="8"/>
  <c r="O38" i="11" s="1"/>
  <c r="BM38" i="8"/>
  <c r="V38" i="11" s="1"/>
  <c r="CA38" i="8"/>
  <c r="AR38" i="8"/>
  <c r="AS38" i="8"/>
  <c r="B38" i="11" s="1"/>
  <c r="BU38" i="8"/>
  <c r="AD38" i="11" s="1"/>
  <c r="AY38" i="8"/>
  <c r="H38" i="11" s="1"/>
  <c r="CB38" i="8"/>
  <c r="AZ38" i="8"/>
  <c r="I38" i="11" s="1"/>
  <c r="CC38" i="8"/>
  <c r="CD38" i="8"/>
  <c r="BG38" i="8"/>
  <c r="P38" i="11" s="1"/>
  <c r="BO38" i="8"/>
  <c r="X38" i="11" s="1"/>
  <c r="BT38" i="8"/>
  <c r="AC38" i="11" s="1"/>
  <c r="AC64" i="8"/>
  <c r="AH64" i="8" s="1"/>
  <c r="AM64" i="8" s="1"/>
  <c r="AQ64" i="8"/>
  <c r="AE64" i="8"/>
  <c r="AJ64" i="8" s="1"/>
  <c r="AO64" i="8" s="1"/>
  <c r="AD64" i="8"/>
  <c r="AI64" i="8" s="1"/>
  <c r="AN64" i="8" s="1"/>
  <c r="AB64" i="8"/>
  <c r="AG64" i="8" s="1"/>
  <c r="AL64" i="8" s="1"/>
  <c r="AF64" i="8"/>
  <c r="AK64" i="8" s="1"/>
  <c r="AP64" i="8" s="1"/>
  <c r="AT56" i="8"/>
  <c r="C56" i="11" s="1"/>
  <c r="AZ56" i="8"/>
  <c r="I56" i="11" s="1"/>
  <c r="BF56" i="8"/>
  <c r="O56" i="11" s="1"/>
  <c r="BL56" i="8"/>
  <c r="U56" i="11" s="1"/>
  <c r="BR56" i="8"/>
  <c r="AA56" i="11" s="1"/>
  <c r="BY56" i="8"/>
  <c r="AU56" i="8"/>
  <c r="D56" i="11" s="1"/>
  <c r="BA56" i="8"/>
  <c r="J56" i="11" s="1"/>
  <c r="BG56" i="8"/>
  <c r="P56" i="11" s="1"/>
  <c r="BM56" i="8"/>
  <c r="V56" i="11" s="1"/>
  <c r="BS56" i="8"/>
  <c r="AB56" i="11" s="1"/>
  <c r="AV56" i="8"/>
  <c r="E56" i="11" s="1"/>
  <c r="BB56" i="8"/>
  <c r="K56" i="11" s="1"/>
  <c r="BH56" i="8"/>
  <c r="Q56" i="11" s="1"/>
  <c r="BN56" i="8"/>
  <c r="W56" i="11" s="1"/>
  <c r="BT56" i="8"/>
  <c r="AC56" i="11" s="1"/>
  <c r="CB56" i="8"/>
  <c r="AS56" i="8"/>
  <c r="B56" i="11" s="1"/>
  <c r="AY56" i="8"/>
  <c r="H56" i="11" s="1"/>
  <c r="BE56" i="8"/>
  <c r="N56" i="11" s="1"/>
  <c r="BK56" i="8"/>
  <c r="T56" i="11" s="1"/>
  <c r="BQ56" i="8"/>
  <c r="Z56" i="11" s="1"/>
  <c r="BW56" i="8"/>
  <c r="BD56" i="8"/>
  <c r="M56" i="11" s="1"/>
  <c r="BV56" i="8"/>
  <c r="AE56" i="11" s="1"/>
  <c r="AW56" i="8"/>
  <c r="F56" i="11" s="1"/>
  <c r="BO56" i="8"/>
  <c r="X56" i="11" s="1"/>
  <c r="BX56" i="8"/>
  <c r="AX56" i="8"/>
  <c r="G56" i="11" s="1"/>
  <c r="BP56" i="8"/>
  <c r="Y56" i="11" s="1"/>
  <c r="CA56" i="8"/>
  <c r="BJ56" i="8"/>
  <c r="S56" i="11" s="1"/>
  <c r="BZ56" i="8"/>
  <c r="CF56" i="8" s="1"/>
  <c r="CD56" i="8"/>
  <c r="BI56" i="8"/>
  <c r="R56" i="11" s="1"/>
  <c r="BC56" i="8"/>
  <c r="L56" i="11" s="1"/>
  <c r="CC56" i="8"/>
  <c r="CE56" i="8"/>
  <c r="AR56" i="8"/>
  <c r="BU56" i="8"/>
  <c r="AD56" i="11" s="1"/>
  <c r="AD61" i="8"/>
  <c r="AI61" i="8" s="1"/>
  <c r="AN61" i="8" s="1"/>
  <c r="AE61" i="8"/>
  <c r="AJ61" i="8" s="1"/>
  <c r="AO61" i="8" s="1"/>
  <c r="AQ61" i="8"/>
  <c r="AC61" i="8"/>
  <c r="AH61" i="8" s="1"/>
  <c r="AM61" i="8" s="1"/>
  <c r="AF61" i="8"/>
  <c r="AK61" i="8" s="1"/>
  <c r="AP61" i="8" s="1"/>
  <c r="AB61" i="8"/>
  <c r="AG61" i="8" s="1"/>
  <c r="AL61" i="8" s="1"/>
  <c r="CD37" i="8"/>
  <c r="AC57" i="8"/>
  <c r="AH57" i="8" s="1"/>
  <c r="AM57" i="8" s="1"/>
  <c r="AD57" i="8"/>
  <c r="AI57" i="8" s="1"/>
  <c r="AN57" i="8" s="1"/>
  <c r="AB57" i="8"/>
  <c r="AG57" i="8" s="1"/>
  <c r="AL57" i="8" s="1"/>
  <c r="AQ57" i="8"/>
  <c r="AF57" i="8"/>
  <c r="AK57" i="8" s="1"/>
  <c r="AP57" i="8" s="1"/>
  <c r="AE57" i="8"/>
  <c r="AJ57" i="8" s="1"/>
  <c r="AO57" i="8" s="1"/>
  <c r="BA36" i="8"/>
  <c r="J36" i="11" s="1"/>
  <c r="BM36" i="8"/>
  <c r="V36" i="11" s="1"/>
  <c r="AV40" i="8"/>
  <c r="E40" i="11" s="1"/>
  <c r="BB40" i="8"/>
  <c r="K40" i="11" s="1"/>
  <c r="BH40" i="8"/>
  <c r="Q40" i="11" s="1"/>
  <c r="BN40" i="8"/>
  <c r="W40" i="11" s="1"/>
  <c r="BT40" i="8"/>
  <c r="AC40" i="11" s="1"/>
  <c r="CB40" i="8"/>
  <c r="AW40" i="8"/>
  <c r="F40" i="11" s="1"/>
  <c r="BC40" i="8"/>
  <c r="L40" i="11" s="1"/>
  <c r="BI40" i="8"/>
  <c r="R40" i="11" s="1"/>
  <c r="BO40" i="8"/>
  <c r="X40" i="11" s="1"/>
  <c r="BU40" i="8"/>
  <c r="AD40" i="11" s="1"/>
  <c r="CD40" i="8"/>
  <c r="CA40" i="8"/>
  <c r="AR40" i="8"/>
  <c r="AS40" i="8"/>
  <c r="B40" i="11" s="1"/>
  <c r="AZ40" i="8"/>
  <c r="I40" i="11" s="1"/>
  <c r="BG40" i="8"/>
  <c r="P40" i="11" s="1"/>
  <c r="BV40" i="8"/>
  <c r="AE40" i="11" s="1"/>
  <c r="BA40" i="8"/>
  <c r="J40" i="11" s="1"/>
  <c r="BJ40" i="8"/>
  <c r="S40" i="11" s="1"/>
  <c r="BR40" i="8"/>
  <c r="AA40" i="11" s="1"/>
  <c r="CE40" i="8"/>
  <c r="BS40" i="8"/>
  <c r="AB40" i="11" s="1"/>
  <c r="AT40" i="8"/>
  <c r="C40" i="11" s="1"/>
  <c r="BK40" i="8"/>
  <c r="T40" i="11" s="1"/>
  <c r="BL40" i="8"/>
  <c r="U40" i="11" s="1"/>
  <c r="AU40" i="8"/>
  <c r="D40" i="11" s="1"/>
  <c r="BD40" i="8"/>
  <c r="M40" i="11" s="1"/>
  <c r="BE40" i="8"/>
  <c r="N40" i="11" s="1"/>
  <c r="BM40" i="8"/>
  <c r="V40" i="11" s="1"/>
  <c r="BW40" i="8"/>
  <c r="AX40" i="8"/>
  <c r="G40" i="11" s="1"/>
  <c r="BF40" i="8"/>
  <c r="O40" i="11" s="1"/>
  <c r="BX40" i="8"/>
  <c r="BP40" i="8"/>
  <c r="Y40" i="11" s="1"/>
  <c r="BY40" i="8"/>
  <c r="BQ40" i="8"/>
  <c r="Z40" i="11" s="1"/>
  <c r="BZ40" i="8"/>
  <c r="CF40" i="8" s="1"/>
  <c r="CC40" i="8"/>
  <c r="AY40" i="8"/>
  <c r="H40" i="11" s="1"/>
  <c r="AB63" i="8"/>
  <c r="AG63" i="8" s="1"/>
  <c r="AL63" i="8" s="1"/>
  <c r="AF63" i="8"/>
  <c r="AK63" i="8" s="1"/>
  <c r="AP63" i="8" s="1"/>
  <c r="AD63" i="8"/>
  <c r="AI63" i="8" s="1"/>
  <c r="AN63" i="8" s="1"/>
  <c r="AC63" i="8"/>
  <c r="AH63" i="8" s="1"/>
  <c r="AM63" i="8" s="1"/>
  <c r="AQ63" i="8"/>
  <c r="AE63" i="8"/>
  <c r="AJ63" i="8" s="1"/>
  <c r="AO63" i="8" s="1"/>
  <c r="AS7" i="8" l="1"/>
  <c r="B7" i="11" s="1"/>
  <c r="AT7" i="8"/>
  <c r="C7" i="11" s="1"/>
  <c r="BX7" i="8"/>
  <c r="CC7" i="8" s="1"/>
  <c r="BW7" i="8"/>
  <c r="BZ7" i="8"/>
  <c r="CF7" i="8" s="1"/>
  <c r="AD6" i="8"/>
  <c r="AI6" i="8" s="1"/>
  <c r="AN6" i="8" s="1"/>
  <c r="AB6" i="8"/>
  <c r="AG6" i="8" s="1"/>
  <c r="AL6" i="8" s="1"/>
  <c r="AC6" i="8"/>
  <c r="AH6" i="8" s="1"/>
  <c r="AM6" i="8" s="1"/>
  <c r="AF6" i="8"/>
  <c r="AK6" i="8" s="1"/>
  <c r="AP6" i="8" s="1"/>
  <c r="AE6" i="8"/>
  <c r="AJ6" i="8" s="1"/>
  <c r="AO6" i="8" s="1"/>
  <c r="AQ6" i="8"/>
  <c r="AU32" i="8"/>
  <c r="D32" i="11" s="1"/>
  <c r="CA32" i="8"/>
  <c r="BG32" i="8"/>
  <c r="P32" i="11" s="1"/>
  <c r="BI32" i="8"/>
  <c r="R32" i="11" s="1"/>
  <c r="BT32" i="8"/>
  <c r="AC32" i="11" s="1"/>
  <c r="BJ32" i="8"/>
  <c r="S32" i="11" s="1"/>
  <c r="BN32" i="8"/>
  <c r="W32" i="11" s="1"/>
  <c r="AW32" i="8"/>
  <c r="F32" i="11" s="1"/>
  <c r="BE32" i="8"/>
  <c r="N32" i="11" s="1"/>
  <c r="BZ32" i="8"/>
  <c r="CF32" i="8" s="1"/>
  <c r="BF32" i="8"/>
  <c r="O32" i="11" s="1"/>
  <c r="CC32" i="8"/>
  <c r="BQ32" i="8"/>
  <c r="Z32" i="11" s="1"/>
  <c r="AX32" i="8"/>
  <c r="G32" i="11" s="1"/>
  <c r="BS32" i="8"/>
  <c r="AB32" i="11" s="1"/>
  <c r="BH32" i="8"/>
  <c r="Q32" i="11" s="1"/>
  <c r="AR32" i="8"/>
  <c r="CB32" i="8"/>
  <c r="BY32" i="8"/>
  <c r="CE32" i="8"/>
  <c r="BK32" i="8"/>
  <c r="T32" i="11" s="1"/>
  <c r="BP32" i="8"/>
  <c r="Y32" i="11" s="1"/>
  <c r="CD32" i="8"/>
  <c r="BB32" i="8"/>
  <c r="K32" i="11" s="1"/>
  <c r="AZ32" i="8"/>
  <c r="I32" i="11" s="1"/>
  <c r="BU32" i="8"/>
  <c r="AD32" i="11" s="1"/>
  <c r="AT32" i="8"/>
  <c r="C32" i="11" s="1"/>
  <c r="BX32" i="8"/>
  <c r="CB9" i="8"/>
  <c r="CE9" i="8" s="1"/>
  <c r="BV42" i="8"/>
  <c r="AE42" i="11" s="1"/>
  <c r="BJ42" i="8"/>
  <c r="S42" i="11" s="1"/>
  <c r="AZ42" i="8"/>
  <c r="I42" i="11" s="1"/>
  <c r="BI24" i="8"/>
  <c r="R24" i="11" s="1"/>
  <c r="BI42" i="8"/>
  <c r="R42" i="11" s="1"/>
  <c r="BC42" i="8"/>
  <c r="L42" i="11" s="1"/>
  <c r="AT42" i="8"/>
  <c r="C42" i="11" s="1"/>
  <c r="BT42" i="8"/>
  <c r="AC42" i="11" s="1"/>
  <c r="AV42" i="8"/>
  <c r="E42" i="11" s="1"/>
  <c r="BW42" i="8"/>
  <c r="BH42" i="8"/>
  <c r="Q42" i="11" s="1"/>
  <c r="BZ42" i="8"/>
  <c r="CF42" i="8" s="1"/>
  <c r="BQ42" i="8"/>
  <c r="Z42" i="11" s="1"/>
  <c r="BB42" i="8"/>
  <c r="K42" i="11" s="1"/>
  <c r="AU42" i="8"/>
  <c r="D42" i="11" s="1"/>
  <c r="AR42" i="8"/>
  <c r="BK42" i="8"/>
  <c r="T42" i="11" s="1"/>
  <c r="BL36" i="8"/>
  <c r="U36" i="11" s="1"/>
  <c r="BP42" i="8"/>
  <c r="Y42" i="11" s="1"/>
  <c r="BE42" i="8"/>
  <c r="N42" i="11" s="1"/>
  <c r="AS36" i="8"/>
  <c r="B36" i="11" s="1"/>
  <c r="BH24" i="8"/>
  <c r="Q24" i="11" s="1"/>
  <c r="BA42" i="8"/>
  <c r="J42" i="11" s="1"/>
  <c r="CE42" i="8"/>
  <c r="BN42" i="8"/>
  <c r="W42" i="11" s="1"/>
  <c r="AY42" i="8"/>
  <c r="H42" i="11" s="1"/>
  <c r="BR36" i="8"/>
  <c r="AA36" i="11" s="1"/>
  <c r="AU24" i="8"/>
  <c r="D24" i="11" s="1"/>
  <c r="CD42" i="8"/>
  <c r="CC42" i="8"/>
  <c r="BG42" i="8"/>
  <c r="P42" i="11" s="1"/>
  <c r="AS42" i="8"/>
  <c r="B42" i="11" s="1"/>
  <c r="BM42" i="8"/>
  <c r="V42" i="11" s="1"/>
  <c r="CD36" i="8"/>
  <c r="AS24" i="8"/>
  <c r="B24" i="11" s="1"/>
  <c r="CA42" i="8"/>
  <c r="CB42" i="8"/>
  <c r="BY42" i="8"/>
  <c r="BU42" i="8"/>
  <c r="AD42" i="11" s="1"/>
  <c r="BO36" i="8"/>
  <c r="X36" i="11" s="1"/>
  <c r="CB24" i="8"/>
  <c r="BO42" i="8"/>
  <c r="X42" i="11" s="1"/>
  <c r="BS42" i="8"/>
  <c r="AB42" i="11" s="1"/>
  <c r="BK37" i="8"/>
  <c r="T37" i="11" s="1"/>
  <c r="BZ48" i="8"/>
  <c r="CF48" i="8" s="1"/>
  <c r="AT48" i="8"/>
  <c r="C48" i="11" s="1"/>
  <c r="BC48" i="8"/>
  <c r="L48" i="11" s="1"/>
  <c r="AS48" i="8"/>
  <c r="B48" i="11" s="1"/>
  <c r="BU37" i="8"/>
  <c r="AD37" i="11" s="1"/>
  <c r="BY48" i="8"/>
  <c r="BE48" i="8"/>
  <c r="N48" i="11" s="1"/>
  <c r="BB48" i="8"/>
  <c r="K48" i="11" s="1"/>
  <c r="BD48" i="8"/>
  <c r="M48" i="11" s="1"/>
  <c r="BV48" i="8"/>
  <c r="AE48" i="11" s="1"/>
  <c r="CE48" i="8"/>
  <c r="BN48" i="8"/>
  <c r="W48" i="11" s="1"/>
  <c r="BI48" i="8"/>
  <c r="R48" i="11" s="1"/>
  <c r="CC48" i="8"/>
  <c r="BA48" i="8"/>
  <c r="J48" i="11" s="1"/>
  <c r="AV48" i="8"/>
  <c r="E48" i="11" s="1"/>
  <c r="BX48" i="8"/>
  <c r="CB48" i="8"/>
  <c r="CD48" i="8"/>
  <c r="BU48" i="8"/>
  <c r="AD48" i="11" s="1"/>
  <c r="BQ48" i="8"/>
  <c r="Z48" i="11" s="1"/>
  <c r="BM48" i="8"/>
  <c r="V48" i="11" s="1"/>
  <c r="BH48" i="8"/>
  <c r="Q48" i="11" s="1"/>
  <c r="BJ48" i="8"/>
  <c r="S48" i="11" s="1"/>
  <c r="AZ48" i="8"/>
  <c r="I48" i="11" s="1"/>
  <c r="BZ37" i="8"/>
  <c r="CF37" i="8" s="1"/>
  <c r="AU48" i="8"/>
  <c r="D48" i="11" s="1"/>
  <c r="AW48" i="8"/>
  <c r="F48" i="11" s="1"/>
  <c r="CA48" i="8"/>
  <c r="BK48" i="8"/>
  <c r="T48" i="11" s="1"/>
  <c r="BS37" i="8"/>
  <c r="AB37" i="11" s="1"/>
  <c r="BL48" i="8"/>
  <c r="U48" i="11" s="1"/>
  <c r="BT48" i="8"/>
  <c r="AC48" i="11" s="1"/>
  <c r="BW48" i="8"/>
  <c r="BS48" i="8"/>
  <c r="AB48" i="11" s="1"/>
  <c r="AV37" i="8"/>
  <c r="E37" i="11" s="1"/>
  <c r="BQ37" i="8"/>
  <c r="Z37" i="11" s="1"/>
  <c r="AY48" i="8"/>
  <c r="H48" i="11" s="1"/>
  <c r="BG48" i="8"/>
  <c r="P48" i="11" s="1"/>
  <c r="BP48" i="8"/>
  <c r="Y48" i="11" s="1"/>
  <c r="BE37" i="8"/>
  <c r="N37" i="11" s="1"/>
  <c r="BM37" i="8"/>
  <c r="V37" i="11" s="1"/>
  <c r="AY37" i="8"/>
  <c r="H37" i="11" s="1"/>
  <c r="BI37" i="8"/>
  <c r="R37" i="11" s="1"/>
  <c r="BP24" i="8"/>
  <c r="Y24" i="11" s="1"/>
  <c r="BF24" i="8"/>
  <c r="O24" i="11" s="1"/>
  <c r="BL24" i="8"/>
  <c r="U24" i="11" s="1"/>
  <c r="BC24" i="8"/>
  <c r="L24" i="11" s="1"/>
  <c r="BY37" i="8"/>
  <c r="AS37" i="8"/>
  <c r="B37" i="11" s="1"/>
  <c r="BC37" i="8"/>
  <c r="L37" i="11" s="1"/>
  <c r="BD24" i="8"/>
  <c r="M24" i="11" s="1"/>
  <c r="AT24" i="8"/>
  <c r="C24" i="11" s="1"/>
  <c r="BE24" i="8"/>
  <c r="N24" i="11" s="1"/>
  <c r="AW24" i="8"/>
  <c r="F24" i="11" s="1"/>
  <c r="AX24" i="8"/>
  <c r="G24" i="11" s="1"/>
  <c r="BQ24" i="8"/>
  <c r="Z24" i="11" s="1"/>
  <c r="BR24" i="8"/>
  <c r="AA24" i="11" s="1"/>
  <c r="AR37" i="8"/>
  <c r="BL37" i="8"/>
  <c r="U37" i="11" s="1"/>
  <c r="BV37" i="8"/>
  <c r="AE37" i="11" s="1"/>
  <c r="CC37" i="8"/>
  <c r="CA24" i="8"/>
  <c r="CE24" i="8"/>
  <c r="BK24" i="8"/>
  <c r="T24" i="11" s="1"/>
  <c r="BR37" i="8"/>
  <c r="AA37" i="11" s="1"/>
  <c r="AW37" i="8"/>
  <c r="F37" i="11" s="1"/>
  <c r="BF37" i="8"/>
  <c r="O37" i="11" s="1"/>
  <c r="BP37" i="8"/>
  <c r="Y37" i="11" s="1"/>
  <c r="CB37" i="8"/>
  <c r="BM24" i="8"/>
  <c r="V24" i="11" s="1"/>
  <c r="BB24" i="8"/>
  <c r="K24" i="11" s="1"/>
  <c r="AV24" i="8"/>
  <c r="E24" i="11" s="1"/>
  <c r="AU37" i="8"/>
  <c r="D37" i="11" s="1"/>
  <c r="AZ37" i="8"/>
  <c r="I37" i="11" s="1"/>
  <c r="BA24" i="8"/>
  <c r="J24" i="11" s="1"/>
  <c r="CC24" i="8"/>
  <c r="BZ24" i="8"/>
  <c r="CF24" i="8" s="1"/>
  <c r="BJ37" i="8"/>
  <c r="S37" i="11" s="1"/>
  <c r="BG37" i="8"/>
  <c r="P37" i="11" s="1"/>
  <c r="AT37" i="8"/>
  <c r="C37" i="11" s="1"/>
  <c r="BD37" i="8"/>
  <c r="M37" i="11" s="1"/>
  <c r="BN37" i="8"/>
  <c r="W37" i="11" s="1"/>
  <c r="BY24" i="8"/>
  <c r="BN24" i="8"/>
  <c r="W24" i="11" s="1"/>
  <c r="BJ24" i="8"/>
  <c r="S24" i="11" s="1"/>
  <c r="BO37" i="8"/>
  <c r="X37" i="11" s="1"/>
  <c r="CA37" i="8"/>
  <c r="BX37" i="8"/>
  <c r="AX37" i="8"/>
  <c r="G37" i="11" s="1"/>
  <c r="BH37" i="8"/>
  <c r="Q37" i="11" s="1"/>
  <c r="BX24" i="8"/>
  <c r="BG24" i="8"/>
  <c r="P24" i="11" s="1"/>
  <c r="AR24" i="8"/>
  <c r="BT37" i="8"/>
  <c r="AC37" i="11" s="1"/>
  <c r="BA37" i="8"/>
  <c r="J37" i="11" s="1"/>
  <c r="BW37" i="8"/>
  <c r="CE37" i="8"/>
  <c r="CC51" i="8"/>
  <c r="AY24" i="8"/>
  <c r="H24" i="11" s="1"/>
  <c r="AZ24" i="8"/>
  <c r="I24" i="11" s="1"/>
  <c r="BC36" i="8"/>
  <c r="L36" i="11" s="1"/>
  <c r="BF36" i="8"/>
  <c r="O36" i="11" s="1"/>
  <c r="CE36" i="8"/>
  <c r="AV36" i="8"/>
  <c r="E36" i="11" s="1"/>
  <c r="CC36" i="8"/>
  <c r="BS36" i="8"/>
  <c r="AB36" i="11" s="1"/>
  <c r="BU36" i="8"/>
  <c r="AD36" i="11" s="1"/>
  <c r="BG36" i="8"/>
  <c r="P36" i="11" s="1"/>
  <c r="AY36" i="8"/>
  <c r="H36" i="11" s="1"/>
  <c r="BZ36" i="8"/>
  <c r="CF36" i="8" s="1"/>
  <c r="CA51" i="8"/>
  <c r="CA36" i="8"/>
  <c r="AR36" i="8"/>
  <c r="AW36" i="8"/>
  <c r="F36" i="11" s="1"/>
  <c r="BN51" i="8"/>
  <c r="W51" i="11" s="1"/>
  <c r="BY36" i="8"/>
  <c r="BV36" i="8"/>
  <c r="AE36" i="11" s="1"/>
  <c r="CB36" i="8"/>
  <c r="BD51" i="8"/>
  <c r="M51" i="11" s="1"/>
  <c r="AU36" i="8"/>
  <c r="D36" i="11" s="1"/>
  <c r="BX36" i="8"/>
  <c r="BP36" i="8"/>
  <c r="Y36" i="11" s="1"/>
  <c r="BT36" i="8"/>
  <c r="AC36" i="11" s="1"/>
  <c r="AZ36" i="8"/>
  <c r="I36" i="11" s="1"/>
  <c r="BE36" i="8"/>
  <c r="N36" i="11" s="1"/>
  <c r="BI36" i="8"/>
  <c r="R36" i="11" s="1"/>
  <c r="BT51" i="8"/>
  <c r="AC51" i="11" s="1"/>
  <c r="BK36" i="8"/>
  <c r="T36" i="11" s="1"/>
  <c r="BJ36" i="8"/>
  <c r="S36" i="11" s="1"/>
  <c r="BN36" i="8"/>
  <c r="W36" i="11" s="1"/>
  <c r="BQ36" i="8"/>
  <c r="Z36" i="11" s="1"/>
  <c r="BW36" i="8"/>
  <c r="BD36" i="8"/>
  <c r="M36" i="11" s="1"/>
  <c r="BH36" i="8"/>
  <c r="Q36" i="11" s="1"/>
  <c r="AT36" i="8"/>
  <c r="C36" i="11" s="1"/>
  <c r="AX36" i="8"/>
  <c r="G36" i="11" s="1"/>
  <c r="BZ51" i="8"/>
  <c r="CF51" i="8" s="1"/>
  <c r="AU51" i="8"/>
  <c r="D51" i="11" s="1"/>
  <c r="BR9" i="8"/>
  <c r="AA9" i="11" s="1"/>
  <c r="AV9" i="8"/>
  <c r="E9" i="11" s="1"/>
  <c r="BX9" i="8"/>
  <c r="BB9" i="8"/>
  <c r="K9" i="11" s="1"/>
  <c r="BG9" i="8"/>
  <c r="P9" i="11" s="1"/>
  <c r="BO9" i="8"/>
  <c r="X9" i="11" s="1"/>
  <c r="BM9" i="8"/>
  <c r="V9" i="11" s="1"/>
  <c r="BC9" i="8"/>
  <c r="L9" i="11" s="1"/>
  <c r="BH9" i="8"/>
  <c r="Q9" i="11" s="1"/>
  <c r="AY9" i="8"/>
  <c r="H9" i="11" s="1"/>
  <c r="CC9" i="8"/>
  <c r="BE9" i="8"/>
  <c r="N9" i="11" s="1"/>
  <c r="BW9" i="8"/>
  <c r="BN9" i="8"/>
  <c r="W9" i="11" s="1"/>
  <c r="BP9" i="8"/>
  <c r="Y9" i="11" s="1"/>
  <c r="AS9" i="8"/>
  <c r="B9" i="11" s="1"/>
  <c r="BJ9" i="8"/>
  <c r="S9" i="11" s="1"/>
  <c r="BT9" i="8"/>
  <c r="AC9" i="11" s="1"/>
  <c r="BS9" i="8"/>
  <c r="AB9" i="11" s="1"/>
  <c r="AX9" i="8"/>
  <c r="G9" i="11" s="1"/>
  <c r="BY9" i="8"/>
  <c r="BK9" i="8"/>
  <c r="T9" i="11" s="1"/>
  <c r="AT9" i="8"/>
  <c r="C9" i="11" s="1"/>
  <c r="CD9" i="8"/>
  <c r="BZ9" i="8"/>
  <c r="CF9" i="8" s="1"/>
  <c r="AU9" i="8"/>
  <c r="D9" i="11" s="1"/>
  <c r="AZ9" i="8"/>
  <c r="I9" i="11" s="1"/>
  <c r="BF9" i="8"/>
  <c r="O9" i="11" s="1"/>
  <c r="BI9" i="8"/>
  <c r="R9" i="11" s="1"/>
  <c r="CA9" i="8"/>
  <c r="BL9" i="8"/>
  <c r="U9" i="11" s="1"/>
  <c r="BV9" i="8"/>
  <c r="AE9" i="11" s="1"/>
  <c r="BD9" i="8"/>
  <c r="M9" i="11" s="1"/>
  <c r="BA9" i="8"/>
  <c r="J9" i="11" s="1"/>
  <c r="AR9" i="8"/>
  <c r="AW9" i="8"/>
  <c r="F9" i="11" s="1"/>
  <c r="BQ9" i="8"/>
  <c r="Z9" i="11" s="1"/>
  <c r="BU9" i="8"/>
  <c r="AD9" i="11" s="1"/>
  <c r="BK51" i="8"/>
  <c r="T51" i="11" s="1"/>
  <c r="BY51" i="8"/>
  <c r="BI51" i="8"/>
  <c r="R51" i="11" s="1"/>
  <c r="AR51" i="8"/>
  <c r="BQ51" i="8"/>
  <c r="Z51" i="11" s="1"/>
  <c r="BS51" i="8"/>
  <c r="AB51" i="11" s="1"/>
  <c r="BX51" i="8"/>
  <c r="BJ51" i="8"/>
  <c r="S51" i="11" s="1"/>
  <c r="BH51" i="8"/>
  <c r="Q51" i="11" s="1"/>
  <c r="AX51" i="8"/>
  <c r="G51" i="11" s="1"/>
  <c r="BL51" i="8"/>
  <c r="U51" i="11" s="1"/>
  <c r="BP51" i="8"/>
  <c r="Y51" i="11" s="1"/>
  <c r="BK18" i="8"/>
  <c r="T18" i="11" s="1"/>
  <c r="CD18" i="8"/>
  <c r="BY18" i="8"/>
  <c r="BC18" i="8"/>
  <c r="L18" i="11" s="1"/>
  <c r="BE18" i="8"/>
  <c r="N18" i="11" s="1"/>
  <c r="BW18" i="8"/>
  <c r="BL18" i="8"/>
  <c r="U18" i="11" s="1"/>
  <c r="BR18" i="8"/>
  <c r="AA18" i="11" s="1"/>
  <c r="AZ18" i="8"/>
  <c r="I18" i="11" s="1"/>
  <c r="AX18" i="8"/>
  <c r="G18" i="11" s="1"/>
  <c r="BP18" i="8"/>
  <c r="Y18" i="11" s="1"/>
  <c r="BV18" i="8"/>
  <c r="AE18" i="11" s="1"/>
  <c r="AW18" i="8"/>
  <c r="F18" i="11" s="1"/>
  <c r="BZ18" i="8"/>
  <c r="CF18" i="8" s="1"/>
  <c r="AT18" i="8"/>
  <c r="C18" i="11" s="1"/>
  <c r="BG18" i="8"/>
  <c r="P18" i="11" s="1"/>
  <c r="BN18" i="8"/>
  <c r="W18" i="11" s="1"/>
  <c r="BT18" i="8"/>
  <c r="AC18" i="11" s="1"/>
  <c r="CC18" i="8"/>
  <c r="BD18" i="8"/>
  <c r="M18" i="11" s="1"/>
  <c r="AR18" i="8"/>
  <c r="BA18" i="8"/>
  <c r="J18" i="11" s="1"/>
  <c r="CA18" i="8"/>
  <c r="BH18" i="8"/>
  <c r="Q18" i="11" s="1"/>
  <c r="CE18" i="8"/>
  <c r="AY18" i="8"/>
  <c r="H18" i="11" s="1"/>
  <c r="AU18" i="8"/>
  <c r="D18" i="11" s="1"/>
  <c r="BQ18" i="8"/>
  <c r="Z18" i="11" s="1"/>
  <c r="CB18" i="8"/>
  <c r="BB18" i="8"/>
  <c r="K18" i="11" s="1"/>
  <c r="BF18" i="8"/>
  <c r="O18" i="11" s="1"/>
  <c r="BO18" i="8"/>
  <c r="X18" i="11" s="1"/>
  <c r="BJ18" i="8"/>
  <c r="S18" i="11" s="1"/>
  <c r="BM18" i="8"/>
  <c r="V18" i="11" s="1"/>
  <c r="AS18" i="8"/>
  <c r="B18" i="11" s="1"/>
  <c r="BX18" i="8"/>
  <c r="AV18" i="8"/>
  <c r="E18" i="11" s="1"/>
  <c r="BI18" i="8"/>
  <c r="R18" i="11" s="1"/>
  <c r="BU18" i="8"/>
  <c r="AD18" i="11" s="1"/>
  <c r="BS18" i="8"/>
  <c r="AB18" i="11" s="1"/>
  <c r="BB51" i="8"/>
  <c r="K51" i="11" s="1"/>
  <c r="BO51" i="8"/>
  <c r="X51" i="11" s="1"/>
  <c r="BG51" i="8"/>
  <c r="P51" i="11" s="1"/>
  <c r="CB51" i="8"/>
  <c r="BA25" i="8"/>
  <c r="J25" i="11" s="1"/>
  <c r="CC25" i="8"/>
  <c r="AS25" i="8"/>
  <c r="B25" i="11" s="1"/>
  <c r="BQ25" i="8"/>
  <c r="Z25" i="11" s="1"/>
  <c r="AY25" i="8"/>
  <c r="H25" i="11" s="1"/>
  <c r="BR25" i="8"/>
  <c r="AA25" i="11" s="1"/>
  <c r="BH25" i="8"/>
  <c r="Q25" i="11" s="1"/>
  <c r="BI25" i="8"/>
  <c r="R25" i="11" s="1"/>
  <c r="AU25" i="8"/>
  <c r="D25" i="11" s="1"/>
  <c r="BW25" i="8"/>
  <c r="AV25" i="8"/>
  <c r="E25" i="11" s="1"/>
  <c r="BY25" i="8"/>
  <c r="BO25" i="8"/>
  <c r="X25" i="11" s="1"/>
  <c r="BU25" i="8"/>
  <c r="AD25" i="11" s="1"/>
  <c r="BG25" i="8"/>
  <c r="P25" i="11" s="1"/>
  <c r="BJ25" i="8"/>
  <c r="S25" i="11" s="1"/>
  <c r="AR25" i="8"/>
  <c r="AT25" i="8"/>
  <c r="C25" i="11" s="1"/>
  <c r="CA25" i="8"/>
  <c r="BV25" i="8"/>
  <c r="AE25" i="11" s="1"/>
  <c r="AX25" i="8"/>
  <c r="G25" i="11" s="1"/>
  <c r="BT25" i="8"/>
  <c r="AC25" i="11" s="1"/>
  <c r="BM25" i="8"/>
  <c r="V25" i="11" s="1"/>
  <c r="BZ25" i="8"/>
  <c r="CF25" i="8" s="1"/>
  <c r="BK25" i="8"/>
  <c r="T25" i="11" s="1"/>
  <c r="BE25" i="8"/>
  <c r="N25" i="11" s="1"/>
  <c r="CB25" i="8"/>
  <c r="AZ25" i="8"/>
  <c r="I25" i="11" s="1"/>
  <c r="AW25" i="8"/>
  <c r="F25" i="11" s="1"/>
  <c r="BB25" i="8"/>
  <c r="K25" i="11" s="1"/>
  <c r="BX25" i="8"/>
  <c r="BS25" i="8"/>
  <c r="AB25" i="11" s="1"/>
  <c r="BC25" i="8"/>
  <c r="L25" i="11" s="1"/>
  <c r="CE25" i="8"/>
  <c r="BF25" i="8"/>
  <c r="O25" i="11" s="1"/>
  <c r="BD25" i="8"/>
  <c r="M25" i="11" s="1"/>
  <c r="BN25" i="8"/>
  <c r="W25" i="11" s="1"/>
  <c r="BP25" i="8"/>
  <c r="Y25" i="11" s="1"/>
  <c r="BL25" i="8"/>
  <c r="U25" i="11" s="1"/>
  <c r="CD25" i="8"/>
  <c r="BA51" i="8"/>
  <c r="J51" i="11" s="1"/>
  <c r="BE51" i="8"/>
  <c r="N51" i="11" s="1"/>
  <c r="AW51" i="8"/>
  <c r="F51" i="11" s="1"/>
  <c r="BU51" i="8"/>
  <c r="AD51" i="11" s="1"/>
  <c r="BM51" i="8"/>
  <c r="V51" i="11" s="1"/>
  <c r="BC51" i="8"/>
  <c r="L51" i="11" s="1"/>
  <c r="BF51" i="8"/>
  <c r="O51" i="11" s="1"/>
  <c r="BV51" i="8"/>
  <c r="AE51" i="11" s="1"/>
  <c r="BW51" i="8"/>
  <c r="AZ51" i="8"/>
  <c r="I51" i="11" s="1"/>
  <c r="AY51" i="8"/>
  <c r="H51" i="11" s="1"/>
  <c r="AV51" i="8"/>
  <c r="E51" i="11" s="1"/>
  <c r="AS51" i="8"/>
  <c r="B51" i="11" s="1"/>
  <c r="CE51" i="8"/>
  <c r="AT51" i="8"/>
  <c r="C51" i="11" s="1"/>
  <c r="CD51" i="8"/>
  <c r="N7" i="1"/>
  <c r="AS22" i="8"/>
  <c r="B22" i="11" s="1"/>
  <c r="AX22" i="8"/>
  <c r="G22" i="11" s="1"/>
  <c r="BV22" i="8"/>
  <c r="AE22" i="11" s="1"/>
  <c r="BD22" i="8"/>
  <c r="M22" i="11" s="1"/>
  <c r="CB22" i="8"/>
  <c r="BK22" i="8"/>
  <c r="T22" i="11" s="1"/>
  <c r="AZ22" i="8"/>
  <c r="I22" i="11" s="1"/>
  <c r="BB22" i="8"/>
  <c r="K22" i="11" s="1"/>
  <c r="BG22" i="8"/>
  <c r="P22" i="11" s="1"/>
  <c r="BF22" i="8"/>
  <c r="O22" i="11" s="1"/>
  <c r="BL22" i="8"/>
  <c r="U22" i="11" s="1"/>
  <c r="BN22" i="8"/>
  <c r="W22" i="11" s="1"/>
  <c r="BW22" i="8"/>
  <c r="BP22" i="8"/>
  <c r="Y22" i="11" s="1"/>
  <c r="BX22" i="8"/>
  <c r="AY22" i="8"/>
  <c r="H22" i="11" s="1"/>
  <c r="BY22" i="8"/>
  <c r="BM22" i="8"/>
  <c r="V22" i="11" s="1"/>
  <c r="BC22" i="8"/>
  <c r="L22" i="11" s="1"/>
  <c r="AW22" i="8"/>
  <c r="F22" i="11" s="1"/>
  <c r="BQ22" i="8"/>
  <c r="Z22" i="11" s="1"/>
  <c r="CD22" i="8"/>
  <c r="CA22" i="8"/>
  <c r="AV22" i="8"/>
  <c r="E22" i="11" s="1"/>
  <c r="AU22" i="8"/>
  <c r="D22" i="11" s="1"/>
  <c r="AT22" i="8"/>
  <c r="C22" i="11" s="1"/>
  <c r="BA22" i="8"/>
  <c r="J22" i="11" s="1"/>
  <c r="BI22" i="8"/>
  <c r="R22" i="11" s="1"/>
  <c r="BO22" i="8"/>
  <c r="X22" i="11" s="1"/>
  <c r="BU22" i="8"/>
  <c r="AD22" i="11" s="1"/>
  <c r="BZ22" i="8"/>
  <c r="CF22" i="8" s="1"/>
  <c r="BE22" i="8"/>
  <c r="N22" i="11" s="1"/>
  <c r="BJ22" i="8"/>
  <c r="S22" i="11" s="1"/>
  <c r="BS22" i="8"/>
  <c r="AB22" i="11" s="1"/>
  <c r="CE22" i="8"/>
  <c r="AR22" i="8"/>
  <c r="BT22" i="8"/>
  <c r="AC22" i="11" s="1"/>
  <c r="BR22" i="8"/>
  <c r="AA22" i="11" s="1"/>
  <c r="BH22" i="8"/>
  <c r="Q22" i="11" s="1"/>
  <c r="CC22" i="8"/>
  <c r="AR27" i="8"/>
  <c r="BF27" i="8"/>
  <c r="O27" i="11" s="1"/>
  <c r="BS27" i="8"/>
  <c r="AB27" i="11" s="1"/>
  <c r="BH27" i="8"/>
  <c r="Q27" i="11" s="1"/>
  <c r="BY27" i="8"/>
  <c r="AU27" i="8"/>
  <c r="D27" i="11" s="1"/>
  <c r="BK27" i="8"/>
  <c r="T27" i="11" s="1"/>
  <c r="AX27" i="8"/>
  <c r="G27" i="11" s="1"/>
  <c r="BL27" i="8"/>
  <c r="U27" i="11" s="1"/>
  <c r="CC27" i="8"/>
  <c r="AZ27" i="8"/>
  <c r="I27" i="11" s="1"/>
  <c r="BQ27" i="8"/>
  <c r="Z27" i="11" s="1"/>
  <c r="BR27" i="8"/>
  <c r="AA27" i="11" s="1"/>
  <c r="AS27" i="8"/>
  <c r="B27" i="11" s="1"/>
  <c r="AV27" i="8"/>
  <c r="E27" i="11" s="1"/>
  <c r="BV27" i="8"/>
  <c r="AE27" i="11" s="1"/>
  <c r="AY27" i="8"/>
  <c r="H27" i="11" s="1"/>
  <c r="BZ27" i="8"/>
  <c r="CF27" i="8" s="1"/>
  <c r="CB27" i="8"/>
  <c r="BD27" i="8"/>
  <c r="M27" i="11" s="1"/>
  <c r="BE27" i="8"/>
  <c r="N27" i="11" s="1"/>
  <c r="BG27" i="8"/>
  <c r="P27" i="11" s="1"/>
  <c r="BJ27" i="8"/>
  <c r="S27" i="11" s="1"/>
  <c r="BM27" i="8"/>
  <c r="V27" i="11" s="1"/>
  <c r="BX27" i="8"/>
  <c r="AW27" i="8"/>
  <c r="F27" i="11" s="1"/>
  <c r="BB27" i="8"/>
  <c r="K27" i="11" s="1"/>
  <c r="CA27" i="8"/>
  <c r="AT27" i="8"/>
  <c r="C27" i="11" s="1"/>
  <c r="BN27" i="8"/>
  <c r="W27" i="11" s="1"/>
  <c r="BU27" i="8"/>
  <c r="AD27" i="11" s="1"/>
  <c r="BT27" i="8"/>
  <c r="AC27" i="11" s="1"/>
  <c r="BO27" i="8"/>
  <c r="X27" i="11" s="1"/>
  <c r="CD27" i="8"/>
  <c r="BW27" i="8"/>
  <c r="BC27" i="8"/>
  <c r="L27" i="11" s="1"/>
  <c r="BP27" i="8"/>
  <c r="Y27" i="11" s="1"/>
  <c r="BA27" i="8"/>
  <c r="J27" i="11" s="1"/>
  <c r="CE27" i="8"/>
  <c r="BI27" i="8"/>
  <c r="R27" i="11" s="1"/>
  <c r="BL26" i="8"/>
  <c r="U26" i="11" s="1"/>
  <c r="BV26" i="8"/>
  <c r="AE26" i="11" s="1"/>
  <c r="BK26" i="8"/>
  <c r="T26" i="11" s="1"/>
  <c r="CC26" i="8"/>
  <c r="BT26" i="8"/>
  <c r="AC26" i="11" s="1"/>
  <c r="BB26" i="8"/>
  <c r="K26" i="11" s="1"/>
  <c r="BF26" i="8"/>
  <c r="O26" i="11" s="1"/>
  <c r="BR26" i="8"/>
  <c r="AA26" i="11" s="1"/>
  <c r="AU26" i="8"/>
  <c r="D26" i="11" s="1"/>
  <c r="BW26" i="8"/>
  <c r="AZ26" i="8"/>
  <c r="I26" i="11" s="1"/>
  <c r="BY26" i="8"/>
  <c r="BX26" i="8"/>
  <c r="BA26" i="8"/>
  <c r="J26" i="11" s="1"/>
  <c r="AR26" i="8"/>
  <c r="BI26" i="8"/>
  <c r="R26" i="11" s="1"/>
  <c r="CA26" i="8"/>
  <c r="AV26" i="8"/>
  <c r="E26" i="11" s="1"/>
  <c r="CB26" i="8"/>
  <c r="AY26" i="8"/>
  <c r="H26" i="11" s="1"/>
  <c r="BO26" i="8"/>
  <c r="X26" i="11" s="1"/>
  <c r="BM26" i="8"/>
  <c r="V26" i="11" s="1"/>
  <c r="BC26" i="8"/>
  <c r="L26" i="11" s="1"/>
  <c r="BD26" i="8"/>
  <c r="M26" i="11" s="1"/>
  <c r="BQ26" i="8"/>
  <c r="Z26" i="11" s="1"/>
  <c r="CE26" i="8"/>
  <c r="BJ26" i="8"/>
  <c r="S26" i="11" s="1"/>
  <c r="BP26" i="8"/>
  <c r="Y26" i="11" s="1"/>
  <c r="BN26" i="8"/>
  <c r="W26" i="11" s="1"/>
  <c r="BZ26" i="8"/>
  <c r="CF26" i="8" s="1"/>
  <c r="BE26" i="8"/>
  <c r="N26" i="11" s="1"/>
  <c r="BU26" i="8"/>
  <c r="AD26" i="11" s="1"/>
  <c r="BG26" i="8"/>
  <c r="P26" i="11" s="1"/>
  <c r="CD26" i="8"/>
  <c r="AT26" i="8"/>
  <c r="C26" i="11" s="1"/>
  <c r="AS26" i="8"/>
  <c r="B26" i="11" s="1"/>
  <c r="BS26" i="8"/>
  <c r="AB26" i="11" s="1"/>
  <c r="AW26" i="8"/>
  <c r="F26" i="11" s="1"/>
  <c r="BH26" i="8"/>
  <c r="Q26" i="11" s="1"/>
  <c r="AX26" i="8"/>
  <c r="G26" i="11" s="1"/>
  <c r="BW29" i="8"/>
  <c r="AW29" i="8"/>
  <c r="F29" i="11" s="1"/>
  <c r="BN29" i="8"/>
  <c r="W29" i="11" s="1"/>
  <c r="CB29" i="8"/>
  <c r="BA29" i="8"/>
  <c r="J29" i="11" s="1"/>
  <c r="BO29" i="8"/>
  <c r="X29" i="11" s="1"/>
  <c r="BB29" i="8"/>
  <c r="K29" i="11" s="1"/>
  <c r="BP29" i="8"/>
  <c r="Y29" i="11" s="1"/>
  <c r="BE29" i="8"/>
  <c r="N29" i="11" s="1"/>
  <c r="AS29" i="8"/>
  <c r="B29" i="11" s="1"/>
  <c r="BU29" i="8"/>
  <c r="AD29" i="11" s="1"/>
  <c r="AU29" i="8"/>
  <c r="D29" i="11" s="1"/>
  <c r="BV29" i="8"/>
  <c r="AE29" i="11" s="1"/>
  <c r="BX29" i="8"/>
  <c r="BD29" i="8"/>
  <c r="M29" i="11" s="1"/>
  <c r="CC29" i="8"/>
  <c r="BG29" i="8"/>
  <c r="P29" i="11" s="1"/>
  <c r="BH29" i="8"/>
  <c r="Q29" i="11" s="1"/>
  <c r="BI29" i="8"/>
  <c r="R29" i="11" s="1"/>
  <c r="BS29" i="8"/>
  <c r="AB29" i="11" s="1"/>
  <c r="AZ29" i="8"/>
  <c r="I29" i="11" s="1"/>
  <c r="BR29" i="8"/>
  <c r="AA29" i="11" s="1"/>
  <c r="BT29" i="8"/>
  <c r="AC29" i="11" s="1"/>
  <c r="BJ29" i="8"/>
  <c r="S29" i="11" s="1"/>
  <c r="BZ29" i="8"/>
  <c r="CF29" i="8" s="1"/>
  <c r="BY29" i="8"/>
  <c r="BM29" i="8"/>
  <c r="V29" i="11" s="1"/>
  <c r="CA29" i="8"/>
  <c r="BC29" i="8"/>
  <c r="L29" i="11" s="1"/>
  <c r="BQ29" i="8"/>
  <c r="Z29" i="11" s="1"/>
  <c r="BF29" i="8"/>
  <c r="O29" i="11" s="1"/>
  <c r="CD29" i="8"/>
  <c r="AV29" i="8"/>
  <c r="E29" i="11" s="1"/>
  <c r="AR29" i="8"/>
  <c r="AT29" i="8"/>
  <c r="C29" i="11" s="1"/>
  <c r="BL29" i="8"/>
  <c r="U29" i="11" s="1"/>
  <c r="CE29" i="8"/>
  <c r="AX29" i="8"/>
  <c r="G29" i="11" s="1"/>
  <c r="AY29" i="8"/>
  <c r="H29" i="11" s="1"/>
  <c r="BK29" i="8"/>
  <c r="T29" i="11" s="1"/>
  <c r="AS39" i="8"/>
  <c r="B39" i="11" s="1"/>
  <c r="BQ39" i="8"/>
  <c r="Z39" i="11" s="1"/>
  <c r="AW39" i="8"/>
  <c r="F39" i="11" s="1"/>
  <c r="BP39" i="8"/>
  <c r="Y39" i="11" s="1"/>
  <c r="BE39" i="8"/>
  <c r="N39" i="11" s="1"/>
  <c r="BU39" i="8"/>
  <c r="AD39" i="11" s="1"/>
  <c r="AU39" i="8"/>
  <c r="D39" i="11" s="1"/>
  <c r="AZ39" i="8"/>
  <c r="I39" i="11" s="1"/>
  <c r="BY39" i="8"/>
  <c r="CB39" i="8"/>
  <c r="BA39" i="8"/>
  <c r="J39" i="11" s="1"/>
  <c r="BV39" i="8"/>
  <c r="AE39" i="11" s="1"/>
  <c r="AV39" i="8"/>
  <c r="E39" i="11" s="1"/>
  <c r="AX39" i="8"/>
  <c r="G39" i="11" s="1"/>
  <c r="BG39" i="8"/>
  <c r="P39" i="11" s="1"/>
  <c r="BH39" i="8"/>
  <c r="Q39" i="11" s="1"/>
  <c r="BC39" i="8"/>
  <c r="L39" i="11" s="1"/>
  <c r="BT39" i="8"/>
  <c r="AC39" i="11" s="1"/>
  <c r="CC39" i="8"/>
  <c r="CE39" i="8"/>
  <c r="BX39" i="8"/>
  <c r="BJ39" i="8"/>
  <c r="S39" i="11" s="1"/>
  <c r="BM39" i="8"/>
  <c r="V39" i="11" s="1"/>
  <c r="BO39" i="8"/>
  <c r="X39" i="11" s="1"/>
  <c r="BZ39" i="8"/>
  <c r="CF39" i="8" s="1"/>
  <c r="BK39" i="8"/>
  <c r="T39" i="11" s="1"/>
  <c r="BS39" i="8"/>
  <c r="AB39" i="11" s="1"/>
  <c r="AT39" i="8"/>
  <c r="C39" i="11" s="1"/>
  <c r="BD39" i="8"/>
  <c r="M39" i="11" s="1"/>
  <c r="AY39" i="8"/>
  <c r="H39" i="11" s="1"/>
  <c r="BW39" i="8"/>
  <c r="BR39" i="8"/>
  <c r="AA39" i="11" s="1"/>
  <c r="BN39" i="8"/>
  <c r="W39" i="11" s="1"/>
  <c r="BL39" i="8"/>
  <c r="U39" i="11" s="1"/>
  <c r="BF39" i="8"/>
  <c r="O39" i="11" s="1"/>
  <c r="BB39" i="8"/>
  <c r="K39" i="11" s="1"/>
  <c r="CA39" i="8"/>
  <c r="AR39" i="8"/>
  <c r="BI39" i="8"/>
  <c r="R39" i="11" s="1"/>
  <c r="CD39" i="8"/>
  <c r="AR23" i="8"/>
  <c r="AX23" i="8"/>
  <c r="G23" i="11" s="1"/>
  <c r="BG23" i="8"/>
  <c r="P23" i="11" s="1"/>
  <c r="BA23" i="8"/>
  <c r="J23" i="11" s="1"/>
  <c r="BL23" i="8"/>
  <c r="U23" i="11" s="1"/>
  <c r="CC23" i="8"/>
  <c r="AV23" i="8"/>
  <c r="E23" i="11" s="1"/>
  <c r="CE23" i="8"/>
  <c r="BN23" i="8"/>
  <c r="W23" i="11" s="1"/>
  <c r="BD23" i="8"/>
  <c r="M23" i="11" s="1"/>
  <c r="BP23" i="8"/>
  <c r="Y23" i="11" s="1"/>
  <c r="AY23" i="8"/>
  <c r="H23" i="11" s="1"/>
  <c r="BZ23" i="8"/>
  <c r="CF23" i="8" s="1"/>
  <c r="BH23" i="8"/>
  <c r="Q23" i="11" s="1"/>
  <c r="BI23" i="8"/>
  <c r="R23" i="11" s="1"/>
  <c r="BF23" i="8"/>
  <c r="O23" i="11" s="1"/>
  <c r="BT23" i="8"/>
  <c r="AC23" i="11" s="1"/>
  <c r="CD23" i="8"/>
  <c r="AU23" i="8"/>
  <c r="D23" i="11" s="1"/>
  <c r="AT23" i="8"/>
  <c r="C23" i="11" s="1"/>
  <c r="BB23" i="8"/>
  <c r="K23" i="11" s="1"/>
  <c r="CB23" i="8"/>
  <c r="BY23" i="8"/>
  <c r="BC23" i="8"/>
  <c r="L23" i="11" s="1"/>
  <c r="BK23" i="8"/>
  <c r="T23" i="11" s="1"/>
  <c r="BO23" i="8"/>
  <c r="X23" i="11" s="1"/>
  <c r="BM23" i="8"/>
  <c r="V23" i="11" s="1"/>
  <c r="BU23" i="8"/>
  <c r="AD23" i="11" s="1"/>
  <c r="BW23" i="8"/>
  <c r="AS23" i="8"/>
  <c r="B23" i="11" s="1"/>
  <c r="AZ23" i="8"/>
  <c r="I23" i="11" s="1"/>
  <c r="BV23" i="8"/>
  <c r="AE23" i="11" s="1"/>
  <c r="BE23" i="8"/>
  <c r="N23" i="11" s="1"/>
  <c r="BQ23" i="8"/>
  <c r="Z23" i="11" s="1"/>
  <c r="BX23" i="8"/>
  <c r="BS23" i="8"/>
  <c r="AB23" i="11" s="1"/>
  <c r="CA23" i="8"/>
  <c r="BR23" i="8"/>
  <c r="AA23" i="11" s="1"/>
  <c r="AW23" i="8"/>
  <c r="F23" i="11" s="1"/>
  <c r="BJ23" i="8"/>
  <c r="S23" i="11" s="1"/>
  <c r="BE30" i="8"/>
  <c r="N30" i="11" s="1"/>
  <c r="BT30" i="8"/>
  <c r="AC30" i="11" s="1"/>
  <c r="CD30" i="8"/>
  <c r="AX30" i="8"/>
  <c r="G30" i="11" s="1"/>
  <c r="AY30" i="8"/>
  <c r="H30" i="11" s="1"/>
  <c r="BU30" i="8"/>
  <c r="AD30" i="11" s="1"/>
  <c r="CE30" i="8"/>
  <c r="BO30" i="8"/>
  <c r="X30" i="11" s="1"/>
  <c r="BQ30" i="8"/>
  <c r="Z30" i="11" s="1"/>
  <c r="AZ30" i="8"/>
  <c r="I30" i="11" s="1"/>
  <c r="BA30" i="8"/>
  <c r="J30" i="11" s="1"/>
  <c r="AW30" i="8"/>
  <c r="F30" i="11" s="1"/>
  <c r="AT30" i="8"/>
  <c r="C30" i="11" s="1"/>
  <c r="BV30" i="8"/>
  <c r="AE30" i="11" s="1"/>
  <c r="BZ30" i="8"/>
  <c r="CF30" i="8" s="1"/>
  <c r="BN30" i="8"/>
  <c r="W30" i="11" s="1"/>
  <c r="BM30" i="8"/>
  <c r="V30" i="11" s="1"/>
  <c r="BY30" i="8"/>
  <c r="BW30" i="8"/>
  <c r="BS30" i="8"/>
  <c r="AB30" i="11" s="1"/>
  <c r="BG30" i="8"/>
  <c r="P30" i="11" s="1"/>
  <c r="AV30" i="8"/>
  <c r="E30" i="11" s="1"/>
  <c r="AS30" i="8"/>
  <c r="B30" i="11" s="1"/>
  <c r="BC30" i="8"/>
  <c r="L30" i="11" s="1"/>
  <c r="AR30" i="8"/>
  <c r="BH30" i="8"/>
  <c r="Q30" i="11" s="1"/>
  <c r="BB30" i="8"/>
  <c r="K30" i="11" s="1"/>
  <c r="BX30" i="8"/>
  <c r="BR30" i="8"/>
  <c r="AA30" i="11" s="1"/>
  <c r="CB30" i="8"/>
  <c r="BI30" i="8"/>
  <c r="R30" i="11" s="1"/>
  <c r="AU30" i="8"/>
  <c r="D30" i="11" s="1"/>
  <c r="BP30" i="8"/>
  <c r="Y30" i="11" s="1"/>
  <c r="BJ30" i="8"/>
  <c r="S30" i="11" s="1"/>
  <c r="BF30" i="8"/>
  <c r="O30" i="11" s="1"/>
  <c r="BD30" i="8"/>
  <c r="M30" i="11" s="1"/>
  <c r="BL30" i="8"/>
  <c r="U30" i="11" s="1"/>
  <c r="BK30" i="8"/>
  <c r="T30" i="11" s="1"/>
  <c r="CA30" i="8"/>
  <c r="CC30" i="8"/>
  <c r="BD41" i="8"/>
  <c r="M41" i="11" s="1"/>
  <c r="BF41" i="8"/>
  <c r="O41" i="11" s="1"/>
  <c r="BU41" i="8"/>
  <c r="AD41" i="11" s="1"/>
  <c r="BH41" i="8"/>
  <c r="Q41" i="11" s="1"/>
  <c r="BW41" i="8"/>
  <c r="AS41" i="8"/>
  <c r="B41" i="11" s="1"/>
  <c r="BK41" i="8"/>
  <c r="T41" i="11" s="1"/>
  <c r="CD41" i="8"/>
  <c r="AV41" i="8"/>
  <c r="E41" i="11" s="1"/>
  <c r="BM41" i="8"/>
  <c r="V41" i="11" s="1"/>
  <c r="AZ41" i="8"/>
  <c r="I41" i="11" s="1"/>
  <c r="BO41" i="8"/>
  <c r="X41" i="11" s="1"/>
  <c r="BA41" i="8"/>
  <c r="J41" i="11" s="1"/>
  <c r="BR41" i="8"/>
  <c r="AA41" i="11" s="1"/>
  <c r="AT41" i="8"/>
  <c r="C41" i="11" s="1"/>
  <c r="AY41" i="8"/>
  <c r="H41" i="11" s="1"/>
  <c r="BC41" i="8"/>
  <c r="L41" i="11" s="1"/>
  <c r="BJ41" i="8"/>
  <c r="S41" i="11" s="1"/>
  <c r="BT41" i="8"/>
  <c r="AC41" i="11" s="1"/>
  <c r="BV41" i="8"/>
  <c r="AE41" i="11" s="1"/>
  <c r="BZ41" i="8"/>
  <c r="CF41" i="8" s="1"/>
  <c r="CA41" i="8"/>
  <c r="BN41" i="8"/>
  <c r="W41" i="11" s="1"/>
  <c r="BB41" i="8"/>
  <c r="K41" i="11" s="1"/>
  <c r="BP41" i="8"/>
  <c r="Y41" i="11" s="1"/>
  <c r="BI41" i="8"/>
  <c r="R41" i="11" s="1"/>
  <c r="BL41" i="8"/>
  <c r="U41" i="11" s="1"/>
  <c r="CE41" i="8"/>
  <c r="AX41" i="8"/>
  <c r="G41" i="11" s="1"/>
  <c r="AR41" i="8"/>
  <c r="CC41" i="8"/>
  <c r="BX41" i="8"/>
  <c r="BS41" i="8"/>
  <c r="AB41" i="11" s="1"/>
  <c r="CB41" i="8"/>
  <c r="BG41" i="8"/>
  <c r="P41" i="11" s="1"/>
  <c r="AU41" i="8"/>
  <c r="D41" i="11" s="1"/>
  <c r="BQ41" i="8"/>
  <c r="Z41" i="11" s="1"/>
  <c r="BY41" i="8"/>
  <c r="AW41" i="8"/>
  <c r="F41" i="11" s="1"/>
  <c r="BE41" i="8"/>
  <c r="N41" i="11" s="1"/>
  <c r="CE45" i="8"/>
  <c r="BB45" i="8"/>
  <c r="K45" i="11" s="1"/>
  <c r="AT45" i="8"/>
  <c r="C45" i="11" s="1"/>
  <c r="BD45" i="8"/>
  <c r="M45" i="11" s="1"/>
  <c r="BM45" i="8"/>
  <c r="V45" i="11" s="1"/>
  <c r="BZ45" i="8"/>
  <c r="CF45" i="8" s="1"/>
  <c r="BA45" i="8"/>
  <c r="J45" i="11" s="1"/>
  <c r="AR45" i="8"/>
  <c r="BK45" i="8"/>
  <c r="T45" i="11" s="1"/>
  <c r="BR45" i="8"/>
  <c r="AA45" i="11" s="1"/>
  <c r="BT45" i="8"/>
  <c r="AC45" i="11" s="1"/>
  <c r="BG45" i="8"/>
  <c r="P45" i="11" s="1"/>
  <c r="CB45" i="8"/>
  <c r="AX45" i="8"/>
  <c r="G45" i="11" s="1"/>
  <c r="BE45" i="8"/>
  <c r="N45" i="11" s="1"/>
  <c r="BN45" i="8"/>
  <c r="W45" i="11" s="1"/>
  <c r="BX45" i="8"/>
  <c r="AU45" i="8"/>
  <c r="D45" i="11" s="1"/>
  <c r="BV45" i="8"/>
  <c r="AE45" i="11" s="1"/>
  <c r="AW45" i="8"/>
  <c r="F45" i="11" s="1"/>
  <c r="BY45" i="8"/>
  <c r="BO45" i="8"/>
  <c r="X45" i="11" s="1"/>
  <c r="CD45" i="8"/>
  <c r="AZ45" i="8"/>
  <c r="I45" i="11" s="1"/>
  <c r="BS45" i="8"/>
  <c r="AB45" i="11" s="1"/>
  <c r="AY45" i="8"/>
  <c r="H45" i="11" s="1"/>
  <c r="CA45" i="8"/>
  <c r="BP45" i="8"/>
  <c r="Y45" i="11" s="1"/>
  <c r="CC45" i="8"/>
  <c r="BW45" i="8"/>
  <c r="BC45" i="8"/>
  <c r="L45" i="11" s="1"/>
  <c r="AS45" i="8"/>
  <c r="B45" i="11" s="1"/>
  <c r="BL45" i="8"/>
  <c r="U45" i="11" s="1"/>
  <c r="BF45" i="8"/>
  <c r="O45" i="11" s="1"/>
  <c r="BU45" i="8"/>
  <c r="AD45" i="11" s="1"/>
  <c r="BI45" i="8"/>
  <c r="R45" i="11" s="1"/>
  <c r="BH45" i="8"/>
  <c r="Q45" i="11" s="1"/>
  <c r="AV45" i="8"/>
  <c r="E45" i="11" s="1"/>
  <c r="BJ45" i="8"/>
  <c r="S45" i="11" s="1"/>
  <c r="BQ45" i="8"/>
  <c r="Z45" i="11" s="1"/>
  <c r="AS43" i="8"/>
  <c r="B43" i="11" s="1"/>
  <c r="BD43" i="8"/>
  <c r="M43" i="11" s="1"/>
  <c r="BW43" i="8"/>
  <c r="BF43" i="8"/>
  <c r="O43" i="11" s="1"/>
  <c r="BY43" i="8"/>
  <c r="BG43" i="8"/>
  <c r="P43" i="11" s="1"/>
  <c r="CB43" i="8"/>
  <c r="AT43" i="8"/>
  <c r="C43" i="11" s="1"/>
  <c r="BJ43" i="8"/>
  <c r="S43" i="11" s="1"/>
  <c r="AW43" i="8"/>
  <c r="F43" i="11" s="1"/>
  <c r="BM43" i="8"/>
  <c r="V43" i="11" s="1"/>
  <c r="BP43" i="8"/>
  <c r="Y43" i="11" s="1"/>
  <c r="BB43" i="8"/>
  <c r="K43" i="11" s="1"/>
  <c r="BQ43" i="8"/>
  <c r="Z43" i="11" s="1"/>
  <c r="BC43" i="8"/>
  <c r="L43" i="11" s="1"/>
  <c r="BR43" i="8"/>
  <c r="AA43" i="11" s="1"/>
  <c r="BI43" i="8"/>
  <c r="R43" i="11" s="1"/>
  <c r="BK43" i="8"/>
  <c r="T43" i="11" s="1"/>
  <c r="BN43" i="8"/>
  <c r="W43" i="11" s="1"/>
  <c r="BU43" i="8"/>
  <c r="AD43" i="11" s="1"/>
  <c r="CE43" i="8"/>
  <c r="AR43" i="8"/>
  <c r="AV43" i="8"/>
  <c r="E43" i="11" s="1"/>
  <c r="AY43" i="8"/>
  <c r="H43" i="11" s="1"/>
  <c r="AU43" i="8"/>
  <c r="D43" i="11" s="1"/>
  <c r="AZ43" i="8"/>
  <c r="I43" i="11" s="1"/>
  <c r="BA43" i="8"/>
  <c r="J43" i="11" s="1"/>
  <c r="BT43" i="8"/>
  <c r="AC43" i="11" s="1"/>
  <c r="BV43" i="8"/>
  <c r="AE43" i="11" s="1"/>
  <c r="AX43" i="8"/>
  <c r="G43" i="11" s="1"/>
  <c r="BO43" i="8"/>
  <c r="X43" i="11" s="1"/>
  <c r="CA43" i="8"/>
  <c r="CC43" i="8"/>
  <c r="BH43" i="8"/>
  <c r="Q43" i="11" s="1"/>
  <c r="CD43" i="8"/>
  <c r="BS43" i="8"/>
  <c r="AB43" i="11" s="1"/>
  <c r="BL43" i="8"/>
  <c r="U43" i="11" s="1"/>
  <c r="BE43" i="8"/>
  <c r="N43" i="11" s="1"/>
  <c r="BX43" i="8"/>
  <c r="BZ43" i="8"/>
  <c r="CF43" i="8" s="1"/>
  <c r="BW34" i="8"/>
  <c r="BA34" i="8"/>
  <c r="J34" i="11" s="1"/>
  <c r="CB34" i="8"/>
  <c r="AZ34" i="8"/>
  <c r="I34" i="11" s="1"/>
  <c r="BB34" i="8"/>
  <c r="K34" i="11" s="1"/>
  <c r="BP34" i="8"/>
  <c r="Y34" i="11" s="1"/>
  <c r="BM34" i="8"/>
  <c r="V34" i="11" s="1"/>
  <c r="BR34" i="8"/>
  <c r="AA34" i="11" s="1"/>
  <c r="BD34" i="8"/>
  <c r="M34" i="11" s="1"/>
  <c r="BO34" i="8"/>
  <c r="X34" i="11" s="1"/>
  <c r="AT34" i="8"/>
  <c r="C34" i="11" s="1"/>
  <c r="BU34" i="8"/>
  <c r="AD34" i="11" s="1"/>
  <c r="AV34" i="8"/>
  <c r="E34" i="11" s="1"/>
  <c r="BH34" i="8"/>
  <c r="Q34" i="11" s="1"/>
  <c r="BS34" i="8"/>
  <c r="AB34" i="11" s="1"/>
  <c r="AR34" i="8"/>
  <c r="BY34" i="8"/>
  <c r="BN34" i="8"/>
  <c r="W34" i="11" s="1"/>
  <c r="BG34" i="8"/>
  <c r="P34" i="11" s="1"/>
  <c r="BF34" i="8"/>
  <c r="O34" i="11" s="1"/>
  <c r="BV34" i="8"/>
  <c r="AE34" i="11" s="1"/>
  <c r="CC34" i="8"/>
  <c r="CE34" i="8"/>
  <c r="BC34" i="8"/>
  <c r="L34" i="11" s="1"/>
  <c r="BZ34" i="8"/>
  <c r="CF34" i="8" s="1"/>
  <c r="AU34" i="8"/>
  <c r="D34" i="11" s="1"/>
  <c r="BJ34" i="8"/>
  <c r="S34" i="11" s="1"/>
  <c r="BL34" i="8"/>
  <c r="U34" i="11" s="1"/>
  <c r="AW34" i="8"/>
  <c r="F34" i="11" s="1"/>
  <c r="AX34" i="8"/>
  <c r="G34" i="11" s="1"/>
  <c r="AS34" i="8"/>
  <c r="B34" i="11" s="1"/>
  <c r="BI34" i="8"/>
  <c r="R34" i="11" s="1"/>
  <c r="BT34" i="8"/>
  <c r="AC34" i="11" s="1"/>
  <c r="AY34" i="8"/>
  <c r="H34" i="11" s="1"/>
  <c r="CA34" i="8"/>
  <c r="BX34" i="8"/>
  <c r="CD34" i="8"/>
  <c r="BE34" i="8"/>
  <c r="N34" i="11" s="1"/>
  <c r="BK34" i="8"/>
  <c r="T34" i="11" s="1"/>
  <c r="BQ34" i="8"/>
  <c r="Z34" i="11" s="1"/>
  <c r="BS16" i="8"/>
  <c r="AB16" i="11" s="1"/>
  <c r="BE16" i="8"/>
  <c r="N16" i="11" s="1"/>
  <c r="AX16" i="8"/>
  <c r="G16" i="11" s="1"/>
  <c r="BH16" i="8"/>
  <c r="Q16" i="11" s="1"/>
  <c r="CE16" i="8"/>
  <c r="BR16" i="8"/>
  <c r="AA16" i="11" s="1"/>
  <c r="BU16" i="8"/>
  <c r="AD16" i="11" s="1"/>
  <c r="AZ16" i="8"/>
  <c r="I16" i="11" s="1"/>
  <c r="AS16" i="8"/>
  <c r="B16" i="11" s="1"/>
  <c r="BM16" i="8"/>
  <c r="V16" i="11" s="1"/>
  <c r="BC16" i="8"/>
  <c r="L16" i="11" s="1"/>
  <c r="BT16" i="8"/>
  <c r="AC16" i="11" s="1"/>
  <c r="AT16" i="8"/>
  <c r="C16" i="11" s="1"/>
  <c r="BZ16" i="8"/>
  <c r="CF16" i="8" s="1"/>
  <c r="AW16" i="8"/>
  <c r="F16" i="11" s="1"/>
  <c r="BV16" i="8"/>
  <c r="AE16" i="11" s="1"/>
  <c r="BO16" i="8"/>
  <c r="X16" i="11" s="1"/>
  <c r="BD16" i="8"/>
  <c r="M16" i="11" s="1"/>
  <c r="AR16" i="8"/>
  <c r="CB16" i="8"/>
  <c r="BQ16" i="8"/>
  <c r="Z16" i="11" s="1"/>
  <c r="BB16" i="8"/>
  <c r="K16" i="11" s="1"/>
  <c r="BY16" i="8"/>
  <c r="BA16" i="8"/>
  <c r="J16" i="11" s="1"/>
  <c r="CA16" i="8"/>
  <c r="AU16" i="8"/>
  <c r="D16" i="11" s="1"/>
  <c r="BJ16" i="8"/>
  <c r="S16" i="11" s="1"/>
  <c r="BF16" i="8"/>
  <c r="O16" i="11" s="1"/>
  <c r="AV16" i="8"/>
  <c r="E16" i="11" s="1"/>
  <c r="BL16" i="8"/>
  <c r="U16" i="11" s="1"/>
  <c r="BW16" i="8"/>
  <c r="BP16" i="8"/>
  <c r="Y16" i="11" s="1"/>
  <c r="CC16" i="8"/>
  <c r="BX16" i="8"/>
  <c r="BI16" i="8"/>
  <c r="R16" i="11" s="1"/>
  <c r="AY16" i="8"/>
  <c r="H16" i="11" s="1"/>
  <c r="BK16" i="8"/>
  <c r="T16" i="11" s="1"/>
  <c r="BN16" i="8"/>
  <c r="W16" i="11" s="1"/>
  <c r="BG16" i="8"/>
  <c r="P16" i="11" s="1"/>
  <c r="CD16" i="8"/>
  <c r="AZ49" i="8"/>
  <c r="I49" i="11" s="1"/>
  <c r="AU49" i="8"/>
  <c r="D49" i="11" s="1"/>
  <c r="BZ49" i="8"/>
  <c r="CF49" i="8" s="1"/>
  <c r="BX49" i="8"/>
  <c r="CB49" i="8"/>
  <c r="BF49" i="8"/>
  <c r="O49" i="11" s="1"/>
  <c r="BS49" i="8"/>
  <c r="AB49" i="11" s="1"/>
  <c r="CD49" i="8"/>
  <c r="BH49" i="8"/>
  <c r="Q49" i="11" s="1"/>
  <c r="BL49" i="8"/>
  <c r="U49" i="11" s="1"/>
  <c r="CC49" i="8"/>
  <c r="BI49" i="8"/>
  <c r="R49" i="11" s="1"/>
  <c r="BB49" i="8"/>
  <c r="K49" i="11" s="1"/>
  <c r="BR49" i="8"/>
  <c r="AA49" i="11" s="1"/>
  <c r="AV49" i="8"/>
  <c r="E49" i="11" s="1"/>
  <c r="AR49" i="8"/>
  <c r="AY49" i="8"/>
  <c r="H49" i="11" s="1"/>
  <c r="AW49" i="8"/>
  <c r="F49" i="11" s="1"/>
  <c r="BA49" i="8"/>
  <c r="J49" i="11" s="1"/>
  <c r="BY49" i="8"/>
  <c r="BT49" i="8"/>
  <c r="AC49" i="11" s="1"/>
  <c r="BM49" i="8"/>
  <c r="V49" i="11" s="1"/>
  <c r="BD49" i="8"/>
  <c r="M49" i="11" s="1"/>
  <c r="AS49" i="8"/>
  <c r="B49" i="11" s="1"/>
  <c r="AX49" i="8"/>
  <c r="G49" i="11" s="1"/>
  <c r="CE49" i="8"/>
  <c r="BN49" i="8"/>
  <c r="W49" i="11" s="1"/>
  <c r="BE49" i="8"/>
  <c r="N49" i="11" s="1"/>
  <c r="BJ49" i="8"/>
  <c r="S49" i="11" s="1"/>
  <c r="BU49" i="8"/>
  <c r="AD49" i="11" s="1"/>
  <c r="BC49" i="8"/>
  <c r="L49" i="11" s="1"/>
  <c r="BW49" i="8"/>
  <c r="AT49" i="8"/>
  <c r="C49" i="11" s="1"/>
  <c r="BK49" i="8"/>
  <c r="T49" i="11" s="1"/>
  <c r="BP49" i="8"/>
  <c r="Y49" i="11" s="1"/>
  <c r="BG49" i="8"/>
  <c r="P49" i="11" s="1"/>
  <c r="CA49" i="8"/>
  <c r="BQ49" i="8"/>
  <c r="Z49" i="11" s="1"/>
  <c r="BV49" i="8"/>
  <c r="AE49" i="11" s="1"/>
  <c r="BO49" i="8"/>
  <c r="X49" i="11" s="1"/>
  <c r="CC63" i="8"/>
  <c r="CE63" i="8"/>
  <c r="AR63" i="8"/>
  <c r="BX63" i="8"/>
  <c r="BZ63" i="8"/>
  <c r="CF63" i="8" s="1"/>
  <c r="CA63" i="8"/>
  <c r="AZ63" i="8"/>
  <c r="I63" i="11" s="1"/>
  <c r="BL63" i="8"/>
  <c r="U63" i="11" s="1"/>
  <c r="BY63" i="8"/>
  <c r="BB63" i="8"/>
  <c r="K63" i="11" s="1"/>
  <c r="BN63" i="8"/>
  <c r="W63" i="11" s="1"/>
  <c r="CB63" i="8"/>
  <c r="BD63" i="8"/>
  <c r="M63" i="11" s="1"/>
  <c r="BP63" i="8"/>
  <c r="Y63" i="11" s="1"/>
  <c r="AV63" i="8"/>
  <c r="E63" i="11" s="1"/>
  <c r="BH63" i="8"/>
  <c r="Q63" i="11" s="1"/>
  <c r="BT63" i="8"/>
  <c r="AC63" i="11" s="1"/>
  <c r="AX63" i="8"/>
  <c r="G63" i="11" s="1"/>
  <c r="BJ63" i="8"/>
  <c r="S63" i="11" s="1"/>
  <c r="BV63" i="8"/>
  <c r="AE63" i="11" s="1"/>
  <c r="BF63" i="8"/>
  <c r="O63" i="11" s="1"/>
  <c r="CD63" i="8"/>
  <c r="BI63" i="8"/>
  <c r="R63" i="11" s="1"/>
  <c r="AS63" i="8"/>
  <c r="B63" i="11" s="1"/>
  <c r="BM63" i="8"/>
  <c r="V63" i="11" s="1"/>
  <c r="AY63" i="8"/>
  <c r="H63" i="11" s="1"/>
  <c r="BS63" i="8"/>
  <c r="AB63" i="11" s="1"/>
  <c r="BK63" i="8"/>
  <c r="T63" i="11" s="1"/>
  <c r="BQ63" i="8"/>
  <c r="Z63" i="11" s="1"/>
  <c r="BU63" i="8"/>
  <c r="AD63" i="11" s="1"/>
  <c r="AU63" i="8"/>
  <c r="D63" i="11" s="1"/>
  <c r="BE63" i="8"/>
  <c r="N63" i="11" s="1"/>
  <c r="BC63" i="8"/>
  <c r="L63" i="11" s="1"/>
  <c r="BG63" i="8"/>
  <c r="P63" i="11" s="1"/>
  <c r="BO63" i="8"/>
  <c r="X63" i="11" s="1"/>
  <c r="BW63" i="8"/>
  <c r="AT63" i="8"/>
  <c r="C63" i="11" s="1"/>
  <c r="AW63" i="8"/>
  <c r="F63" i="11" s="1"/>
  <c r="BA63" i="8"/>
  <c r="J63" i="11" s="1"/>
  <c r="BR63" i="8"/>
  <c r="AA63" i="11" s="1"/>
  <c r="BZ59" i="8"/>
  <c r="CF59" i="8" s="1"/>
  <c r="CA59" i="8"/>
  <c r="BS59" i="8"/>
  <c r="AB59" i="11" s="1"/>
  <c r="CC59" i="8"/>
  <c r="BM59" i="8"/>
  <c r="V59" i="11" s="1"/>
  <c r="CE59" i="8"/>
  <c r="AR59" i="8"/>
  <c r="BG59" i="8"/>
  <c r="P59" i="11" s="1"/>
  <c r="BN59" i="8"/>
  <c r="W59" i="11" s="1"/>
  <c r="BX59" i="8"/>
  <c r="BD59" i="8"/>
  <c r="M59" i="11" s="1"/>
  <c r="CB59" i="8"/>
  <c r="AU59" i="8"/>
  <c r="D59" i="11" s="1"/>
  <c r="BF59" i="8"/>
  <c r="O59" i="11" s="1"/>
  <c r="AY59" i="8"/>
  <c r="H59" i="11" s="1"/>
  <c r="BU59" i="8"/>
  <c r="AD59" i="11" s="1"/>
  <c r="BE59" i="8"/>
  <c r="N59" i="11" s="1"/>
  <c r="BV59" i="8"/>
  <c r="AE59" i="11" s="1"/>
  <c r="BW59" i="8"/>
  <c r="AT59" i="8"/>
  <c r="C59" i="11" s="1"/>
  <c r="BJ59" i="8"/>
  <c r="S59" i="11" s="1"/>
  <c r="CD59" i="8"/>
  <c r="AW59" i="8"/>
  <c r="F59" i="11" s="1"/>
  <c r="BL59" i="8"/>
  <c r="U59" i="11" s="1"/>
  <c r="BB59" i="8"/>
  <c r="K59" i="11" s="1"/>
  <c r="BR59" i="8"/>
  <c r="AA59" i="11" s="1"/>
  <c r="BH59" i="8"/>
  <c r="Q59" i="11" s="1"/>
  <c r="BI59" i="8"/>
  <c r="R59" i="11" s="1"/>
  <c r="BK59" i="8"/>
  <c r="T59" i="11" s="1"/>
  <c r="BP59" i="8"/>
  <c r="Y59" i="11" s="1"/>
  <c r="BQ59" i="8"/>
  <c r="Z59" i="11" s="1"/>
  <c r="AS59" i="8"/>
  <c r="B59" i="11" s="1"/>
  <c r="BT59" i="8"/>
  <c r="AC59" i="11" s="1"/>
  <c r="AV59" i="8"/>
  <c r="E59" i="11" s="1"/>
  <c r="AX59" i="8"/>
  <c r="G59" i="11" s="1"/>
  <c r="BY59" i="8"/>
  <c r="AZ59" i="8"/>
  <c r="I59" i="11" s="1"/>
  <c r="BA59" i="8"/>
  <c r="J59" i="11" s="1"/>
  <c r="BC59" i="8"/>
  <c r="L59" i="11" s="1"/>
  <c r="BO59" i="8"/>
  <c r="X59" i="11" s="1"/>
  <c r="AU62" i="8"/>
  <c r="D62" i="11" s="1"/>
  <c r="BA62" i="8"/>
  <c r="J62" i="11" s="1"/>
  <c r="BG62" i="8"/>
  <c r="P62" i="11" s="1"/>
  <c r="BM62" i="8"/>
  <c r="V62" i="11" s="1"/>
  <c r="BS62" i="8"/>
  <c r="AB62" i="11" s="1"/>
  <c r="AV62" i="8"/>
  <c r="E62" i="11" s="1"/>
  <c r="BB62" i="8"/>
  <c r="K62" i="11" s="1"/>
  <c r="BH62" i="8"/>
  <c r="Q62" i="11" s="1"/>
  <c r="BN62" i="8"/>
  <c r="W62" i="11" s="1"/>
  <c r="BT62" i="8"/>
  <c r="AC62" i="11" s="1"/>
  <c r="CB62" i="8"/>
  <c r="AW62" i="8"/>
  <c r="F62" i="11" s="1"/>
  <c r="BC62" i="8"/>
  <c r="L62" i="11" s="1"/>
  <c r="BI62" i="8"/>
  <c r="R62" i="11" s="1"/>
  <c r="BO62" i="8"/>
  <c r="X62" i="11" s="1"/>
  <c r="BU62" i="8"/>
  <c r="AD62" i="11" s="1"/>
  <c r="CD62" i="8"/>
  <c r="AX62" i="8"/>
  <c r="G62" i="11" s="1"/>
  <c r="BD62" i="8"/>
  <c r="M62" i="11" s="1"/>
  <c r="BJ62" i="8"/>
  <c r="S62" i="11" s="1"/>
  <c r="BP62" i="8"/>
  <c r="Y62" i="11" s="1"/>
  <c r="BV62" i="8"/>
  <c r="AE62" i="11" s="1"/>
  <c r="AS62" i="8"/>
  <c r="B62" i="11" s="1"/>
  <c r="AY62" i="8"/>
  <c r="H62" i="11" s="1"/>
  <c r="BE62" i="8"/>
  <c r="N62" i="11" s="1"/>
  <c r="BK62" i="8"/>
  <c r="T62" i="11" s="1"/>
  <c r="BQ62" i="8"/>
  <c r="Z62" i="11" s="1"/>
  <c r="BW62" i="8"/>
  <c r="AT62" i="8"/>
  <c r="C62" i="11" s="1"/>
  <c r="AZ62" i="8"/>
  <c r="I62" i="11" s="1"/>
  <c r="BF62" i="8"/>
  <c r="O62" i="11" s="1"/>
  <c r="BL62" i="8"/>
  <c r="U62" i="11" s="1"/>
  <c r="BR62" i="8"/>
  <c r="AA62" i="11" s="1"/>
  <c r="BY62" i="8"/>
  <c r="AR62" i="8"/>
  <c r="BZ62" i="8"/>
  <c r="CF62" i="8" s="1"/>
  <c r="CC62" i="8"/>
  <c r="CA62" i="8"/>
  <c r="CE62" i="8"/>
  <c r="BX62" i="8"/>
  <c r="AW54" i="8"/>
  <c r="F54" i="11" s="1"/>
  <c r="BC54" i="8"/>
  <c r="L54" i="11" s="1"/>
  <c r="BI54" i="8"/>
  <c r="R54" i="11" s="1"/>
  <c r="BO54" i="8"/>
  <c r="X54" i="11" s="1"/>
  <c r="BU54" i="8"/>
  <c r="AD54" i="11" s="1"/>
  <c r="CD54" i="8"/>
  <c r="AX54" i="8"/>
  <c r="G54" i="11" s="1"/>
  <c r="BD54" i="8"/>
  <c r="M54" i="11" s="1"/>
  <c r="BJ54" i="8"/>
  <c r="S54" i="11" s="1"/>
  <c r="BP54" i="8"/>
  <c r="Y54" i="11" s="1"/>
  <c r="BV54" i="8"/>
  <c r="AE54" i="11" s="1"/>
  <c r="AV54" i="8"/>
  <c r="E54" i="11" s="1"/>
  <c r="BB54" i="8"/>
  <c r="K54" i="11" s="1"/>
  <c r="BH54" i="8"/>
  <c r="Q54" i="11" s="1"/>
  <c r="BN54" i="8"/>
  <c r="W54" i="11" s="1"/>
  <c r="BT54" i="8"/>
  <c r="AC54" i="11" s="1"/>
  <c r="CB54" i="8"/>
  <c r="AT54" i="8"/>
  <c r="C54" i="11" s="1"/>
  <c r="BR54" i="8"/>
  <c r="AA54" i="11" s="1"/>
  <c r="CA54" i="8"/>
  <c r="AU54" i="8"/>
  <c r="D54" i="11" s="1"/>
  <c r="BS54" i="8"/>
  <c r="AB54" i="11" s="1"/>
  <c r="CE54" i="8"/>
  <c r="AY54" i="8"/>
  <c r="H54" i="11" s="1"/>
  <c r="AZ54" i="8"/>
  <c r="I54" i="11" s="1"/>
  <c r="AR54" i="8"/>
  <c r="BA54" i="8"/>
  <c r="J54" i="11" s="1"/>
  <c r="BL54" i="8"/>
  <c r="U54" i="11" s="1"/>
  <c r="BM54" i="8"/>
  <c r="V54" i="11" s="1"/>
  <c r="BW54" i="8"/>
  <c r="BF54" i="8"/>
  <c r="O54" i="11" s="1"/>
  <c r="BX54" i="8"/>
  <c r="BG54" i="8"/>
  <c r="P54" i="11" s="1"/>
  <c r="BY54" i="8"/>
  <c r="BK54" i="8"/>
  <c r="T54" i="11" s="1"/>
  <c r="CC54" i="8"/>
  <c r="BQ54" i="8"/>
  <c r="Z54" i="11" s="1"/>
  <c r="BZ54" i="8"/>
  <c r="CF54" i="8" s="1"/>
  <c r="AS54" i="8"/>
  <c r="B54" i="11" s="1"/>
  <c r="BE54" i="8"/>
  <c r="N54" i="11" s="1"/>
  <c r="AX60" i="8"/>
  <c r="G60" i="11" s="1"/>
  <c r="BD60" i="8"/>
  <c r="M60" i="11" s="1"/>
  <c r="BJ60" i="8"/>
  <c r="S60" i="11" s="1"/>
  <c r="BP60" i="8"/>
  <c r="Y60" i="11" s="1"/>
  <c r="BV60" i="8"/>
  <c r="AE60" i="11" s="1"/>
  <c r="AV60" i="8"/>
  <c r="E60" i="11" s="1"/>
  <c r="BB60" i="8"/>
  <c r="K60" i="11" s="1"/>
  <c r="BH60" i="8"/>
  <c r="Q60" i="11" s="1"/>
  <c r="BN60" i="8"/>
  <c r="W60" i="11" s="1"/>
  <c r="BT60" i="8"/>
  <c r="AC60" i="11" s="1"/>
  <c r="CB60" i="8"/>
  <c r="AW60" i="8"/>
  <c r="F60" i="11" s="1"/>
  <c r="BC60" i="8"/>
  <c r="L60" i="11" s="1"/>
  <c r="BI60" i="8"/>
  <c r="R60" i="11" s="1"/>
  <c r="BO60" i="8"/>
  <c r="X60" i="11" s="1"/>
  <c r="BU60" i="8"/>
  <c r="AD60" i="11" s="1"/>
  <c r="CD60" i="8"/>
  <c r="BG60" i="8"/>
  <c r="P60" i="11" s="1"/>
  <c r="BX60" i="8"/>
  <c r="AS60" i="8"/>
  <c r="B60" i="11" s="1"/>
  <c r="BQ60" i="8"/>
  <c r="Z60" i="11" s="1"/>
  <c r="BZ60" i="8"/>
  <c r="CF60" i="8" s="1"/>
  <c r="AT60" i="8"/>
  <c r="C60" i="11" s="1"/>
  <c r="BR60" i="8"/>
  <c r="AA60" i="11" s="1"/>
  <c r="CA60" i="8"/>
  <c r="BF60" i="8"/>
  <c r="O60" i="11" s="1"/>
  <c r="BA60" i="8"/>
  <c r="J60" i="11" s="1"/>
  <c r="CE60" i="8"/>
  <c r="BE60" i="8"/>
  <c r="N60" i="11" s="1"/>
  <c r="AR60" i="8"/>
  <c r="BK60" i="8"/>
  <c r="T60" i="11" s="1"/>
  <c r="AU60" i="8"/>
  <c r="D60" i="11" s="1"/>
  <c r="BL60" i="8"/>
  <c r="U60" i="11" s="1"/>
  <c r="AZ60" i="8"/>
  <c r="I60" i="11" s="1"/>
  <c r="BS60" i="8"/>
  <c r="AB60" i="11" s="1"/>
  <c r="BY60" i="8"/>
  <c r="BM60" i="8"/>
  <c r="V60" i="11" s="1"/>
  <c r="BW60" i="8"/>
  <c r="CC60" i="8"/>
  <c r="AY60" i="8"/>
  <c r="H60" i="11" s="1"/>
  <c r="AS52" i="8"/>
  <c r="B52" i="11" s="1"/>
  <c r="AY52" i="8"/>
  <c r="H52" i="11" s="1"/>
  <c r="BE52" i="8"/>
  <c r="N52" i="11" s="1"/>
  <c r="BK52" i="8"/>
  <c r="T52" i="11" s="1"/>
  <c r="BQ52" i="8"/>
  <c r="Z52" i="11" s="1"/>
  <c r="BW52" i="8"/>
  <c r="BB52" i="8"/>
  <c r="K52" i="11" s="1"/>
  <c r="BO52" i="8"/>
  <c r="X52" i="11" s="1"/>
  <c r="BC52" i="8"/>
  <c r="L52" i="11" s="1"/>
  <c r="BP52" i="8"/>
  <c r="Y52" i="11" s="1"/>
  <c r="AW52" i="8"/>
  <c r="F52" i="11" s="1"/>
  <c r="BT52" i="8"/>
  <c r="AC52" i="11" s="1"/>
  <c r="CE52" i="8"/>
  <c r="AX52" i="8"/>
  <c r="G52" i="11" s="1"/>
  <c r="BF52" i="8"/>
  <c r="O52" i="11" s="1"/>
  <c r="BU52" i="8"/>
  <c r="AD52" i="11" s="1"/>
  <c r="BG52" i="8"/>
  <c r="P52" i="11" s="1"/>
  <c r="BX52" i="8"/>
  <c r="AR52" i="8"/>
  <c r="BH52" i="8"/>
  <c r="Q52" i="11" s="1"/>
  <c r="BZ52" i="8"/>
  <c r="CF52" i="8" s="1"/>
  <c r="AU52" i="8"/>
  <c r="D52" i="11" s="1"/>
  <c r="BS52" i="8"/>
  <c r="AB52" i="11" s="1"/>
  <c r="CC52" i="8"/>
  <c r="AT52" i="8"/>
  <c r="C52" i="11" s="1"/>
  <c r="BI52" i="8"/>
  <c r="R52" i="11" s="1"/>
  <c r="BV52" i="8"/>
  <c r="AE52" i="11" s="1"/>
  <c r="AV52" i="8"/>
  <c r="E52" i="11" s="1"/>
  <c r="BJ52" i="8"/>
  <c r="S52" i="11" s="1"/>
  <c r="BY52" i="8"/>
  <c r="BL52" i="8"/>
  <c r="U52" i="11" s="1"/>
  <c r="CA52" i="8"/>
  <c r="BA52" i="8"/>
  <c r="J52" i="11" s="1"/>
  <c r="BN52" i="8"/>
  <c r="W52" i="11" s="1"/>
  <c r="CD52" i="8"/>
  <c r="BD52" i="8"/>
  <c r="M52" i="11" s="1"/>
  <c r="BR52" i="8"/>
  <c r="AA52" i="11" s="1"/>
  <c r="AZ52" i="8"/>
  <c r="I52" i="11" s="1"/>
  <c r="BM52" i="8"/>
  <c r="V52" i="11" s="1"/>
  <c r="CB52" i="8"/>
  <c r="AX64" i="8"/>
  <c r="G64" i="11" s="1"/>
  <c r="BD64" i="8"/>
  <c r="M64" i="11" s="1"/>
  <c r="BJ64" i="8"/>
  <c r="S64" i="11" s="1"/>
  <c r="BP64" i="8"/>
  <c r="Y64" i="11" s="1"/>
  <c r="BV64" i="8"/>
  <c r="AE64" i="11" s="1"/>
  <c r="AS64" i="8"/>
  <c r="B64" i="11" s="1"/>
  <c r="AY64" i="8"/>
  <c r="H64" i="11" s="1"/>
  <c r="BE64" i="8"/>
  <c r="N64" i="11" s="1"/>
  <c r="BK64" i="8"/>
  <c r="T64" i="11" s="1"/>
  <c r="BQ64" i="8"/>
  <c r="Z64" i="11" s="1"/>
  <c r="BW64" i="8"/>
  <c r="AT64" i="8"/>
  <c r="C64" i="11" s="1"/>
  <c r="AZ64" i="8"/>
  <c r="I64" i="11" s="1"/>
  <c r="BF64" i="8"/>
  <c r="O64" i="11" s="1"/>
  <c r="BL64" i="8"/>
  <c r="U64" i="11" s="1"/>
  <c r="BR64" i="8"/>
  <c r="AA64" i="11" s="1"/>
  <c r="BY64" i="8"/>
  <c r="AU64" i="8"/>
  <c r="D64" i="11" s="1"/>
  <c r="BA64" i="8"/>
  <c r="J64" i="11" s="1"/>
  <c r="BG64" i="8"/>
  <c r="P64" i="11" s="1"/>
  <c r="BM64" i="8"/>
  <c r="V64" i="11" s="1"/>
  <c r="BS64" i="8"/>
  <c r="AB64" i="11" s="1"/>
  <c r="AV64" i="8"/>
  <c r="E64" i="11" s="1"/>
  <c r="BB64" i="8"/>
  <c r="K64" i="11" s="1"/>
  <c r="BH64" i="8"/>
  <c r="Q64" i="11" s="1"/>
  <c r="BN64" i="8"/>
  <c r="W64" i="11" s="1"/>
  <c r="BT64" i="8"/>
  <c r="AC64" i="11" s="1"/>
  <c r="CB64" i="8"/>
  <c r="AW64" i="8"/>
  <c r="F64" i="11" s="1"/>
  <c r="BC64" i="8"/>
  <c r="L64" i="11" s="1"/>
  <c r="BI64" i="8"/>
  <c r="R64" i="11" s="1"/>
  <c r="BO64" i="8"/>
  <c r="X64" i="11" s="1"/>
  <c r="BU64" i="8"/>
  <c r="AD64" i="11" s="1"/>
  <c r="CD64" i="8"/>
  <c r="BX64" i="8"/>
  <c r="CE64" i="8"/>
  <c r="BZ64" i="8"/>
  <c r="CF64" i="8" s="1"/>
  <c r="CC64" i="8"/>
  <c r="AR64" i="8"/>
  <c r="CA64" i="8"/>
  <c r="BX61" i="8"/>
  <c r="CE61" i="8"/>
  <c r="AR61" i="8"/>
  <c r="AY61" i="8"/>
  <c r="H61" i="11" s="1"/>
  <c r="BG61" i="8"/>
  <c r="P61" i="11" s="1"/>
  <c r="BW61" i="8"/>
  <c r="BH61" i="8"/>
  <c r="Q61" i="11" s="1"/>
  <c r="BP61" i="8"/>
  <c r="Y61" i="11" s="1"/>
  <c r="BZ61" i="8"/>
  <c r="CF61" i="8" s="1"/>
  <c r="AT61" i="8"/>
  <c r="C61" i="11" s="1"/>
  <c r="BI61" i="8"/>
  <c r="R61" i="11" s="1"/>
  <c r="BR61" i="8"/>
  <c r="AA61" i="11" s="1"/>
  <c r="CA61" i="8"/>
  <c r="AV61" i="8"/>
  <c r="E61" i="11" s="1"/>
  <c r="BD61" i="8"/>
  <c r="M61" i="11" s="1"/>
  <c r="BT61" i="8"/>
  <c r="AC61" i="11" s="1"/>
  <c r="AW61" i="8"/>
  <c r="F61" i="11" s="1"/>
  <c r="BF61" i="8"/>
  <c r="O61" i="11" s="1"/>
  <c r="BU61" i="8"/>
  <c r="AD61" i="11" s="1"/>
  <c r="BE61" i="8"/>
  <c r="N61" i="11" s="1"/>
  <c r="BS61" i="8"/>
  <c r="AB61" i="11" s="1"/>
  <c r="BJ61" i="8"/>
  <c r="S61" i="11" s="1"/>
  <c r="BY61" i="8"/>
  <c r="BA61" i="8"/>
  <c r="J61" i="11" s="1"/>
  <c r="BN61" i="8"/>
  <c r="W61" i="11" s="1"/>
  <c r="CD61" i="8"/>
  <c r="BL61" i="8"/>
  <c r="U61" i="11" s="1"/>
  <c r="AU61" i="8"/>
  <c r="D61" i="11" s="1"/>
  <c r="BO61" i="8"/>
  <c r="X61" i="11" s="1"/>
  <c r="AX61" i="8"/>
  <c r="G61" i="11" s="1"/>
  <c r="BC61" i="8"/>
  <c r="L61" i="11" s="1"/>
  <c r="CB61" i="8"/>
  <c r="AS61" i="8"/>
  <c r="B61" i="11" s="1"/>
  <c r="CC61" i="8"/>
  <c r="AZ61" i="8"/>
  <c r="I61" i="11" s="1"/>
  <c r="BK61" i="8"/>
  <c r="T61" i="11" s="1"/>
  <c r="BM61" i="8"/>
  <c r="V61" i="11" s="1"/>
  <c r="BQ61" i="8"/>
  <c r="Z61" i="11" s="1"/>
  <c r="BV61" i="8"/>
  <c r="AE61" i="11" s="1"/>
  <c r="BB61" i="8"/>
  <c r="K61" i="11" s="1"/>
  <c r="AR55" i="8"/>
  <c r="BX55" i="8"/>
  <c r="CE55" i="8"/>
  <c r="BH55" i="8"/>
  <c r="Q55" i="11" s="1"/>
  <c r="BP55" i="8"/>
  <c r="Y55" i="11" s="1"/>
  <c r="BZ55" i="8"/>
  <c r="CF55" i="8" s="1"/>
  <c r="AT55" i="8"/>
  <c r="C55" i="11" s="1"/>
  <c r="BI55" i="8"/>
  <c r="R55" i="11" s="1"/>
  <c r="BR55" i="8"/>
  <c r="AA55" i="11" s="1"/>
  <c r="CA55" i="8"/>
  <c r="AU55" i="8"/>
  <c r="D55" i="11" s="1"/>
  <c r="BK55" i="8"/>
  <c r="T55" i="11" s="1"/>
  <c r="BS55" i="8"/>
  <c r="AB55" i="11" s="1"/>
  <c r="CC55" i="8"/>
  <c r="BC55" i="8"/>
  <c r="L55" i="11" s="1"/>
  <c r="BY55" i="8"/>
  <c r="BE55" i="8"/>
  <c r="N55" i="11" s="1"/>
  <c r="CB55" i="8"/>
  <c r="AV55" i="8"/>
  <c r="E55" i="11" s="1"/>
  <c r="BQ55" i="8"/>
  <c r="Z55" i="11" s="1"/>
  <c r="AW55" i="8"/>
  <c r="F55" i="11" s="1"/>
  <c r="BA55" i="8"/>
  <c r="J55" i="11" s="1"/>
  <c r="BV55" i="8"/>
  <c r="AE55" i="11" s="1"/>
  <c r="CD55" i="8"/>
  <c r="BJ55" i="8"/>
  <c r="S55" i="11" s="1"/>
  <c r="AS55" i="8"/>
  <c r="B55" i="11" s="1"/>
  <c r="BL55" i="8"/>
  <c r="U55" i="11" s="1"/>
  <c r="BN55" i="8"/>
  <c r="W55" i="11" s="1"/>
  <c r="AX55" i="8"/>
  <c r="G55" i="11" s="1"/>
  <c r="BO55" i="8"/>
  <c r="X55" i="11" s="1"/>
  <c r="AY55" i="8"/>
  <c r="H55" i="11" s="1"/>
  <c r="AZ55" i="8"/>
  <c r="I55" i="11" s="1"/>
  <c r="BT55" i="8"/>
  <c r="AC55" i="11" s="1"/>
  <c r="BB55" i="8"/>
  <c r="K55" i="11" s="1"/>
  <c r="BD55" i="8"/>
  <c r="M55" i="11" s="1"/>
  <c r="BU55" i="8"/>
  <c r="AD55" i="11" s="1"/>
  <c r="BF55" i="8"/>
  <c r="O55" i="11" s="1"/>
  <c r="BW55" i="8"/>
  <c r="BG55" i="8"/>
  <c r="P55" i="11" s="1"/>
  <c r="BM55" i="8"/>
  <c r="V55" i="11" s="1"/>
  <c r="AS58" i="8"/>
  <c r="B58" i="11" s="1"/>
  <c r="AY58" i="8"/>
  <c r="H58" i="11" s="1"/>
  <c r="BE58" i="8"/>
  <c r="N58" i="11" s="1"/>
  <c r="BK58" i="8"/>
  <c r="T58" i="11" s="1"/>
  <c r="BQ58" i="8"/>
  <c r="Z58" i="11" s="1"/>
  <c r="BW58" i="8"/>
  <c r="AT58" i="8"/>
  <c r="C58" i="11" s="1"/>
  <c r="AZ58" i="8"/>
  <c r="I58" i="11" s="1"/>
  <c r="BF58" i="8"/>
  <c r="O58" i="11" s="1"/>
  <c r="BL58" i="8"/>
  <c r="U58" i="11" s="1"/>
  <c r="BR58" i="8"/>
  <c r="AA58" i="11" s="1"/>
  <c r="BY58" i="8"/>
  <c r="BG58" i="8"/>
  <c r="P58" i="11" s="1"/>
  <c r="BN58" i="8"/>
  <c r="W58" i="11" s="1"/>
  <c r="BU58" i="8"/>
  <c r="AD58" i="11" s="1"/>
  <c r="BA58" i="8"/>
  <c r="J58" i="11" s="1"/>
  <c r="BH58" i="8"/>
  <c r="Q58" i="11" s="1"/>
  <c r="BO58" i="8"/>
  <c r="X58" i="11" s="1"/>
  <c r="BV58" i="8"/>
  <c r="AE58" i="11" s="1"/>
  <c r="AU58" i="8"/>
  <c r="D58" i="11" s="1"/>
  <c r="BB58" i="8"/>
  <c r="K58" i="11" s="1"/>
  <c r="BI58" i="8"/>
  <c r="R58" i="11" s="1"/>
  <c r="BP58" i="8"/>
  <c r="Y58" i="11" s="1"/>
  <c r="BX58" i="8"/>
  <c r="AX58" i="8"/>
  <c r="G58" i="11" s="1"/>
  <c r="BM58" i="8"/>
  <c r="V58" i="11" s="1"/>
  <c r="BT58" i="8"/>
  <c r="AC58" i="11" s="1"/>
  <c r="CD58" i="8"/>
  <c r="BC58" i="8"/>
  <c r="L58" i="11" s="1"/>
  <c r="BD58" i="8"/>
  <c r="M58" i="11" s="1"/>
  <c r="CB58" i="8"/>
  <c r="AW58" i="8"/>
  <c r="F58" i="11" s="1"/>
  <c r="BS58" i="8"/>
  <c r="AB58" i="11" s="1"/>
  <c r="AV58" i="8"/>
  <c r="E58" i="11" s="1"/>
  <c r="CE58" i="8"/>
  <c r="BJ58" i="8"/>
  <c r="S58" i="11" s="1"/>
  <c r="AR58" i="8"/>
  <c r="BZ58" i="8"/>
  <c r="CF58" i="8" s="1"/>
  <c r="CA58" i="8"/>
  <c r="CC58" i="8"/>
  <c r="CE57" i="8"/>
  <c r="AR57" i="8"/>
  <c r="BP57" i="8"/>
  <c r="Y57" i="11" s="1"/>
  <c r="BX57" i="8"/>
  <c r="BJ57" i="8"/>
  <c r="S57" i="11" s="1"/>
  <c r="BZ57" i="8"/>
  <c r="CF57" i="8" s="1"/>
  <c r="BD57" i="8"/>
  <c r="M57" i="11" s="1"/>
  <c r="CA57" i="8"/>
  <c r="BV57" i="8"/>
  <c r="AE57" i="11" s="1"/>
  <c r="BK57" i="8"/>
  <c r="T57" i="11" s="1"/>
  <c r="BA57" i="8"/>
  <c r="J57" i="11" s="1"/>
  <c r="BW57" i="8"/>
  <c r="BC57" i="8"/>
  <c r="L57" i="11" s="1"/>
  <c r="AV57" i="8"/>
  <c r="E57" i="11" s="1"/>
  <c r="BR57" i="8"/>
  <c r="AA57" i="11" s="1"/>
  <c r="BG57" i="8"/>
  <c r="P57" i="11" s="1"/>
  <c r="BY57" i="8"/>
  <c r="AT57" i="8"/>
  <c r="C57" i="11" s="1"/>
  <c r="BI57" i="8"/>
  <c r="R57" i="11" s="1"/>
  <c r="CC57" i="8"/>
  <c r="AW57" i="8"/>
  <c r="F57" i="11" s="1"/>
  <c r="BM57" i="8"/>
  <c r="V57" i="11" s="1"/>
  <c r="AY57" i="8"/>
  <c r="H57" i="11" s="1"/>
  <c r="BO57" i="8"/>
  <c r="X57" i="11" s="1"/>
  <c r="BT57" i="8"/>
  <c r="AC57" i="11" s="1"/>
  <c r="BF57" i="8"/>
  <c r="O57" i="11" s="1"/>
  <c r="BH57" i="8"/>
  <c r="Q57" i="11" s="1"/>
  <c r="BL57" i="8"/>
  <c r="U57" i="11" s="1"/>
  <c r="BQ57" i="8"/>
  <c r="Z57" i="11" s="1"/>
  <c r="BS57" i="8"/>
  <c r="AB57" i="11" s="1"/>
  <c r="AS57" i="8"/>
  <c r="B57" i="11" s="1"/>
  <c r="AU57" i="8"/>
  <c r="D57" i="11" s="1"/>
  <c r="BU57" i="8"/>
  <c r="AD57" i="11" s="1"/>
  <c r="AX57" i="8"/>
  <c r="G57" i="11" s="1"/>
  <c r="CB57" i="8"/>
  <c r="AZ57" i="8"/>
  <c r="I57" i="11" s="1"/>
  <c r="CD57" i="8"/>
  <c r="BB57" i="8"/>
  <c r="K57" i="11" s="1"/>
  <c r="BE57" i="8"/>
  <c r="N57" i="11" s="1"/>
  <c r="BN57" i="8"/>
  <c r="W57" i="11" s="1"/>
  <c r="BX65" i="8"/>
  <c r="BZ65" i="8"/>
  <c r="CF65" i="8" s="1"/>
  <c r="CA65" i="8"/>
  <c r="CC65" i="8"/>
  <c r="CE65" i="8"/>
  <c r="AR65" i="8"/>
  <c r="BC65" i="8"/>
  <c r="L65" i="11" s="1"/>
  <c r="BO65" i="8"/>
  <c r="X65" i="11" s="1"/>
  <c r="CD65" i="8"/>
  <c r="AS65" i="8"/>
  <c r="B65" i="11" s="1"/>
  <c r="BE65" i="8"/>
  <c r="N65" i="11" s="1"/>
  <c r="BQ65" i="8"/>
  <c r="Z65" i="11" s="1"/>
  <c r="AU65" i="8"/>
  <c r="D65" i="11" s="1"/>
  <c r="BG65" i="8"/>
  <c r="P65" i="11" s="1"/>
  <c r="BS65" i="8"/>
  <c r="AB65" i="11" s="1"/>
  <c r="AW65" i="8"/>
  <c r="F65" i="11" s="1"/>
  <c r="BI65" i="8"/>
  <c r="R65" i="11" s="1"/>
  <c r="BU65" i="8"/>
  <c r="AD65" i="11" s="1"/>
  <c r="AY65" i="8"/>
  <c r="H65" i="11" s="1"/>
  <c r="BK65" i="8"/>
  <c r="T65" i="11" s="1"/>
  <c r="BW65" i="8"/>
  <c r="BA65" i="8"/>
  <c r="J65" i="11" s="1"/>
  <c r="BM65" i="8"/>
  <c r="V65" i="11" s="1"/>
  <c r="BJ65" i="8"/>
  <c r="S65" i="11" s="1"/>
  <c r="BN65" i="8"/>
  <c r="W65" i="11" s="1"/>
  <c r="AT65" i="8"/>
  <c r="C65" i="11" s="1"/>
  <c r="BR65" i="8"/>
  <c r="AA65" i="11" s="1"/>
  <c r="BB65" i="8"/>
  <c r="K65" i="11" s="1"/>
  <c r="CB65" i="8"/>
  <c r="AX65" i="8"/>
  <c r="G65" i="11" s="1"/>
  <c r="BD65" i="8"/>
  <c r="M65" i="11" s="1"/>
  <c r="BH65" i="8"/>
  <c r="Q65" i="11" s="1"/>
  <c r="BV65" i="8"/>
  <c r="AE65" i="11" s="1"/>
  <c r="BF65" i="8"/>
  <c r="O65" i="11" s="1"/>
  <c r="BL65" i="8"/>
  <c r="U65" i="11" s="1"/>
  <c r="BP65" i="8"/>
  <c r="Y65" i="11" s="1"/>
  <c r="BY65" i="8"/>
  <c r="AV65" i="8"/>
  <c r="E65" i="11" s="1"/>
  <c r="AZ65" i="8"/>
  <c r="I65" i="11" s="1"/>
  <c r="BT65" i="8"/>
  <c r="AC65" i="11" s="1"/>
  <c r="BZ53" i="8"/>
  <c r="CF53" i="8" s="1"/>
  <c r="BE53" i="8"/>
  <c r="N53" i="11" s="1"/>
  <c r="BR53" i="8"/>
  <c r="AA53" i="11" s="1"/>
  <c r="AS53" i="8"/>
  <c r="B53" i="11" s="1"/>
  <c r="BF53" i="8"/>
  <c r="O53" i="11" s="1"/>
  <c r="BM53" i="8"/>
  <c r="V53" i="11" s="1"/>
  <c r="CB53" i="8"/>
  <c r="AW53" i="8"/>
  <c r="F53" i="11" s="1"/>
  <c r="BU53" i="8"/>
  <c r="AD53" i="11" s="1"/>
  <c r="AX53" i="8"/>
  <c r="G53" i="11" s="1"/>
  <c r="BG53" i="8"/>
  <c r="P53" i="11" s="1"/>
  <c r="BV53" i="8"/>
  <c r="AE53" i="11" s="1"/>
  <c r="AZ53" i="8"/>
  <c r="I53" i="11" s="1"/>
  <c r="BH53" i="8"/>
  <c r="Q53" i="11" s="1"/>
  <c r="BW53" i="8"/>
  <c r="BI53" i="8"/>
  <c r="R53" i="11" s="1"/>
  <c r="BY53" i="8"/>
  <c r="AV53" i="8"/>
  <c r="E53" i="11" s="1"/>
  <c r="BK53" i="8"/>
  <c r="T53" i="11" s="1"/>
  <c r="BT53" i="8"/>
  <c r="AC53" i="11" s="1"/>
  <c r="CE53" i="8"/>
  <c r="BJ53" i="8"/>
  <c r="S53" i="11" s="1"/>
  <c r="BX53" i="8"/>
  <c r="CA53" i="8"/>
  <c r="BA53" i="8"/>
  <c r="J53" i="11" s="1"/>
  <c r="BN53" i="8"/>
  <c r="W53" i="11" s="1"/>
  <c r="CD53" i="8"/>
  <c r="BB53" i="8"/>
  <c r="K53" i="11" s="1"/>
  <c r="BO53" i="8"/>
  <c r="X53" i="11" s="1"/>
  <c r="BP53" i="8"/>
  <c r="Y53" i="11" s="1"/>
  <c r="BC53" i="8"/>
  <c r="L53" i="11" s="1"/>
  <c r="BQ53" i="8"/>
  <c r="Z53" i="11" s="1"/>
  <c r="BD53" i="8"/>
  <c r="M53" i="11" s="1"/>
  <c r="AR53" i="8"/>
  <c r="BS53" i="8"/>
  <c r="AB53" i="11" s="1"/>
  <c r="AT53" i="8"/>
  <c r="C53" i="11" s="1"/>
  <c r="AU53" i="8"/>
  <c r="D53" i="11" s="1"/>
  <c r="AY53" i="8"/>
  <c r="H53" i="11" s="1"/>
  <c r="BL53" i="8"/>
  <c r="U53" i="11" s="1"/>
  <c r="CC53" i="8"/>
  <c r="AT47" i="8"/>
  <c r="C47" i="11" s="1"/>
  <c r="AZ47" i="8"/>
  <c r="I47" i="11" s="1"/>
  <c r="BF47" i="8"/>
  <c r="O47" i="11" s="1"/>
  <c r="BL47" i="8"/>
  <c r="U47" i="11" s="1"/>
  <c r="BR47" i="8"/>
  <c r="AA47" i="11" s="1"/>
  <c r="BY47" i="8"/>
  <c r="BZ47" i="8"/>
  <c r="CF47" i="8" s="1"/>
  <c r="CA47" i="8"/>
  <c r="CE47" i="8"/>
  <c r="AX47" i="8"/>
  <c r="G47" i="11" s="1"/>
  <c r="BD47" i="8"/>
  <c r="M47" i="11" s="1"/>
  <c r="BJ47" i="8"/>
  <c r="S47" i="11" s="1"/>
  <c r="BP47" i="8"/>
  <c r="Y47" i="11" s="1"/>
  <c r="BV47" i="8"/>
  <c r="AE47" i="11" s="1"/>
  <c r="BB47" i="8"/>
  <c r="K47" i="11" s="1"/>
  <c r="AR47" i="8"/>
  <c r="BM47" i="8"/>
  <c r="V47" i="11" s="1"/>
  <c r="BW47" i="8"/>
  <c r="AS47" i="8"/>
  <c r="B47" i="11" s="1"/>
  <c r="BC47" i="8"/>
  <c r="L47" i="11" s="1"/>
  <c r="BN47" i="8"/>
  <c r="W47" i="11" s="1"/>
  <c r="BX47" i="8"/>
  <c r="AU47" i="8"/>
  <c r="D47" i="11" s="1"/>
  <c r="BE47" i="8"/>
  <c r="N47" i="11" s="1"/>
  <c r="BO47" i="8"/>
  <c r="X47" i="11" s="1"/>
  <c r="CB47" i="8"/>
  <c r="AV47" i="8"/>
  <c r="E47" i="11" s="1"/>
  <c r="CC47" i="8"/>
  <c r="BG47" i="8"/>
  <c r="P47" i="11" s="1"/>
  <c r="BQ47" i="8"/>
  <c r="Z47" i="11" s="1"/>
  <c r="CD47" i="8"/>
  <c r="AW47" i="8"/>
  <c r="F47" i="11" s="1"/>
  <c r="BH47" i="8"/>
  <c r="Q47" i="11" s="1"/>
  <c r="BS47" i="8"/>
  <c r="AB47" i="11" s="1"/>
  <c r="AY47" i="8"/>
  <c r="H47" i="11" s="1"/>
  <c r="BI47" i="8"/>
  <c r="R47" i="11" s="1"/>
  <c r="BT47" i="8"/>
  <c r="AC47" i="11" s="1"/>
  <c r="BU47" i="8"/>
  <c r="AD47" i="11" s="1"/>
  <c r="BA47" i="8"/>
  <c r="J47" i="11" s="1"/>
  <c r="BK47" i="8"/>
  <c r="T47" i="11" s="1"/>
  <c r="BY7" i="8" l="1"/>
  <c r="CA7" i="8"/>
  <c r="AZ6" i="8"/>
  <c r="I6" i="11" s="1"/>
  <c r="BF6" i="8"/>
  <c r="O6" i="11" s="1"/>
  <c r="BL6" i="8"/>
  <c r="U6" i="11" s="1"/>
  <c r="BR6" i="8"/>
  <c r="AA6" i="11" s="1"/>
  <c r="AU6" i="8"/>
  <c r="D6" i="11" s="1"/>
  <c r="BB6" i="8"/>
  <c r="K6" i="11" s="1"/>
  <c r="BI6" i="8"/>
  <c r="R6" i="11" s="1"/>
  <c r="BP6" i="8"/>
  <c r="Y6" i="11" s="1"/>
  <c r="BJ6" i="8"/>
  <c r="S6" i="11" s="1"/>
  <c r="AV6" i="8"/>
  <c r="E6" i="11" s="1"/>
  <c r="BC6" i="8"/>
  <c r="L6" i="11" s="1"/>
  <c r="BQ6" i="8"/>
  <c r="Z6" i="11" s="1"/>
  <c r="AW6" i="8"/>
  <c r="F6" i="11" s="1"/>
  <c r="BD6" i="8"/>
  <c r="M6" i="11" s="1"/>
  <c r="BK6" i="8"/>
  <c r="T6" i="11" s="1"/>
  <c r="BS6" i="8"/>
  <c r="AB6" i="11" s="1"/>
  <c r="AR6" i="8"/>
  <c r="BE6" i="8"/>
  <c r="N6" i="11" s="1"/>
  <c r="BA6" i="8"/>
  <c r="J6" i="11" s="1"/>
  <c r="BO6" i="8"/>
  <c r="X6" i="11" s="1"/>
  <c r="BM6" i="8"/>
  <c r="V6" i="11" s="1"/>
  <c r="BH6" i="8"/>
  <c r="Q6" i="11" s="1"/>
  <c r="BV6" i="8"/>
  <c r="AE6" i="11" s="1"/>
  <c r="AX6" i="8"/>
  <c r="G6" i="11" s="1"/>
  <c r="BT6" i="8"/>
  <c r="AC6" i="11" s="1"/>
  <c r="AY6" i="8"/>
  <c r="H6" i="11" s="1"/>
  <c r="BG6" i="8"/>
  <c r="P6" i="11" s="1"/>
  <c r="BN6" i="8"/>
  <c r="W6" i="11" s="1"/>
  <c r="BU6" i="8"/>
  <c r="AD6" i="11" s="1"/>
  <c r="AS6" i="8"/>
  <c r="B6" i="11" s="1"/>
  <c r="BX6" i="8" l="1"/>
  <c r="CC6" i="8" s="1"/>
  <c r="CD7" i="8" s="1"/>
  <c r="AT6" i="8"/>
  <c r="CD10" i="8"/>
  <c r="CD6" i="8"/>
  <c r="C6" i="11" l="1"/>
  <c r="BZ6" i="8" s="1"/>
  <c r="BW6" i="8"/>
  <c r="BY6" i="8" l="1"/>
  <c r="CA6" i="8"/>
  <c r="R7" i="1"/>
  <c r="R8" i="1"/>
  <c r="CF6" i="8"/>
  <c r="D29" i="9" l="1"/>
  <c r="C29" i="9" s="1"/>
  <c r="D30" i="9"/>
  <c r="C30" i="9" s="1"/>
  <c r="D31" i="9"/>
  <c r="C31" i="9" s="1"/>
  <c r="CB6" i="8"/>
  <c r="CE6" i="8" s="1"/>
  <c r="AH14" i="9"/>
  <c r="AI14" i="9" s="1"/>
  <c r="AH7" i="9"/>
  <c r="AI7" i="9" s="1"/>
  <c r="AH8" i="9"/>
  <c r="AI8" i="9" s="1"/>
  <c r="AH13" i="9"/>
  <c r="AI13" i="9" s="1"/>
  <c r="AH9" i="9"/>
  <c r="AI9" i="9" s="1"/>
  <c r="AH10" i="9"/>
  <c r="AI10" i="9" s="1"/>
  <c r="AH15" i="9"/>
  <c r="AI15" i="9" s="1"/>
  <c r="AH11" i="9"/>
  <c r="AI11" i="9" s="1"/>
  <c r="AH6" i="9"/>
  <c r="AI6" i="9" s="1"/>
  <c r="AH12" i="9"/>
  <c r="AI12" i="9" s="1"/>
  <c r="CB7" i="8"/>
  <c r="CE7" i="8" s="1"/>
  <c r="G12" i="9" l="1"/>
  <c r="S12" i="9"/>
  <c r="AE12" i="9"/>
  <c r="U20" i="1"/>
  <c r="H12" i="9"/>
  <c r="T12" i="9"/>
  <c r="AF12" i="9"/>
  <c r="K12" i="9"/>
  <c r="W12" i="9"/>
  <c r="N20" i="1"/>
  <c r="M12" i="9"/>
  <c r="Y12" i="9"/>
  <c r="B12" i="9"/>
  <c r="O20" i="1" s="1"/>
  <c r="N12" i="9"/>
  <c r="Z12" i="9"/>
  <c r="C12" i="9"/>
  <c r="O12" i="9"/>
  <c r="AA12" i="9"/>
  <c r="D12" i="9"/>
  <c r="P12" i="9"/>
  <c r="AB12" i="9"/>
  <c r="F12" i="9"/>
  <c r="R12" i="9"/>
  <c r="AD12" i="9"/>
  <c r="E12" i="9"/>
  <c r="Q12" i="9"/>
  <c r="AC12" i="9"/>
  <c r="L12" i="9"/>
  <c r="M20" i="1"/>
  <c r="I12" i="9"/>
  <c r="U12" i="9"/>
  <c r="R20" i="1"/>
  <c r="V12" i="9"/>
  <c r="AG12" i="9"/>
  <c r="X12" i="9"/>
  <c r="T20" i="1"/>
  <c r="J12" i="9"/>
  <c r="G6" i="9"/>
  <c r="S6" i="9"/>
  <c r="AE6" i="9"/>
  <c r="N14" i="1"/>
  <c r="H6" i="9"/>
  <c r="T6" i="9"/>
  <c r="AF6" i="9"/>
  <c r="J6" i="9"/>
  <c r="V6" i="9"/>
  <c r="K6" i="9"/>
  <c r="W6" i="9"/>
  <c r="L6" i="9"/>
  <c r="X6" i="9"/>
  <c r="M6" i="9"/>
  <c r="Y6" i="9"/>
  <c r="U14" i="1"/>
  <c r="B6" i="9"/>
  <c r="O14" i="1" s="1"/>
  <c r="N6" i="9"/>
  <c r="Z6" i="9"/>
  <c r="C6" i="9"/>
  <c r="O6" i="9"/>
  <c r="AA6" i="9"/>
  <c r="T14" i="1"/>
  <c r="R14" i="1"/>
  <c r="D6" i="9"/>
  <c r="P6" i="9"/>
  <c r="AB6" i="9"/>
  <c r="E6" i="9"/>
  <c r="Q6" i="9"/>
  <c r="AC6" i="9"/>
  <c r="F6" i="9"/>
  <c r="R6" i="9"/>
  <c r="AD6" i="9"/>
  <c r="I6" i="9"/>
  <c r="U6" i="9"/>
  <c r="AG6" i="9"/>
  <c r="M14" i="1"/>
  <c r="E11" i="9"/>
  <c r="Q11" i="9"/>
  <c r="AC11" i="9"/>
  <c r="F11" i="9"/>
  <c r="R11" i="9"/>
  <c r="AD11" i="9"/>
  <c r="I11" i="9"/>
  <c r="U11" i="9"/>
  <c r="AG11" i="9"/>
  <c r="J11" i="9"/>
  <c r="V11" i="9"/>
  <c r="K11" i="9"/>
  <c r="W11" i="9"/>
  <c r="U19" i="1"/>
  <c r="L11" i="9"/>
  <c r="X11" i="9"/>
  <c r="T19" i="1"/>
  <c r="M11" i="9"/>
  <c r="Y11" i="9"/>
  <c r="R19" i="1"/>
  <c r="B11" i="9"/>
  <c r="O19" i="1" s="1"/>
  <c r="N11" i="9"/>
  <c r="Z11" i="9"/>
  <c r="D11" i="9"/>
  <c r="P11" i="9"/>
  <c r="AB11" i="9"/>
  <c r="C11" i="9"/>
  <c r="O11" i="9"/>
  <c r="AA11" i="9"/>
  <c r="M19" i="1"/>
  <c r="G11" i="9"/>
  <c r="H11" i="9"/>
  <c r="AF11" i="9"/>
  <c r="S11" i="9"/>
  <c r="T11" i="9"/>
  <c r="AE11" i="9"/>
  <c r="N19" i="1"/>
  <c r="M15" i="9"/>
  <c r="Y15" i="9"/>
  <c r="B15" i="9"/>
  <c r="O23" i="1" s="1"/>
  <c r="N15" i="9"/>
  <c r="Z15" i="9"/>
  <c r="E15" i="9"/>
  <c r="Q15" i="9"/>
  <c r="AC15" i="9"/>
  <c r="G15" i="9"/>
  <c r="S15" i="9"/>
  <c r="AE15" i="9"/>
  <c r="U23" i="1"/>
  <c r="H15" i="9"/>
  <c r="T15" i="9"/>
  <c r="AF15" i="9"/>
  <c r="T23" i="1"/>
  <c r="I15" i="9"/>
  <c r="U15" i="9"/>
  <c r="AG15" i="9"/>
  <c r="R23" i="1"/>
  <c r="J15" i="9"/>
  <c r="V15" i="9"/>
  <c r="L15" i="9"/>
  <c r="X15" i="9"/>
  <c r="K15" i="9"/>
  <c r="W15" i="9"/>
  <c r="N23" i="1"/>
  <c r="F15" i="9"/>
  <c r="M23" i="1"/>
  <c r="AB15" i="9"/>
  <c r="O15" i="9"/>
  <c r="P15" i="9"/>
  <c r="R15" i="9"/>
  <c r="AA15" i="9"/>
  <c r="C15" i="9"/>
  <c r="AD15" i="9"/>
  <c r="D15" i="9"/>
  <c r="C10" i="9"/>
  <c r="O10" i="9"/>
  <c r="AA10" i="9"/>
  <c r="T18" i="1"/>
  <c r="D10" i="9"/>
  <c r="P10" i="9"/>
  <c r="AB10" i="9"/>
  <c r="G10" i="9"/>
  <c r="S10" i="9"/>
  <c r="AE10" i="9"/>
  <c r="H10" i="9"/>
  <c r="T10" i="9"/>
  <c r="AF10" i="9"/>
  <c r="I10" i="9"/>
  <c r="U10" i="9"/>
  <c r="AG10" i="9"/>
  <c r="J10" i="9"/>
  <c r="V10" i="9"/>
  <c r="K10" i="9"/>
  <c r="W10" i="9"/>
  <c r="L10" i="9"/>
  <c r="X10" i="9"/>
  <c r="B10" i="9"/>
  <c r="O18" i="1" s="1"/>
  <c r="N10" i="9"/>
  <c r="Z10" i="9"/>
  <c r="M10" i="9"/>
  <c r="Y10" i="9"/>
  <c r="Q10" i="9"/>
  <c r="M18" i="1"/>
  <c r="R10" i="9"/>
  <c r="AC10" i="9"/>
  <c r="AD10" i="9"/>
  <c r="E10" i="9"/>
  <c r="U18" i="1"/>
  <c r="F10" i="9"/>
  <c r="R18" i="1"/>
  <c r="N18" i="1"/>
  <c r="M9" i="9"/>
  <c r="Y9" i="9"/>
  <c r="B9" i="9"/>
  <c r="O17" i="1" s="1"/>
  <c r="N9" i="9"/>
  <c r="Z9" i="9"/>
  <c r="E9" i="9"/>
  <c r="Q9" i="9"/>
  <c r="AC9" i="9"/>
  <c r="U17" i="1"/>
  <c r="F9" i="9"/>
  <c r="R9" i="9"/>
  <c r="AD9" i="9"/>
  <c r="G9" i="9"/>
  <c r="S9" i="9"/>
  <c r="AE9" i="9"/>
  <c r="R17" i="1"/>
  <c r="H9" i="9"/>
  <c r="T9" i="9"/>
  <c r="AF9" i="9"/>
  <c r="I9" i="9"/>
  <c r="U9" i="9"/>
  <c r="AG9" i="9"/>
  <c r="M17" i="1"/>
  <c r="L9" i="9"/>
  <c r="X9" i="9"/>
  <c r="J9" i="9"/>
  <c r="V9" i="9"/>
  <c r="K9" i="9"/>
  <c r="W9" i="9"/>
  <c r="AB9" i="9"/>
  <c r="T17" i="1"/>
  <c r="C9" i="9"/>
  <c r="AA9" i="9"/>
  <c r="D9" i="9"/>
  <c r="O9" i="9"/>
  <c r="P9" i="9"/>
  <c r="N17" i="1"/>
  <c r="I13" i="9"/>
  <c r="U13" i="9"/>
  <c r="AG13" i="9"/>
  <c r="J13" i="9"/>
  <c r="V13" i="9"/>
  <c r="M13" i="9"/>
  <c r="Y13" i="9"/>
  <c r="C13" i="9"/>
  <c r="O13" i="9"/>
  <c r="AA13" i="9"/>
  <c r="U21" i="1"/>
  <c r="D13" i="9"/>
  <c r="P13" i="9"/>
  <c r="AB13" i="9"/>
  <c r="T21" i="1"/>
  <c r="E13" i="9"/>
  <c r="Q13" i="9"/>
  <c r="AC13" i="9"/>
  <c r="R21" i="1"/>
  <c r="F13" i="9"/>
  <c r="R13" i="9"/>
  <c r="AD13" i="9"/>
  <c r="H13" i="9"/>
  <c r="T13" i="9"/>
  <c r="AF13" i="9"/>
  <c r="G13" i="9"/>
  <c r="S13" i="9"/>
  <c r="AE13" i="9"/>
  <c r="N21" i="1"/>
  <c r="Z13" i="9"/>
  <c r="N13" i="9"/>
  <c r="W13" i="9"/>
  <c r="L13" i="9"/>
  <c r="M21" i="1"/>
  <c r="B13" i="9"/>
  <c r="O21" i="1" s="1"/>
  <c r="K13" i="9"/>
  <c r="X13" i="9"/>
  <c r="K8" i="9"/>
  <c r="W8" i="9"/>
  <c r="L8" i="9"/>
  <c r="X8" i="9"/>
  <c r="C8" i="9"/>
  <c r="O8" i="9"/>
  <c r="AA8" i="9"/>
  <c r="D8" i="9"/>
  <c r="P8" i="9"/>
  <c r="AB8" i="9"/>
  <c r="E8" i="9"/>
  <c r="Q8" i="9"/>
  <c r="AC8" i="9"/>
  <c r="F8" i="9"/>
  <c r="R8" i="9"/>
  <c r="AD8" i="9"/>
  <c r="G8" i="9"/>
  <c r="S8" i="9"/>
  <c r="AE8" i="9"/>
  <c r="U16" i="1"/>
  <c r="H8" i="9"/>
  <c r="T8" i="9"/>
  <c r="AF8" i="9"/>
  <c r="I8" i="9"/>
  <c r="U8" i="9"/>
  <c r="AG8" i="9"/>
  <c r="T16" i="1"/>
  <c r="J8" i="9"/>
  <c r="V8" i="9"/>
  <c r="M8" i="9"/>
  <c r="R16" i="1"/>
  <c r="N8" i="9"/>
  <c r="Y8" i="9"/>
  <c r="Z8" i="9"/>
  <c r="M16" i="1"/>
  <c r="B8" i="9"/>
  <c r="O16" i="1" s="1"/>
  <c r="N16" i="1"/>
  <c r="U7" i="9"/>
  <c r="K7" i="9"/>
  <c r="U15" i="1"/>
  <c r="AF7" i="9"/>
  <c r="AE7" i="9"/>
  <c r="G7" i="9"/>
  <c r="E7" i="9"/>
  <c r="AB7" i="9"/>
  <c r="O7" i="9"/>
  <c r="T15" i="1"/>
  <c r="C7" i="9"/>
  <c r="N15" i="1"/>
  <c r="B7" i="9"/>
  <c r="O15" i="1" s="1"/>
  <c r="L7" i="9"/>
  <c r="R15" i="1"/>
  <c r="Y7" i="9"/>
  <c r="S7" i="9"/>
  <c r="M7" i="9"/>
  <c r="AD7" i="9"/>
  <c r="R7" i="9"/>
  <c r="F7" i="9"/>
  <c r="X7" i="9"/>
  <c r="AC7" i="9"/>
  <c r="V7" i="9"/>
  <c r="W7" i="9"/>
  <c r="Q7" i="9"/>
  <c r="J7" i="9"/>
  <c r="T7" i="9"/>
  <c r="M15" i="1"/>
  <c r="H7" i="9"/>
  <c r="AA7" i="9"/>
  <c r="P7" i="9"/>
  <c r="AG7" i="9"/>
  <c r="D7" i="9"/>
  <c r="I7" i="9"/>
  <c r="Z7" i="9"/>
  <c r="N7" i="9"/>
  <c r="C14" i="9"/>
  <c r="W14" i="9"/>
  <c r="L14" i="9"/>
  <c r="N22" i="1"/>
  <c r="AC14" i="9"/>
  <c r="F14" i="9"/>
  <c r="R14" i="9"/>
  <c r="G14" i="9"/>
  <c r="S14" i="9"/>
  <c r="T14" i="9"/>
  <c r="AG14" i="9"/>
  <c r="M14" i="9"/>
  <c r="T22" i="1"/>
  <c r="N14" i="9"/>
  <c r="B14" i="9"/>
  <c r="O22" i="1" s="1"/>
  <c r="R22" i="1"/>
  <c r="M22" i="1"/>
  <c r="P14" i="9"/>
  <c r="K14" i="9"/>
  <c r="AD14" i="9"/>
  <c r="U14" i="9"/>
  <c r="AA14" i="9"/>
  <c r="I14" i="9"/>
  <c r="O14" i="9"/>
  <c r="AF14" i="9"/>
  <c r="X14" i="9"/>
  <c r="AB14" i="9"/>
  <c r="H14" i="9"/>
  <c r="U22" i="1"/>
  <c r="Y14" i="9"/>
  <c r="V14" i="9"/>
  <c r="Q14" i="9"/>
  <c r="D14" i="9"/>
  <c r="J14" i="9"/>
  <c r="E14" i="9"/>
  <c r="Z14" i="9"/>
  <c r="AE14" i="9"/>
  <c r="B31" i="9"/>
  <c r="T28" i="1"/>
  <c r="R28" i="1"/>
  <c r="N28" i="1"/>
  <c r="T27" i="1"/>
  <c r="B30" i="9"/>
  <c r="N27" i="1"/>
  <c r="R27" i="1"/>
  <c r="R26" i="1"/>
  <c r="B29" i="9"/>
  <c r="T26" i="1"/>
  <c r="N26" i="1"/>
</calcChain>
</file>

<file path=xl/sharedStrings.xml><?xml version="1.0" encoding="utf-8"?>
<sst xmlns="http://schemas.openxmlformats.org/spreadsheetml/2006/main" count="915" uniqueCount="691">
  <si>
    <t>Setiap putaran = 1 kuartal  ·  5 kelas aset: Sukuk/SBN · Saham · RD Pasar Uang · Emas · RD Campuran  ·  Aset tertinggi menang</t>
  </si>
  <si>
    <t>PUTARAN</t>
  </si>
  <si>
    <t>WAKTU SIMULASI</t>
  </si>
  <si>
    <t>TAHAP</t>
  </si>
  <si>
    <t>PESERTA AKTIF</t>
  </si>
  <si>
    <t>ASET TERTINGGI</t>
  </si>
  <si>
    <t>KARTU SKENARIO PUTARAN INI</t>
  </si>
  <si>
    <t>🏆  PAPAN PERINGKAT (TOP 10)</t>
  </si>
  <si>
    <t>#</t>
  </si>
  <si>
    <t>±</t>
  </si>
  <si>
    <t>Peserta / Tim</t>
  </si>
  <si>
    <t>Total Aset</t>
  </si>
  <si>
    <t>Return</t>
  </si>
  <si>
    <t>Max DD</t>
  </si>
  <si>
    <t>Sukuk/SBN</t>
  </si>
  <si>
    <t>Saham</t>
  </si>
  <si>
    <t>RD Pasar Uang</t>
  </si>
  <si>
    <t>Emas</t>
  </si>
  <si>
    <t>RD Campuran</t>
  </si>
  <si>
    <t>RIWAYAT 5 KARTU TERAKHIR</t>
  </si>
  <si>
    <t>Peringkat utama = total aset tertinggi. 'Investor Tangguh' = aset tertinggi di antara peserta yang penurunan terdalamnya dari puncak tetap kecil — hasil bagus dengan risiko terkendali.</t>
  </si>
  <si>
    <t>GRAFIK PERKEMBANGAN</t>
  </si>
  <si>
    <t>Panduan Fasilitator &amp; Setup</t>
  </si>
  <si>
    <t>A. ALUR PERMAINAN</t>
  </si>
  <si>
    <t>1. Registrasi: bagikan kode peserta (P01, P02, … lihat sheet Peserta) ke tiap peserta/tim.</t>
  </si>
  <si>
    <t>2. Peserta mengisi Microsoft Forms: kode, nama, Tahap = 1, dan porsi 5 aset dalam persen utuh (total 100). Data masuk otomatis ke sheet Input.</t>
  </si>
  <si>
    <t>3. Cek Dashboard: 'Peserta aktif' bertambah. Jika muncul '⚠ input perlu dicek', buka sheet Perhitungan (status merah) dan minta peserta submit ulang. Submission TERAKHIR yang dipakai.</t>
  </si>
  <si>
    <t>4. Tutup form (Forms → 'Accepting responses' OFF). Tekan tombol Kocok Kartu → bacakan narasi &amp; penjelasan kartu → leaderboard dan grafik ter-update. Ulangi per putaran.</t>
  </si>
  <si>
    <t>5. Mode 30 putaran: setelah putaran 10, buka form lagi; peserta submit Tahap = 2 (nilai asetnya lihat di leaderboard). Peserta yang tidak submit memakai komposisi tahap sebelumnya.</t>
  </si>
  <si>
    <t xml:space="preserve">   Setelah semua masuk, tutup form, lalu ubah 'Tahap aktif' di Pengaturan menjadi 2. Tombol Kocok Kartu sengaja menolak masuk tahap berikutnya sebelum ini dilakukan. Sama untuk Tahap 3 setelah putaran 20.</t>
  </si>
  <si>
    <t>6. Aset di awal tahap baru = total aset akhir tahap sebelumnya × porsi baru (rebalancing otomatis).</t>
  </si>
  <si>
    <t>7. Pemenang: aset tertinggi di akhir permainan. Penghargaan tambahan 'Investor Tangguh' untuk menonjolkan pentingnya mengelola risiko.</t>
  </si>
  <si>
    <t>B. SETUP SEKALI (Microsoft 365)</t>
  </si>
  <si>
    <t>1. Simpan workbook ini di OneDrive for Business atau SharePoint (akun kantor). Nama tabel di sheet Input harus tetap 'tblInput'.</t>
  </si>
  <si>
    <t>2. Microsoft Forms (setting: 'Anyone can respond'). Pertanyaan, urut:</t>
  </si>
  <si>
    <t xml:space="preserve">     Q1 Kode peserta/tim (Text, wajib) · Q2 Nama peserta/tim (Text, wajib) · Q3 Tahap (Choice: 1 / 2 / 3, wajib)</t>
  </si>
  <si>
    <t xml:space="preserve">     Q4–Q8 Porsi Sukuk/SBN, Saham, RD Pasar Uang, Emas, RD Campuran (Text → Restrictions: Number, between 0 and 100) · Q9 Email (opsional)</t>
  </si>
  <si>
    <t xml:space="preserve">     Tambahkan deskripsi: 'Isi kelipatan 5, total kelima porsi harus 100.'</t>
  </si>
  <si>
    <t>3. Power Automate → Create → Automated cloud flow:</t>
  </si>
  <si>
    <t xml:space="preserve">     Trigger: Microsoft Forms – 'When a new response is submitted' (pilih form).</t>
  </si>
  <si>
    <t xml:space="preserve">     Action: Microsoft Forms – 'Get response details' (Response Id dari trigger).</t>
  </si>
  <si>
    <t xml:space="preserve">     Action: Excel Online (Business) – 'Add a row into a table' → Location/Document Library/File = workbook ini, Table = tblInput.</t>
  </si>
  <si>
    <t xml:space="preserve">     Petakan: Waktu = Submission time · Kode = Q1 · Nama = Q2 · Tahap = Q3 · Sukuk…Campuran = Q4…Q8 · Email = Q9.</t>
  </si>
  <si>
    <t xml:space="preserve">     (Opsional) Flow kedua 'Send an email (V2)' ke peserta berisi link form + posisi aset; bisa ditambahkan belakangan.</t>
  </si>
  <si>
    <t>4. Office Scripts: buka workbook di Excel for the web → tab Automate → New Script → tempel isi file KocokKartu.ts, simpan. Ulangi untuk BatalkanPutaran.ts, ResetGame.ts, HapusInputPeserta.ts.</t>
  </si>
  <si>
    <t>5. Buat tombol: Automate → All Scripts → buka script → '…' → 'Add in workbook button'. Seret tombol ke area kuning di Dashboard (baris 10).</t>
  </si>
  <si>
    <t>6. Uji: isi form 2–3 kali dengan kode uji, tekan Kocok Kartu beberapa kali, cek Dashboard. Lalu jalankan ResetGame dan HapusInputPeserta sebelum acara.</t>
  </si>
  <si>
    <t>C. CATATAN DESAIN</t>
  </si>
  <si>
    <t>• 1 putaran = 1 kuartal. Return aset per putaran = imbal hasil dasar (sheet Pengaturan) + dampak kartu (sheet Kartu). Nilai berlipat majemuk.</t>
  </si>
  <si>
    <t>• Kartu tidak berulang dalam satu permainan (100 kartu, maksimal 30 terpakai).</t>
  </si>
  <si>
    <t>• Semua angka kartu &amp; imbal hasil dasar bisa diedit. Dampak kartu RD Campuran = 1/2 dampak saham. Sukuk tidak terpengaruh kartu (imbalan tetap 1,75%/kuartal).</t>
  </si>
  <si>
    <t>• Sukuk/SBN dalam game mewakili sukuk negara ritel yang dipegang hingga jatuh tempo: imbalan dan pokok dijamin negara, sehingga nilainya stabil walau ekonomi bergejolak. Catatan jujur: SBN yang diperdagangkan di pasar sekunder tetap bisa turun harganya sesaat ketika krisis.</t>
  </si>
  <si>
    <t>• Excel for the web tidak menjalankan VBA; karena itu tombol memakai Office Scripts.</t>
  </si>
  <si>
    <t>Pengaturan Game</t>
  </si>
  <si>
    <t>Sel berlatar kuning = boleh diubah fasilitator. Angka biru = asumsi/input.</t>
  </si>
  <si>
    <t>Nama acara</t>
  </si>
  <si>
    <t>Game Investasi: Kelola Portofolio, Hadapi Skenario</t>
  </si>
  <si>
    <t>Tampil di banner Dashboard.</t>
  </si>
  <si>
    <t>Modal awal per peserta (Rp)</t>
  </si>
  <si>
    <t>Sesuai permintaan: Rp100 juta.</t>
  </si>
  <si>
    <t>Jumlah putaran (10 atau 30)</t>
  </si>
  <si>
    <t>10 = satu tahap. 30 = tiga tahap × 10 putaran, peserta boleh ganti komposisi di awal tahap 2 dan 3.</t>
  </si>
  <si>
    <t>Tahap aktif (1/2/3)</t>
  </si>
  <si>
    <t>Tombol Kocok Kartu menolak masuk tahap berikutnya sebelum angka ini dinaikkan. Naikkan SETELAH alokasi baru terkumpul &amp; form ditutup.</t>
  </si>
  <si>
    <t>Batas maksimum per aset</t>
  </si>
  <si>
    <t>100% = tanpa batas. Isi misal 60% untuk memaksa diversifikasi.</t>
  </si>
  <si>
    <t>Batas max drawdown 'Investor Tangguh'</t>
  </si>
  <si>
    <t>Penghargaan kedua: aset tertinggi di antara peserta yang penurunan terdalamnya (dari puncak) tidak melebihi batas ini.</t>
  </si>
  <si>
    <t>Imbal hasil dasar per putaran (1 putaran = 1 kuartal)</t>
  </si>
  <si>
    <t>Aset</t>
  </si>
  <si>
    <t>Imbal hasil dasar / kuartal</t>
  </si>
  <si>
    <t>Dasar asumsi</t>
  </si>
  <si>
    <t>Imbalan sukuk negara 7% per tahun = 1,75% per kuartal, tetap setiap putaran. Diasumsikan sukuk negara ritel yang dipegang hingga jatuh tempo: imbalan &amp; pokok dijamin negara, tidak terpengaruh kartu.</t>
  </si>
  <si>
    <t>0% (Opsi A): hasil saham murni dari kartu. 50 kartu naik &amp; 50 kartu turun dengan besaran berpasangan (total ±369%). Ubah ke 1,5% bila ingin memasukkan dividen/pertumbuhan laba (Opsi B).</t>
  </si>
  <si>
    <t>Imbal hasil deposito/instrumen pasar uang ±4,5% per tahun; hampir tanpa fluktuasi.</t>
  </si>
  <si>
    <t>Emas tidak memberi imbal hasil; naik saat krisis/inflasi/rupiah melemah, turun saat risk-on atau dolar kuat. Rata-rata ±7%/tahun, volatilitas ±9%/tahun.</t>
  </si>
  <si>
    <t>Kombinasi 50% saham + 45% sukuk + 5% pasar uang, dikurangi biaya 0,1%/kuartal. Dampak kartu = 1/2 dampak saham (juga 50 naik/50 turun).</t>
  </si>
  <si>
    <t>Hasil uji 20.000 simulasi acak (kartu + imbal hasil dasar):</t>
  </si>
  <si>
    <t>• 10 putaran: Sukuk pasti +18,9%. Saham median −3%, peluang rugi 55%, 1 dari 20 permainan rugi ≥41%. RD Campuran median +7%, peluang rugi 33%.</t>
  </si>
  <si>
    <t>• Walau naik &amp; turun seimbang, saham cenderung rugi: naik 10% lalu turun 10% = −1% (volatility drag). Poin edukasi untuk penutup game.</t>
  </si>
  <si>
    <t>• Saham tetap bisa menang besar kalau beruntung (1 dari 20 permainan +50% atau lebih), tetapi peluangnya seperti lempar koin. Sukuk memberi hasil pasti.</t>
  </si>
  <si>
    <t>Pesan terakhir dari script (otomatis)</t>
  </si>
  <si>
    <t>Putaran 2: kartu K053 keluar (2026-10-07 16:33:57 WIB).</t>
  </si>
  <si>
    <t>Daftar 100 Kartu Skenario</t>
  </si>
  <si>
    <t>Dampak = perubahan TAMBAHAN di luar imbal hasil dasar, per kuartal. Boleh diedit (angka biru).</t>
  </si>
  <si>
    <t>ID</t>
  </si>
  <si>
    <t>Kategori</t>
  </si>
  <si>
    <t>Judul</t>
  </si>
  <si>
    <t>Narasi (dibacakan)</t>
  </si>
  <si>
    <t>Penjelasan ekonomi</t>
  </si>
  <si>
    <t>K001</t>
  </si>
  <si>
    <t>Moneter &amp; Suku Bunga</t>
  </si>
  <si>
    <t>BI Rate Naik 25 bps</t>
  </si>
  <si>
    <t>Bank Indonesia menaikkan suku bunga acuan untuk meredam inflasi.</t>
  </si>
  <si>
    <t>Suku bunga naik → biaya pinjaman emiten naik dan valuasi saham tertekan. Imbal hasil pasar uang ikut naik. Pemegang sukuk negara ritel tidak terdampak: imbalan tetap dibayar.</t>
  </si>
  <si>
    <t>K002</t>
  </si>
  <si>
    <t>BI Rate Naik 50 bps</t>
  </si>
  <si>
    <t>BI menaikkan suku bunga secara agresif untuk menahan pelemahan rupiah.</t>
  </si>
  <si>
    <t>Kenaikan besar menekan valuasi saham. Instrumen pasar uang justru diuntungkan karena bunga deposito naik. Pemegang sukuk negara ritel tidak terdampak: imbalan tetap dibayar.</t>
  </si>
  <si>
    <t>K003</t>
  </si>
  <si>
    <t>BI Rate Turun 25 bps</t>
  </si>
  <si>
    <t>Inflasi jinak, BI memangkas suku bunga acuan.</t>
  </si>
  <si>
    <t>Biaya dana lebih murah mendorong laba dan valuasi saham. Imbal hasil pasar uang sedikit turun.</t>
  </si>
  <si>
    <t>K004</t>
  </si>
  <si>
    <t>BI Rate Turun 50 bps</t>
  </si>
  <si>
    <t>BI memangkas suku bunga agresif untuk mendorong pertumbuhan.</t>
  </si>
  <si>
    <t>Pemangkasan besar memicu reli saham karena biaya dana turun tajam. Imbal hasil pasar uang turun.</t>
  </si>
  <si>
    <t>K005</t>
  </si>
  <si>
    <t>BI Rate Ditahan</t>
  </si>
  <si>
    <t>BI mempertahankan suku bunga sesuai ekspektasi pasar.</t>
  </si>
  <si>
    <t>Tidak ada kejutan kebijakan. Pasar tenang dan cenderung sedikit positif karena ketidakpastian berkurang.</t>
  </si>
  <si>
    <t>K006</t>
  </si>
  <si>
    <t>The Fed Naikkan Suku Bunga</t>
  </si>
  <si>
    <t>Bank sentral AS menaikkan suku bunga; dolar AS menguat.</t>
  </si>
  <si>
    <t>Selisih imbal hasil RI–AS menyempit → investor asing menarik dana dari pasar saham. Emas tertekan karena dolar kuat. Pemegang sukuk negara ritel tidak terdampak: imbalan tetap dibayar.</t>
  </si>
  <si>
    <t>K007</t>
  </si>
  <si>
    <t>The Fed Pangkas Suku Bunga</t>
  </si>
  <si>
    <t>The Fed menurunkan suku bunga; dolar AS melemah.</t>
  </si>
  <si>
    <t>Dana global mencari imbal hasil lebih tinggi di negara berkembang, termasuk saham Indonesia. Emas naik karena bunga riil turun.</t>
  </si>
  <si>
    <t>K008</t>
  </si>
  <si>
    <t>Sinyal 'Higher for Longer'</t>
  </si>
  <si>
    <t>Bank sentral global memberi sinyal suku bunga tinggi bertahan lama.</t>
  </si>
  <si>
    <t>Harapan penurunan bunga pupus → saham terkoreksi. Emas tertekan karena opportunity cost memegang emas naik. Pemegang sukuk negara ritel tidak terdampak: imbalan tetap dibayar.</t>
  </si>
  <si>
    <t>K009</t>
  </si>
  <si>
    <t>Likuiditas Perbankan Ketat</t>
  </si>
  <si>
    <t>Bank berebut dana pihak ketiga; bunga deposito naik.</t>
  </si>
  <si>
    <t>Likuiditas ketat menaikkan yield pasar dan menekan harga aset berisiko. Reksa dana pasar uang menikmati bunga deposito yang lebih tinggi.</t>
  </si>
  <si>
    <t>K010</t>
  </si>
  <si>
    <t>Pelonggaran Makroprudensial</t>
  </si>
  <si>
    <t>BI melonggarkan giro wajib minimum dan aturan kredit.</t>
  </si>
  <si>
    <t>Likuiditas bank bertambah sehingga kredit dan konsumsi terdorong. Saham, terutama perbankan, naik.</t>
  </si>
  <si>
    <t>K011</t>
  </si>
  <si>
    <t>Intervensi Rupiah Berhasil</t>
  </si>
  <si>
    <t>BI melakukan intervensi triple intervention; rupiah kembali stabil.</t>
  </si>
  <si>
    <t>Stabilitas kurs mengurangi risiko nilai tukar bagi investor asing, sehingga dana kembali ke pasar saham. Emas dalam rupiah sedikit turun.</t>
  </si>
  <si>
    <t>K012</t>
  </si>
  <si>
    <t>Kurva Yield Mendatar</t>
  </si>
  <si>
    <t>Yield jangka pendek naik mendekati jangka panjang; pasar khawatir perlambatan.</t>
  </si>
  <si>
    <t>Pasar khawatir perlambatan ekonomi → saham tertekan kekhawatiran laba, emas diburu. Pemegang sukuk negara ritel tidak terdampak: imbalan tetap dibayar.</t>
  </si>
  <si>
    <t>K013</t>
  </si>
  <si>
    <t>Rupiah Melemah Tajam</t>
  </si>
  <si>
    <t>Rupiah menyentuh level terlemah dalam beberapa tahun.</t>
  </si>
  <si>
    <t>Asing keluar dari aset rupiah sehingga saham turun. Emas yang dihargai dalam dolar melonjak bila dihitung dalam rupiah: lindung nilai klasik. Pemegang sukuk negara ritel tidak terdampak: imbalan tetap dibayar.</t>
  </si>
  <si>
    <t>K014</t>
  </si>
  <si>
    <t>Rupiah Menguat</t>
  </si>
  <si>
    <t>Arus modal asing deras masuk; rupiah menguat.</t>
  </si>
  <si>
    <t>Aliran dana asing mengangkat harga saham. Harga emas dalam rupiah turun karena kurs dolar lebih murah.</t>
  </si>
  <si>
    <t>K015</t>
  </si>
  <si>
    <t>Operasi Moneter Serap Likuiditas</t>
  </si>
  <si>
    <t>BI menerbitkan instrumen moneter berimbal hasil tinggi dalam jumlah besar.</t>
  </si>
  <si>
    <t>Instrumen BI berimbal hasil tinggi menyerap likuiditas pasar sehingga saham kekurangan dana baru. Imbal hasil pasar uang naik.</t>
  </si>
  <si>
    <t>K016</t>
  </si>
  <si>
    <t>Makro &amp; Inflasi</t>
  </si>
  <si>
    <t>Inflasi Pangan Melonjak</t>
  </si>
  <si>
    <t>Harga beras dan cabai naik tajam; inflasi di atas target.</t>
  </si>
  <si>
    <t>Inflasi menggerus daya beli sehingga laba emiten konsumer tertekan. Emas diburu sebagai pelindung nilai.</t>
  </si>
  <si>
    <t>K017</t>
  </si>
  <si>
    <t>Inflasi Rendah &amp; Stabil</t>
  </si>
  <si>
    <t>Inflasi terkendali di dalam sasaran BI.</t>
  </si>
  <si>
    <t>Inflasi rendah membuka ruang penurunan bunga, positif untuk saham. Permintaan emas sebagai pelindung inflasi berkurang.</t>
  </si>
  <si>
    <t>K018</t>
  </si>
  <si>
    <t>PDB Tumbuh di Atas Ekspektasi</t>
  </si>
  <si>
    <t>Ekonomi tumbuh lebih cepat dari perkiraan.</t>
  </si>
  <si>
    <t>Laba perusahaan diperkirakan naik → saham reli. Aset lindung nilai seperti emas kurang diminati.</t>
  </si>
  <si>
    <t>K019</t>
  </si>
  <si>
    <t>PDB Melambat</t>
  </si>
  <si>
    <t>Pertumbuhan ekonomi kuartal ini di bawah ekspektasi.</t>
  </si>
  <si>
    <t>Prospek laba melemah → saham turun. Investor beralih ke aset aman seperti emas dan surat berharga negara.</t>
  </si>
  <si>
    <t>K020</t>
  </si>
  <si>
    <t>Konsumsi Rumah Tangga Lesu</t>
  </si>
  <si>
    <t>Penjualan ritel dan kendaraan melemah.</t>
  </si>
  <si>
    <t>Konsumsi adalah motor utama PDB Indonesia; pelemahannya menekan saham sektor konsumer dan ritel.</t>
  </si>
  <si>
    <t>K021</t>
  </si>
  <si>
    <t>Surplus Neraca Dagang Besar</t>
  </si>
  <si>
    <t>Ekspor melonjak; neraca perdagangan surplus besar.</t>
  </si>
  <si>
    <t>Pasokan valas bertambah sehingga rupiah stabil. Risiko eksternal turun, positif bagi saham.</t>
  </si>
  <si>
    <t>K022</t>
  </si>
  <si>
    <t>Defisit Transaksi Berjalan Melebar</t>
  </si>
  <si>
    <t>Impor naik lebih cepat dari ekspor.</t>
  </si>
  <si>
    <t>Kebutuhan valas meningkat → rupiah rentan melemah → investor asing mengurangi porsi saham Indonesia. Pemegang sukuk negara ritel tidak terdampak: imbalan tetap dibayar.</t>
  </si>
  <si>
    <t>K023</t>
  </si>
  <si>
    <t>Keyakinan Konsumen Melonjak</t>
  </si>
  <si>
    <t>Indeks keyakinan konsumen mencapai level tertinggi.</t>
  </si>
  <si>
    <t>Konsumen yang optimistis cenderung belanja lebih banyak, sehingga prospek laba emiten konsumer membaik.</t>
  </si>
  <si>
    <t>K024</t>
  </si>
  <si>
    <t>PMI Manufaktur Ekspansi</t>
  </si>
  <si>
    <t>Aktivitas pabrik meningkat beberapa bulan berturut-turut.</t>
  </si>
  <si>
    <t>Ekspansi manufaktur menandakan permintaan kuat dan laba emiten naik. Aset aman kurang diminati.</t>
  </si>
  <si>
    <t>K025</t>
  </si>
  <si>
    <t>PHK di Sektor Padat Karya</t>
  </si>
  <si>
    <t>Gelombang PHK di industri tekstil dan alas kaki.</t>
  </si>
  <si>
    <t>Pendapatan rumah tangga turun sehingga konsumsi melemah. Saham tertekan, investor mencari aset aman.</t>
  </si>
  <si>
    <t>K026</t>
  </si>
  <si>
    <t>Harga BBM Subsidi Naik</t>
  </si>
  <si>
    <t>Pemerintah menyesuaikan harga BBM bersubsidi.</t>
  </si>
  <si>
    <t>Inflasi jangka pendek naik dan daya beli tertekan, sehingga saham konsumer turun.</t>
  </si>
  <si>
    <t>K027</t>
  </si>
  <si>
    <t>Musim Belanja Ramai</t>
  </si>
  <si>
    <t>Konsumsi melonjak saat musim hari raya dan liburan.</t>
  </si>
  <si>
    <t>Penjualan ritel, transportasi, dan makanan-minuman naik, mendorong saham sektor konsumer.</t>
  </si>
  <si>
    <t>K028</t>
  </si>
  <si>
    <t>Deflasi Beruntun</t>
  </si>
  <si>
    <t>Indeks harga turun beberapa bulan berturut-turut.</t>
  </si>
  <si>
    <t>Deflasi karena permintaan lemah menandakan ekonomi lesu, sehingga laba emiten melemah.</t>
  </si>
  <si>
    <t>K029</t>
  </si>
  <si>
    <t>Investasi Asing Langsung Rekor</t>
  </si>
  <si>
    <t>Realisasi investasi asing (FDI) mencapai rekor.</t>
  </si>
  <si>
    <t>FDI membawa valas, lapangan kerja, dan kepercayaan investor. Rupiah stabil dan saham naik.</t>
  </si>
  <si>
    <t>K030</t>
  </si>
  <si>
    <t>Kredit Perbankan Tumbuh Tinggi</t>
  </si>
  <si>
    <t>Penyaluran kredit tumbuh dua digit.</t>
  </si>
  <si>
    <t>Kredit yang tumbuh mencerminkan ekspansi usaha dan mendorong laba bank sebagai saham berbobot terbesar di bursa.</t>
  </si>
  <si>
    <t>K031</t>
  </si>
  <si>
    <t>Pasar Modal</t>
  </si>
  <si>
    <t>Aksi Jual Asing di Bursa</t>
  </si>
  <si>
    <t>Investor asing mencatat penjualan bersih besar di pasar saham.</t>
  </si>
  <si>
    <t>Tekanan jual asing menurunkan indeks saham, terutama saham berkapitalisasi besar. Sebagian dana beralih ke aset aman.</t>
  </si>
  <si>
    <t>K032</t>
  </si>
  <si>
    <t>Laba Emiten di Atas Ekspektasi</t>
  </si>
  <si>
    <t>Musim laporan keuangan: mayoritas emiten mencetak laba melampaui estimasi.</t>
  </si>
  <si>
    <t>Harga saham pada akhirnya mengikuti laba. Laba yang lebih baik dari perkiraan mendorong reli.</t>
  </si>
  <si>
    <t>K033</t>
  </si>
  <si>
    <t>Laba Emiten Mengecewakan</t>
  </si>
  <si>
    <t>Banyak emiten melaporkan laba di bawah perkiraan analis.</t>
  </si>
  <si>
    <t>Revisi turun ekspektasi laba menurunkan harga wajar saham. Investor berpindah ke instrumen pendapatan tetap.</t>
  </si>
  <si>
    <t>K034</t>
  </si>
  <si>
    <t>IPO Jumbo Serap Likuiditas</t>
  </si>
  <si>
    <t>Beberapa IPO berukuran besar menyedot dana investor.</t>
  </si>
  <si>
    <t>Investor menjual saham lama untuk membeli saham IPO, sehingga indeks tertekan sementara.</t>
  </si>
  <si>
    <t>K035</t>
  </si>
  <si>
    <t>Bobot Indonesia di Indeks Global Naik</t>
  </si>
  <si>
    <t>Penyedia indeks global menaikkan bobot saham Indonesia.</t>
  </si>
  <si>
    <t>Dana pasif global yang mengikuti indeks wajib membeli saham Indonesia → arus masuk besar.</t>
  </si>
  <si>
    <t>K036</t>
  </si>
  <si>
    <t>Window Dressing Akhir Tahun</t>
  </si>
  <si>
    <t>Manajer investasi mempercantik portofolio menjelang tutup buku.</t>
  </si>
  <si>
    <t>Pembelian saham unggulan menjelang akhir periode cenderung mengangkat harga secara musiman.</t>
  </si>
  <si>
    <t>K037</t>
  </si>
  <si>
    <t>Skandal Saham Gorengan</t>
  </si>
  <si>
    <t>Otoritas membongkar manipulasi harga beberapa saham.</t>
  </si>
  <si>
    <t>Kepercayaan investor ritel turun dan saham-saham spekulatif anjlok. Pelajaran: pilih saham berfundamental baik.</t>
  </si>
  <si>
    <t>K038</t>
  </si>
  <si>
    <t>Skandal Manajer Investasi</t>
  </si>
  <si>
    <t>Sebuah manajer investasi terjerat kasus; investor reksa dana panik menarik dana.</t>
  </si>
  <si>
    <t>Redemption massal memaksa manajer investasi menjual aset, sehingga NAB reksa dana tertekan, termasuk campuran. Pelajaran: cek izin OJK dan rekam jejak MI.</t>
  </si>
  <si>
    <t>K039</t>
  </si>
  <si>
    <t>SBN Masuk Indeks Obligasi Global</t>
  </si>
  <si>
    <t>Bobot SBN dalam indeks obligasi global dinaikkan.</t>
  </si>
  <si>
    <t>Dana global pengikut indeks wajib membeli SBN → rupiah menguat dan sentimen positif menjalar ke saham. Pasar SBN makin dalam dan likuid.</t>
  </si>
  <si>
    <t>K040</t>
  </si>
  <si>
    <t>Asing Lepas SBN Besar-besaran</t>
  </si>
  <si>
    <t>Kepemilikan asing di SBN turun tajam dalam sebulan.</t>
  </si>
  <si>
    <t>Penjualan asing menekan rupiah dan sentimen pasar, sehingga saham ikut turun. Makin besar basis investor domestik (termasuk pembeli sukuk ritel), makin kecil guncangan semacam ini. Pemegang sukuk negara ritel tidak terdampak: imbalan tetap dibayar.</t>
  </si>
  <si>
    <t>K041</t>
  </si>
  <si>
    <t>Dividen Jumbo BUMN</t>
  </si>
  <si>
    <t>BUMN besar membagikan dividen dengan rasio pembayaran tinggi.</t>
  </si>
  <si>
    <t>Dividen tinggi menarik investor ke saham berfundamental kuat. Imbal hasil saham = kenaikan harga + dividen.</t>
  </si>
  <si>
    <t>K042</t>
  </si>
  <si>
    <t>Wall Street Koreksi Tajam</t>
  </si>
  <si>
    <t>Indeks saham AS turun lebih dari 10% dalam beberapa pekan.</t>
  </si>
  <si>
    <t>Sentimen risk-off menular ke bursa global termasuk Indonesia. Investor berlindung ke emas dan obligasi pemerintah.</t>
  </si>
  <si>
    <t>K043</t>
  </si>
  <si>
    <t>Reli Bursa Global</t>
  </si>
  <si>
    <t>Bursa global kompak menguat; investor kembali berani ambil risiko.</t>
  </si>
  <si>
    <t>Sentimen risk-on mendorong arus dana ke saham negara berkembang. Emas sebagai aset lindung nilai ditinggalkan.</t>
  </si>
  <si>
    <t>K044</t>
  </si>
  <si>
    <t>Buyback Saham Massal</t>
  </si>
  <si>
    <t>Regulator mengizinkan emiten membeli kembali saham tanpa RUPS.</t>
  </si>
  <si>
    <t>Buyback menambah permintaan saham dan menjadi sinyal bahwa manajemen menilai sahamnya murah.</t>
  </si>
  <si>
    <t>K045</t>
  </si>
  <si>
    <t>Trading Halt Bursa</t>
  </si>
  <si>
    <t>Indeks anjlok lebih dari 5% dalam sehari; perdagangan dihentikan sementara.</t>
  </si>
  <si>
    <t>Kepanikan jual memicu penghentian perdagangan. Aset aman seperti SBN dan emas menjadi tujuan pelarian dana.</t>
  </si>
  <si>
    <t>K046</t>
  </si>
  <si>
    <t>Geopolitik &amp; Global</t>
  </si>
  <si>
    <t>Konflik di Timur Tengah</t>
  </si>
  <si>
    <t>Konflik bersenjata pecah; harga minyak dunia melonjak.</t>
  </si>
  <si>
    <t>Emas adalah aset lindung nilai utama saat krisis geopolitik. Minyak mahal menambah beban subsidi dan inflasi, sehingga saham tertekan. Pemegang sukuk negara ritel tidak terdampak: imbalan tetap dibayar.</t>
  </si>
  <si>
    <t>K047</t>
  </si>
  <si>
    <t>Perang Dagang Memanas</t>
  </si>
  <si>
    <t>AS dan Tiongkok saling menaikkan tarif impor.</t>
  </si>
  <si>
    <t>Perdagangan global melambat, permintaan ekspor Indonesia terancam. Investor lari ke emas.</t>
  </si>
  <si>
    <t>K048</t>
  </si>
  <si>
    <t>Ketegangan Dagang Mereda</t>
  </si>
  <si>
    <t>AS dan Tiongkok menyepakati gencatan tarif.</t>
  </si>
  <si>
    <t>Ketidakpastian turun dan prospek perdagangan global membaik. Saham negara berkembang reli, emas terkoreksi.</t>
  </si>
  <si>
    <t>K049</t>
  </si>
  <si>
    <t>Resesi di Amerika Serikat</t>
  </si>
  <si>
    <t>Ekonomi AS resmi masuk resesi.</t>
  </si>
  <si>
    <t>Permintaan global melemah sehingga saham turun. Bank sentral diperkirakan memangkas bunga, positif bagi emas.</t>
  </si>
  <si>
    <t>K050</t>
  </si>
  <si>
    <t>Ekonomi Tiongkok Melambat</t>
  </si>
  <si>
    <t>Pertumbuhan Tiongkok, mitra dagang terbesar RI, melambat.</t>
  </si>
  <si>
    <t>Permintaan batu bara, nikel, dan CPO turun sehingga saham komoditas dan ekspor tertekan.</t>
  </si>
  <si>
    <t>K051</t>
  </si>
  <si>
    <t>Stimulus Besar Tiongkok</t>
  </si>
  <si>
    <t>Tiongkok mengumumkan stimulus ekonomi jumbo.</t>
  </si>
  <si>
    <t>Permintaan komoditas diperkirakan naik, positif bagi emiten tambang dan perkebunan Indonesia.</t>
  </si>
  <si>
    <t>K052</t>
  </si>
  <si>
    <t>Krisis Utang Negara Berkembang</t>
  </si>
  <si>
    <t>Sebuah negara berkembang gagal bayar utang; kepanikan menular.</t>
  </si>
  <si>
    <t>Efek penularan: investor menjual aset seluruh negara berkembang tanpa membedakan fundamental. Saham turun, emas naik. Pemegang sukuk negara ritel tidak terdampak: imbalan tetap dibayar.</t>
  </si>
  <si>
    <t>K053</t>
  </si>
  <si>
    <t>Ketegangan Laut China Selatan</t>
  </si>
  <si>
    <t>Insiden militer meningkatkan ketegangan kawasan.</t>
  </si>
  <si>
    <t>Risiko geopolitik kawasan menaikkan premi risiko aset Indonesia. Emas diuntungkan.</t>
  </si>
  <si>
    <t>K054</t>
  </si>
  <si>
    <t>Hasil Pemilu Mengejutkan</t>
  </si>
  <si>
    <t>Pemilu di negara ekonomi besar menghasilkan kejutan.</t>
  </si>
  <si>
    <t>Ketidakpastian arah kebijakan global membuat investor mengurangi risiko sementara.</t>
  </si>
  <si>
    <t>K055</t>
  </si>
  <si>
    <t>Perjanjian Dagang Baru</t>
  </si>
  <si>
    <t>Indonesia menandatangani perjanjian dagang komprehensif dengan blok ekonomi besar.</t>
  </si>
  <si>
    <t>Akses pasar ekspor meluas dan investasi berpotensi masuk, sehingga prospek pertumbuhan jangka panjang membaik.</t>
  </si>
  <si>
    <t>K056</t>
  </si>
  <si>
    <t>Krisis Perbankan di Negara Maju</t>
  </si>
  <si>
    <t>Beberapa bank di negara maju kolaps.</t>
  </si>
  <si>
    <t>Ketakutan sistemik mendorong investor ke emas. Bank sentral cenderung melonggarkan kebijakan, menopang obligasi.</t>
  </si>
  <si>
    <t>K057</t>
  </si>
  <si>
    <t>Dolar AS Melemah Global</t>
  </si>
  <si>
    <t>Indeks dolar turun ke level terendah beberapa tahun.</t>
  </si>
  <si>
    <t>Mata uang negara berkembang menguat dan dana global mengalir masuk. Emas dalam dolar naik, tetapi rupiah juga menguat, jadi kenaikan dalam rupiah terbatas.</t>
  </si>
  <si>
    <t>K058</t>
  </si>
  <si>
    <t>Bank Sentral Dunia Borong Emas</t>
  </si>
  <si>
    <t>Bank-bank sentral mencatat pembelian emas terbesar dalam dekade ini.</t>
  </si>
  <si>
    <t>Diversifikasi cadangan devisa ke emas menandakan kekhawatiran global; sebagian dana beralih dari saham ke aset aman.</t>
  </si>
  <si>
    <t>K059</t>
  </si>
  <si>
    <t>Gencatan Senjata Global</t>
  </si>
  <si>
    <t>Konflik besar berakhir dengan kesepakatan damai.</t>
  </si>
  <si>
    <t>Premi risiko geopolitik turun. Emas terkoreksi, aset berisiko menguat.</t>
  </si>
  <si>
    <t>K060</t>
  </si>
  <si>
    <t>Serangan Siber ke Sistem Keuangan</t>
  </si>
  <si>
    <t>Serangan siber mengganggu sistem pembayaran di beberapa negara.</t>
  </si>
  <si>
    <t>Kepercayaan terhadap sistem keuangan digital goyah sementara, investor beralih ke aset fisik seperti emas.</t>
  </si>
  <si>
    <t>K061</t>
  </si>
  <si>
    <t>Komoditas</t>
  </si>
  <si>
    <t>Booming Komoditas</t>
  </si>
  <si>
    <t>Harga batu bara dan CPO melonjak tajam.</t>
  </si>
  <si>
    <t>Laba emiten komoditas melesat. Penerimaan negara (pajak dan PNBP) naik sehingga kebutuhan penerbitan SBN berkurang.</t>
  </si>
  <si>
    <t>K062</t>
  </si>
  <si>
    <t>Harga Komoditas Ekspor Anjlok</t>
  </si>
  <si>
    <t>Harga batu bara, CPO, dan nikel turun bersamaan.</t>
  </si>
  <si>
    <t>Laba emiten komoditas dan penerimaan ekspor turun. Penerimaan negara berkurang sehingga defisit berpotensi naik.</t>
  </si>
  <si>
    <t>K063</t>
  </si>
  <si>
    <t>Harga Minyak Melonjak</t>
  </si>
  <si>
    <t>Harga minyak mentah dunia naik tajam.</t>
  </si>
  <si>
    <t>Indonesia adalah net importir minyak: subsidi energi membengkak dan inflasi naik. Saham tertekan, emas naik.</t>
  </si>
  <si>
    <t>K064</t>
  </si>
  <si>
    <t>Harga Minyak Anjlok</t>
  </si>
  <si>
    <t>Harga minyak dunia turun drastis karena kelebihan pasokan.</t>
  </si>
  <si>
    <t>Beban subsidi dan impor energi berkurang, positif untuk APBN dan inflasi.</t>
  </si>
  <si>
    <t>K065</t>
  </si>
  <si>
    <t>Hilirisasi Nikel Sukses</t>
  </si>
  <si>
    <t>Smelter baru beroperasi; ekspor produk olahan nikel melonjak.</t>
  </si>
  <si>
    <t>Nilai tambah ekspor meningkat dan investasi masuk, memperkuat neraca dagang dan prospek jangka panjang.</t>
  </si>
  <si>
    <t>K066</t>
  </si>
  <si>
    <t>El Nino &amp; Gagal Panen</t>
  </si>
  <si>
    <t>Kemarau panjang memangkas produksi pangan.</t>
  </si>
  <si>
    <t>Harga pangan naik sehingga inflasi meningkat dan daya beli tertekan. Emas menjadi pelindung nilai.</t>
  </si>
  <si>
    <t>K067</t>
  </si>
  <si>
    <t>Emas Cetak Rekor</t>
  </si>
  <si>
    <t>Harga emas dunia menembus rekor tertinggi sepanjang masa.</t>
  </si>
  <si>
    <t>Ketidakpastian global dan pembelian bank sentral mendorong reli emas; investor memindahkan sebagian dana dari saham ke aset aman.</t>
  </si>
  <si>
    <t>K068</t>
  </si>
  <si>
    <t>Aksi Ambil Untung Emas</t>
  </si>
  <si>
    <t>Harga emas terkoreksi tajam setelah reli panjang.</t>
  </si>
  <si>
    <t>Investor merealisasikan keuntungan. Aset yang naik terlalu cepat rentan koreksi.</t>
  </si>
  <si>
    <t>K069</t>
  </si>
  <si>
    <t>Permintaan Emas Domestik Naik</t>
  </si>
  <si>
    <t>Bank bullion dan permintaan perhiasan mendorong pembelian emas.</t>
  </si>
  <si>
    <t>Masyarakat bersikap defensif dan memilih aset fisik, sehingga pasar saham sedikit sepi pembeli.</t>
  </si>
  <si>
    <t>K070</t>
  </si>
  <si>
    <t>Harga Nikel Anjlok</t>
  </si>
  <si>
    <t>Kelebihan pasokan global menjatuhkan harga nikel.</t>
  </si>
  <si>
    <t>Emiten tambang nikel tertekan dan penerimaan ekspor berkurang.</t>
  </si>
  <si>
    <t>K071</t>
  </si>
  <si>
    <t>Fiskal &amp; SBN/Sukuk</t>
  </si>
  <si>
    <t>Rating Indonesia Naik</t>
  </si>
  <si>
    <t>Lembaga pemeringkat menaikkan peringkat utang Indonesia.</t>
  </si>
  <si>
    <t>Risiko negara dinilai lebih rendah → biaya utang negara dan korporasi turun, investor asing masuk ke saham. Kredibilitas SBN/sukuk makin kuat.</t>
  </si>
  <si>
    <t>K072</t>
  </si>
  <si>
    <t>Outlook Rating Diturunkan</t>
  </si>
  <si>
    <t>Lembaga pemeringkat menurunkan outlook utang Indonesia menjadi negatif.</t>
  </si>
  <si>
    <t>Investor menuntut imbal hasil lebih tinggi atas risiko yang dianggap naik, sehingga saham turun. Pemegang sukuk negara ritel tidak terdampak: imbalan tetap dibayar.</t>
  </si>
  <si>
    <t>K073</t>
  </si>
  <si>
    <t>Lelang SBSN Oversubscribed</t>
  </si>
  <si>
    <t>Lelang sukuk negara kelebihan permintaan beberapa kali lipat.</t>
  </si>
  <si>
    <t>Permintaan kuat menandakan kepercayaan investor pada ekonomi Indonesia, sentimen positif juga ke pasar saham. Pemerintah bisa membiayai APBN dengan biaya lebih rendah.</t>
  </si>
  <si>
    <t>K074</t>
  </si>
  <si>
    <t>Sukuk Ritel Laris Manis</t>
  </si>
  <si>
    <t>Penjualan sukuk ritel melampaui target dengan rekor jumlah investor baru.</t>
  </si>
  <si>
    <t>Penjualan sukuk ritel melampaui target. Sebagian dana investor ritel berpindah dari saham ke sukuk yang imbalannya pasti, dan basis investor domestik makin kuat.</t>
  </si>
  <si>
    <t>K075</t>
  </si>
  <si>
    <t>Green Sukuk Global Diminati</t>
  </si>
  <si>
    <t>Green Sukuk pemerintah diburu investor global berwawasan lingkungan.</t>
  </si>
  <si>
    <t>Permintaan dari investor ESG global memperluas basis investor dan menurunkan biaya pembiayaan proyek hijau.</t>
  </si>
  <si>
    <t>K076</t>
  </si>
  <si>
    <t>Defisit APBN Melebar</t>
  </si>
  <si>
    <t>Defisit anggaran melampaui perkiraan awal.</t>
  </si>
  <si>
    <t>Kebutuhan pembiayaan naik dan pasar khawatir soal disiplin fiskal, sehingga sentimen saham melemah. Pemegang sukuk negara ritel tidak terdampak: imbalan tetap dibayar.</t>
  </si>
  <si>
    <t>K077</t>
  </si>
  <si>
    <t>Penerimaan Pajak Melampaui Target</t>
  </si>
  <si>
    <t>Realisasi pajak lebih tinggi dari target APBN.</t>
  </si>
  <si>
    <t>Kebutuhan penerbitan utang berkurang dan kredibilitas fiskal meningkat, positif bagi SBN.</t>
  </si>
  <si>
    <t>K078</t>
  </si>
  <si>
    <t>Proyek SBSN Dipercepat</t>
  </si>
  <si>
    <t>Proyek infrastruktur yang dibiayai SBSN (jalan, jembatan, madrasah) dipercepat.</t>
  </si>
  <si>
    <t>Belanja infrastruktur mendorong emiten konstruksi dan semen, serta menunjukkan manfaat nyata sukuk negara.</t>
  </si>
  <si>
    <t>K079</t>
  </si>
  <si>
    <t>Target Penerbitan SBN Dikurangi</t>
  </si>
  <si>
    <t>Pemerintah memangkas target penerbitan SBN kuartal ini.</t>
  </si>
  <si>
    <t>Kebutuhan pembiayaan negara turun menandakan fiskal sehat; sentimen pasar sedikit membaik.</t>
  </si>
  <si>
    <t>K080</t>
  </si>
  <si>
    <t>Stimulus Fiskal Jumbo</t>
  </si>
  <si>
    <t>Pemerintah meluncurkan stimulus besar yang dibiayai penerbitan SBN.</t>
  </si>
  <si>
    <t>Belanja pemerintah mendorong ekonomi dan laba emiten, sehingga saham naik.</t>
  </si>
  <si>
    <t>K081</t>
  </si>
  <si>
    <t>Krisis (Black Swan)</t>
  </si>
  <si>
    <t>Pandemi Global</t>
  </si>
  <si>
    <t>Wabah penyakit baru menyebar ke seluruh dunia; aktivitas ekonomi terhenti.</t>
  </si>
  <si>
    <t>Kepanikan menjatuhkan saham secara ekstrem dalam waktu singkat. Investor lari ke aset paling aman: surat berharga negara. Sukuk negara tetap membayar imbalan, dan BI serta investor domestik menopang pasar SBN. Pelajaran: diversifikasi dan dana darurat.</t>
  </si>
  <si>
    <t>K082</t>
  </si>
  <si>
    <t>Krisis Keuangan Global</t>
  </si>
  <si>
    <t>Lembaga keuangan besar dunia bangkrut; pasar kredit membeku.</t>
  </si>
  <si>
    <t>Investor menjual aset berisiko untuk mencari likuiditas; saham runtuh. Surat utang negara menjadi tempat berlindung karena dijamin pemerintah (flight to quality). Imbalan sukuk tetap dibayar penuh.</t>
  </si>
  <si>
    <t>K083</t>
  </si>
  <si>
    <t>Gempa Besar di Kawasan Industri</t>
  </si>
  <si>
    <t>Gempa kuat mengguncang kawasan industri dan pelabuhan utama.</t>
  </si>
  <si>
    <t>Rantai pasok terganggu dan kerugian ekonomi besar. Pemerintah perlu dana rehabilitasi.</t>
  </si>
  <si>
    <t>K084</t>
  </si>
  <si>
    <t>Krisis Nilai Tukar (Sudden Stop)</t>
  </si>
  <si>
    <t>Arus modal asing tiba-tiba berhenti; rupiah jatuh bebas.</t>
  </si>
  <si>
    <t>Asing menjual aset rupiah serentak. Saham anjlok dalam, emas dalam rupiah melonjak. Sukuk negara yang dipegang hingga jatuh tempo tetap menerima imbalan dan pokok penuh.</t>
  </si>
  <si>
    <t>K085</t>
  </si>
  <si>
    <t>Bank Besar Domestik Gagal</t>
  </si>
  <si>
    <t>Sebuah bank besar dalam negeri mengalami gagal bayar.</t>
  </si>
  <si>
    <t>Kepercayaan pada sistem perbankan anjlok. Deposito dan reksa dana pasar uang yang menempatkan dana di bank itu ikut rugi. Dana masyarakat berpindah ke instrumen yang dijamin negara: sukuk dan SBN.</t>
  </si>
  <si>
    <t>K086</t>
  </si>
  <si>
    <t>Boom &amp; Kabar Baik</t>
  </si>
  <si>
    <t>Rebound Tajam (V-Shape)</t>
  </si>
  <si>
    <t>Setelah masa sulit, ekonomi pulih jauh lebih cepat dari perkiraan.</t>
  </si>
  <si>
    <t>Pasar selalu melihat ke depan: saham melonjak sebelum data ekonomi pulih sepenuhnya. Yang panik menjual kehilangan momen ini.</t>
  </si>
  <si>
    <t>K087</t>
  </si>
  <si>
    <t>Arus Modal Asing Deras</t>
  </si>
  <si>
    <t>Peringkat layak investasi dari semua lembaga memicu arus masuk besar.</t>
  </si>
  <si>
    <t>Dana institusi global yang hanya boleh membeli aset layak investasi mengalir deras ke pasar Indonesia; saham melonjak.</t>
  </si>
  <si>
    <t>K088</t>
  </si>
  <si>
    <t>IPO Teknologi Sukses</t>
  </si>
  <si>
    <t>IPO perusahaan teknologi lokal sukses besar.</t>
  </si>
  <si>
    <t>Sentimen positif terhadap pasar modal meningkat dan investor ritel baru masuk.</t>
  </si>
  <si>
    <t>K089</t>
  </si>
  <si>
    <t>Reformasi Struktural Besar</t>
  </si>
  <si>
    <t>Pemerintah meloloskan reformasi perizinan dan kemudahan berusaha.</t>
  </si>
  <si>
    <t>Iklim investasi membaik, potensi pertumbuhan jangka panjang naik, dan premi risiko negara turun.</t>
  </si>
  <si>
    <t>K090</t>
  </si>
  <si>
    <t>Suku Bunga Global Turun Serentak</t>
  </si>
  <si>
    <t>Bank sentral utama dunia kompak memangkas suku bunga.</t>
  </si>
  <si>
    <t>Likuiditas global melimpah → semua aset naik, kecuali imbal hasil pasar uang yang ikut turun.</t>
  </si>
  <si>
    <t>K091</t>
  </si>
  <si>
    <t>Laba Perbankan Rekor</t>
  </si>
  <si>
    <t>Bank-bank besar mencetak laba tertinggi sepanjang sejarah.</t>
  </si>
  <si>
    <t>Saham perbankan berbobot terbesar di indeks, sehingga labanya mengangkat IHSG.</t>
  </si>
  <si>
    <t>K092</t>
  </si>
  <si>
    <t>Pariwisata Melonjak</t>
  </si>
  <si>
    <t>Kunjungan wisatawan mancanegara mencetak rekor.</t>
  </si>
  <si>
    <t>Devisa masuk, sektor hotel, transportasi, dan konsumsi bergairah.</t>
  </si>
  <si>
    <t>K093</t>
  </si>
  <si>
    <t>Reli Pasar Negara Berkembang</t>
  </si>
  <si>
    <t>Investor global memindahkan dana besar ke pasar negara berkembang.</t>
  </si>
  <si>
    <t>Arus masuk ke pasar negara berkembang mengangkat harga saham. Emas kurang diminati.</t>
  </si>
  <si>
    <t>K094</t>
  </si>
  <si>
    <t>Proyek Strategis Rampung</t>
  </si>
  <si>
    <t>Sejumlah proyek infrastruktur strategis selesai dan beroperasi.</t>
  </si>
  <si>
    <t>Biaya logistik turun dan produktivitas naik, sehingga prospek laba jangka panjang membaik.</t>
  </si>
  <si>
    <t>K095</t>
  </si>
  <si>
    <t>Swasembada Pangan &amp; Energi</t>
  </si>
  <si>
    <t>Impor pangan dan energi turun tajam berkat produksi domestik.</t>
  </si>
  <si>
    <t>Neraca dagang dan rupiah menguat, inflasi lebih terkendali. Positif bagi saham.</t>
  </si>
  <si>
    <t>K096</t>
  </si>
  <si>
    <t>Tenang / Netral</t>
  </si>
  <si>
    <t>Kuartal Tenang</t>
  </si>
  <si>
    <t>Tidak ada kejutan berarti; pasar bergerak datar.</t>
  </si>
  <si>
    <t>Tidak ada kejutan berarti; tanpa katalis, saham melemah tipis. Di kuartal tenang, yang bekerja adalah imbal hasil dasar: imbalan sukuk dan bunga pasar uang.</t>
  </si>
  <si>
    <t>K097</t>
  </si>
  <si>
    <t>Libur Panjang</t>
  </si>
  <si>
    <t>Libur panjang membuat transaksi di bursa sepi.</t>
  </si>
  <si>
    <t>Volume tipis membuat harga saham bergerak lesu.</t>
  </si>
  <si>
    <t>K098</t>
  </si>
  <si>
    <t>Data Sesuai Ekspektasi</t>
  </si>
  <si>
    <t>Data inflasi, PDB, dan neraca dagang sesuai perkiraan.</t>
  </si>
  <si>
    <t>Tanpa kejutan, pasar cenderung stabil dan sedikit positif.</t>
  </si>
  <si>
    <t>K099</t>
  </si>
  <si>
    <t>Rebalancing Indeks Rutin</t>
  </si>
  <si>
    <t>Penyesuaian komposisi indeks saham secara berkala.</t>
  </si>
  <si>
    <t>Sebagian saham naik, sebagian turun; secara keseluruhan dampaknya kecil.</t>
  </si>
  <si>
    <t>K100</t>
  </si>
  <si>
    <t>Pasar Wait and See</t>
  </si>
  <si>
    <t>Investor menunggu arah kebijakan menjelang pengumuman penting.</t>
  </si>
  <si>
    <t>Ketidakpastian membuat investor menahan diri dan sedikit menambah aset aman.</t>
  </si>
  <si>
    <t>Log Putaran</t>
  </si>
  <si>
    <t>Kolom C (ID) &amp; D (Waktu) diisi tombol Kocok Kartu. Bila perlu manual, ketik ID kartu (mis. K017) di kolom C.</t>
  </si>
  <si>
    <t>Putaran terkini:</t>
  </si>
  <si>
    <t>Putaran</t>
  </si>
  <si>
    <t>Tahap</t>
  </si>
  <si>
    <t>Kartu ID</t>
  </si>
  <si>
    <t>Waktu</t>
  </si>
  <si>
    <t>Return Sukuk/SBN</t>
  </si>
  <si>
    <t>Return Saham</t>
  </si>
  <si>
    <t>Return RD Pasar Uang</t>
  </si>
  <si>
    <t>Return Emas</t>
  </si>
  <si>
    <t>Return RD Campuran</t>
  </si>
  <si>
    <t>Faktor tahap Sukuk/SBN</t>
  </si>
  <si>
    <t>Faktor tahap Saham</t>
  </si>
  <si>
    <t>Faktor tahap RD Pasar Uang</t>
  </si>
  <si>
    <t>Faktor tahap Emas</t>
  </si>
  <si>
    <t>Faktor tahap RD Campuran</t>
  </si>
  <si>
    <t>Indeks Sukuk/SBN</t>
  </si>
  <si>
    <t>Indeks Saham</t>
  </si>
  <si>
    <t>Indeks RD Pasar Uang</t>
  </si>
  <si>
    <t>Indeks Emas</t>
  </si>
  <si>
    <t>Indeks RD Campuran</t>
  </si>
  <si>
    <t>Kode</t>
  </si>
  <si>
    <t>Nama</t>
  </si>
  <si>
    <t>Sukuk</t>
  </si>
  <si>
    <t>RDPU</t>
  </si>
  <si>
    <t>Campuran</t>
  </si>
  <si>
    <t>Email</t>
  </si>
  <si>
    <t>Column1</t>
  </si>
  <si>
    <t>Tabel 'tblInput' diisi otomatis oleh Power Automate dari Microsoft Forms.</t>
  </si>
  <si>
    <t>p01</t>
  </si>
  <si>
    <t>Dzul</t>
  </si>
  <si>
    <t>Porsi diisi dalam persen utuh (contoh: 20 = 20%). Tahap = 1, 2, atau 3. Submission terakhir per kode &amp; tahap yang dipakai.</t>
  </si>
  <si>
    <t>p02</t>
  </si>
  <si>
    <t>pandu</t>
  </si>
  <si>
    <t>Contoh baris valid:  2026-10-01 08:30 | P01 | Tim Ijarah | 1 | 20 | 30 | 10 | 20 | 20</t>
  </si>
  <si>
    <t>Daftar Kode Peserta</t>
  </si>
  <si>
    <t>Bagikan satu kode per peserta/tim saat registrasi. Nama diambil otomatis dari form; kolom Nama di sini hanya cadangan.</t>
  </si>
  <si>
    <t>Nama cadangan (opsional)</t>
  </si>
  <si>
    <t>Keterangan</t>
  </si>
  <si>
    <t>P01</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</si>
  <si>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</si>
  <si>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</si>
  <si>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</si>
  <si>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</si>
  <si>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</si>
  <si>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</si>
  <si>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</si>
  <si>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</si>
  <si>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</si>
  <si>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</si>
  <si>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</si>
  <si>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</si>
  <si>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</si>
  <si>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</si>
  <si>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</si>
  <si>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</si>
  <si>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</si>
  <si>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</si>
  <si>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</si>
  <si>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</si>
  <si>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</si>
  <si>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</si>
  <si>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</si>
  <si>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</si>
  <si>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</si>
  <si>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</si>
  <si>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</si>
  <si>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</si>
  <si>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</si>
  <si>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</si>
  <si>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</si>
  <si>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</si>
  <si>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</si>
  <si>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</si>
  <si>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</si>
  <si>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</si>
  <si>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</si>
  <si>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</si>
  <si>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</si>
  <si>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</si>
  <si>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</si>
  <si>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</si>
  <si>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</si>
  <si>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</si>
  <si>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</si>
  <si>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</si>
  <si>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</si>
  <si>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</si>
  <si>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</si>
  <si>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</si>
  <si>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</si>
  <si>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</si>
  <si>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</si>
  <si>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</si>
  <si>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</si>
  <si>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</si>
  <si>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</si>
  <si>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</si>
  <si>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</si>
  <si>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Perhitungan Nilai Aset Peserta</t>
  </si>
  <si>
    <t>Semua otomatis. Status merah = input peserta perlu diperbaiki (submit ulang form).</t>
  </si>
  <si>
    <t>Baris nama</t>
  </si>
  <si>
    <t>T1 baris</t>
  </si>
  <si>
    <t>T1 Sukuk/SBN</t>
  </si>
  <si>
    <t>T1 Saham</t>
  </si>
  <si>
    <t>T1 RD Pasar Uang</t>
  </si>
  <si>
    <t>T1 Emas</t>
  </si>
  <si>
    <t>T1 RD Campuran</t>
  </si>
  <si>
    <t>T1 total</t>
  </si>
  <si>
    <t>Status T1</t>
  </si>
  <si>
    <t>T2 baris</t>
  </si>
  <si>
    <t>T2 Sukuk/SBN</t>
  </si>
  <si>
    <t>T2 Saham</t>
  </si>
  <si>
    <t>T2 RD Pasar Uang</t>
  </si>
  <si>
    <t>T2 Emas</t>
  </si>
  <si>
    <t>T2 RD Campuran</t>
  </si>
  <si>
    <t>T2 total</t>
  </si>
  <si>
    <t>Status T2</t>
  </si>
  <si>
    <t>T3 baris</t>
  </si>
  <si>
    <t>T3 Sukuk/SBN</t>
  </si>
  <si>
    <t>T3 Saham</t>
  </si>
  <si>
    <t>T3 RD Pasar Uang</t>
  </si>
  <si>
    <t>T3 Emas</t>
  </si>
  <si>
    <t>T3 RD Campuran</t>
  </si>
  <si>
    <t>T3 total</t>
  </si>
  <si>
    <t>Status T3</t>
  </si>
  <si>
    <t>Efektif T1 Sukuk/SBN</t>
  </si>
  <si>
    <t>Efektif T1 Saham</t>
  </si>
  <si>
    <t>Efektif T1 RD Pasar Uang</t>
  </si>
  <si>
    <t>Efektif T1 Emas</t>
  </si>
  <si>
    <t>Efektif T1 RD Campuran</t>
  </si>
  <si>
    <t>Efektif T2 Sukuk/SBN</t>
  </si>
  <si>
    <t>Efektif T2 Saham</t>
  </si>
  <si>
    <t>Efektif T2 RD Pasar Uang</t>
  </si>
  <si>
    <t>Efektif T2 Emas</t>
  </si>
  <si>
    <t>Efektif T2 RD Campuran</t>
  </si>
  <si>
    <t>Efektif T3 Sukuk/SBN</t>
  </si>
  <si>
    <t>Efektif T3 Saham</t>
  </si>
  <si>
    <t>Efektif T3 RD Pasar Uang</t>
  </si>
  <si>
    <t>Efektif T3 Emas</t>
  </si>
  <si>
    <t>Efektif T3 RD Campuran</t>
  </si>
  <si>
    <t>Aktif</t>
  </si>
  <si>
    <t>Awal</t>
  </si>
  <si>
    <t>K1</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</si>
  <si>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</si>
  <si>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</si>
  <si>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</si>
  <si>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</si>
  <si>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</si>
  <si>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</si>
  <si>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</si>
  <si>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</si>
  <si>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</si>
  <si>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</si>
  <si>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</si>
  <si>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</si>
  <si>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</si>
  <si>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</si>
  <si>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</si>
  <si>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</si>
  <si>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</si>
  <si>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</si>
  <si>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</si>
  <si>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</si>
  <si>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</si>
  <si>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</si>
  <si>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</si>
  <si>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</si>
  <si>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</si>
  <si>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</si>
  <si>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K28</t>
  </si>
  <si>
    <t>K29</t>
  </si>
  <si>
    <t>K30</t>
  </si>
  <si>
    <t>Nilai kini</t>
  </si>
  <si>
    <t>Nilai lalu</t>
  </si>
  <si>
    <t>Max drawdown</t>
  </si>
  <si>
    <t>Skor kini</t>
  </si>
  <si>
    <t>Peringkat</t>
  </si>
  <si>
    <t>Skor lalu</t>
  </si>
  <si>
    <t>Peringkat lalu</t>
  </si>
  <si>
    <t>Naik/turun</t>
  </si>
  <si>
    <t>Skor tangguh</t>
  </si>
  <si>
    <t>Data Grafik &amp; Peringkat</t>
  </si>
  <si>
    <t>Dipakai oleh Dashboard. Tidak perlu diubah.</t>
  </si>
  <si>
    <t>Sel #N/A di tabel ini disengaja: menandai putaran yang belum dimainkan agar garis grafik berhenti (tidak jatuh ke nol).</t>
  </si>
  <si>
    <t>Rank</t>
  </si>
  <si>
    <t>Skor</t>
  </si>
  <si>
    <t>Baris</t>
  </si>
  <si>
    <t xml:space="preserve"> </t>
  </si>
  <si>
    <t>Kelas aset</t>
  </si>
  <si>
    <t>Kunci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</si>
</sst>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Rp &quot;#,##0.0,,&quot; jt&quot;"/>
    <numFmt numFmtId="165" formatCode="\+0.0%;\-0.0%;0.0%"/>
    <numFmt numFmtId="166" formatCode="0.0%"/>
    <numFmt numFmtId="167" formatCode="&quot;▲ &quot;0.0%;&quot;▼ &quot;0.0%;&quot;■ &quot;0.0%"/>
    <numFmt numFmtId="168" formatCode="&quot;DD &quot;0.0%"/>
    <numFmt numFmtId="169" formatCode="&quot;Rp&quot;#,##0"/>
    <numFmt numFmtId="170" formatCode="0.0000"/>
    <numFmt numFmtId="171" formatCode="0.0"/>
  </numFmts>
  <fonts count="36">
    <font>
      <sz val="11"/>
      <color theme="1"/>
      <name val="Calibri"/>
      <family val="2"/>
      <charset val="1"/>
    </font>
    <font>
      <b/>
      <sz val="22"/>
      <color rgb="FFFFFFFF"/>
      <name val="Arial"/>
      <charset val="1"/>
    </font>
    <font>
      <sz val="10"/>
      <color rgb="FFF5E6B3"/>
      <name val="Arial"/>
      <charset val="1"/>
    </font>
    <font>
      <b/>
      <sz val="9"/>
      <color rgb="FF6B7280"/>
      <name val="Arial"/>
      <charset val="1"/>
    </font>
    <font>
      <b/>
      <sz val="20"/>
      <color rgb="FF0B2545"/>
      <name val="Arial"/>
      <charset val="1"/>
    </font>
    <font>
      <sz val="9"/>
      <color rgb="FF374151"/>
      <name val="Arial"/>
      <charset val="1"/>
    </font>
    <font>
      <i/>
      <sz val="9"/>
      <color rgb="FF374151"/>
      <name val="Arial"/>
      <charset val="1"/>
    </font>
    <font>
      <b/>
      <sz val="9"/>
      <color rgb="FF8A6D0B"/>
      <name val="Arial"/>
      <charset val="1"/>
    </font>
    <font>
      <b/>
      <sz val="11"/>
      <color rgb="FFFFFFFF"/>
      <name val="Arial"/>
      <charset val="1"/>
    </font>
    <font>
      <b/>
      <sz val="18"/>
      <color rgb="FF0B2545"/>
      <name val="Arial"/>
      <charset val="1"/>
    </font>
    <font>
      <b/>
      <sz val="11"/>
      <color rgb="FF0B2545"/>
      <name val="Arial"/>
      <charset val="1"/>
    </font>
    <font>
      <b/>
      <sz val="10"/>
      <color rgb="FF1F2937"/>
      <name val="Arial"/>
      <charset val="1"/>
    </font>
    <font>
      <b/>
      <sz val="10"/>
      <color rgb="FF0B2545"/>
      <name val="Arial"/>
      <charset val="1"/>
    </font>
    <font>
      <b/>
      <sz val="9"/>
      <color rgb="FF1F2937"/>
      <name val="Arial"/>
      <charset val="1"/>
    </font>
    <font>
      <sz val="9"/>
      <color rgb="FF6B7280"/>
      <name val="Arial"/>
      <charset val="1"/>
    </font>
    <font>
      <sz val="11"/>
      <color rgb="FF1F2937"/>
      <name val="Arial"/>
      <charset val="1"/>
    </font>
    <font>
      <sz val="10"/>
      <color rgb="FF1F2937"/>
      <name val="Arial"/>
      <charset val="1"/>
    </font>
    <font>
      <i/>
      <sz val="10"/>
      <color rgb="FF374151"/>
      <name val="Arial"/>
      <charset val="1"/>
    </font>
    <font>
      <b/>
      <sz val="9"/>
      <color rgb="FFFFFFFF"/>
      <name val="Arial"/>
      <charset val="1"/>
    </font>
    <font>
      <b/>
      <sz val="16"/>
      <color rgb="FF1F2937"/>
      <name val="Arial"/>
      <charset val="1"/>
    </font>
    <font>
      <sz val="8"/>
      <color rgb="FF6B7280"/>
      <name val="Arial"/>
      <charset val="1"/>
    </font>
    <font>
      <b/>
      <sz val="10"/>
      <color rgb="FFFFFFFF"/>
      <name val="Arial"/>
      <charset val="1"/>
    </font>
    <font>
      <sz val="9"/>
      <color rgb="FF1F2937"/>
      <name val="Arial"/>
      <charset val="1"/>
    </font>
    <font>
      <i/>
      <sz val="8"/>
      <color rgb="FF6B7280"/>
      <name val="Arial"/>
      <charset val="1"/>
    </font>
    <font>
      <b/>
      <sz val="16"/>
      <color rgb="FF0B2545"/>
      <name val="Arial"/>
      <charset val="1"/>
    </font>
    <font>
      <i/>
      <sz val="10"/>
      <color rgb="FF5B6573"/>
      <name val="Arial"/>
      <charset val="1"/>
    </font>
    <font>
      <sz val="10"/>
      <color rgb="FF0000FF"/>
      <name val="Arial"/>
      <charset val="1"/>
    </font>
    <font>
      <i/>
      <sz val="9"/>
      <color rgb="FF5B6573"/>
      <name val="Arial"/>
      <charset val="1"/>
    </font>
    <font>
      <b/>
      <sz val="12"/>
      <color rgb="FF0B2545"/>
      <name val="Arial"/>
      <charset val="1"/>
    </font>
    <font>
      <b/>
      <sz val="10"/>
      <color rgb="FF1B7F5B"/>
      <name val="Arial"/>
      <charset val="1"/>
    </font>
    <font>
      <b/>
      <sz val="10"/>
      <color rgb="FF2F6FDE"/>
      <name val="Arial"/>
      <charset val="1"/>
    </font>
    <font>
      <b/>
      <sz val="10"/>
      <color rgb="FF8A94A6"/>
      <name val="Arial"/>
      <charset val="1"/>
    </font>
    <font>
      <b/>
      <sz val="10"/>
      <color rgb="FFD4A017"/>
      <name val="Arial"/>
      <charset val="1"/>
    </font>
    <font>
      <b/>
      <sz val="10"/>
      <color rgb="FF7B4FC9"/>
      <name val="Arial"/>
      <charset val="1"/>
    </font>
    <font>
      <b/>
      <sz val="9"/>
      <color rgb="FF5B6573"/>
      <name val="Arial"/>
      <charset val="1"/>
    </font>
    <font>
      <b/>
      <sz val="10"/>
      <color rgb="FF0000FF"/>
      <name val="Arial"/>
      <charset val="1"/>
    </font>
  </fonts>
  <fills count="15">
    <fill>
      <patternFill patternType="none"/>
    </fill>
    <fill>
      <patternFill patternType="gray125"/>
    </fill>
    <fill>
      <patternFill patternType="solid">
        <fgColor rgb="FFF2F4F7"/>
        <bgColor rgb="FFF7F3E3"/>
      </patternFill>
    </fill>
    <fill>
      <patternFill patternType="solid">
        <fgColor rgb="FF0B2545"/>
        <bgColor rgb="FF1F2937"/>
      </patternFill>
    </fill>
    <fill>
      <patternFill patternType="solid">
        <fgColor rgb="FF13315C"/>
        <bgColor rgb="FF0B2545"/>
      </patternFill>
    </fill>
    <fill>
      <patternFill patternType="solid">
        <fgColor rgb="FFFFFFFF"/>
        <bgColor rgb="FFFFF8E1"/>
      </patternFill>
    </fill>
    <fill>
      <patternFill patternType="solid">
        <fgColor rgb="FFE8EDF4"/>
        <bgColor rgb="FFE5E7EB"/>
      </patternFill>
    </fill>
    <fill>
      <patternFill patternType="solid">
        <fgColor rgb="FFFFF4C2"/>
        <bgColor rgb="FFFFF8E1"/>
      </patternFill>
    </fill>
    <fill>
      <patternFill patternType="solid">
        <fgColor rgb="FFFFF8E1"/>
        <bgColor rgb="FFF7F3E3"/>
      </patternFill>
    </fill>
    <fill>
      <patternFill patternType="solid">
        <fgColor rgb="FFF7F3E3"/>
        <bgColor rgb="FFFFF8E1"/>
      </patternFill>
    </fill>
    <fill>
      <patternFill patternType="solid">
        <fgColor rgb="FF1B7F5B"/>
        <bgColor rgb="FF15803D"/>
      </patternFill>
    </fill>
    <fill>
      <patternFill patternType="solid">
        <fgColor rgb="FF2F6FDE"/>
        <bgColor rgb="FF64748B"/>
      </patternFill>
    </fill>
    <fill>
      <patternFill patternType="solid">
        <fgColor rgb="FF8A94A6"/>
        <bgColor rgb="FF878787"/>
      </patternFill>
    </fill>
    <fill>
      <patternFill patternType="solid">
        <fgColor rgb="FFD4A017"/>
        <bgColor rgb="FFC9A227"/>
      </patternFill>
    </fill>
    <fill>
      <patternFill patternType="solid">
        <fgColor rgb="FF7B4FC9"/>
        <bgColor rgb="FF6B7280"/>
      </patternFill>
    </fill>
  </fills>
  <borders count="3">
    <border>
      <left/>
      <right/>
      <top/>
      <bottom/>
      <diagonal/>
    </border>
    <border>
      <left/>
      <right/>
      <top style="medium">
        <color rgb="FFC9A227"/>
      </top>
      <bottom/>
      <diagonal/>
    </border>
    <border>
      <left style="thin">
        <color rgb="FFD5DAE1"/>
      </left>
      <right style="thin">
        <color rgb="FFD5DAE1"/>
      </right>
      <top style="thin">
        <color rgb="FFD5DAE1"/>
      </top>
      <bottom style="thin">
        <color rgb="FFD5DAE1"/>
      </bottom>
      <diagonal/>
    </border>
  </borders>
  <cellStyleXfs count="1">
    <xf numFmtId="0" fontId="0" fillId="0" borderId="0"/>
  </cellStyleXfs>
  <cellXfs count="89">
    <xf numFmtId="0" fontId="0" fillId="0" borderId="0" xfId="0"/>
    <xf numFmtId="0" fontId="3" fillId="6" borderId="0" xfId="0" applyFont="1" applyFill="1" applyAlignment="1">
      <alignment horizontal="center" vertical="center" wrapText="1"/>
    </xf>
    <xf numFmtId="0" fontId="0" fillId="2" borderId="0" xfId="0" applyFill="1"/>
    <xf numFmtId="0" fontId="10" fillId="8" borderId="0" xfId="0" applyFont="1" applyFill="1" applyAlignment="1">
      <alignment horizontal="center" vertical="center" wrapText="1"/>
    </xf>
    <xf numFmtId="0" fontId="3" fillId="8" borderId="0" xfId="0" applyFont="1" applyFill="1" applyAlignment="1">
      <alignment horizontal="center" vertical="center" wrapText="1"/>
    </xf>
    <xf numFmtId="165" fontId="13" fillId="8" borderId="0" xfId="0" applyNumberFormat="1" applyFont="1" applyFill="1" applyAlignment="1">
      <alignment horizontal="center" vertical="center" wrapText="1"/>
    </xf>
    <xf numFmtId="166" fontId="14" fillId="8" borderId="0" xfId="0" applyNumberFormat="1" applyFont="1" applyFill="1" applyAlignment="1">
      <alignment horizontal="center" vertical="center" wrapText="1"/>
    </xf>
    <xf numFmtId="0" fontId="10" fillId="5" borderId="0" xfId="0" applyFont="1" applyFill="1" applyAlignment="1">
      <alignment horizontal="center" vertical="center" wrapText="1"/>
    </xf>
    <xf numFmtId="0" fontId="3" fillId="5" borderId="0" xfId="0" applyFont="1" applyFill="1" applyAlignment="1">
      <alignment horizontal="center" vertical="center" wrapText="1"/>
    </xf>
    <xf numFmtId="165" fontId="13" fillId="5" borderId="0" xfId="0" applyNumberFormat="1" applyFont="1" applyFill="1" applyAlignment="1">
      <alignment horizontal="center" vertical="center" wrapText="1"/>
    </xf>
    <xf numFmtId="166" fontId="14" fillId="5" borderId="0" xfId="0" applyNumberFormat="1" applyFont="1" applyFill="1" applyAlignment="1">
      <alignment horizontal="center" vertical="center" wrapText="1"/>
    </xf>
    <xf numFmtId="0" fontId="12" fillId="5" borderId="0" xfId="0" applyFont="1" applyFill="1" applyAlignment="1">
      <alignment horizontal="center" vertical="center" wrapText="1"/>
    </xf>
    <xf numFmtId="0" fontId="24" fillId="0" borderId="0" xfId="0" applyFont="1"/>
    <xf numFmtId="0" fontId="10" fillId="0" borderId="0" xfId="0" applyFont="1" applyAlignment="1">
      <alignment horizontal="left" vertical="center" wrapText="1"/>
    </xf>
    <xf numFmtId="0" fontId="16" fillId="0" borderId="0" xfId="0" applyFont="1" applyAlignment="1">
      <alignment horizontal="left" vertical="center" wrapText="1"/>
    </xf>
    <xf numFmtId="0" fontId="25" fillId="0" borderId="0" xfId="0" applyFont="1"/>
    <xf numFmtId="0" fontId="11" fillId="0" borderId="0" xfId="0" applyFont="1"/>
    <xf numFmtId="0" fontId="26" fillId="7" borderId="2" xfId="0" applyFont="1" applyFill="1" applyBorder="1" applyAlignment="1">
      <alignment horizontal="center" vertical="center" wrapText="1"/>
    </xf>
    <xf numFmtId="0" fontId="27" fillId="0" borderId="0" xfId="0" applyFont="1" applyAlignment="1">
      <alignment horizontal="left" vertical="center" wrapText="1"/>
    </xf>
    <xf numFmtId="169" fontId="26" fillId="7" borderId="2" xfId="0" applyNumberFormat="1" applyFont="1" applyFill="1" applyBorder="1" applyAlignment="1">
      <alignment horizontal="center" vertical="center" wrapText="1"/>
    </xf>
    <xf numFmtId="9" fontId="26" fillId="7" borderId="2" xfId="0" applyNumberFormat="1" applyFont="1" applyFill="1" applyBorder="1" applyAlignment="1">
      <alignment horizontal="center" vertical="center" wrapText="1"/>
    </xf>
    <xf numFmtId="0" fontId="28" fillId="0" borderId="0" xfId="0" applyFont="1"/>
    <xf numFmtId="0" fontId="21" fillId="3" borderId="2" xfId="0" applyFont="1" applyFill="1" applyBorder="1" applyAlignment="1">
      <alignment horizontal="center" vertical="center" wrapText="1"/>
    </xf>
    <xf numFmtId="0" fontId="29" fillId="0" borderId="0" xfId="0" applyFont="1"/>
    <xf numFmtId="10" fontId="26" fillId="7" borderId="2" xfId="0" applyNumberFormat="1" applyFont="1" applyFill="1" applyBorder="1" applyAlignment="1">
      <alignment horizontal="center" vertical="center" wrapText="1"/>
    </xf>
    <xf numFmtId="0" fontId="30" fillId="0" borderId="0" xfId="0" applyFont="1"/>
    <xf numFmtId="0" fontId="31" fillId="0" borderId="0" xfId="0" applyFont="1"/>
    <xf numFmtId="0" fontId="32" fillId="0" borderId="0" xfId="0" applyFont="1"/>
    <xf numFmtId="0" fontId="33" fillId="0" borderId="0" xfId="0" applyFont="1"/>
    <xf numFmtId="0" fontId="12" fillId="0" borderId="0" xfId="0" applyFont="1"/>
    <xf numFmtId="0" fontId="34" fillId="0" borderId="0" xfId="0" applyFont="1"/>
    <xf numFmtId="0" fontId="6" fillId="0" borderId="0" xfId="0" applyFont="1"/>
    <xf numFmtId="0" fontId="22" fillId="0" borderId="2" xfId="0" applyFont="1" applyBorder="1" applyAlignment="1">
      <alignment horizontal="left" vertical="center" wrapText="1"/>
    </xf>
    <xf numFmtId="0" fontId="13" fillId="0" borderId="2" xfId="0" applyFont="1" applyBorder="1" applyAlignment="1">
      <alignment horizontal="left" vertical="center" wrapText="1"/>
    </xf>
    <xf numFmtId="0" fontId="22" fillId="0" borderId="2" xfId="0" applyFont="1" applyBorder="1" applyAlignment="1">
      <alignment horizontal="left" vertical="top" wrapText="1"/>
    </xf>
    <xf numFmtId="165" fontId="26" fillId="0" borderId="2" xfId="0" applyNumberFormat="1" applyFont="1" applyBorder="1" applyAlignment="1">
      <alignment horizontal="center" vertical="center" wrapText="1"/>
    </xf>
    <xf numFmtId="0" fontId="22" fillId="0" borderId="2" xfId="0" applyFont="1" applyBorder="1"/>
    <xf numFmtId="0" fontId="35" fillId="7" borderId="2" xfId="0" applyFont="1" applyFill="1" applyBorder="1"/>
    <xf numFmtId="165" fontId="22" fillId="0" borderId="2" xfId="0" applyNumberFormat="1" applyFont="1" applyBorder="1"/>
    <xf numFmtId="170" fontId="22" fillId="0" borderId="2" xfId="0" applyNumberFormat="1" applyFont="1" applyBorder="1"/>
    <xf numFmtId="171" fontId="22" fillId="0" borderId="2" xfId="0" applyNumberFormat="1" applyFont="1" applyBorder="1"/>
    <xf numFmtId="0" fontId="21" fillId="3" borderId="0" xfId="0" applyFont="1" applyFill="1"/>
    <xf numFmtId="0" fontId="16" fillId="0" borderId="0" xfId="0" applyFont="1"/>
    <xf numFmtId="0" fontId="27" fillId="0" borderId="0" xfId="0" applyFont="1"/>
    <xf numFmtId="0" fontId="11" fillId="0" borderId="2" xfId="0" applyFont="1" applyBorder="1"/>
    <xf numFmtId="0" fontId="0" fillId="7" borderId="2" xfId="0" applyFill="1" applyBorder="1"/>
    <xf numFmtId="0" fontId="0" fillId="0" borderId="2" xfId="0" applyBorder="1"/>
    <xf numFmtId="9" fontId="22" fillId="0" borderId="2" xfId="0" applyNumberFormat="1" applyFont="1" applyBorder="1"/>
    <xf numFmtId="169" fontId="22" fillId="0" borderId="2" xfId="0" applyNumberFormat="1" applyFont="1" applyBorder="1"/>
    <xf numFmtId="166" fontId="22" fillId="0" borderId="2" xfId="0" applyNumberFormat="1" applyFont="1" applyBorder="1"/>
    <xf numFmtId="0" fontId="21" fillId="4" borderId="2" xfId="0" applyFont="1" applyFill="1" applyBorder="1" applyAlignment="1">
      <alignment horizontal="center" vertical="center" wrapText="1"/>
    </xf>
    <xf numFmtId="3" fontId="0" fillId="0" borderId="0" xfId="0" applyNumberFormat="1"/>
    <xf numFmtId="171" fontId="0" fillId="0" borderId="0" xfId="0" applyNumberFormat="1"/>
    <xf numFmtId="22" fontId="22" fillId="0" borderId="2" xfId="0" applyNumberFormat="1" applyFont="1" applyBorder="1"/>
    <xf numFmtId="22" fontId="16" fillId="0" borderId="0" xfId="0" applyNumberFormat="1" applyFont="1"/>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1" xfId="0" applyFont="1" applyFill="1" applyBorder="1" applyAlignment="1">
      <alignment horizontal="center" vertical="center" wrapText="1"/>
    </xf>
    <xf numFmtId="0" fontId="4" fillId="5" borderId="0" xfId="0" applyFont="1" applyFill="1" applyAlignment="1">
      <alignment horizontal="center" vertical="center" wrapText="1"/>
    </xf>
    <xf numFmtId="164" fontId="4"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6" fillId="6" borderId="0" xfId="0" applyFont="1" applyFill="1" applyAlignment="1">
      <alignment horizontal="left" vertical="center" wrapText="1"/>
    </xf>
    <xf numFmtId="0" fontId="7" fillId="7" borderId="0" xfId="0" applyFont="1" applyFill="1" applyAlignment="1">
      <alignment horizontal="center" vertical="center" wrapText="1"/>
    </xf>
    <xf numFmtId="0" fontId="8" fillId="3" borderId="0" xfId="0" applyFont="1" applyFill="1" applyAlignment="1">
      <alignment horizontal="left" vertical="center" wrapText="1"/>
    </xf>
    <xf numFmtId="0" fontId="7" fillId="7" borderId="0" xfId="0" applyFont="1" applyFill="1" applyAlignment="1">
      <alignment horizontal="left" vertical="center" wrapText="1"/>
    </xf>
    <xf numFmtId="0" fontId="3" fillId="5" borderId="0" xfId="0" applyFont="1" applyFill="1" applyAlignment="1">
      <alignment horizontal="right" vertical="center"/>
    </xf>
    <xf numFmtId="0" fontId="3" fillId="6" borderId="0" xfId="0" applyFont="1" applyFill="1" applyAlignment="1">
      <alignment horizontal="center" vertical="center" wrapText="1"/>
    </xf>
    <xf numFmtId="0" fontId="9" fillId="5" borderId="0" xfId="0" applyFont="1" applyFill="1" applyAlignment="1">
      <alignment horizontal="left" vertical="center" wrapText="1"/>
    </xf>
    <xf numFmtId="0" fontId="11" fillId="8" borderId="0" xfId="0" applyFont="1" applyFill="1" applyAlignment="1">
      <alignment horizontal="left" vertical="center" wrapText="1"/>
    </xf>
    <xf numFmtId="164" fontId="12" fillId="8" borderId="0" xfId="0" applyNumberFormat="1" applyFont="1" applyFill="1" applyAlignment="1">
      <alignment horizontal="center" vertical="center" wrapText="1"/>
    </xf>
    <xf numFmtId="0" fontId="15" fillId="5" borderId="0" xfId="0" applyFont="1" applyFill="1" applyAlignment="1">
      <alignment horizontal="left" vertical="top" wrapText="1"/>
    </xf>
    <xf numFmtId="0" fontId="16" fillId="5" borderId="0" xfId="0" applyFont="1" applyFill="1" applyAlignment="1">
      <alignment horizontal="left" vertical="center" wrapText="1"/>
    </xf>
    <xf numFmtId="164" fontId="12" fillId="5" borderId="0" xfId="0" applyNumberFormat="1" applyFont="1" applyFill="1" applyAlignment="1">
      <alignment horizontal="center" vertical="center" wrapText="1"/>
    </xf>
    <xf numFmtId="0" fontId="17" fillId="9" borderId="0" xfId="0" applyFont="1" applyFill="1" applyAlignment="1">
      <alignment horizontal="left" vertical="top" wrapText="1"/>
    </xf>
    <xf numFmtId="167" fontId="19" fillId="5" borderId="0" xfId="0" applyNumberFormat="1" applyFont="1" applyFill="1" applyAlignment="1">
      <alignment horizontal="center" vertical="center" wrapText="1"/>
    </xf>
    <xf numFmtId="0" fontId="18" fillId="10" borderId="0" xfId="0" applyFont="1" applyFill="1" applyAlignment="1">
      <alignment horizontal="center" vertical="center" wrapText="1"/>
    </xf>
    <xf numFmtId="0" fontId="18" fillId="11" borderId="0" xfId="0" applyFont="1" applyFill="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18" fillId="14" borderId="0" xfId="0" applyFont="1" applyFill="1" applyAlignment="1">
      <alignment horizontal="center" vertical="center" wrapText="1"/>
    </xf>
    <xf numFmtId="0" fontId="21" fillId="4" borderId="0" xfId="0" applyFont="1" applyFill="1" applyAlignment="1">
      <alignment horizontal="left" vertical="center" wrapText="1"/>
    </xf>
    <xf numFmtId="0" fontId="3" fillId="5" borderId="0" xfId="0" applyFont="1" applyFill="1" applyAlignment="1">
      <alignment horizontal="left" vertical="center" wrapText="1"/>
    </xf>
    <xf numFmtId="0" fontId="22" fillId="5" borderId="0" xfId="0" applyFont="1" applyFill="1" applyAlignment="1">
      <alignment horizontal="left" vertical="center" wrapText="1"/>
    </xf>
    <xf numFmtId="168" fontId="14" fillId="5" borderId="0" xfId="0" applyNumberFormat="1" applyFont="1" applyFill="1" applyAlignment="1">
      <alignment horizontal="center" vertical="center" wrapText="1"/>
    </xf>
    <xf numFmtId="0" fontId="20" fillId="5" borderId="0" xfId="0" applyFont="1" applyFill="1" applyAlignment="1">
      <alignment horizontal="center" vertical="center" wrapText="1"/>
    </xf>
    <xf numFmtId="0" fontId="21" fillId="3" borderId="0" xfId="0" applyFont="1" applyFill="1" applyAlignment="1">
      <alignment horizontal="left" vertical="center" wrapText="1"/>
    </xf>
    <xf numFmtId="0" fontId="23" fillId="2" borderId="0" xfId="0" applyFont="1" applyFill="1" applyAlignment="1">
      <alignment horizontal="left" vertical="top" wrapText="1"/>
    </xf>
    <xf numFmtId="0" fontId="5" fillId="0" borderId="0" xfId="0" applyFont="1" applyAlignment="1">
      <alignment horizontal="left" vertical="center" wrapText="1"/>
    </xf>
    <xf numFmtId="0" fontId="0" fillId="0" borderId="0" xfId="0" applyNumberFormat="1"/>
  </cellXfs>
  <cellStyles count="1">
    <cellStyle name="Normal" xfId="0" builtinId="0"/>
  </cellStyles>
  <dxfs count="15">
    <dxf>
      <fill>
        <patternFill>
          <bgColor rgb="FFDCF3E6"/>
        </patternFill>
      </fill>
    </dxf>
    <dxf>
      <font>
        <b/>
        <color rgb="FFB91C1C"/>
        <name val="Arial"/>
        <charset val="1"/>
      </font>
      <fill>
        <patternFill>
          <bgColor rgb="FFFBE0E0"/>
        </patternFill>
      </fill>
    </dxf>
    <dxf>
      <fill>
        <patternFill>
          <bgColor rgb="FFDCF3E6"/>
        </patternFill>
      </fill>
    </dxf>
    <dxf>
      <font>
        <b/>
        <color rgb="FFB91C1C"/>
        <name val="Arial"/>
        <charset val="1"/>
      </font>
      <fill>
        <patternFill>
          <bgColor rgb="FFFBE0E0"/>
        </patternFill>
      </fill>
    </dxf>
    <dxf>
      <fill>
        <patternFill>
          <bgColor rgb="FFDCF3E6"/>
        </patternFill>
      </fill>
    </dxf>
    <dxf>
      <font>
        <b/>
        <color rgb="FFB91C1C"/>
        <name val="Arial"/>
        <charset val="1"/>
      </font>
      <fill>
        <patternFill>
          <bgColor rgb="FFFBE0E0"/>
        </patternFill>
      </fill>
    </dxf>
    <dxf>
      <numFmt numFmtId="0" formatCode="General"/>
    </dxf>
    <dxf>
      <fill>
        <patternFill>
          <bgColor rgb="FFFBE0E0"/>
        </patternFill>
      </fill>
    </dxf>
    <dxf>
      <fill>
        <patternFill>
          <bgColor rgb="FFDCF3E6"/>
        </patternFill>
      </fill>
    </dxf>
    <dxf>
      <font>
        <b/>
        <color rgb="FF15803D"/>
        <name val="Arial"/>
        <charset val="1"/>
      </font>
    </dxf>
    <dxf>
      <font>
        <b/>
        <color rgb="FFB91C1C"/>
        <name val="Arial"/>
        <charset val="1"/>
      </font>
    </dxf>
    <dxf>
      <font>
        <b/>
        <color rgb="FFB91C1C"/>
        <name val="Arial"/>
        <charset val="1"/>
      </font>
    </dxf>
    <dxf>
      <font>
        <b/>
        <color rgb="FF15803D"/>
        <name val="Arial"/>
        <charset val="1"/>
      </font>
    </dxf>
    <dxf>
      <font>
        <b/>
        <sz val="16"/>
        <color rgb="FFB91C1C"/>
        <name val="Arial"/>
        <charset val="1"/>
      </font>
      <fill>
        <patternFill>
          <bgColor rgb="FFFCE8E8"/>
        </patternFill>
      </fill>
    </dxf>
    <dxf>
      <font>
        <b/>
        <sz val="16"/>
        <color rgb="FF15803D"/>
        <name val="Arial"/>
        <charset val="1"/>
      </font>
      <fill>
        <patternFill>
          <bgColor rgb="FFE7F6EC"/>
        </patternFill>
      </fill>
    </dxf>
  </dxfs>
  <tableStyles count="0" defaultTableStyle="TableStyleMedium2" defaultPivotStyle="PivotStyleLight16"/>
  <colors>
    <indexedColors>
      <rgbColor rgb="FF000000"/>
      <rgbColor rgb="FFFFFFFF"/>
      <rgbColor rgb="FFFF0000"/>
      <rgbColor rgb="FF00FF00"/>
      <rgbColor rgb="FF0000FF"/>
      <rgbColor rgb="FFF7F3E3"/>
      <rgbColor rgb="FFFF00FF"/>
      <rgbColor rgb="FF00FFFF"/>
      <rgbColor rgb="FF800000"/>
      <rgbColor rgb="FF15803D"/>
      <rgbColor rgb="FF000080"/>
      <rgbColor rgb="FF8A6D0B"/>
      <rgbColor rgb="FF7B4FC9"/>
      <rgbColor rgb="FF0E9384"/>
      <rgbColor rgb="FFD9D9D9"/>
      <rgbColor rgb="FF878787"/>
      <rgbColor rgb="FF6B7280"/>
      <rgbColor rgb="FFB91C1C"/>
      <rgbColor rgb="FFFFF8E1"/>
      <rgbColor rgb="FFDCF3E6"/>
      <rgbColor rgb="FF660066"/>
      <rgbColor rgb="FFFF8080"/>
      <rgbColor rgb="FF5B6573"/>
      <rgbColor rgb="FFD5DAE1"/>
      <rgbColor rgb="FF000080"/>
      <rgbColor rgb="FFFF00FF"/>
      <rgbColor rgb="FFF2F4F7"/>
      <rgbColor rgb="FF00FFFF"/>
      <rgbColor rgb="FF800080"/>
      <rgbColor rgb="FF800000"/>
      <rgbColor rgb="FF1B7F5B"/>
      <rgbColor rgb="FF0000FF"/>
      <rgbColor rgb="FF00CCFF"/>
      <rgbColor rgb="FFE7F6EC"/>
      <rgbColor rgb="FFE8EDF4"/>
      <rgbColor rgb="FFFFF4C2"/>
      <rgbColor rgb="FFE5E7EB"/>
      <rgbColor rgb="FFFBE0E0"/>
      <rgbColor rgb="FFFCE8E8"/>
      <rgbColor rgb="FFF5E6B3"/>
      <rgbColor rgb="FF2F6FDE"/>
      <rgbColor rgb="FF33CCCC"/>
      <rgbColor rgb="FFC9A227"/>
      <rgbColor rgb="FFFFCC00"/>
      <rgbColor rgb="FFD4A017"/>
      <rgbColor rgb="FFFF6600"/>
      <rgbColor rgb="FF64748B"/>
      <rgbColor rgb="FF8A94A6"/>
      <rgbColor rgb="FF13315C"/>
      <rgbColor rgb="FF65A30D"/>
      <rgbColor rgb="FF0B2545"/>
      <rgbColor rgb="FF333300"/>
      <rgbColor rgb="FFC2410C"/>
      <rgbColor rgb="FFDB2777"/>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Perkembangan Aset: 10 Peserta Teratas</a:t>
            </a:r>
          </a:p>
        </c:rich>
      </c:tx>
      <c:overlay val="0"/>
      <c:spPr>
        <a:noFill/>
        <a:ln w="0">
          <a:noFill/>
        </a:ln>
      </c:spPr>
    </c:title>
    <c:autoTitleDeleted val="0"/>
    <c:plotArea>
      <c:layout/>
      <c:lineChart>
        <c:grouping val="standard"/>
        <c:varyColors val="0"/>
        <c:ser>
          <c:idx val="0"/>
          <c:order val="0"/>
          <c:tx>
            <c:strRef>
              <c:f>Data_Grafik!$B$6</c:f>
              <c:strCache>
                <c:ptCount val="1"/>
              </c:strCache>
            </c:strRef>
          </c:tx>
          <c:spPr>
            <a:ln w="28080">
              <a:solidFill>
                <a:srgbClr val="0B254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Data_Grafik!$C$6:$AG$6</c:f>
              <c:numCache>
                <c:formatCode>#,##0</c:formatCode>
                <c:ptCount val="31"/>
                <c:pt idx="0">
                  <c:v>100000000</c:v>
                </c:pt>
                <c:pt idx="1">
                  <c:v>100604999.99999999</c:v>
                </c:pt>
                <c:pt idx="2">
                  <c:v>101052942.49999999</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0-E4A6-480D-B02A-3069708C38B6}"/>
            </c:ext>
          </c:extLst>
        </c:ser>
        <c:ser>
          <c:idx val="1"/>
          <c:order val="1"/>
          <c:tx>
            <c:strRef>
              <c:f>Data_Grafik!$B$7</c:f>
              <c:strCache>
                <c:ptCount val="1"/>
                <c:pt idx="0">
                  <c:v>pandu</c:v>
                </c:pt>
              </c:strCache>
            </c:strRef>
          </c:tx>
          <c:spPr>
            <a:ln w="28080">
              <a:solidFill>
                <a:srgbClr val="2F6FD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Data_Grafik!$C$7:$AG$7</c:f>
              <c:numCache>
                <c:formatCode>#,##0</c:formatCode>
                <c:ptCount val="31"/>
                <c:pt idx="0">
                  <c:v>100000000</c:v>
                </c:pt>
                <c:pt idx="1">
                  <c:v>100000000</c:v>
                </c:pt>
                <c:pt idx="2">
                  <c:v>99748175</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1-E4A6-480D-B02A-3069708C38B6}"/>
            </c:ext>
          </c:extLst>
        </c:ser>
        <c:ser>
          <c:idx val="2"/>
          <c:order val="2"/>
          <c:tx>
            <c:strRef>
              <c:f>Data_Grafik!$B$8</c:f>
              <c:strCache>
                <c:ptCount val="1"/>
              </c:strCache>
            </c:strRef>
          </c:tx>
          <c:spPr>
            <a:ln w="28080">
              <a:solidFill>
                <a:srgbClr val="1B7F5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Data_Grafik!$C$8:$AG$8</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2-E4A6-480D-B02A-3069708C38B6}"/>
            </c:ext>
          </c:extLst>
        </c:ser>
        <c:ser>
          <c:idx val="3"/>
          <c:order val="3"/>
          <c:tx>
            <c:strRef>
              <c:f>Data_Grafik!$B$9</c:f>
              <c:strCache>
                <c:ptCount val="1"/>
              </c:strCache>
            </c:strRef>
          </c:tx>
          <c:spPr>
            <a:ln w="18000">
              <a:solidFill>
                <a:srgbClr val="D4A01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Data_Grafik!$C$9:$AG$9</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3-E4A6-480D-B02A-3069708C38B6}"/>
            </c:ext>
          </c:extLst>
        </c:ser>
        <c:ser>
          <c:idx val="4"/>
          <c:order val="4"/>
          <c:tx>
            <c:strRef>
              <c:f>Data_Grafik!$B$10</c:f>
              <c:strCache>
                <c:ptCount val="1"/>
              </c:strCache>
            </c:strRef>
          </c:tx>
          <c:spPr>
            <a:ln w="18000">
              <a:solidFill>
                <a:srgbClr val="C2410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Data_Grafik!$C$10:$AG$10</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4-E4A6-480D-B02A-3069708C38B6}"/>
            </c:ext>
          </c:extLst>
        </c:ser>
        <c:ser>
          <c:idx val="5"/>
          <c:order val="5"/>
          <c:tx>
            <c:strRef>
              <c:f>Data_Grafik!$B$11</c:f>
              <c:strCache>
                <c:ptCount val="1"/>
              </c:strCache>
            </c:strRef>
          </c:tx>
          <c:spPr>
            <a:ln w="18000">
              <a:solidFill>
                <a:srgbClr val="7B4FC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Data_Grafik!$C$11:$AG$11</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5-E4A6-480D-B02A-3069708C38B6}"/>
            </c:ext>
          </c:extLst>
        </c:ser>
        <c:ser>
          <c:idx val="6"/>
          <c:order val="6"/>
          <c:tx>
            <c:strRef>
              <c:f>Data_Grafik!$B$12</c:f>
              <c:strCache>
                <c:ptCount val="1"/>
              </c:strCache>
            </c:strRef>
          </c:tx>
          <c:spPr>
            <a:ln w="18000">
              <a:solidFill>
                <a:srgbClr val="0E938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Data_Grafik!$C$12:$AG$12</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6-E4A6-480D-B02A-3069708C38B6}"/>
            </c:ext>
          </c:extLst>
        </c:ser>
        <c:ser>
          <c:idx val="7"/>
          <c:order val="7"/>
          <c:tx>
            <c:strRef>
              <c:f>Data_Grafik!$B$13</c:f>
              <c:strCache>
                <c:ptCount val="1"/>
              </c:strCache>
            </c:strRef>
          </c:tx>
          <c:spPr>
            <a:ln w="18000">
              <a:solidFill>
                <a:srgbClr val="DB277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Data_Grafik!$C$13:$AG$13</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7-E4A6-480D-B02A-3069708C38B6}"/>
            </c:ext>
          </c:extLst>
        </c:ser>
        <c:ser>
          <c:idx val="8"/>
          <c:order val="8"/>
          <c:tx>
            <c:strRef>
              <c:f>Data_Grafik!$B$14</c:f>
              <c:strCache>
                <c:ptCount val="1"/>
              </c:strCache>
            </c:strRef>
          </c:tx>
          <c:spPr>
            <a:ln w="18000">
              <a:solidFill>
                <a:srgbClr val="65A30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Data_Grafik!$C$14:$AG$14</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8-E4A6-480D-B02A-3069708C38B6}"/>
            </c:ext>
          </c:extLst>
        </c:ser>
        <c:ser>
          <c:idx val="9"/>
          <c:order val="9"/>
          <c:tx>
            <c:strRef>
              <c:f>Data_Grafik!$B$15</c:f>
              <c:strCache>
                <c:ptCount val="1"/>
              </c:strCache>
            </c:strRef>
          </c:tx>
          <c:spPr>
            <a:ln w="18000">
              <a:solidFill>
                <a:srgbClr val="64748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Data_Grafik!$C$5:$AG$5</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Data_Grafik!$C$15:$AG$15</c:f>
              <c:numCache>
                <c:formatCode>#,##0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9-E4A6-480D-B02A-3069708C38B6}"/>
            </c:ext>
          </c:extLst>
        </c:ser>
        <c:dLbls>
          <c:showLegendKey val="0"/>
          <c:showVal val="0"/>
          <c:showCatName val="0"/>
          <c:showSerName val="0"/>
          <c:showPercent val="0"/>
          <c:showBubbleSize val="0"/>
        </c:dLbls>
        <c:hiLowLines>
          <c:spPr>
            <a:ln w="0">
              <a:noFill/>
            </a:ln>
          </c:spPr>
        </c:hiLowLines>
        <c:smooth val="0"/>
        <c:axId val="19445946"/>
        <c:axId val="43493412"/>
      </c:lineChart>
      <c:catAx>
        <c:axId val="194459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493412"/>
        <c:crosses val="autoZero"/>
        <c:auto val="1"/>
        <c:lblAlgn val="ctr"/>
        <c:lblOffset val="100"/>
        <c:noMultiLvlLbl val="0"/>
      </c:catAx>
      <c:valAx>
        <c:axId val="43493412"/>
        <c:scaling>
          <c:orientation val="minMax"/>
        </c:scaling>
        <c:delete val="0"/>
        <c:axPos val="l"/>
        <c:majorGridlines>
          <c:spPr>
            <a:ln w="9360">
              <a:solidFill>
                <a:srgbClr val="E5E7E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Nilai aset</a:t>
                </a:r>
              </a:p>
            </c:rich>
          </c:tx>
          <c:overlay val="0"/>
          <c:spPr>
            <a:noFill/>
            <a:ln w="0">
              <a:noFill/>
            </a:ln>
          </c:spPr>
        </c:title>
        <c:numFmt formatCode="&quot;Rp&quot;#,##0,,&quot; jt&quot;"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44594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Indeks Kinerja Kelas Aset (Awal = 100)</a:t>
            </a:r>
          </a:p>
        </c:rich>
      </c:tx>
      <c:overlay val="0"/>
      <c:spPr>
        <a:noFill/>
        <a:ln w="0">
          <a:noFill/>
        </a:ln>
      </c:spPr>
    </c:title>
    <c:autoTitleDeleted val="0"/>
    <c:plotArea>
      <c:layout/>
      <c:lineChart>
        <c:grouping val="standard"/>
        <c:varyColors val="0"/>
        <c:ser>
          <c:idx val="0"/>
          <c:order val="0"/>
          <c:tx>
            <c:strRef>
              <c:f>Data_Grafik!$B$20</c:f>
              <c:strCache>
                <c:ptCount val="1"/>
                <c:pt idx="0">
                  <c:v>Sukuk/SBN</c:v>
                </c:pt>
              </c:strCache>
            </c:strRef>
          </c:tx>
          <c:spPr>
            <a:ln w="28080">
              <a:solidFill>
                <a:srgbClr val="1B7F5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Data_Grafik!$C$19:$AG$19</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Data_Grafik!$C$20:$AG$20</c:f>
              <c:numCache>
                <c:formatCode>0.0</c:formatCode>
                <c:ptCount val="31"/>
                <c:pt idx="0" formatCode="General">
                  <c:v>100</c:v>
                </c:pt>
                <c:pt idx="1">
                  <c:v>101.75</c:v>
                </c:pt>
                <c:pt idx="2">
                  <c:v>103.530625</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0-4AF4-4C1D-BB70-7A846EC6DD0A}"/>
            </c:ext>
          </c:extLst>
        </c:ser>
        <c:ser>
          <c:idx val="1"/>
          <c:order val="1"/>
          <c:tx>
            <c:strRef>
              <c:f>Data_Grafik!$B$21</c:f>
              <c:strCache>
                <c:ptCount val="1"/>
                <c:pt idx="0">
                  <c:v>Saham</c:v>
                </c:pt>
              </c:strCache>
            </c:strRef>
          </c:tx>
          <c:spPr>
            <a:ln w="28080">
              <a:solidFill>
                <a:srgbClr val="2F6FD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Data_Grafik!$C$19:$AG$19</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Data_Grafik!$C$21:$AG$21</c:f>
              <c:numCache>
                <c:formatCode>0.0</c:formatCode>
                <c:ptCount val="31"/>
                <c:pt idx="0" formatCode="General">
                  <c:v>100</c:v>
                </c:pt>
                <c:pt idx="1">
                  <c:v>97</c:v>
                </c:pt>
                <c:pt idx="2">
                  <c:v>93.11999999999999</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1-4AF4-4C1D-BB70-7A846EC6DD0A}"/>
            </c:ext>
          </c:extLst>
        </c:ser>
        <c:ser>
          <c:idx val="2"/>
          <c:order val="2"/>
          <c:tx>
            <c:strRef>
              <c:f>Data_Grafik!$B$22</c:f>
              <c:strCache>
                <c:ptCount val="1"/>
                <c:pt idx="0">
                  <c:v>RD Pasar Uang</c:v>
                </c:pt>
              </c:strCache>
            </c:strRef>
          </c:tx>
          <c:spPr>
            <a:ln w="28080">
              <a:solidFill>
                <a:srgbClr val="8A94A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Data_Grafik!$C$19:$AG$19</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Data_Grafik!$C$22:$AG$22</c:f>
              <c:numCache>
                <c:formatCode>0.0</c:formatCode>
                <c:ptCount val="31"/>
                <c:pt idx="0" formatCode="General">
                  <c:v>100</c:v>
                </c:pt>
                <c:pt idx="1">
                  <c:v>101.1</c:v>
                </c:pt>
                <c:pt idx="2">
                  <c:v>102.21209999999998</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2-4AF4-4C1D-BB70-7A846EC6DD0A}"/>
            </c:ext>
          </c:extLst>
        </c:ser>
        <c:ser>
          <c:idx val="3"/>
          <c:order val="3"/>
          <c:tx>
            <c:strRef>
              <c:f>Data_Grafik!$B$23</c:f>
              <c:strCache>
                <c:ptCount val="1"/>
                <c:pt idx="0">
                  <c:v>Emas</c:v>
                </c:pt>
              </c:strCache>
            </c:strRef>
          </c:tx>
          <c:spPr>
            <a:ln w="28080">
              <a:solidFill>
                <a:srgbClr val="D4A01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Data_Grafik!$C$19:$AG$19</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Data_Grafik!$C$23:$AG$23</c:f>
              <c:numCache>
                <c:formatCode>0.0</c:formatCode>
                <c:ptCount val="31"/>
                <c:pt idx="0" formatCode="General">
                  <c:v>100</c:v>
                </c:pt>
                <c:pt idx="1">
                  <c:v>102.2</c:v>
                </c:pt>
                <c:pt idx="2">
                  <c:v>108.53640000000001</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3-4AF4-4C1D-BB70-7A846EC6DD0A}"/>
            </c:ext>
          </c:extLst>
        </c:ser>
        <c:ser>
          <c:idx val="4"/>
          <c:order val="4"/>
          <c:tx>
            <c:strRef>
              <c:f>Data_Grafik!$B$24</c:f>
              <c:strCache>
                <c:ptCount val="1"/>
                <c:pt idx="0">
                  <c:v>RD Campuran</c:v>
                </c:pt>
              </c:strCache>
            </c:strRef>
          </c:tx>
          <c:spPr>
            <a:ln w="28080">
              <a:solidFill>
                <a:srgbClr val="7B4FC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Data_Grafik!$C$19:$AG$19</c:f>
              <c:strCache>
                <c:ptCount val="31"/>
                <c:pt idx="0">
                  <c:v>Awal</c:v>
                </c:pt>
                <c:pt idx="1">
                  <c:v>K1</c:v>
                </c:pt>
                <c:pt idx="2">
                  <c:v>K2</c:v>
                </c:pt>
                <c:pt idx="3">
                  <c:v>K3</c:v>
                </c:pt>
                <c:pt idx="4">
                  <c:v>K4</c:v>
                </c:pt>
                <c:pt idx="5">
                  <c:v>K5</c:v>
                </c:pt>
                <c:pt idx="6">
                  <c:v>K6</c:v>
                </c:pt>
                <c:pt idx="7">
                  <c:v>K7</c:v>
                </c:pt>
                <c:pt idx="8">
                  <c:v>K8</c:v>
                </c:pt>
                <c:pt idx="9">
                  <c:v>K9</c:v>
                </c:pt>
                <c:pt idx="10">
                  <c:v>K10</c:v>
                </c:pt>
                <c:pt idx="11">
                  <c:v>K11</c:v>
                </c:pt>
                <c:pt idx="12">
                  <c:v>K12</c:v>
                </c:pt>
                <c:pt idx="13">
                  <c:v>K13</c:v>
                </c:pt>
                <c:pt idx="14">
                  <c:v>K14</c:v>
                </c:pt>
                <c:pt idx="15">
                  <c:v>K15</c:v>
                </c:pt>
                <c:pt idx="16">
                  <c:v>K16</c:v>
                </c:pt>
                <c:pt idx="17">
                  <c:v>K17</c:v>
                </c:pt>
                <c:pt idx="18">
                  <c:v>K18</c:v>
                </c:pt>
                <c:pt idx="19">
                  <c:v>K19</c:v>
                </c:pt>
                <c:pt idx="20">
                  <c:v>K20</c:v>
                </c:pt>
                <c:pt idx="21">
                  <c:v>K21</c:v>
                </c:pt>
                <c:pt idx="22">
                  <c:v>K22</c:v>
                </c:pt>
                <c:pt idx="23">
                  <c:v>K23</c:v>
                </c:pt>
                <c:pt idx="24">
                  <c:v>K24</c:v>
                </c:pt>
                <c:pt idx="25">
                  <c:v>K25</c:v>
                </c:pt>
                <c:pt idx="26">
                  <c:v>K26</c:v>
                </c:pt>
                <c:pt idx="27">
                  <c:v>K27</c:v>
                </c:pt>
                <c:pt idx="28">
                  <c:v>K28</c:v>
                </c:pt>
                <c:pt idx="29">
                  <c:v>K29</c:v>
                </c:pt>
                <c:pt idx="30">
                  <c:v>K30</c:v>
                </c:pt>
              </c:strCache>
            </c:strRef>
          </c:cat>
          <c:val>
            <c:numRef>
              <c:f>Data_Grafik!$C$24:$AG$24</c:f>
              <c:numCache>
                <c:formatCode>0.0</c:formatCode>
                <c:ptCount val="31"/>
                <c:pt idx="0" formatCode="General">
                  <c:v>100</c:v>
                </c:pt>
                <c:pt idx="1">
                  <c:v>99.24</c:v>
                </c:pt>
                <c:pt idx="2">
                  <c:v>97.989576</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4-4AF4-4C1D-BB70-7A846EC6DD0A}"/>
            </c:ext>
          </c:extLst>
        </c:ser>
        <c:dLbls>
          <c:showLegendKey val="0"/>
          <c:showVal val="0"/>
          <c:showCatName val="0"/>
          <c:showSerName val="0"/>
          <c:showPercent val="0"/>
          <c:showBubbleSize val="0"/>
        </c:dLbls>
        <c:hiLowLines>
          <c:spPr>
            <a:ln w="0">
              <a:noFill/>
            </a:ln>
          </c:spPr>
        </c:hiLowLines>
        <c:smooth val="0"/>
        <c:axId val="43993927"/>
        <c:axId val="69002337"/>
      </c:lineChart>
      <c:catAx>
        <c:axId val="439939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002337"/>
        <c:crosses val="autoZero"/>
        <c:auto val="1"/>
        <c:lblAlgn val="ctr"/>
        <c:lblOffset val="100"/>
        <c:noMultiLvlLbl val="0"/>
      </c:catAx>
      <c:valAx>
        <c:axId val="69002337"/>
        <c:scaling>
          <c:orientation val="minMax"/>
        </c:scaling>
        <c:delete val="0"/>
        <c:axPos val="l"/>
        <c:majorGridlines>
          <c:spPr>
            <a:ln w="9360">
              <a:solidFill>
                <a:srgbClr val="E5E7E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Indeks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99392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10</xdr:col>
      <xdr:colOff>293760</xdr:colOff>
      <xdr:row>50</xdr:row>
      <xdr:rowOff>105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32</xdr:row>
      <xdr:rowOff>0</xdr:rowOff>
    </xdr:from>
    <xdr:to>
      <xdr:col>20</xdr:col>
      <xdr:colOff>516960</xdr:colOff>
      <xdr:row>50</xdr:row>
      <xdr:rowOff>105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57150</xdr:colOff>
      <xdr:row>10</xdr:row>
      <xdr:rowOff>180975</xdr:rowOff>
    </xdr:from>
    <xdr:to>
      <xdr:col>22</xdr:col>
      <xdr:colOff>495300</xdr:colOff>
      <xdr:row>16</xdr:row>
      <xdr:rowOff>19050</xdr:rowOff>
    </xdr:to>
    <xdr:sp macro="" textlink="">
      <xdr:nvSpPr>
        <xdr:cNvPr id="4" name="Rounded Rectangle 3">
          <a:extLst>
            <a:ext uri="{FF2B5EF4-FFF2-40B4-BE49-F238E27FC236}">
              <a16:creationId xmlns:a16="http://schemas.microsoft.com/office/drawing/2014/main" id="{EF219877-61C1-4E28-BEC7-FF061DBE41CE}"/>
            </a:ext>
            <a:ext uri="{147F2762-F138-4A5C-976F-8EAC2B608ADB}">
              <a16:predDERef xmlns:a16="http://schemas.microsoft.com/office/drawing/2014/main" pred="{00000000-0008-0000-0000-000003000000}"/>
            </a:ext>
            <a:ext uri="{6ECC49D1-AA05-4338-93AA-15A1B29DFB0A}">
              <asl:scriptLink xmlns:asl="http://schemas.microsoft.com/office/drawing/2021/scriptlink" val="{&quot;shareId&quot;:&quot;ms-officescript%3A%2F%2Fonedrive_business_sharinglink%2Fu!aHR0cHM6Ly9rZW1lbmtldS1teS5zaGFyZXBvaW50LmNvbS86dTovZy9wZXJzb25hbC9ka2hhcmlzbWFfa2VtZW5rZXVfZ29faWQvSVFCQ01CeTN4cFhpVElNdlczU09WLVZaQWZFWG1WVG9WQkR2SHIxMWJHTzZEN1k&quot;}"/>
            </a:ext>
          </a:extLst>
        </xdr:cNvPr>
        <xdr:cNvSpPr/>
      </xdr:nvSpPr>
      <xdr:spPr>
        <a:xfrm>
          <a:off x="12115800" y="2981325"/>
          <a:ext cx="1019175" cy="1333500"/>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Kocok Kartu</a:t>
          </a:r>
        </a:p>
      </xdr:txBody>
    </xdr:sp>
    <xdr:clientData/>
  </xdr:twoCellAnchor>
  <xdr:twoCellAnchor>
    <xdr:from>
      <xdr:col>12</xdr:col>
      <xdr:colOff>19050</xdr:colOff>
      <xdr:row>9</xdr:row>
      <xdr:rowOff>47625</xdr:rowOff>
    </xdr:from>
    <xdr:to>
      <xdr:col>20</xdr:col>
      <xdr:colOff>571500</xdr:colOff>
      <xdr:row>9</xdr:row>
      <xdr:rowOff>342900</xdr:rowOff>
    </xdr:to>
    <xdr:sp macro="" textlink="">
      <xdr:nvSpPr>
        <xdr:cNvPr id="5" name="Rounded Rectangle 4">
          <a:extLst>
            <a:ext uri="{FF2B5EF4-FFF2-40B4-BE49-F238E27FC236}">
              <a16:creationId xmlns:a16="http://schemas.microsoft.com/office/drawing/2014/main" id="{FE137018-1D62-4A25-9170-20F72AEB9ADC}"/>
            </a:ext>
            <a:ext uri="{147F2762-F138-4A5C-976F-8EAC2B608ADB}">
              <a16:predDERef xmlns:a16="http://schemas.microsoft.com/office/drawing/2014/main" pred="{EF219877-61C1-4E28-BEC7-FF061DBE41CE}"/>
            </a:ext>
            <a:ext uri="{6ECC49D1-AA05-4338-93AA-15A1B29DFB0A}">
              <asl:scriptLink xmlns:asl="http://schemas.microsoft.com/office/drawing/2021/scriptlink" val="{&quot;shareId&quot;:&quot;ms-officescript%3A%2F%2Fonedrive_business_sharinglink%2Fu!aHR0cHM6Ly9rZW1lbmtldS1teS5zaGFyZXBvaW50LmNvbS86dTovZy9wZXJzb25hbC9ka2hhcmlzbWFfa2VtZW5rZXVfZ29faWQvSVFCMnMtWGQ5MjB3U3FSRmRrejN3X1VlQVI5YURmRWxueVpWdkxkTk1QUHhOdEU&quot;}"/>
            </a:ext>
          </a:extLst>
        </xdr:cNvPr>
        <xdr:cNvSpPr/>
      </xdr:nvSpPr>
      <xdr:spPr>
        <a:xfrm>
          <a:off x="6505575" y="2466975"/>
          <a:ext cx="5505450" cy="295275"/>
        </a:xfrm>
        <a:prstGeom prst="roundRect">
          <a:avLst/>
        </a:prstGeom>
        <a:solidFill>
          <a:srgbClr val="107C41"/>
        </a:solidFill>
        <a:ln w="25400" cap="flat" cmpd="sng" algn="ctr">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Batalkan putaran</a:t>
          </a:r>
        </a:p>
      </xdr:txBody>
    </xdr:sp>
    <xdr:clientData/>
  </xdr:twoCellAnchor>
  <xdr:twoCellAnchor>
    <xdr:from>
      <xdr:col>21</xdr:col>
      <xdr:colOff>66675</xdr:colOff>
      <xdr:row>5</xdr:row>
      <xdr:rowOff>28575</xdr:rowOff>
    </xdr:from>
    <xdr:to>
      <xdr:col>22</xdr:col>
      <xdr:colOff>504825</xdr:colOff>
      <xdr:row>8</xdr:row>
      <xdr:rowOff>0</xdr:rowOff>
    </xdr:to>
    <xdr:sp macro="" textlink="">
      <xdr:nvSpPr>
        <xdr:cNvPr id="6" name="Rounded Rectangle 5">
          <a:extLst>
            <a:ext uri="{FF2B5EF4-FFF2-40B4-BE49-F238E27FC236}">
              <a16:creationId xmlns:a16="http://schemas.microsoft.com/office/drawing/2014/main" id="{75A66A29-0EC5-4392-A2A9-C53AC2EC3482}"/>
            </a:ext>
            <a:ext uri="{147F2762-F138-4A5C-976F-8EAC2B608ADB}">
              <a16:predDERef xmlns:a16="http://schemas.microsoft.com/office/drawing/2014/main" pred="{FE137018-1D62-4A25-9170-20F72AEB9ADC}"/>
            </a:ext>
            <a:ext uri="{6ECC49D1-AA05-4338-93AA-15A1B29DFB0A}">
              <asl:scriptLink xmlns:asl="http://schemas.microsoft.com/office/drawing/2021/scriptlink" val="{&quot;shareId&quot;:&quot;ms-officescript%3A%2F%2Fonedrive_business_sharinglink%2Fu!aHR0cHM6Ly9rZW1lbmtldS1teS5zaGFyZXBvaW50LmNvbS86dTovZy9wZXJzb25hbC9ka2hhcmlzbWFfa2VtZW5rZXVfZ29faWQvSVFBNHNndzVMRWg2U29VcDN5THBVamhFQWZTZ2x0ai1kQzBMX1QweG5Zb3lmeEU&quot;}"/>
            </a:ext>
          </a:extLst>
        </xdr:cNvPr>
        <xdr:cNvSpPr/>
      </xdr:nvSpPr>
      <xdr:spPr>
        <a:xfrm>
          <a:off x="12125325" y="1171575"/>
          <a:ext cx="1019175" cy="1152525"/>
        </a:xfrm>
        <a:prstGeom prst="round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a:t>Run Hapus Input Peserta</a:t>
          </a:r>
        </a:p>
      </xdr:txBody>
    </xdr:sp>
    <xdr:clientData/>
  </xdr:twoCellAnchor>
  <xdr:twoCellAnchor>
    <xdr:from>
      <xdr:col>21</xdr:col>
      <xdr:colOff>38100</xdr:colOff>
      <xdr:row>0</xdr:row>
      <xdr:rowOff>171450</xdr:rowOff>
    </xdr:from>
    <xdr:to>
      <xdr:col>22</xdr:col>
      <xdr:colOff>485775</xdr:colOff>
      <xdr:row>5</xdr:row>
      <xdr:rowOff>0</xdr:rowOff>
    </xdr:to>
    <xdr:sp macro="" textlink="">
      <xdr:nvSpPr>
        <xdr:cNvPr id="7" name="Rounded Rectangle 6">
          <a:extLst>
            <a:ext uri="{FF2B5EF4-FFF2-40B4-BE49-F238E27FC236}">
              <a16:creationId xmlns:a16="http://schemas.microsoft.com/office/drawing/2014/main" id="{F60626C6-BC28-42C9-8880-9F56DA3E191C}"/>
            </a:ext>
            <a:ext uri="{147F2762-F138-4A5C-976F-8EAC2B608ADB}">
              <a16:predDERef xmlns:a16="http://schemas.microsoft.com/office/drawing/2014/main" pred="{75A66A29-0EC5-4392-A2A9-C53AC2EC3482}"/>
            </a:ext>
            <a:ext uri="{6ECC49D1-AA05-4338-93AA-15A1B29DFB0A}">
              <asl:scriptLink xmlns:asl="http://schemas.microsoft.com/office/drawing/2021/scriptlink" val="{&quot;shareId&quot;:&quot;ms-officescript%3A%2F%2Fonedrive_business_sharinglink%2Fu!aHR0cHM6Ly9rZW1lbmtldS1teS5zaGFyZXBvaW50LmNvbS86dTovZy9wZXJzb25hbC9ka2hhcmlzbWFfa2VtZW5rZXVfZ29faWQvSVFETTB4dkV6LVJlU1p0ek5zZ0JvWWlMQWJHSGVfcWR6bGJKYzNneFdMTmtOUXM&quot;}"/>
            </a:ext>
          </a:extLst>
        </xdr:cNvPr>
        <xdr:cNvSpPr/>
      </xdr:nvSpPr>
      <xdr:spPr>
        <a:xfrm>
          <a:off x="12096750" y="171450"/>
          <a:ext cx="1028700" cy="97155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a:t>Run Reset Game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put" displayName="tblInput" ref="A1:K4" totalsRowShown="0">
  <autoFilter ref="A1:K4" xr:uid="{00000000-0009-0000-0100-000001000000}"/>
  <tableColumns count="11">
    <tableColumn id="1" xr3:uid="{00000000-0010-0000-0000-000001000000}" name="Waktu"/>
    <tableColumn id="2" xr3:uid="{00000000-0010-0000-0000-000002000000}" name="Kode">
      <calculatedColumnFormula>IF(tblInput[[#This Row],[Waktu]]="","","P"&amp;COUNTA(INDEX(tblInput[Waktu],1):tblInput[[#This Row],[Waktu]]))</calculatedColumnFormula>
    </tableColumn>
    <tableColumn id="3" xr3:uid="{00000000-0010-0000-0000-000003000000}" name="Nama"/>
    <tableColumn id="4" xr3:uid="{00000000-0010-0000-0000-000004000000}" name="Tahap"/>
    <tableColumn id="5" xr3:uid="{00000000-0010-0000-0000-000005000000}" name="Sukuk"/>
    <tableColumn id="6" xr3:uid="{00000000-0010-0000-0000-000006000000}" name="Saham"/>
    <tableColumn id="7" xr3:uid="{00000000-0010-0000-0000-000007000000}" name="RDPU"/>
    <tableColumn id="8" xr3:uid="{00000000-0010-0000-0000-000008000000}" name="Emas"/>
    <tableColumn id="9" xr3:uid="{00000000-0010-0000-0000-000009000000}" name="Campuran"/>
    <tableColumn id="10" xr3:uid="{00000000-0010-0000-0000-00000A000000}" name="Email"/>
    <tableColumn id="11" xr3:uid="{49CB9456-BA2D-43C7-9C3D-B59DE85A0BAF}" name="Column1"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822293-CA29-4832-8C7F-13231687D2E3}">
  <we:reference id="wa200010725" version="1.0.0.1" store="en-US" storeType="OMEX"/>
  <we:alternateReferences>
    <we:reference id="WA200010725" version="1.0.0.1" store="" storeType="OMEX"/>
  </we:alternateReferences>
  <we:properties>
    <we:property name="claude.fileId" value="&quot;b807cec1-2a47-44ec-b88a-f54d3bcf6a4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9"/>
  <sheetViews>
    <sheetView showGridLines="0" topLeftCell="A4" zoomScale="90" zoomScaleNormal="90" workbookViewId="0">
      <selection activeCell="Y7" sqref="Y7"/>
    </sheetView>
  </sheetViews>
  <sheetFormatPr defaultColWidth="8.7109375" defaultRowHeight="14.45"/>
  <cols>
    <col min="1" max="1" width="2" customWidth="1"/>
    <col min="2" max="11" width="9.28515625" customWidth="1"/>
    <col min="12" max="12" width="2.42578125" customWidth="1"/>
    <col min="13" max="21" width="9.28515625" customWidth="1"/>
  </cols>
  <sheetData>
    <row r="1" spans="1:23">
      <c r="A1" s="2"/>
      <c r="B1" s="2"/>
      <c r="C1" s="2"/>
      <c r="D1" s="2"/>
      <c r="E1" s="2"/>
      <c r="F1" s="2"/>
      <c r="G1" s="2"/>
      <c r="H1" s="2"/>
      <c r="I1" s="2"/>
      <c r="J1" s="2"/>
      <c r="K1" s="2"/>
      <c r="L1" s="2"/>
      <c r="M1" s="2"/>
      <c r="N1" s="2"/>
      <c r="O1" s="2"/>
      <c r="P1" s="2"/>
      <c r="Q1" s="2"/>
      <c r="R1" s="2"/>
      <c r="S1" s="2"/>
      <c r="T1" s="2"/>
      <c r="U1" s="2"/>
      <c r="V1" s="2"/>
      <c r="W1" s="2"/>
    </row>
    <row r="2" spans="1:23" ht="24" customHeight="1">
      <c r="A2" s="2"/>
      <c r="B2" s="55" t="str">
        <f>NamaAcara</f>
        <v>Game Investasi: Kelola Portofolio, Hadapi Skenario</v>
      </c>
      <c r="C2" s="55"/>
      <c r="D2" s="55"/>
      <c r="E2" s="55"/>
      <c r="F2" s="55"/>
      <c r="G2" s="55"/>
      <c r="H2" s="55"/>
      <c r="I2" s="55"/>
      <c r="J2" s="55"/>
      <c r="K2" s="55"/>
      <c r="L2" s="55"/>
      <c r="M2" s="55"/>
      <c r="N2" s="55"/>
      <c r="O2" s="55"/>
      <c r="P2" s="55"/>
      <c r="Q2" s="55"/>
      <c r="R2" s="55"/>
      <c r="S2" s="55"/>
      <c r="T2" s="55"/>
      <c r="U2" s="55"/>
      <c r="V2" s="2"/>
      <c r="W2" s="2"/>
    </row>
    <row r="3" spans="1:23" ht="24" customHeight="1">
      <c r="A3" s="2"/>
      <c r="B3" s="55"/>
      <c r="C3" s="55"/>
      <c r="D3" s="55"/>
      <c r="E3" s="55"/>
      <c r="F3" s="55"/>
      <c r="G3" s="55"/>
      <c r="H3" s="55"/>
      <c r="I3" s="55"/>
      <c r="J3" s="55"/>
      <c r="K3" s="55"/>
      <c r="L3" s="55"/>
      <c r="M3" s="55"/>
      <c r="N3" s="55"/>
      <c r="O3" s="55"/>
      <c r="P3" s="55"/>
      <c r="Q3" s="55"/>
      <c r="R3" s="55"/>
      <c r="S3" s="55"/>
      <c r="T3" s="55"/>
      <c r="U3" s="55"/>
      <c r="V3" s="2"/>
      <c r="W3" s="2"/>
    </row>
    <row r="4" spans="1:23" ht="19.5" customHeight="1">
      <c r="A4" s="2"/>
      <c r="B4" s="56" t="s">
        <v>0</v>
      </c>
      <c r="C4" s="56"/>
      <c r="D4" s="56"/>
      <c r="E4" s="56"/>
      <c r="F4" s="56"/>
      <c r="G4" s="56"/>
      <c r="H4" s="56"/>
      <c r="I4" s="56"/>
      <c r="J4" s="56"/>
      <c r="K4" s="56"/>
      <c r="L4" s="56"/>
      <c r="M4" s="56"/>
      <c r="N4" s="56"/>
      <c r="O4" s="56"/>
      <c r="P4" s="56"/>
      <c r="Q4" s="56"/>
      <c r="R4" s="56"/>
      <c r="S4" s="56"/>
      <c r="T4" s="56"/>
      <c r="U4" s="56"/>
      <c r="V4" s="2"/>
      <c r="W4" s="2"/>
    </row>
    <row r="5" spans="1:23" ht="7.5" customHeight="1">
      <c r="A5" s="2"/>
      <c r="B5" s="2"/>
      <c r="C5" s="2"/>
      <c r="D5" s="2"/>
      <c r="E5" s="2"/>
      <c r="F5" s="2"/>
      <c r="G5" s="2"/>
      <c r="H5" s="2"/>
      <c r="I5" s="2"/>
      <c r="J5" s="2"/>
      <c r="K5" s="2"/>
      <c r="L5" s="2"/>
      <c r="M5" s="2"/>
      <c r="N5" s="2"/>
      <c r="O5" s="2"/>
      <c r="P5" s="2"/>
      <c r="Q5" s="2"/>
      <c r="R5" s="2"/>
      <c r="S5" s="2"/>
      <c r="T5" s="2"/>
      <c r="U5" s="2"/>
      <c r="V5" s="2"/>
      <c r="W5" s="2"/>
    </row>
    <row r="6" spans="1:23" ht="18" customHeight="1">
      <c r="A6" s="2"/>
      <c r="B6" s="57" t="s">
        <v>1</v>
      </c>
      <c r="C6" s="57"/>
      <c r="D6" s="57"/>
      <c r="E6" s="57"/>
      <c r="F6" s="57" t="s">
        <v>2</v>
      </c>
      <c r="G6" s="57"/>
      <c r="H6" s="57"/>
      <c r="I6" s="57"/>
      <c r="J6" s="57" t="s">
        <v>3</v>
      </c>
      <c r="K6" s="57"/>
      <c r="L6" s="57"/>
      <c r="M6" s="57"/>
      <c r="N6" s="57" t="s">
        <v>4</v>
      </c>
      <c r="O6" s="57"/>
      <c r="P6" s="57"/>
      <c r="Q6" s="57"/>
      <c r="R6" s="57" t="s">
        <v>5</v>
      </c>
      <c r="S6" s="57"/>
      <c r="T6" s="57"/>
      <c r="U6" s="57"/>
      <c r="V6" s="2"/>
      <c r="W6" s="2"/>
    </row>
    <row r="7" spans="1:23" ht="57" customHeight="1">
      <c r="A7" s="2"/>
      <c r="B7" s="58" t="str">
        <f>PutaranKini&amp;" / "&amp;JmlPutaran</f>
        <v>2 / 30</v>
      </c>
      <c r="C7" s="58"/>
      <c r="D7" s="58"/>
      <c r="E7" s="58"/>
      <c r="F7" s="58" t="str">
        <f>IF(PutaranKini=0,"Awal",("Tahun "&amp;(INT((PutaranKini-1)/4)+1)&amp;" · Q"&amp;(MOD(PutaranKini-1,4)+1)))</f>
        <v>Tahun 1 · Q2</v>
      </c>
      <c r="G7" s="58"/>
      <c r="H7" s="58"/>
      <c r="I7" s="58"/>
      <c r="J7" s="58" t="str">
        <f>"Tahap "&amp;MIN(INT(MAX(PutaranKini-1,0)/10)+1,IF(JmlPutaran=10,1,3))&amp;IF(JmlPutaran=10," (tunggal)"," dari 3")</f>
        <v>Tahap 1 dari 3</v>
      </c>
      <c r="K7" s="58"/>
      <c r="L7" s="58"/>
      <c r="M7" s="58"/>
      <c r="N7" s="58">
        <f>COUNTIF(Perhitungan!$AQ$6:$AQ$65,TRUE())</f>
        <v>2</v>
      </c>
      <c r="O7" s="58"/>
      <c r="P7" s="58"/>
      <c r="Q7" s="58"/>
      <c r="R7" s="59">
        <f>IF(COUNTIF(Perhitungan!$AQ$6:$AQ$65,TRUE())=0,"-",MAX(Perhitungan!$BW$6:$BW$65))</f>
        <v>101052942.49999999</v>
      </c>
      <c r="S7" s="59"/>
      <c r="T7" s="59"/>
      <c r="U7" s="59"/>
      <c r="V7" s="2"/>
      <c r="W7" s="2"/>
    </row>
    <row r="8" spans="1:23" ht="18" customHeight="1">
      <c r="A8" s="2"/>
      <c r="B8" s="60" t="str">
        <f>IF(PutaranKini&gt;=JmlPutaran,"Permainan selesai 🎉","Sisa "&amp;(JmlPutaran-PutaranKini)&amp;" putaran")</f>
        <v>Sisa 28 putaran</v>
      </c>
      <c r="C8" s="60"/>
      <c r="D8" s="60"/>
      <c r="E8" s="60"/>
      <c r="F8" s="60" t="str">
        <f>"≈ "&amp;FIXED(PutaranKini/4,1)&amp;" tahun berjalan"</f>
        <v>≈ 0.5 tahun berjalan</v>
      </c>
      <c r="G8" s="60"/>
      <c r="H8" s="60"/>
      <c r="I8" s="60"/>
      <c r="J8" s="60" t="str">
        <f>"Tahap aktif di pengaturan: "&amp;TahapAktif</f>
        <v>Tahap aktif di pengaturan: 3</v>
      </c>
      <c r="K8" s="60"/>
      <c r="L8" s="60"/>
      <c r="M8" s="60"/>
      <c r="N8" s="60" t="str">
        <f>IF(SUMPRODUCT((Perhitungan!$K$6:$K$65&lt;&gt;"OK")*(Perhitungan!$K$6:$K$65&lt;&gt;"Belum isi"))+SUMPRODUCT((Perhitungan!$S$6:$S$65&lt;&gt;"OK")*(Perhitungan!$S$6:$S$65&lt;&gt;"Belum isi"))+SUMPRODUCT((Perhitungan!$AA$6:$AA$65&lt;&gt;"OK")*(Perhitungan!$AA$6:$AA$65&lt;&gt;"Belum isi"))=0,"Semua input valid ✓","⚠ "&amp;(SUMPRODUCT((Perhitungan!$K$6:$K$65&lt;&gt;"OK")*(Perhitungan!$K$6:$K$65&lt;&gt;"Belum isi"))+SUMPRODUCT((Perhitungan!$S$6:$S$65&lt;&gt;"OK")*(Perhitungan!$S$6:$S$65&lt;&gt;"Belum isi"))+SUMPRODUCT((Perhitungan!$AA$6:$AA$65&lt;&gt;"OK")*(Perhitungan!$AA$6:$AA$65&lt;&gt;"Belum isi")))&amp;" input perlu dicek")</f>
        <v>⚠ 1 input perlu dicek</v>
      </c>
      <c r="O8" s="60"/>
      <c r="P8" s="60"/>
      <c r="Q8" s="60"/>
      <c r="R8" s="60" t="str">
        <f>IF(COUNTIF(Perhitungan!$AQ$6:$AQ$65,TRUE())=0,"Menunggu peserta","Rata-rata: "&amp;FIXED(AVERAGEIF(Perhitungan!$AQ$6:$AQ$65,TRUE(),Perhitungan!$BW$6:$BW$65)/1000000,1)&amp;" jt")</f>
        <v>Rata-rata: 100.4 jt</v>
      </c>
      <c r="S8" s="60"/>
      <c r="T8" s="60"/>
      <c r="U8" s="60"/>
      <c r="V8" s="2"/>
      <c r="W8" s="2"/>
    </row>
    <row r="9" spans="1:23" ht="7.5" customHeight="1">
      <c r="A9" s="2"/>
      <c r="B9" s="2"/>
      <c r="C9" s="2"/>
      <c r="D9" s="2"/>
      <c r="E9" s="2"/>
      <c r="F9" s="2"/>
      <c r="G9" s="2"/>
      <c r="H9" s="2"/>
      <c r="I9" s="2"/>
      <c r="J9" s="2"/>
      <c r="K9" s="2"/>
      <c r="L9" s="2"/>
      <c r="M9" s="2"/>
      <c r="N9" s="2"/>
      <c r="O9" s="2"/>
      <c r="P9" s="2"/>
      <c r="Q9" s="2"/>
      <c r="R9" s="2"/>
      <c r="S9" s="2"/>
      <c r="T9" s="2"/>
      <c r="U9" s="2"/>
      <c r="V9" s="2"/>
      <c r="W9" s="2"/>
    </row>
    <row r="10" spans="1:23" ht="30" customHeight="1">
      <c r="A10" s="2"/>
      <c r="B10" s="61" t="str">
        <f>"Pesan sistem: "&amp;IF(Pengaturan!$C$27="","siap",Pengaturan!$C$27)</f>
        <v>Pesan sistem: Putaran 2: kartu K053 keluar (2026-10-07 16:33:57 WIB).</v>
      </c>
      <c r="C10" s="61"/>
      <c r="D10" s="61"/>
      <c r="E10" s="61"/>
      <c r="F10" s="61"/>
      <c r="G10" s="61"/>
      <c r="H10" s="61"/>
      <c r="I10" s="61"/>
      <c r="J10" s="61"/>
      <c r="K10" s="61"/>
      <c r="L10" s="2"/>
      <c r="M10" s="62"/>
      <c r="N10" s="62"/>
      <c r="O10" s="62"/>
      <c r="P10" s="62"/>
      <c r="Q10" s="62"/>
      <c r="R10" s="62"/>
      <c r="S10" s="62"/>
      <c r="T10" s="62"/>
      <c r="U10" s="62"/>
      <c r="V10" s="2"/>
      <c r="W10" s="2"/>
    </row>
    <row r="11" spans="1:23">
      <c r="A11" s="2"/>
      <c r="B11" s="2"/>
      <c r="C11" s="2"/>
      <c r="D11" s="2"/>
      <c r="E11" s="2"/>
      <c r="F11" s="2"/>
      <c r="G11" s="2"/>
      <c r="H11" s="2"/>
      <c r="I11" s="2"/>
      <c r="J11" s="2"/>
      <c r="K11" s="2"/>
      <c r="L11" s="2"/>
      <c r="M11" s="2"/>
      <c r="N11" s="2"/>
      <c r="O11" s="2"/>
      <c r="P11" s="2"/>
      <c r="Q11" s="2"/>
      <c r="R11" s="2"/>
      <c r="S11" s="2"/>
      <c r="T11" s="2"/>
      <c r="U11" s="2"/>
      <c r="V11" s="2"/>
      <c r="W11" s="2"/>
    </row>
    <row r="12" spans="1:23" ht="21.75" customHeight="1">
      <c r="A12" s="2"/>
      <c r="B12" s="63" t="s">
        <v>6</v>
      </c>
      <c r="C12" s="63"/>
      <c r="D12" s="63"/>
      <c r="E12" s="63"/>
      <c r="F12" s="63"/>
      <c r="G12" s="63"/>
      <c r="H12" s="63"/>
      <c r="I12" s="63"/>
      <c r="J12" s="63"/>
      <c r="K12" s="63"/>
      <c r="L12" s="2"/>
      <c r="M12" s="63" t="s">
        <v>7</v>
      </c>
      <c r="N12" s="63"/>
      <c r="O12" s="63"/>
      <c r="P12" s="63"/>
      <c r="Q12" s="63"/>
      <c r="R12" s="63"/>
      <c r="S12" s="63"/>
      <c r="T12" s="63"/>
      <c r="U12" s="63"/>
      <c r="V12" s="2"/>
      <c r="W12" s="2"/>
    </row>
    <row r="13" spans="1:23" ht="18" customHeight="1">
      <c r="A13" s="2"/>
      <c r="B13" s="64" t="str">
        <f>IF(PutaranKini=0,"—","Putaran "&amp;PutaranKini&amp;" · "&amp;IF(PutaranKini=0,"",INDEX(Log_Putaran!$C$6:$C$35,PutaranKini)))</f>
        <v>Putaran 2 · K053</v>
      </c>
      <c r="C13" s="64"/>
      <c r="D13" s="64"/>
      <c r="E13" s="65" t="str">
        <f>IF(PutaranKini=0,"",INDEX(Kartu!$B$6:$B$105,MATCH(IF(PutaranKini=0,"",INDEX(Log_Putaran!$C$6:$C$35,PutaranKini)),Kartu!$A$6:$A$105,0)))</f>
        <v>Geopolitik &amp; Global</v>
      </c>
      <c r="F13" s="65"/>
      <c r="G13" s="65"/>
      <c r="H13" s="65"/>
      <c r="I13" s="65"/>
      <c r="J13" s="65"/>
      <c r="K13" s="65"/>
      <c r="L13" s="2"/>
      <c r="M13" s="1" t="s">
        <v>8</v>
      </c>
      <c r="N13" s="1" t="s">
        <v>9</v>
      </c>
      <c r="O13" s="66" t="s">
        <v>10</v>
      </c>
      <c r="P13" s="66"/>
      <c r="Q13" s="66"/>
      <c r="R13" s="66" t="s">
        <v>11</v>
      </c>
      <c r="S13" s="66"/>
      <c r="T13" s="1" t="s">
        <v>12</v>
      </c>
      <c r="U13" s="1" t="s">
        <v>13</v>
      </c>
      <c r="V13" s="2"/>
      <c r="W13" s="2"/>
    </row>
    <row r="14" spans="1:23" ht="21.75" customHeight="1">
      <c r="A14" s="2"/>
      <c r="B14" s="67" t="str">
        <f>IF(PutaranKini=0,"Belum ada kartu — tekan tombol Kocok Kartu untuk memulai",INDEX(Kartu!$C$6:$C$105,MATCH(IF(PutaranKini=0,"",INDEX(Log_Putaran!$C$6:$C$35,PutaranKini)),Kartu!$A$6:$A$105,0)))</f>
        <v>Ketegangan Laut China Selatan</v>
      </c>
      <c r="C14" s="67"/>
      <c r="D14" s="67"/>
      <c r="E14" s="67"/>
      <c r="F14" s="67"/>
      <c r="G14" s="67"/>
      <c r="H14" s="67"/>
      <c r="I14" s="67"/>
      <c r="J14" s="67"/>
      <c r="K14" s="67"/>
      <c r="L14" s="2"/>
      <c r="M14" s="3" t="str">
        <f>IF(Data_Grafik!$AI$6="","","🥇")</f>
        <v>🥇</v>
      </c>
      <c r="N14" s="4" t="str">
        <f>IF(Data_Grafik!$AI$6="","",IF(PutaranKini=0,"–",IF(INDEX(Perhitungan!$CE$6:$CE$65,Data_Grafik!$AI$6)&gt;0,"▲"&amp;INDEX(Perhitungan!$CE$6:$CE$65,Data_Grafik!$AI$6),IF(INDEX(Perhitungan!$CE$6:$CE$65,Data_Grafik!$AI$6)&lt;0,"▼"&amp;-INDEX(Perhitungan!$CE$6:$CE$65,Data_Grafik!$AI$6),"–"))))</f>
        <v>–</v>
      </c>
      <c r="O14" s="68" t="str">
        <f>Data_Grafik!B6</f>
        <v/>
      </c>
      <c r="P14" s="68"/>
      <c r="Q14" s="68"/>
      <c r="R14" s="69">
        <f>IF(Data_Grafik!$AI$6="","",INDEX(Perhitungan!$BW$6:$BW$65,Data_Grafik!$AI$6))</f>
        <v>101052942.49999999</v>
      </c>
      <c r="S14" s="69"/>
      <c r="T14" s="5">
        <f>IF(Data_Grafik!$AI$6="","",INDEX(Perhitungan!$BY$6:$BY$65,Data_Grafik!$AI$6))</f>
        <v>1.052942499999987E-2</v>
      </c>
      <c r="U14" s="6">
        <f>IF(Data_Grafik!$AI$6="","",INDEX(Perhitungan!$BZ$6:$BZ$65,Data_Grafik!$AI$6))</f>
        <v>0</v>
      </c>
      <c r="V14" s="2"/>
      <c r="W14" s="2"/>
    </row>
    <row r="15" spans="1:23" ht="21.75" customHeight="1">
      <c r="A15" s="2"/>
      <c r="B15" s="67"/>
      <c r="C15" s="67"/>
      <c r="D15" s="67"/>
      <c r="E15" s="67"/>
      <c r="F15" s="67"/>
      <c r="G15" s="67"/>
      <c r="H15" s="67"/>
      <c r="I15" s="67"/>
      <c r="J15" s="67"/>
      <c r="K15" s="67"/>
      <c r="L15" s="2"/>
      <c r="M15" s="3" t="str">
        <f>IF(Data_Grafik!$AI$7="","","🥈")</f>
        <v>🥈</v>
      </c>
      <c r="N15" s="4" t="str">
        <f>IF(Data_Grafik!$AI$7="","",IF(PutaranKini=0,"–",IF(INDEX(Perhitungan!$CE$6:$CE$65,Data_Grafik!$AI$7)&gt;0,"▲"&amp;INDEX(Perhitungan!$CE$6:$CE$65,Data_Grafik!$AI$7),IF(INDEX(Perhitungan!$CE$6:$CE$65,Data_Grafik!$AI$7)&lt;0,"▼"&amp;-INDEX(Perhitungan!$CE$6:$CE$65,Data_Grafik!$AI$7),"–"))))</f>
        <v>–</v>
      </c>
      <c r="O15" s="68" t="str">
        <f>Data_Grafik!B7</f>
        <v>pandu</v>
      </c>
      <c r="P15" s="68"/>
      <c r="Q15" s="68"/>
      <c r="R15" s="69">
        <f>IF(Data_Grafik!$AI$7="","",INDEX(Perhitungan!$BW$6:$BW$65,Data_Grafik!$AI$7))</f>
        <v>99748175</v>
      </c>
      <c r="S15" s="69"/>
      <c r="T15" s="5">
        <f>IF(Data_Grafik!$AI$7="","",INDEX(Perhitungan!$BY$6:$BY$65,Data_Grafik!$AI$7))</f>
        <v>-2.5182500000000552E-3</v>
      </c>
      <c r="U15" s="6">
        <f>IF(Data_Grafik!$AI$7="","",INDEX(Perhitungan!$BZ$6:$BZ$65,Data_Grafik!$AI$7))</f>
        <v>2.5182500000000552E-3</v>
      </c>
      <c r="V15" s="2"/>
      <c r="W15" s="2"/>
    </row>
    <row r="16" spans="1:23" ht="19.5" customHeight="1">
      <c r="A16" s="2"/>
      <c r="B16" s="70" t="str">
        <f>IF(PutaranKini=0,"",INDEX(Kartu!$D$6:$D$105,MATCH(IF(PutaranKini=0,"",INDEX(Log_Putaran!$C$6:$C$35,PutaranKini)),Kartu!$A$6:$A$105,0)))</f>
        <v>Insiden militer meningkatkan ketegangan kawasan.</v>
      </c>
      <c r="C16" s="70"/>
      <c r="D16" s="70"/>
      <c r="E16" s="70"/>
      <c r="F16" s="70"/>
      <c r="G16" s="70"/>
      <c r="H16" s="70"/>
      <c r="I16" s="70"/>
      <c r="J16" s="70"/>
      <c r="K16" s="70"/>
      <c r="L16" s="2"/>
      <c r="M16" s="3" t="str">
        <f>IF(Data_Grafik!$AI$8="","","🥉")</f>
        <v/>
      </c>
      <c r="N16" s="4" t="str">
        <f>IF(Data_Grafik!$AI$8="","",IF(PutaranKini=0,"–",IF(INDEX(Perhitungan!$CE$6:$CE$65,Data_Grafik!$AI$8)&gt;0,"▲"&amp;INDEX(Perhitungan!$CE$6:$CE$65,Data_Grafik!$AI$8),IF(INDEX(Perhitungan!$CE$6:$CE$65,Data_Grafik!$AI$8)&lt;0,"▼"&amp;-INDEX(Perhitungan!$CE$6:$CE$65,Data_Grafik!$AI$8),"–"))))</f>
        <v/>
      </c>
      <c r="O16" s="68" t="str">
        <f>Data_Grafik!B8</f>
        <v/>
      </c>
      <c r="P16" s="68"/>
      <c r="Q16" s="68"/>
      <c r="R16" s="69" t="str">
        <f>IF(Data_Grafik!$AI$8="","",INDEX(Perhitungan!$BW$6:$BW$65,Data_Grafik!$AI$8))</f>
        <v/>
      </c>
      <c r="S16" s="69"/>
      <c r="T16" s="5" t="str">
        <f>IF(Data_Grafik!$AI$8="","",INDEX(Perhitungan!$BY$6:$BY$65,Data_Grafik!$AI$8))</f>
        <v/>
      </c>
      <c r="U16" s="6" t="str">
        <f>IF(Data_Grafik!$AI$8="","",INDEX(Perhitungan!$BZ$6:$BZ$65,Data_Grafik!$AI$8))</f>
        <v/>
      </c>
      <c r="V16" s="2"/>
      <c r="W16" s="2"/>
    </row>
    <row r="17" spans="1:23" ht="19.5" customHeight="1">
      <c r="A17" s="2"/>
      <c r="B17" s="70"/>
      <c r="C17" s="70"/>
      <c r="D17" s="70"/>
      <c r="E17" s="70"/>
      <c r="F17" s="70"/>
      <c r="G17" s="70"/>
      <c r="H17" s="70"/>
      <c r="I17" s="70"/>
      <c r="J17" s="70"/>
      <c r="K17" s="70"/>
      <c r="L17" s="2"/>
      <c r="M17" s="7" t="str">
        <f>IF(Data_Grafik!$AI$9="","","4")</f>
        <v/>
      </c>
      <c r="N17" s="8" t="str">
        <f>IF(Data_Grafik!$AI$9="","",IF(PutaranKini=0,"–",IF(INDEX(Perhitungan!$CE$6:$CE$65,Data_Grafik!$AI$9)&gt;0,"▲"&amp;INDEX(Perhitungan!$CE$6:$CE$65,Data_Grafik!$AI$9),IF(INDEX(Perhitungan!$CE$6:$CE$65,Data_Grafik!$AI$9)&lt;0,"▼"&amp;-INDEX(Perhitungan!$CE$6:$CE$65,Data_Grafik!$AI$9),"–"))))</f>
        <v/>
      </c>
      <c r="O17" s="71" t="str">
        <f>Data_Grafik!B9</f>
        <v/>
      </c>
      <c r="P17" s="71"/>
      <c r="Q17" s="71"/>
      <c r="R17" s="72" t="str">
        <f>IF(Data_Grafik!$AI$9="","",INDEX(Perhitungan!$BW$6:$BW$65,Data_Grafik!$AI$9))</f>
        <v/>
      </c>
      <c r="S17" s="72"/>
      <c r="T17" s="9" t="str">
        <f>IF(Data_Grafik!$AI$9="","",INDEX(Perhitungan!$BY$6:$BY$65,Data_Grafik!$AI$9))</f>
        <v/>
      </c>
      <c r="U17" s="10" t="str">
        <f>IF(Data_Grafik!$AI$9="","",INDEX(Perhitungan!$BZ$6:$BZ$65,Data_Grafik!$AI$9))</f>
        <v/>
      </c>
      <c r="V17" s="2"/>
      <c r="W17" s="2"/>
    </row>
    <row r="18" spans="1:23" ht="19.5" customHeight="1">
      <c r="A18" s="2"/>
      <c r="B18" s="73" t="str">
        <f>IF(PutaranKini=0,"","💡 Mengapa? "&amp;INDEX(Kartu!$E$6:$E$105,MATCH(IF(PutaranKini=0,"",INDEX(Log_Putaran!$C$6:$C$35,PutaranKini)),Kartu!$A$6:$A$105,0)))</f>
        <v>💡 Mengapa? Risiko geopolitik kawasan menaikkan premi risiko aset Indonesia. Emas diuntungkan.</v>
      </c>
      <c r="C18" s="73"/>
      <c r="D18" s="73"/>
      <c r="E18" s="73"/>
      <c r="F18" s="73"/>
      <c r="G18" s="73"/>
      <c r="H18" s="73"/>
      <c r="I18" s="73"/>
      <c r="J18" s="73"/>
      <c r="K18" s="73"/>
      <c r="L18" s="2"/>
      <c r="M18" s="7" t="str">
        <f>IF(Data_Grafik!$AI$10="","","5")</f>
        <v/>
      </c>
      <c r="N18" s="8" t="str">
        <f>IF(Data_Grafik!$AI$10="","",IF(PutaranKini=0,"–",IF(INDEX(Perhitungan!$CE$6:$CE$65,Data_Grafik!$AI$10)&gt;0,"▲"&amp;INDEX(Perhitungan!$CE$6:$CE$65,Data_Grafik!$AI$10),IF(INDEX(Perhitungan!$CE$6:$CE$65,Data_Grafik!$AI$10)&lt;0,"▼"&amp;-INDEX(Perhitungan!$CE$6:$CE$65,Data_Grafik!$AI$10),"–"))))</f>
        <v/>
      </c>
      <c r="O18" s="71" t="str">
        <f>Data_Grafik!B10</f>
        <v/>
      </c>
      <c r="P18" s="71"/>
      <c r="Q18" s="71"/>
      <c r="R18" s="72" t="str">
        <f>IF(Data_Grafik!$AI$10="","",INDEX(Perhitungan!$BW$6:$BW$65,Data_Grafik!$AI$10))</f>
        <v/>
      </c>
      <c r="S18" s="72"/>
      <c r="T18" s="9" t="str">
        <f>IF(Data_Grafik!$AI$10="","",INDEX(Perhitungan!$BY$6:$BY$65,Data_Grafik!$AI$10))</f>
        <v/>
      </c>
      <c r="U18" s="10" t="str">
        <f>IF(Data_Grafik!$AI$10="","",INDEX(Perhitungan!$BZ$6:$BZ$65,Data_Grafik!$AI$10))</f>
        <v/>
      </c>
      <c r="V18" s="2"/>
      <c r="W18" s="2"/>
    </row>
    <row r="19" spans="1:23" ht="19.5" customHeight="1">
      <c r="A19" s="2"/>
      <c r="B19" s="73"/>
      <c r="C19" s="73"/>
      <c r="D19" s="73"/>
      <c r="E19" s="73"/>
      <c r="F19" s="73"/>
      <c r="G19" s="73"/>
      <c r="H19" s="73"/>
      <c r="I19" s="73"/>
      <c r="J19" s="73"/>
      <c r="K19" s="73"/>
      <c r="L19" s="2"/>
      <c r="M19" s="7" t="str">
        <f>IF(Data_Grafik!$AI$11="","","6")</f>
        <v/>
      </c>
      <c r="N19" s="8" t="str">
        <f>IF(Data_Grafik!$AI$11="","",IF(PutaranKini=0,"–",IF(INDEX(Perhitungan!$CE$6:$CE$65,Data_Grafik!$AI$11)&gt;0,"▲"&amp;INDEX(Perhitungan!$CE$6:$CE$65,Data_Grafik!$AI$11),IF(INDEX(Perhitungan!$CE$6:$CE$65,Data_Grafik!$AI$11)&lt;0,"▼"&amp;-INDEX(Perhitungan!$CE$6:$CE$65,Data_Grafik!$AI$11),"–"))))</f>
        <v/>
      </c>
      <c r="O19" s="71" t="str">
        <f>Data_Grafik!B11</f>
        <v/>
      </c>
      <c r="P19" s="71"/>
      <c r="Q19" s="71"/>
      <c r="R19" s="72" t="str">
        <f>IF(Data_Grafik!$AI$11="","",INDEX(Perhitungan!$BW$6:$BW$65,Data_Grafik!$AI$11))</f>
        <v/>
      </c>
      <c r="S19" s="72"/>
      <c r="T19" s="9" t="str">
        <f>IF(Data_Grafik!$AI$11="","",INDEX(Perhitungan!$BY$6:$BY$65,Data_Grafik!$AI$11))</f>
        <v/>
      </c>
      <c r="U19" s="10" t="str">
        <f>IF(Data_Grafik!$AI$11="","",INDEX(Perhitungan!$BZ$6:$BZ$65,Data_Grafik!$AI$11))</f>
        <v/>
      </c>
      <c r="V19" s="2"/>
      <c r="W19" s="2"/>
    </row>
    <row r="20" spans="1:23" ht="19.5" customHeight="1">
      <c r="A20" s="2"/>
      <c r="B20" s="73"/>
      <c r="C20" s="73"/>
      <c r="D20" s="73"/>
      <c r="E20" s="73"/>
      <c r="F20" s="73"/>
      <c r="G20" s="73"/>
      <c r="H20" s="73"/>
      <c r="I20" s="73"/>
      <c r="J20" s="73"/>
      <c r="K20" s="73"/>
      <c r="L20" s="2"/>
      <c r="M20" s="7" t="str">
        <f>IF(Data_Grafik!$AI$12="","","7")</f>
        <v/>
      </c>
      <c r="N20" s="8" t="str">
        <f>IF(Data_Grafik!$AI$12="","",IF(PutaranKini=0,"–",IF(INDEX(Perhitungan!$CE$6:$CE$65,Data_Grafik!$AI$12)&gt;0,"▲"&amp;INDEX(Perhitungan!$CE$6:$CE$65,Data_Grafik!$AI$12),IF(INDEX(Perhitungan!$CE$6:$CE$65,Data_Grafik!$AI$12)&lt;0,"▼"&amp;-INDEX(Perhitungan!$CE$6:$CE$65,Data_Grafik!$AI$12),"–"))))</f>
        <v/>
      </c>
      <c r="O20" s="71" t="str">
        <f>Data_Grafik!B12</f>
        <v/>
      </c>
      <c r="P20" s="71"/>
      <c r="Q20" s="71"/>
      <c r="R20" s="72" t="str">
        <f>IF(Data_Grafik!$AI$12="","",INDEX(Perhitungan!$BW$6:$BW$65,Data_Grafik!$AI$12))</f>
        <v/>
      </c>
      <c r="S20" s="72"/>
      <c r="T20" s="9" t="str">
        <f>IF(Data_Grafik!$AI$12="","",INDEX(Perhitungan!$BY$6:$BY$65,Data_Grafik!$AI$12))</f>
        <v/>
      </c>
      <c r="U20" s="10" t="str">
        <f>IF(Data_Grafik!$AI$12="","",INDEX(Perhitungan!$BZ$6:$BZ$65,Data_Grafik!$AI$12))</f>
        <v/>
      </c>
      <c r="V20" s="2"/>
      <c r="W20" s="2"/>
    </row>
    <row r="21" spans="1:23" ht="19.5" customHeight="1">
      <c r="A21" s="2"/>
      <c r="B21" s="75" t="s">
        <v>14</v>
      </c>
      <c r="C21" s="75"/>
      <c r="D21" s="76" t="s">
        <v>15</v>
      </c>
      <c r="E21" s="76"/>
      <c r="F21" s="77" t="s">
        <v>16</v>
      </c>
      <c r="G21" s="77"/>
      <c r="H21" s="78" t="s">
        <v>17</v>
      </c>
      <c r="I21" s="78"/>
      <c r="J21" s="79" t="s">
        <v>18</v>
      </c>
      <c r="K21" s="79"/>
      <c r="L21" s="2"/>
      <c r="M21" s="7" t="str">
        <f>IF(Data_Grafik!$AI$13="","","8")</f>
        <v/>
      </c>
      <c r="N21" s="8" t="str">
        <f>IF(Data_Grafik!$AI$13="","",IF(PutaranKini=0,"–",IF(INDEX(Perhitungan!$CE$6:$CE$65,Data_Grafik!$AI$13)&gt;0,"▲"&amp;INDEX(Perhitungan!$CE$6:$CE$65,Data_Grafik!$AI$13),IF(INDEX(Perhitungan!$CE$6:$CE$65,Data_Grafik!$AI$13)&lt;0,"▼"&amp;-INDEX(Perhitungan!$CE$6:$CE$65,Data_Grafik!$AI$13),"–"))))</f>
        <v/>
      </c>
      <c r="O21" s="71" t="str">
        <f>Data_Grafik!B13</f>
        <v/>
      </c>
      <c r="P21" s="71"/>
      <c r="Q21" s="71"/>
      <c r="R21" s="72" t="str">
        <f>IF(Data_Grafik!$AI$13="","",INDEX(Perhitungan!$BW$6:$BW$65,Data_Grafik!$AI$13))</f>
        <v/>
      </c>
      <c r="S21" s="72"/>
      <c r="T21" s="9" t="str">
        <f>IF(Data_Grafik!$AI$13="","",INDEX(Perhitungan!$BY$6:$BY$65,Data_Grafik!$AI$13))</f>
        <v/>
      </c>
      <c r="U21" s="10" t="str">
        <f>IF(Data_Grafik!$AI$13="","",INDEX(Perhitungan!$BZ$6:$BZ$65,Data_Grafik!$AI$13))</f>
        <v/>
      </c>
      <c r="V21" s="2"/>
      <c r="W21" s="2"/>
    </row>
    <row r="22" spans="1:23" ht="30" customHeight="1">
      <c r="A22" s="2"/>
      <c r="B22" s="74">
        <f>IF(PutaranKini=0,"",INDEX(Log_Putaran!$G$6:$G$35,PutaranKini))</f>
        <v>1.7500000000000002E-2</v>
      </c>
      <c r="C22" s="74"/>
      <c r="D22" s="74">
        <f>IF(PutaranKini=0,"",INDEX(Log_Putaran!$H$6:$H$35,PutaranKini))</f>
        <v>-0.04</v>
      </c>
      <c r="E22" s="74"/>
      <c r="F22" s="74">
        <f>IF(PutaranKini=0,"",INDEX(Log_Putaran!$I$6:$I$35,PutaranKini))</f>
        <v>1.0999999999999999E-2</v>
      </c>
      <c r="G22" s="74"/>
      <c r="H22" s="74">
        <f>IF(PutaranKini=0,"",INDEX(Log_Putaran!$J$6:$J$35,PutaranKini))</f>
        <v>6.2E-2</v>
      </c>
      <c r="I22" s="74"/>
      <c r="J22" s="74">
        <f>IF(PutaranKini=0,"",INDEX(Log_Putaran!$K$6:$K$35,PutaranKini))</f>
        <v>-1.26E-2</v>
      </c>
      <c r="K22" s="74"/>
      <c r="L22" s="2"/>
      <c r="M22" s="7" t="str">
        <f>IF(Data_Grafik!$AI$14="","","9")</f>
        <v/>
      </c>
      <c r="N22" s="8" t="str">
        <f>IF(Data_Grafik!$AI$14="","",IF(PutaranKini=0,"–",IF(INDEX(Perhitungan!$CE$6:$CE$65,Data_Grafik!$AI$14)&gt;0,"▲"&amp;INDEX(Perhitungan!$CE$6:$CE$65,Data_Grafik!$AI$14),IF(INDEX(Perhitungan!$CE$6:$CE$65,Data_Grafik!$AI$14)&lt;0,"▼"&amp;-INDEX(Perhitungan!$CE$6:$CE$65,Data_Grafik!$AI$14),"–"))))</f>
        <v/>
      </c>
      <c r="O22" s="71" t="str">
        <f>Data_Grafik!B14</f>
        <v/>
      </c>
      <c r="P22" s="71"/>
      <c r="Q22" s="71"/>
      <c r="R22" s="72" t="str">
        <f>IF(Data_Grafik!$AI$14="","",INDEX(Perhitungan!$BW$6:$BW$65,Data_Grafik!$AI$14))</f>
        <v/>
      </c>
      <c r="S22" s="72"/>
      <c r="T22" s="9" t="str">
        <f>IF(Data_Grafik!$AI$14="","",INDEX(Perhitungan!$BY$6:$BY$65,Data_Grafik!$AI$14))</f>
        <v/>
      </c>
      <c r="U22" s="10" t="str">
        <f>IF(Data_Grafik!$AI$14="","",INDEX(Perhitungan!$BZ$6:$BZ$65,Data_Grafik!$AI$14))</f>
        <v/>
      </c>
      <c r="V22" s="2"/>
      <c r="W22" s="2"/>
    </row>
    <row r="23" spans="1:23" ht="19.5" customHeight="1">
      <c r="A23" s="2"/>
      <c r="B23" s="84" t="str">
        <f>IF(PutaranKini=0,"","dasar "&amp;FIXED(Dasar1*100,1)&amp;"% · kartu "&amp;IF(INDEX(Kartu!$F$6:$F$105,MATCH(IF(PutaranKini=0,"",INDEX(Log_Putaran!$C$6:$C$35,PutaranKini)),Kartu!$A$6:$A$105,0))&gt;0,"+","")&amp;FIXED(INDEX(Kartu!$F$6:$F$105,MATCH(IF(PutaranKini=0,"",INDEX(Log_Putaran!$C$6:$C$35,PutaranKini)),Kartu!$A$6:$A$105,0))*100,1)&amp;"%")</f>
        <v>dasar 1.8% · kartu 0.0%</v>
      </c>
      <c r="C23" s="84"/>
      <c r="D23" s="84" t="str">
        <f>IF(PutaranKini=0,"","dasar "&amp;FIXED(Dasar2*100,1)&amp;"% · kartu "&amp;IF(INDEX(Kartu!$G$6:$G$105,MATCH(IF(PutaranKini=0,"",INDEX(Log_Putaran!$C$6:$C$35,PutaranKini)),Kartu!$A$6:$A$105,0))&gt;0,"+","")&amp;FIXED(INDEX(Kartu!$G$6:$G$105,MATCH(IF(PutaranKini=0,"",INDEX(Log_Putaran!$C$6:$C$35,PutaranKini)),Kartu!$A$6:$A$105,0))*100,1)&amp;"%")</f>
        <v>dasar 0.0% · kartu -4.0%</v>
      </c>
      <c r="E23" s="84"/>
      <c r="F23" s="84" t="str">
        <f>IF(PutaranKini=0,"","dasar "&amp;FIXED(Dasar3*100,1)&amp;"% · kartu "&amp;IF(INDEX(Kartu!$H$6:$H$105,MATCH(IF(PutaranKini=0,"",INDEX(Log_Putaran!$C$6:$C$35,PutaranKini)),Kartu!$A$6:$A$105,0))&gt;0,"+","")&amp;FIXED(INDEX(Kartu!$H$6:$H$105,MATCH(IF(PutaranKini=0,"",INDEX(Log_Putaran!$C$6:$C$35,PutaranKini)),Kartu!$A$6:$A$105,0))*100,1)&amp;"%")</f>
        <v>dasar 1.1% · kartu 0.0%</v>
      </c>
      <c r="G23" s="84"/>
      <c r="H23" s="84" t="str">
        <f>IF(PutaranKini=0,"","dasar "&amp;FIXED(Dasar4*100,1)&amp;"% · kartu "&amp;IF(INDEX(Kartu!$I$6:$I$105,MATCH(IF(PutaranKini=0,"",INDEX(Log_Putaran!$C$6:$C$35,PutaranKini)),Kartu!$A$6:$A$105,0))&gt;0,"+","")&amp;FIXED(INDEX(Kartu!$I$6:$I$105,MATCH(IF(PutaranKini=0,"",INDEX(Log_Putaran!$C$6:$C$35,PutaranKini)),Kartu!$A$6:$A$105,0))*100,1)&amp;"%")</f>
        <v>dasar 0.2% · kartu +6.0%</v>
      </c>
      <c r="I23" s="84"/>
      <c r="J23" s="84" t="str">
        <f>IF(PutaranKini=0,"","dasar "&amp;FIXED(Dasar5*100,1)&amp;"% · kartu "&amp;IF(INDEX(Kartu!$J$6:$J$105,MATCH(IF(PutaranKini=0,"",INDEX(Log_Putaran!$C$6:$C$35,PutaranKini)),Kartu!$A$6:$A$105,0))&gt;0,"+","")&amp;FIXED(INDEX(Kartu!$J$6:$J$105,MATCH(IF(PutaranKini=0,"",INDEX(Log_Putaran!$C$6:$C$35,PutaranKini)),Kartu!$A$6:$A$105,0))*100,1)&amp;"%")</f>
        <v>dasar 0.7% · kartu -2.0%</v>
      </c>
      <c r="K23" s="84"/>
      <c r="L23" s="2"/>
      <c r="M23" s="7" t="str">
        <f>IF(Data_Grafik!$AI$15="","","10")</f>
        <v/>
      </c>
      <c r="N23" s="8" t="str">
        <f>IF(Data_Grafik!$AI$15="","",IF(PutaranKini=0,"–",IF(INDEX(Perhitungan!$CE$6:$CE$65,Data_Grafik!$AI$15)&gt;0,"▲"&amp;INDEX(Perhitungan!$CE$6:$CE$65,Data_Grafik!$AI$15),IF(INDEX(Perhitungan!$CE$6:$CE$65,Data_Grafik!$AI$15)&lt;0,"▼"&amp;-INDEX(Perhitungan!$CE$6:$CE$65,Data_Grafik!$AI$15),"–"))))</f>
        <v/>
      </c>
      <c r="O23" s="71" t="str">
        <f>Data_Grafik!B15</f>
        <v/>
      </c>
      <c r="P23" s="71"/>
      <c r="Q23" s="71"/>
      <c r="R23" s="72" t="str">
        <f>IF(Data_Grafik!$AI$15="","",INDEX(Perhitungan!$BW$6:$BW$65,Data_Grafik!$AI$15))</f>
        <v/>
      </c>
      <c r="S23" s="72"/>
      <c r="T23" s="9" t="str">
        <f>IF(Data_Grafik!$AI$15="","",INDEX(Perhitungan!$BY$6:$BY$65,Data_Grafik!$AI$15))</f>
        <v/>
      </c>
      <c r="U23" s="10" t="str">
        <f>IF(Data_Grafik!$AI$15="","",INDEX(Perhitungan!$BZ$6:$BZ$65,Data_Grafik!$AI$15))</f>
        <v/>
      </c>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ht="15" customHeight="1">
      <c r="A25" s="2"/>
      <c r="B25" s="80" t="s">
        <v>19</v>
      </c>
      <c r="C25" s="80"/>
      <c r="D25" s="80"/>
      <c r="E25" s="80"/>
      <c r="F25" s="80"/>
      <c r="G25" s="80"/>
      <c r="H25" s="80"/>
      <c r="I25" s="80"/>
      <c r="J25" s="80"/>
      <c r="K25" s="80"/>
      <c r="L25" s="2"/>
      <c r="M25" s="80" t="str">
        <f>"🏅  INVESTOR TANGGUH (max drawdown ≤ "&amp;ROUND(BatasDD*100,0)&amp;"%"&amp;")"</f>
        <v>🏅  INVESTOR TANGGUH (max drawdown ≤ 10%)</v>
      </c>
      <c r="N25" s="80"/>
      <c r="O25" s="80"/>
      <c r="P25" s="80"/>
      <c r="Q25" s="80"/>
      <c r="R25" s="80"/>
      <c r="S25" s="80"/>
      <c r="T25" s="80"/>
      <c r="U25" s="80"/>
      <c r="V25" s="2"/>
      <c r="W25" s="2"/>
    </row>
    <row r="26" spans="1:23">
      <c r="A26" s="2"/>
      <c r="B26" s="81" t="str">
        <f>IF((PutaranKini-0)&lt;1,"","Putaran "&amp;(PutaranKini-0))</f>
        <v>Putaran 2</v>
      </c>
      <c r="C26" s="81"/>
      <c r="D26" s="82" t="str">
        <f>IF((PutaranKini-0)&lt;1,"",INDEX(Log_Putaran!$E$6:$E$35,(PutaranKini-0))&amp;"  ·  "&amp;INDEX(Log_Putaran!$F$6:$F$35,(PutaranKini-0)))</f>
        <v>Ketegangan Laut China Selatan  ·  Geopolitik &amp; Global</v>
      </c>
      <c r="E26" s="82"/>
      <c r="F26" s="82"/>
      <c r="G26" s="82"/>
      <c r="H26" s="82"/>
      <c r="I26" s="82"/>
      <c r="J26" s="82"/>
      <c r="K26" s="82"/>
      <c r="L26" s="2"/>
      <c r="M26" s="11">
        <v>1</v>
      </c>
      <c r="N26" s="71" t="str">
        <f>IF(Data_Grafik!$C$29="","(belum ada)",Data_Grafik!B29)</f>
        <v/>
      </c>
      <c r="O26" s="71"/>
      <c r="P26" s="71"/>
      <c r="Q26" s="71"/>
      <c r="R26" s="72">
        <f>IF(Data_Grafik!$C$29="","",INDEX(Perhitungan!$BW$6:$BW$65,Data_Grafik!$C$29))</f>
        <v>101052942.49999999</v>
      </c>
      <c r="S26" s="72"/>
      <c r="T26" s="83">
        <f>IF(Data_Grafik!$C$29="","",INDEX(Perhitungan!$BZ$6:$BZ$65,Data_Grafik!$C$29))</f>
        <v>0</v>
      </c>
      <c r="U26" s="83"/>
      <c r="V26" s="2"/>
      <c r="W26" s="2"/>
    </row>
    <row r="27" spans="1:23">
      <c r="A27" s="2"/>
      <c r="B27" s="81" t="str">
        <f>IF((PutaranKini-1)&lt;1,"","Putaran "&amp;(PutaranKini-1))</f>
        <v>Putaran 1</v>
      </c>
      <c r="C27" s="81"/>
      <c r="D27" s="82" t="str">
        <f>IF((PutaranKini-1)&lt;1,"",INDEX(Log_Putaran!$E$6:$E$35,(PutaranKini-1))&amp;"  ·  "&amp;INDEX(Log_Putaran!$F$6:$F$35,(PutaranKini-1)))</f>
        <v>Asing Lepas SBN Besar-besaran  ·  Pasar Modal</v>
      </c>
      <c r="E27" s="82"/>
      <c r="F27" s="82"/>
      <c r="G27" s="82"/>
      <c r="H27" s="82"/>
      <c r="I27" s="82"/>
      <c r="J27" s="82"/>
      <c r="K27" s="82"/>
      <c r="L27" s="2"/>
      <c r="M27" s="11">
        <v>2</v>
      </c>
      <c r="N27" s="71" t="str">
        <f>IF(Data_Grafik!$C$30="","(belum ada)",Data_Grafik!B30)</f>
        <v>pandu</v>
      </c>
      <c r="O27" s="71"/>
      <c r="P27" s="71"/>
      <c r="Q27" s="71"/>
      <c r="R27" s="72">
        <f>IF(Data_Grafik!$C$30="","",INDEX(Perhitungan!$BW$6:$BW$65,Data_Grafik!$C$30))</f>
        <v>99748175</v>
      </c>
      <c r="S27" s="72"/>
      <c r="T27" s="83">
        <f>IF(Data_Grafik!$C$30="","",INDEX(Perhitungan!$BZ$6:$BZ$65,Data_Grafik!$C$30))</f>
        <v>2.5182500000000552E-3</v>
      </c>
      <c r="U27" s="83"/>
      <c r="V27" s="2"/>
      <c r="W27" s="2"/>
    </row>
    <row r="28" spans="1:23">
      <c r="A28" s="2"/>
      <c r="B28" s="81" t="str">
        <f>IF((PutaranKini-2)&lt;1,"","Putaran "&amp;(PutaranKini-2))</f>
        <v/>
      </c>
      <c r="C28" s="81"/>
      <c r="D28" s="82" t="str">
        <f>IF((PutaranKini-2)&lt;1,"",INDEX(Log_Putaran!$E$6:$E$35,(PutaranKini-2))&amp;"  ·  "&amp;INDEX(Log_Putaran!$F$6:$F$35,(PutaranKini-2)))</f>
        <v/>
      </c>
      <c r="E28" s="82"/>
      <c r="F28" s="82"/>
      <c r="G28" s="82"/>
      <c r="H28" s="82"/>
      <c r="I28" s="82"/>
      <c r="J28" s="82"/>
      <c r="K28" s="82"/>
      <c r="L28" s="2"/>
      <c r="M28" s="11">
        <v>3</v>
      </c>
      <c r="N28" s="71" t="str">
        <f>IF(Data_Grafik!$C$31="","(belum ada)",Data_Grafik!B31)</f>
        <v>(belum ada)</v>
      </c>
      <c r="O28" s="71"/>
      <c r="P28" s="71"/>
      <c r="Q28" s="71"/>
      <c r="R28" s="72" t="str">
        <f>IF(Data_Grafik!$C$31="","",INDEX(Perhitungan!$BW$6:$BW$65,Data_Grafik!$C$31))</f>
        <v/>
      </c>
      <c r="S28" s="72"/>
      <c r="T28" s="83" t="str">
        <f>IF(Data_Grafik!$C$31="","",INDEX(Perhitungan!$BZ$6:$BZ$65,Data_Grafik!$C$31))</f>
        <v/>
      </c>
      <c r="U28" s="83"/>
      <c r="V28" s="2"/>
      <c r="W28" s="2"/>
    </row>
    <row r="29" spans="1:23" ht="15" customHeight="1">
      <c r="A29" s="2"/>
      <c r="B29" s="81" t="str">
        <f>IF((PutaranKini-3)&lt;1,"","Putaran "&amp;(PutaranKini-3))</f>
        <v/>
      </c>
      <c r="C29" s="81"/>
      <c r="D29" s="82" t="str">
        <f>IF((PutaranKini-3)&lt;1,"",INDEX(Log_Putaran!$E$6:$E$35,(PutaranKini-3))&amp;"  ·  "&amp;INDEX(Log_Putaran!$F$6:$F$35,(PutaranKini-3)))</f>
        <v/>
      </c>
      <c r="E29" s="82"/>
      <c r="F29" s="82"/>
      <c r="G29" s="82"/>
      <c r="H29" s="82"/>
      <c r="I29" s="82"/>
      <c r="J29" s="82"/>
      <c r="K29" s="82"/>
      <c r="L29" s="2"/>
      <c r="M29" s="86" t="s">
        <v>20</v>
      </c>
      <c r="N29" s="86"/>
      <c r="O29" s="86"/>
      <c r="P29" s="86"/>
      <c r="Q29" s="86"/>
      <c r="R29" s="86"/>
      <c r="S29" s="86"/>
      <c r="T29" s="86"/>
      <c r="U29" s="86"/>
      <c r="V29" s="2"/>
      <c r="W29" s="2"/>
    </row>
    <row r="30" spans="1:23">
      <c r="A30" s="2"/>
      <c r="B30" s="81" t="str">
        <f>IF((PutaranKini-4)&lt;1,"","Putaran "&amp;(PutaranKini-4))</f>
        <v/>
      </c>
      <c r="C30" s="81"/>
      <c r="D30" s="82" t="str">
        <f>IF((PutaranKini-4)&lt;1,"",INDEX(Log_Putaran!$E$6:$E$35,(PutaranKini-4))&amp;"  ·  "&amp;INDEX(Log_Putaran!$F$6:$F$35,(PutaranKini-4)))</f>
        <v/>
      </c>
      <c r="E30" s="82"/>
      <c r="F30" s="82"/>
      <c r="G30" s="82"/>
      <c r="H30" s="82"/>
      <c r="I30" s="82"/>
      <c r="J30" s="82"/>
      <c r="K30" s="82"/>
      <c r="L30" s="2"/>
      <c r="M30" s="86"/>
      <c r="N30" s="86"/>
      <c r="O30" s="86"/>
      <c r="P30" s="86"/>
      <c r="Q30" s="86"/>
      <c r="R30" s="86"/>
      <c r="S30" s="86"/>
      <c r="T30" s="86"/>
      <c r="U30" s="86"/>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ht="15" customHeight="1">
      <c r="A32" s="2"/>
      <c r="B32" s="85" t="s">
        <v>21</v>
      </c>
      <c r="C32" s="85"/>
      <c r="D32" s="85"/>
      <c r="E32" s="85"/>
      <c r="F32" s="85"/>
      <c r="G32" s="85"/>
      <c r="H32" s="85"/>
      <c r="I32" s="85"/>
      <c r="J32" s="85"/>
      <c r="K32" s="85"/>
      <c r="L32" s="85"/>
      <c r="M32" s="85"/>
      <c r="N32" s="85"/>
      <c r="O32" s="85"/>
      <c r="P32" s="85"/>
      <c r="Q32" s="85"/>
      <c r="R32" s="85"/>
      <c r="S32" s="85"/>
      <c r="T32" s="85"/>
      <c r="U32" s="85"/>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row r="48" spans="1:23">
      <c r="A48" s="2"/>
      <c r="B48" s="2"/>
      <c r="C48" s="2"/>
      <c r="D48" s="2"/>
      <c r="E48" s="2"/>
      <c r="F48" s="2"/>
      <c r="G48" s="2"/>
      <c r="H48" s="2"/>
      <c r="I48" s="2"/>
      <c r="J48" s="2"/>
      <c r="K48" s="2"/>
      <c r="L48" s="2"/>
      <c r="M48" s="2"/>
      <c r="N48" s="2"/>
      <c r="O48" s="2"/>
      <c r="P48" s="2"/>
      <c r="Q48" s="2"/>
      <c r="R48" s="2"/>
      <c r="S48" s="2"/>
      <c r="T48" s="2"/>
      <c r="U48" s="2"/>
      <c r="V48" s="2"/>
      <c r="W48" s="2"/>
    </row>
    <row r="49" spans="1:23">
      <c r="A49" s="2"/>
      <c r="B49" s="2"/>
      <c r="C49" s="2"/>
      <c r="D49" s="2"/>
      <c r="E49" s="2"/>
      <c r="F49" s="2"/>
      <c r="G49" s="2"/>
      <c r="H49" s="2"/>
      <c r="I49" s="2"/>
      <c r="J49" s="2"/>
      <c r="K49" s="2"/>
      <c r="L49" s="2"/>
      <c r="M49" s="2"/>
      <c r="N49" s="2"/>
      <c r="O49" s="2"/>
      <c r="P49" s="2"/>
      <c r="Q49" s="2"/>
      <c r="R49" s="2"/>
      <c r="S49" s="2"/>
      <c r="T49" s="2"/>
      <c r="U49" s="2"/>
      <c r="V49" s="2"/>
      <c r="W49" s="2"/>
    </row>
    <row r="50" spans="1:23">
      <c r="A50" s="2"/>
      <c r="B50" s="2"/>
      <c r="C50" s="2"/>
      <c r="D50" s="2"/>
      <c r="E50" s="2"/>
      <c r="F50" s="2"/>
      <c r="G50" s="2"/>
      <c r="H50" s="2"/>
      <c r="I50" s="2"/>
      <c r="J50" s="2"/>
      <c r="K50" s="2"/>
      <c r="L50" s="2"/>
      <c r="M50" s="2"/>
      <c r="N50" s="2"/>
      <c r="O50" s="2"/>
      <c r="P50" s="2"/>
      <c r="Q50" s="2"/>
      <c r="R50" s="2"/>
      <c r="S50" s="2"/>
      <c r="T50" s="2"/>
      <c r="U50" s="2"/>
      <c r="V50" s="2"/>
      <c r="W50" s="2"/>
    </row>
    <row r="51" spans="1:23">
      <c r="A51" s="2"/>
      <c r="B51" s="2"/>
      <c r="C51" s="2"/>
      <c r="D51" s="2"/>
      <c r="E51" s="2"/>
      <c r="F51" s="2"/>
      <c r="G51" s="2"/>
      <c r="H51" s="2"/>
      <c r="I51" s="2"/>
      <c r="J51" s="2"/>
      <c r="K51" s="2"/>
      <c r="L51" s="2"/>
      <c r="M51" s="2"/>
      <c r="N51" s="2"/>
      <c r="O51" s="2"/>
      <c r="P51" s="2"/>
      <c r="Q51" s="2"/>
      <c r="R51" s="2"/>
      <c r="S51" s="2"/>
      <c r="T51" s="2"/>
      <c r="U51" s="2"/>
      <c r="V51" s="2"/>
      <c r="W51" s="2"/>
    </row>
    <row r="52" spans="1:23">
      <c r="A52" s="2"/>
      <c r="B52" s="2"/>
      <c r="C52" s="2"/>
      <c r="D52" s="2"/>
      <c r="E52" s="2"/>
      <c r="F52" s="2"/>
      <c r="G52" s="2"/>
      <c r="H52" s="2"/>
      <c r="I52" s="2"/>
      <c r="J52" s="2"/>
      <c r="K52" s="2"/>
      <c r="L52" s="2"/>
      <c r="M52" s="2"/>
      <c r="N52" s="2"/>
      <c r="O52" s="2"/>
      <c r="P52" s="2"/>
      <c r="Q52" s="2"/>
      <c r="R52" s="2"/>
      <c r="S52" s="2"/>
      <c r="T52" s="2"/>
      <c r="U52" s="2"/>
      <c r="V52" s="2"/>
      <c r="W52" s="2"/>
    </row>
    <row r="53" spans="1:23">
      <c r="A53" s="2"/>
      <c r="B53" s="2"/>
      <c r="C53" s="2"/>
      <c r="D53" s="2"/>
      <c r="E53" s="2"/>
      <c r="F53" s="2"/>
      <c r="G53" s="2"/>
      <c r="H53" s="2"/>
      <c r="I53" s="2"/>
      <c r="J53" s="2"/>
      <c r="K53" s="2"/>
      <c r="L53" s="2"/>
      <c r="M53" s="2"/>
      <c r="N53" s="2"/>
      <c r="O53" s="2"/>
      <c r="P53" s="2"/>
      <c r="Q53" s="2"/>
      <c r="R53" s="2"/>
      <c r="S53" s="2"/>
      <c r="T53" s="2"/>
      <c r="U53" s="2"/>
      <c r="V53" s="2"/>
      <c r="W53" s="2"/>
    </row>
    <row r="54" spans="1:23">
      <c r="A54" s="2"/>
      <c r="B54" s="2"/>
      <c r="C54" s="2"/>
      <c r="D54" s="2"/>
      <c r="E54" s="2"/>
      <c r="F54" s="2"/>
      <c r="G54" s="2"/>
      <c r="H54" s="2"/>
      <c r="I54" s="2"/>
      <c r="J54" s="2"/>
      <c r="K54" s="2"/>
      <c r="L54" s="2"/>
      <c r="M54" s="2"/>
      <c r="N54" s="2"/>
      <c r="O54" s="2"/>
      <c r="P54" s="2"/>
      <c r="Q54" s="2"/>
      <c r="R54" s="2"/>
      <c r="S54" s="2"/>
      <c r="T54" s="2"/>
      <c r="U54" s="2"/>
      <c r="V54" s="2"/>
      <c r="W54" s="2"/>
    </row>
    <row r="55" spans="1:23">
      <c r="A55" s="2"/>
      <c r="B55" s="2"/>
      <c r="C55" s="2"/>
      <c r="D55" s="2"/>
      <c r="E55" s="2"/>
      <c r="F55" s="2"/>
      <c r="G55" s="2"/>
      <c r="H55" s="2"/>
      <c r="I55" s="2"/>
      <c r="J55" s="2"/>
      <c r="K55" s="2"/>
      <c r="L55" s="2"/>
      <c r="M55" s="2"/>
      <c r="N55" s="2"/>
      <c r="O55" s="2"/>
      <c r="P55" s="2"/>
      <c r="Q55" s="2"/>
      <c r="R55" s="2"/>
      <c r="S55" s="2"/>
      <c r="T55" s="2"/>
      <c r="U55" s="2"/>
      <c r="V55" s="2"/>
      <c r="W55" s="2"/>
    </row>
    <row r="56" spans="1:23">
      <c r="A56" s="2"/>
      <c r="B56" s="2"/>
      <c r="C56" s="2"/>
      <c r="D56" s="2"/>
      <c r="E56" s="2"/>
      <c r="F56" s="2"/>
      <c r="G56" s="2"/>
      <c r="H56" s="2"/>
      <c r="I56" s="2"/>
      <c r="J56" s="2"/>
      <c r="K56" s="2"/>
      <c r="L56" s="2"/>
      <c r="M56" s="2"/>
      <c r="N56" s="2"/>
      <c r="O56" s="2"/>
      <c r="P56" s="2"/>
      <c r="Q56" s="2"/>
      <c r="R56" s="2"/>
      <c r="S56" s="2"/>
      <c r="T56" s="2"/>
      <c r="U56" s="2"/>
      <c r="V56" s="2"/>
      <c r="W56" s="2"/>
    </row>
    <row r="57" spans="1:23">
      <c r="A57" s="2"/>
      <c r="B57" s="2"/>
      <c r="C57" s="2"/>
      <c r="D57" s="2"/>
      <c r="E57" s="2"/>
      <c r="F57" s="2"/>
      <c r="G57" s="2"/>
      <c r="H57" s="2"/>
      <c r="I57" s="2"/>
      <c r="J57" s="2"/>
      <c r="K57" s="2"/>
      <c r="L57" s="2"/>
      <c r="M57" s="2"/>
      <c r="N57" s="2"/>
      <c r="O57" s="2"/>
      <c r="P57" s="2"/>
      <c r="Q57" s="2"/>
      <c r="R57" s="2"/>
      <c r="S57" s="2"/>
      <c r="T57" s="2"/>
      <c r="U57" s="2"/>
      <c r="V57" s="2"/>
      <c r="W57" s="2"/>
    </row>
    <row r="58" spans="1:23">
      <c r="A58" s="2"/>
      <c r="B58" s="2"/>
      <c r="C58" s="2"/>
      <c r="D58" s="2"/>
      <c r="E58" s="2"/>
      <c r="F58" s="2"/>
      <c r="G58" s="2"/>
      <c r="H58" s="2"/>
      <c r="I58" s="2"/>
      <c r="J58" s="2"/>
      <c r="K58" s="2"/>
      <c r="L58" s="2"/>
      <c r="M58" s="2"/>
      <c r="N58" s="2"/>
      <c r="O58" s="2"/>
      <c r="P58" s="2"/>
      <c r="Q58" s="2"/>
      <c r="R58" s="2"/>
      <c r="S58" s="2"/>
      <c r="T58" s="2"/>
      <c r="U58" s="2"/>
      <c r="V58" s="2"/>
      <c r="W58" s="2"/>
    </row>
    <row r="59" spans="1:23">
      <c r="A59" s="2"/>
      <c r="B59" s="2"/>
      <c r="C59" s="2"/>
      <c r="D59" s="2"/>
      <c r="E59" s="2"/>
      <c r="F59" s="2"/>
      <c r="G59" s="2"/>
      <c r="H59" s="2"/>
      <c r="I59" s="2"/>
      <c r="J59" s="2"/>
      <c r="K59" s="2"/>
      <c r="L59" s="2"/>
      <c r="M59" s="2"/>
      <c r="N59" s="2"/>
      <c r="O59" s="2"/>
      <c r="P59" s="2"/>
      <c r="Q59" s="2"/>
      <c r="R59" s="2"/>
      <c r="S59" s="2"/>
      <c r="T59" s="2"/>
      <c r="U59" s="2"/>
      <c r="V59" s="2"/>
      <c r="W59" s="2"/>
    </row>
    <row r="60" spans="1:23">
      <c r="A60" s="2"/>
      <c r="B60" s="2"/>
      <c r="C60" s="2"/>
      <c r="D60" s="2"/>
      <c r="E60" s="2"/>
      <c r="F60" s="2"/>
      <c r="G60" s="2"/>
      <c r="H60" s="2"/>
      <c r="I60" s="2"/>
      <c r="J60" s="2"/>
      <c r="K60" s="2"/>
      <c r="L60" s="2"/>
      <c r="M60" s="2"/>
      <c r="N60" s="2"/>
      <c r="O60" s="2"/>
      <c r="P60" s="2"/>
      <c r="Q60" s="2"/>
      <c r="R60" s="2"/>
      <c r="S60" s="2"/>
      <c r="T60" s="2"/>
      <c r="U60" s="2"/>
      <c r="V60" s="2"/>
      <c r="W60" s="2"/>
    </row>
    <row r="61" spans="1:23">
      <c r="A61" s="2"/>
      <c r="B61" s="2"/>
      <c r="C61" s="2"/>
      <c r="D61" s="2"/>
      <c r="E61" s="2"/>
      <c r="F61" s="2"/>
      <c r="G61" s="2"/>
      <c r="H61" s="2"/>
      <c r="I61" s="2"/>
      <c r="J61" s="2"/>
      <c r="K61" s="2"/>
      <c r="L61" s="2"/>
      <c r="M61" s="2"/>
      <c r="N61" s="2"/>
      <c r="O61" s="2"/>
      <c r="P61" s="2"/>
      <c r="Q61" s="2"/>
      <c r="R61" s="2"/>
      <c r="S61" s="2"/>
      <c r="T61" s="2"/>
      <c r="U61" s="2"/>
      <c r="V61" s="2"/>
      <c r="W61" s="2"/>
    </row>
    <row r="62" spans="1:23">
      <c r="A62" s="2"/>
      <c r="B62" s="2"/>
      <c r="C62" s="2"/>
      <c r="D62" s="2"/>
      <c r="E62" s="2"/>
      <c r="F62" s="2"/>
      <c r="G62" s="2"/>
      <c r="H62" s="2"/>
      <c r="I62" s="2"/>
      <c r="J62" s="2"/>
      <c r="K62" s="2"/>
      <c r="L62" s="2"/>
      <c r="M62" s="2"/>
      <c r="N62" s="2"/>
      <c r="O62" s="2"/>
      <c r="P62" s="2"/>
      <c r="Q62" s="2"/>
      <c r="R62" s="2"/>
      <c r="S62" s="2"/>
      <c r="T62" s="2"/>
      <c r="U62" s="2"/>
      <c r="V62" s="2"/>
      <c r="W62" s="2"/>
    </row>
    <row r="63" spans="1:23">
      <c r="A63" s="2"/>
      <c r="B63" s="2"/>
      <c r="C63" s="2"/>
      <c r="D63" s="2"/>
      <c r="E63" s="2"/>
      <c r="F63" s="2"/>
      <c r="G63" s="2"/>
      <c r="H63" s="2"/>
      <c r="I63" s="2"/>
      <c r="J63" s="2"/>
      <c r="K63" s="2"/>
      <c r="L63" s="2"/>
      <c r="M63" s="2"/>
      <c r="N63" s="2"/>
      <c r="O63" s="2"/>
      <c r="P63" s="2"/>
      <c r="Q63" s="2"/>
      <c r="R63" s="2"/>
      <c r="S63" s="2"/>
      <c r="T63" s="2"/>
      <c r="U63" s="2"/>
      <c r="V63" s="2"/>
      <c r="W63" s="2"/>
    </row>
    <row r="64" spans="1:23">
      <c r="A64" s="2"/>
      <c r="B64" s="2"/>
      <c r="C64" s="2"/>
      <c r="D64" s="2"/>
      <c r="E64" s="2"/>
      <c r="F64" s="2"/>
      <c r="G64" s="2"/>
      <c r="H64" s="2"/>
      <c r="I64" s="2"/>
      <c r="J64" s="2"/>
      <c r="K64" s="2"/>
      <c r="L64" s="2"/>
      <c r="M64" s="2"/>
      <c r="N64" s="2"/>
      <c r="O64" s="2"/>
      <c r="P64" s="2"/>
      <c r="Q64" s="2"/>
      <c r="R64" s="2"/>
      <c r="S64" s="2"/>
      <c r="T64" s="2"/>
      <c r="U64" s="2"/>
      <c r="V64" s="2"/>
      <c r="W64" s="2"/>
    </row>
    <row r="65" spans="1:23">
      <c r="A65" s="2"/>
      <c r="B65" s="2"/>
      <c r="C65" s="2"/>
      <c r="D65" s="2"/>
      <c r="E65" s="2"/>
      <c r="F65" s="2"/>
      <c r="G65" s="2"/>
      <c r="H65" s="2"/>
      <c r="I65" s="2"/>
      <c r="J65" s="2"/>
      <c r="K65" s="2"/>
      <c r="L65" s="2"/>
      <c r="M65" s="2"/>
      <c r="N65" s="2"/>
      <c r="O65" s="2"/>
      <c r="P65" s="2"/>
      <c r="Q65" s="2"/>
      <c r="R65" s="2"/>
      <c r="S65" s="2"/>
      <c r="T65" s="2"/>
      <c r="U65" s="2"/>
      <c r="V65" s="2"/>
      <c r="W65" s="2"/>
    </row>
    <row r="66" spans="1:23">
      <c r="A66" s="2"/>
      <c r="B66" s="2"/>
      <c r="C66" s="2"/>
      <c r="D66" s="2"/>
      <c r="E66" s="2"/>
      <c r="F66" s="2"/>
      <c r="G66" s="2"/>
      <c r="H66" s="2"/>
      <c r="I66" s="2"/>
      <c r="J66" s="2"/>
      <c r="K66" s="2"/>
      <c r="L66" s="2"/>
      <c r="M66" s="2"/>
      <c r="N66" s="2"/>
      <c r="O66" s="2"/>
      <c r="P66" s="2"/>
      <c r="Q66" s="2"/>
      <c r="R66" s="2"/>
      <c r="S66" s="2"/>
      <c r="T66" s="2"/>
      <c r="U66" s="2"/>
      <c r="V66" s="2"/>
      <c r="W66" s="2"/>
    </row>
    <row r="67" spans="1:23">
      <c r="A67" s="2"/>
      <c r="B67" s="2"/>
      <c r="C67" s="2"/>
      <c r="D67" s="2"/>
      <c r="E67" s="2"/>
      <c r="F67" s="2"/>
      <c r="G67" s="2"/>
      <c r="H67" s="2"/>
      <c r="I67" s="2"/>
      <c r="J67" s="2"/>
      <c r="K67" s="2"/>
      <c r="L67" s="2"/>
      <c r="M67" s="2"/>
      <c r="N67" s="2"/>
      <c r="O67" s="2"/>
      <c r="P67" s="2"/>
      <c r="Q67" s="2"/>
      <c r="R67" s="2"/>
      <c r="S67" s="2"/>
      <c r="T67" s="2"/>
      <c r="U67" s="2"/>
      <c r="V67" s="2"/>
      <c r="W67" s="2"/>
    </row>
    <row r="68" spans="1:23">
      <c r="A68" s="2"/>
      <c r="B68" s="2"/>
      <c r="C68" s="2"/>
      <c r="D68" s="2"/>
      <c r="E68" s="2"/>
      <c r="F68" s="2"/>
      <c r="G68" s="2"/>
      <c r="H68" s="2"/>
      <c r="I68" s="2"/>
      <c r="J68" s="2"/>
      <c r="K68" s="2"/>
      <c r="L68" s="2"/>
      <c r="M68" s="2"/>
      <c r="N68" s="2"/>
      <c r="O68" s="2"/>
      <c r="P68" s="2"/>
      <c r="Q68" s="2"/>
      <c r="R68" s="2"/>
      <c r="S68" s="2"/>
      <c r="T68" s="2"/>
      <c r="U68" s="2"/>
      <c r="V68" s="2"/>
      <c r="W68" s="2"/>
    </row>
    <row r="69" spans="1:23">
      <c r="A69" s="2"/>
      <c r="B69" s="2"/>
      <c r="C69" s="2"/>
      <c r="D69" s="2"/>
      <c r="E69" s="2"/>
      <c r="F69" s="2"/>
      <c r="G69" s="2"/>
      <c r="H69" s="2"/>
      <c r="I69" s="2"/>
      <c r="J69" s="2"/>
      <c r="K69" s="2"/>
      <c r="L69" s="2"/>
      <c r="M69" s="2"/>
      <c r="N69" s="2"/>
      <c r="O69" s="2"/>
      <c r="P69" s="2"/>
      <c r="Q69" s="2"/>
      <c r="R69" s="2"/>
      <c r="S69" s="2"/>
      <c r="T69" s="2"/>
      <c r="U69" s="2"/>
      <c r="V69" s="2"/>
      <c r="W69" s="2"/>
    </row>
    <row r="70" spans="1:23">
      <c r="A70" s="2"/>
      <c r="B70" s="2"/>
      <c r="C70" s="2"/>
      <c r="D70" s="2"/>
      <c r="E70" s="2"/>
      <c r="F70" s="2"/>
      <c r="G70" s="2"/>
      <c r="H70" s="2"/>
      <c r="I70" s="2"/>
      <c r="J70" s="2"/>
      <c r="K70" s="2"/>
      <c r="L70" s="2"/>
      <c r="M70" s="2"/>
      <c r="N70" s="2"/>
      <c r="O70" s="2"/>
      <c r="P70" s="2"/>
      <c r="Q70" s="2"/>
      <c r="R70" s="2"/>
      <c r="S70" s="2"/>
      <c r="T70" s="2"/>
      <c r="U70" s="2"/>
      <c r="V70" s="2"/>
      <c r="W70" s="2"/>
    </row>
    <row r="71" spans="1:23">
      <c r="A71" s="2"/>
      <c r="B71" s="2"/>
      <c r="C71" s="2"/>
      <c r="D71" s="2"/>
      <c r="E71" s="2"/>
      <c r="F71" s="2"/>
      <c r="G71" s="2"/>
      <c r="H71" s="2"/>
      <c r="I71" s="2"/>
      <c r="J71" s="2"/>
      <c r="K71" s="2"/>
      <c r="L71" s="2"/>
      <c r="M71" s="2"/>
      <c r="N71" s="2"/>
      <c r="O71" s="2"/>
      <c r="P71" s="2"/>
      <c r="Q71" s="2"/>
      <c r="R71" s="2"/>
      <c r="S71" s="2"/>
      <c r="T71" s="2"/>
      <c r="U71" s="2"/>
      <c r="V71" s="2"/>
      <c r="W71" s="2"/>
    </row>
    <row r="72" spans="1:23">
      <c r="A72" s="2"/>
      <c r="B72" s="2"/>
      <c r="C72" s="2"/>
      <c r="D72" s="2"/>
      <c r="E72" s="2"/>
      <c r="F72" s="2"/>
      <c r="G72" s="2"/>
      <c r="H72" s="2"/>
      <c r="I72" s="2"/>
      <c r="J72" s="2"/>
      <c r="K72" s="2"/>
      <c r="L72" s="2"/>
      <c r="M72" s="2"/>
      <c r="N72" s="2"/>
      <c r="O72" s="2"/>
      <c r="P72" s="2"/>
      <c r="Q72" s="2"/>
      <c r="R72" s="2"/>
      <c r="S72" s="2"/>
      <c r="T72" s="2"/>
      <c r="U72" s="2"/>
      <c r="V72" s="2"/>
      <c r="W72" s="2"/>
    </row>
    <row r="73" spans="1:23">
      <c r="A73" s="2"/>
      <c r="B73" s="2"/>
      <c r="C73" s="2"/>
      <c r="D73" s="2"/>
      <c r="E73" s="2"/>
      <c r="F73" s="2"/>
      <c r="G73" s="2"/>
      <c r="H73" s="2"/>
      <c r="I73" s="2"/>
      <c r="J73" s="2"/>
      <c r="K73" s="2"/>
      <c r="L73" s="2"/>
      <c r="M73" s="2"/>
      <c r="N73" s="2"/>
      <c r="O73" s="2"/>
      <c r="P73" s="2"/>
      <c r="Q73" s="2"/>
      <c r="R73" s="2"/>
      <c r="S73" s="2"/>
      <c r="T73" s="2"/>
      <c r="U73" s="2"/>
      <c r="V73" s="2"/>
      <c r="W73" s="2"/>
    </row>
    <row r="74" spans="1:23">
      <c r="A74" s="2"/>
      <c r="B74" s="2"/>
      <c r="C74" s="2"/>
      <c r="D74" s="2"/>
      <c r="E74" s="2"/>
      <c r="F74" s="2"/>
      <c r="G74" s="2"/>
      <c r="H74" s="2"/>
      <c r="I74" s="2"/>
      <c r="J74" s="2"/>
      <c r="K74" s="2"/>
      <c r="L74" s="2"/>
      <c r="M74" s="2"/>
      <c r="N74" s="2"/>
      <c r="O74" s="2"/>
      <c r="P74" s="2"/>
      <c r="Q74" s="2"/>
      <c r="R74" s="2"/>
      <c r="S74" s="2"/>
      <c r="T74" s="2"/>
      <c r="U74" s="2"/>
      <c r="V74" s="2"/>
      <c r="W74" s="2"/>
    </row>
    <row r="75" spans="1:23">
      <c r="A75" s="2"/>
      <c r="B75" s="2"/>
      <c r="C75" s="2"/>
      <c r="D75" s="2"/>
      <c r="E75" s="2"/>
      <c r="F75" s="2"/>
      <c r="G75" s="2"/>
      <c r="H75" s="2"/>
      <c r="I75" s="2"/>
      <c r="J75" s="2"/>
      <c r="K75" s="2"/>
      <c r="L75" s="2"/>
      <c r="M75" s="2"/>
      <c r="N75" s="2"/>
      <c r="O75" s="2"/>
      <c r="P75" s="2"/>
      <c r="Q75" s="2"/>
      <c r="R75" s="2"/>
      <c r="S75" s="2"/>
      <c r="T75" s="2"/>
      <c r="U75" s="2"/>
      <c r="V75" s="2"/>
      <c r="W75" s="2"/>
    </row>
    <row r="76" spans="1:23">
      <c r="A76" s="2"/>
      <c r="B76" s="2"/>
      <c r="C76" s="2"/>
      <c r="D76" s="2"/>
      <c r="E76" s="2"/>
      <c r="F76" s="2"/>
      <c r="G76" s="2"/>
      <c r="H76" s="2"/>
      <c r="I76" s="2"/>
      <c r="J76" s="2"/>
      <c r="K76" s="2"/>
      <c r="L76" s="2"/>
      <c r="M76" s="2"/>
      <c r="N76" s="2"/>
      <c r="O76" s="2"/>
      <c r="P76" s="2"/>
      <c r="Q76" s="2"/>
      <c r="R76" s="2"/>
      <c r="S76" s="2"/>
      <c r="T76" s="2"/>
      <c r="U76" s="2"/>
      <c r="V76" s="2"/>
      <c r="W76" s="2"/>
    </row>
    <row r="77" spans="1:23">
      <c r="A77" s="2"/>
      <c r="B77" s="2"/>
      <c r="C77" s="2"/>
      <c r="D77" s="2"/>
      <c r="E77" s="2"/>
      <c r="F77" s="2"/>
      <c r="G77" s="2"/>
      <c r="H77" s="2"/>
      <c r="I77" s="2"/>
      <c r="J77" s="2"/>
      <c r="K77" s="2"/>
      <c r="L77" s="2"/>
      <c r="M77" s="2"/>
      <c r="N77" s="2"/>
      <c r="O77" s="2"/>
      <c r="P77" s="2"/>
      <c r="Q77" s="2"/>
      <c r="R77" s="2"/>
      <c r="S77" s="2"/>
      <c r="T77" s="2"/>
      <c r="U77" s="2"/>
      <c r="V77" s="2"/>
      <c r="W77" s="2"/>
    </row>
    <row r="78" spans="1:23">
      <c r="A78" s="2"/>
      <c r="B78" s="2"/>
      <c r="C78" s="2"/>
      <c r="D78" s="2"/>
      <c r="E78" s="2"/>
      <c r="F78" s="2"/>
      <c r="G78" s="2"/>
      <c r="H78" s="2"/>
      <c r="I78" s="2"/>
      <c r="J78" s="2"/>
      <c r="K78" s="2"/>
      <c r="L78" s="2"/>
      <c r="M78" s="2"/>
      <c r="N78" s="2"/>
      <c r="O78" s="2"/>
      <c r="P78" s="2"/>
      <c r="Q78" s="2"/>
      <c r="R78" s="2"/>
      <c r="S78" s="2"/>
      <c r="T78" s="2"/>
      <c r="U78" s="2"/>
      <c r="V78" s="2"/>
      <c r="W78" s="2"/>
    </row>
    <row r="79" spans="1:23">
      <c r="A79" s="2"/>
      <c r="B79" s="2"/>
      <c r="C79" s="2"/>
      <c r="D79" s="2"/>
      <c r="E79" s="2"/>
      <c r="F79" s="2"/>
      <c r="G79" s="2"/>
      <c r="H79" s="2"/>
      <c r="I79" s="2"/>
      <c r="J79" s="2"/>
      <c r="K79" s="2"/>
      <c r="L79" s="2"/>
      <c r="M79" s="2"/>
      <c r="N79" s="2"/>
      <c r="O79" s="2"/>
      <c r="P79" s="2"/>
      <c r="Q79" s="2"/>
      <c r="R79" s="2"/>
      <c r="S79" s="2"/>
      <c r="T79" s="2"/>
      <c r="U79" s="2"/>
      <c r="V79" s="2"/>
      <c r="W79" s="2"/>
    </row>
  </sheetData>
  <mergeCells count="86">
    <mergeCell ref="B32:U32"/>
    <mergeCell ref="B29:C29"/>
    <mergeCell ref="D29:K29"/>
    <mergeCell ref="M29:U30"/>
    <mergeCell ref="B30:C30"/>
    <mergeCell ref="D30:K30"/>
    <mergeCell ref="B28:C28"/>
    <mergeCell ref="D28:K28"/>
    <mergeCell ref="N28:Q28"/>
    <mergeCell ref="R28:S28"/>
    <mergeCell ref="T28:U28"/>
    <mergeCell ref="B27:C27"/>
    <mergeCell ref="D27:K27"/>
    <mergeCell ref="N27:Q27"/>
    <mergeCell ref="R27:S27"/>
    <mergeCell ref="T27:U27"/>
    <mergeCell ref="O23:Q23"/>
    <mergeCell ref="R23:S23"/>
    <mergeCell ref="B25:K25"/>
    <mergeCell ref="M25:U25"/>
    <mergeCell ref="B26:C26"/>
    <mergeCell ref="D26:K26"/>
    <mergeCell ref="N26:Q26"/>
    <mergeCell ref="R26:S26"/>
    <mergeCell ref="T26:U26"/>
    <mergeCell ref="B23:C23"/>
    <mergeCell ref="D23:E23"/>
    <mergeCell ref="F23:G23"/>
    <mergeCell ref="H23:I23"/>
    <mergeCell ref="J23:K23"/>
    <mergeCell ref="O21:Q21"/>
    <mergeCell ref="R21:S21"/>
    <mergeCell ref="B22:C22"/>
    <mergeCell ref="D22:E22"/>
    <mergeCell ref="F22:G22"/>
    <mergeCell ref="H22:I22"/>
    <mergeCell ref="J22:K22"/>
    <mergeCell ref="O22:Q22"/>
    <mergeCell ref="R22:S22"/>
    <mergeCell ref="B21:C21"/>
    <mergeCell ref="D21:E21"/>
    <mergeCell ref="F21:G21"/>
    <mergeCell ref="H21:I21"/>
    <mergeCell ref="J21:K21"/>
    <mergeCell ref="B18:K20"/>
    <mergeCell ref="O18:Q18"/>
    <mergeCell ref="R18:S18"/>
    <mergeCell ref="O19:Q19"/>
    <mergeCell ref="R19:S19"/>
    <mergeCell ref="O20:Q20"/>
    <mergeCell ref="R20:S20"/>
    <mergeCell ref="B16:K17"/>
    <mergeCell ref="O16:Q16"/>
    <mergeCell ref="R16:S16"/>
    <mergeCell ref="O17:Q17"/>
    <mergeCell ref="R17:S17"/>
    <mergeCell ref="B14:K15"/>
    <mergeCell ref="O14:Q14"/>
    <mergeCell ref="R14:S14"/>
    <mergeCell ref="O15:Q15"/>
    <mergeCell ref="R15:S15"/>
    <mergeCell ref="B10:K10"/>
    <mergeCell ref="M10:U10"/>
    <mergeCell ref="B12:K12"/>
    <mergeCell ref="M12:U12"/>
    <mergeCell ref="B13:D13"/>
    <mergeCell ref="E13:K13"/>
    <mergeCell ref="O13:Q13"/>
    <mergeCell ref="R13:S13"/>
    <mergeCell ref="B8:E8"/>
    <mergeCell ref="F8:I8"/>
    <mergeCell ref="J8:M8"/>
    <mergeCell ref="N8:Q8"/>
    <mergeCell ref="R8:U8"/>
    <mergeCell ref="B7:E7"/>
    <mergeCell ref="F7:I7"/>
    <mergeCell ref="J7:M7"/>
    <mergeCell ref="N7:Q7"/>
    <mergeCell ref="R7:U7"/>
    <mergeCell ref="B2:U3"/>
    <mergeCell ref="B4:U4"/>
    <mergeCell ref="B6:E6"/>
    <mergeCell ref="F6:I6"/>
    <mergeCell ref="J6:M6"/>
    <mergeCell ref="N6:Q6"/>
    <mergeCell ref="R6:U6"/>
  </mergeCells>
  <conditionalFormatting sqref="B22:K22">
    <cfRule type="cellIs" dxfId="14" priority="2" operator="greaterThan">
      <formula>0</formula>
    </cfRule>
    <cfRule type="cellIs" dxfId="13" priority="3" operator="lessThan">
      <formula>0</formula>
    </cfRule>
  </conditionalFormatting>
  <conditionalFormatting sqref="N14:N23">
    <cfRule type="expression" dxfId="12" priority="4">
      <formula>LEFT(N14,1)="▲"</formula>
    </cfRule>
    <cfRule type="expression" dxfId="11" priority="5">
      <formula>LEFT(N14,1)="▼"</formula>
    </cfRule>
  </conditionalFormatting>
  <conditionalFormatting sqref="T14:T23">
    <cfRule type="cellIs" dxfId="10" priority="6" operator="lessThan">
      <formula>0</formula>
    </cfRule>
    <cfRule type="cellIs" dxfId="9" priority="7" operator="greaterThan">
      <formula>0</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34"/>
  <sheetViews>
    <sheetView showGridLines="0" zoomScaleNormal="100" workbookViewId="0"/>
  </sheetViews>
  <sheetFormatPr defaultColWidth="8.7109375" defaultRowHeight="14.45"/>
  <cols>
    <col min="1" max="1" width="2" customWidth="1"/>
    <col min="2" max="2" width="120" customWidth="1"/>
  </cols>
  <sheetData>
    <row r="2" spans="2:2" ht="21">
      <c r="B2" s="12" t="s">
        <v>22</v>
      </c>
    </row>
    <row r="5" spans="2:2" ht="24" customHeight="1">
      <c r="B5" s="13" t="s">
        <v>23</v>
      </c>
    </row>
    <row r="6" spans="2:2">
      <c r="B6" s="14" t="s">
        <v>24</v>
      </c>
    </row>
    <row r="7" spans="2:2" ht="26.45">
      <c r="B7" s="14" t="s">
        <v>25</v>
      </c>
    </row>
    <row r="8" spans="2:2" ht="26.45">
      <c r="B8" s="14" t="s">
        <v>26</v>
      </c>
    </row>
    <row r="9" spans="2:2" ht="26.45">
      <c r="B9" s="14" t="s">
        <v>27</v>
      </c>
    </row>
    <row r="10" spans="2:2" ht="26.45">
      <c r="B10" s="14" t="s">
        <v>28</v>
      </c>
    </row>
    <row r="11" spans="2:2" ht="26.45">
      <c r="B11" s="14" t="s">
        <v>29</v>
      </c>
    </row>
    <row r="12" spans="2:2">
      <c r="B12" s="14" t="s">
        <v>30</v>
      </c>
    </row>
    <row r="13" spans="2:2">
      <c r="B13" s="14" t="s">
        <v>31</v>
      </c>
    </row>
    <row r="14" spans="2:2" ht="24" customHeight="1">
      <c r="B14" s="13" t="s">
        <v>32</v>
      </c>
    </row>
    <row r="15" spans="2:2">
      <c r="B15" s="14" t="s">
        <v>33</v>
      </c>
    </row>
    <row r="16" spans="2:2">
      <c r="B16" s="14" t="s">
        <v>34</v>
      </c>
    </row>
    <row r="17" spans="2:2">
      <c r="B17" s="14" t="s">
        <v>35</v>
      </c>
    </row>
    <row r="18" spans="2:2" ht="26.45">
      <c r="B18" s="14" t="s">
        <v>36</v>
      </c>
    </row>
    <row r="19" spans="2:2">
      <c r="B19" s="14" t="s">
        <v>37</v>
      </c>
    </row>
    <row r="20" spans="2:2">
      <c r="B20" s="14" t="s">
        <v>38</v>
      </c>
    </row>
    <row r="21" spans="2:2">
      <c r="B21" s="14" t="s">
        <v>39</v>
      </c>
    </row>
    <row r="22" spans="2:2">
      <c r="B22" s="14" t="s">
        <v>40</v>
      </c>
    </row>
    <row r="23" spans="2:2">
      <c r="B23" s="14" t="s">
        <v>41</v>
      </c>
    </row>
    <row r="24" spans="2:2">
      <c r="B24" s="14" t="s">
        <v>42</v>
      </c>
    </row>
    <row r="25" spans="2:2">
      <c r="B25" s="14" t="s">
        <v>43</v>
      </c>
    </row>
    <row r="26" spans="2:2" ht="26.45">
      <c r="B26" s="14" t="s">
        <v>44</v>
      </c>
    </row>
    <row r="27" spans="2:2">
      <c r="B27" s="14" t="s">
        <v>45</v>
      </c>
    </row>
    <row r="28" spans="2:2" ht="26.45">
      <c r="B28" s="14" t="s">
        <v>46</v>
      </c>
    </row>
    <row r="29" spans="2:2" ht="24" customHeight="1">
      <c r="B29" s="13" t="s">
        <v>47</v>
      </c>
    </row>
    <row r="30" spans="2:2">
      <c r="B30" s="14" t="s">
        <v>48</v>
      </c>
    </row>
    <row r="31" spans="2:2">
      <c r="B31" s="14" t="s">
        <v>49</v>
      </c>
    </row>
    <row r="32" spans="2:2" ht="26.45">
      <c r="B32" s="14" t="s">
        <v>50</v>
      </c>
    </row>
    <row r="33" spans="2:2" ht="26.45">
      <c r="B33" s="14" t="s">
        <v>51</v>
      </c>
    </row>
    <row r="34" spans="2:2">
      <c r="B34" s="14" t="s">
        <v>52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7"/>
  <sheetViews>
    <sheetView showGridLines="0" zoomScaleNormal="100" workbookViewId="0">
      <selection activeCell="C7" sqref="C7"/>
    </sheetView>
  </sheetViews>
  <sheetFormatPr defaultColWidth="8.7109375" defaultRowHeight="14.45"/>
  <cols>
    <col min="1" max="1" width="2" customWidth="1"/>
    <col min="2" max="2" width="44" customWidth="1"/>
    <col min="3" max="3" width="22" customWidth="1"/>
    <col min="4" max="4" width="70" customWidth="1"/>
  </cols>
  <sheetData>
    <row r="2" spans="2:4" ht="21">
      <c r="B2" s="12" t="s">
        <v>53</v>
      </c>
    </row>
    <row r="3" spans="2:4">
      <c r="B3" s="15" t="s">
        <v>54</v>
      </c>
    </row>
    <row r="5" spans="2:4" ht="39.6">
      <c r="B5" s="16" t="s">
        <v>55</v>
      </c>
      <c r="C5" s="17" t="s">
        <v>56</v>
      </c>
      <c r="D5" s="18" t="s">
        <v>57</v>
      </c>
    </row>
    <row r="6" spans="2:4">
      <c r="B6" s="16" t="s">
        <v>58</v>
      </c>
      <c r="C6" s="19">
        <v>100000000</v>
      </c>
      <c r="D6" s="18" t="s">
        <v>59</v>
      </c>
    </row>
    <row r="7" spans="2:4" ht="22.5">
      <c r="B7" s="16" t="s">
        <v>60</v>
      </c>
      <c r="C7" s="17">
        <v>30</v>
      </c>
      <c r="D7" s="18" t="s">
        <v>61</v>
      </c>
    </row>
    <row r="8" spans="2:4" ht="22.5">
      <c r="B8" s="16" t="s">
        <v>62</v>
      </c>
      <c r="C8" s="17">
        <v>3</v>
      </c>
      <c r="D8" s="18" t="s">
        <v>63</v>
      </c>
    </row>
    <row r="9" spans="2:4">
      <c r="B9" s="16" t="s">
        <v>64</v>
      </c>
      <c r="C9" s="20">
        <v>1</v>
      </c>
      <c r="D9" s="18" t="s">
        <v>65</v>
      </c>
    </row>
    <row r="10" spans="2:4" ht="22.9">
      <c r="B10" s="16" t="s">
        <v>66</v>
      </c>
      <c r="C10" s="20">
        <v>0.1</v>
      </c>
      <c r="D10" s="18" t="s">
        <v>67</v>
      </c>
    </row>
    <row r="13" spans="2:4" ht="15.6">
      <c r="B13" s="21" t="s">
        <v>68</v>
      </c>
    </row>
    <row r="14" spans="2:4" ht="26.45">
      <c r="B14" s="22" t="s">
        <v>69</v>
      </c>
      <c r="C14" s="22" t="s">
        <v>70</v>
      </c>
      <c r="D14" s="22" t="s">
        <v>71</v>
      </c>
    </row>
    <row r="15" spans="2:4" ht="30" customHeight="1">
      <c r="B15" s="23" t="s">
        <v>14</v>
      </c>
      <c r="C15" s="24">
        <v>1.7500000000000002E-2</v>
      </c>
      <c r="D15" s="18" t="s">
        <v>72</v>
      </c>
    </row>
    <row r="16" spans="2:4" ht="30" customHeight="1">
      <c r="B16" s="25" t="s">
        <v>15</v>
      </c>
      <c r="C16" s="24">
        <v>0</v>
      </c>
      <c r="D16" s="18" t="s">
        <v>73</v>
      </c>
    </row>
    <row r="17" spans="2:4" ht="30" customHeight="1">
      <c r="B17" s="26" t="s">
        <v>16</v>
      </c>
      <c r="C17" s="24">
        <v>1.0999999999999999E-2</v>
      </c>
      <c r="D17" s="18" t="s">
        <v>74</v>
      </c>
    </row>
    <row r="18" spans="2:4" ht="30" customHeight="1">
      <c r="B18" s="27" t="s">
        <v>17</v>
      </c>
      <c r="C18" s="24">
        <v>2E-3</v>
      </c>
      <c r="D18" s="18" t="s">
        <v>75</v>
      </c>
    </row>
    <row r="19" spans="2:4" ht="30" customHeight="1">
      <c r="B19" s="28" t="s">
        <v>18</v>
      </c>
      <c r="C19" s="24">
        <v>7.4000000000000003E-3</v>
      </c>
      <c r="D19" s="18" t="s">
        <v>76</v>
      </c>
    </row>
    <row r="21" spans="2:4">
      <c r="B21" s="29" t="s">
        <v>77</v>
      </c>
    </row>
    <row r="22" spans="2:4" ht="25.5" customHeight="1">
      <c r="B22" s="87" t="s">
        <v>78</v>
      </c>
      <c r="C22" s="87"/>
      <c r="D22" s="87"/>
    </row>
    <row r="23" spans="2:4" ht="25.5" customHeight="1">
      <c r="B23" s="87" t="s">
        <v>79</v>
      </c>
      <c r="C23" s="87"/>
      <c r="D23" s="87"/>
    </row>
    <row r="24" spans="2:4" ht="25.5" customHeight="1">
      <c r="B24" s="87" t="s">
        <v>80</v>
      </c>
      <c r="C24" s="87"/>
      <c r="D24" s="87"/>
    </row>
    <row r="27" spans="2:4">
      <c r="B27" s="30" t="s">
        <v>81</v>
      </c>
      <c r="C27" s="31" t="s">
        <v>82</v>
      </c>
    </row>
  </sheetData>
  <mergeCells count="3">
    <mergeCell ref="B22:D22"/>
    <mergeCell ref="B23:D23"/>
    <mergeCell ref="B24:D24"/>
  </mergeCells>
  <dataValidations count="2">
    <dataValidation type="list" sqref="C7" xr:uid="{00000000-0002-0000-0200-000000000000}">
      <formula1>"10,30"</formula1>
      <formula2>0</formula2>
    </dataValidation>
    <dataValidation type="list" sqref="C8" xr:uid="{00000000-0002-0000-0200-000001000000}">
      <formula1>"1,2,3"</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105"/>
  <sheetViews>
    <sheetView showGridLines="0" zoomScaleNormal="100" workbookViewId="0">
      <pane xSplit="3" ySplit="5" topLeftCell="D22" activePane="bottomRight" state="frozen"/>
      <selection pane="bottomRight"/>
      <selection pane="bottomLeft" activeCell="A6" sqref="A6"/>
      <selection pane="topRight" activeCell="D1" sqref="D1"/>
    </sheetView>
  </sheetViews>
  <sheetFormatPr defaultColWidth="8.7109375" defaultRowHeight="14.45"/>
  <cols>
    <col min="1" max="1" width="8" customWidth="1"/>
    <col min="2" max="2" width="20" customWidth="1"/>
    <col min="3" max="3" width="30" customWidth="1"/>
    <col min="4" max="4" width="48" customWidth="1"/>
    <col min="5" max="5" width="70" customWidth="1"/>
    <col min="6" max="9" width="11" customWidth="1"/>
    <col min="10" max="10" width="12" customWidth="1"/>
  </cols>
  <sheetData>
    <row r="2" spans="1:10" ht="21">
      <c r="B2" s="12" t="s">
        <v>83</v>
      </c>
    </row>
    <row r="3" spans="1:10">
      <c r="B3" s="15" t="s">
        <v>84</v>
      </c>
    </row>
    <row r="5" spans="1:10" ht="26.45">
      <c r="A5" s="22" t="s">
        <v>85</v>
      </c>
      <c r="B5" s="22" t="s">
        <v>86</v>
      </c>
      <c r="C5" s="22" t="s">
        <v>87</v>
      </c>
      <c r="D5" s="22" t="s">
        <v>88</v>
      </c>
      <c r="E5" s="22" t="s">
        <v>89</v>
      </c>
      <c r="F5" s="22" t="s">
        <v>14</v>
      </c>
      <c r="G5" s="22" t="s">
        <v>15</v>
      </c>
      <c r="H5" s="22" t="s">
        <v>16</v>
      </c>
      <c r="I5" s="22" t="s">
        <v>17</v>
      </c>
      <c r="J5" s="22" t="s">
        <v>18</v>
      </c>
    </row>
    <row r="6" spans="1:10" ht="48" customHeight="1">
      <c r="A6" s="32" t="s">
        <v>90</v>
      </c>
      <c r="B6" s="32" t="s">
        <v>91</v>
      </c>
      <c r="C6" s="33" t="s">
        <v>92</v>
      </c>
      <c r="D6" s="34" t="s">
        <v>93</v>
      </c>
      <c r="E6" s="34" t="s">
        <v>94</v>
      </c>
      <c r="F6" s="35">
        <v>0</v>
      </c>
      <c r="G6" s="35">
        <v>-0.05</v>
      </c>
      <c r="H6" s="35">
        <v>2E-3</v>
      </c>
      <c r="I6" s="35">
        <v>-2.5000000000000001E-2</v>
      </c>
      <c r="J6" s="35">
        <v>-2.5000000000000001E-2</v>
      </c>
    </row>
    <row r="7" spans="1:10" ht="48" customHeight="1">
      <c r="A7" s="32" t="s">
        <v>95</v>
      </c>
      <c r="B7" s="32" t="s">
        <v>91</v>
      </c>
      <c r="C7" s="33" t="s">
        <v>96</v>
      </c>
      <c r="D7" s="34" t="s">
        <v>97</v>
      </c>
      <c r="E7" s="34" t="s">
        <v>98</v>
      </c>
      <c r="F7" s="35">
        <v>0</v>
      </c>
      <c r="G7" s="35">
        <v>-0.1</v>
      </c>
      <c r="H7" s="35">
        <v>4.0000000000000001E-3</v>
      </c>
      <c r="I7" s="35">
        <v>-3.5000000000000003E-2</v>
      </c>
      <c r="J7" s="35">
        <v>-0.05</v>
      </c>
    </row>
    <row r="8" spans="1:10" ht="48" customHeight="1">
      <c r="A8" s="32" t="s">
        <v>99</v>
      </c>
      <c r="B8" s="32" t="s">
        <v>91</v>
      </c>
      <c r="C8" s="33" t="s">
        <v>100</v>
      </c>
      <c r="D8" s="34" t="s">
        <v>101</v>
      </c>
      <c r="E8" s="34" t="s">
        <v>102</v>
      </c>
      <c r="F8" s="35">
        <v>0</v>
      </c>
      <c r="G8" s="35">
        <v>0.04</v>
      </c>
      <c r="H8" s="35">
        <v>-2E-3</v>
      </c>
      <c r="I8" s="35">
        <v>2.5000000000000001E-2</v>
      </c>
      <c r="J8" s="35">
        <v>0.02</v>
      </c>
    </row>
    <row r="9" spans="1:10" ht="48" customHeight="1">
      <c r="A9" s="32" t="s">
        <v>103</v>
      </c>
      <c r="B9" s="32" t="s">
        <v>91</v>
      </c>
      <c r="C9" s="33" t="s">
        <v>104</v>
      </c>
      <c r="D9" s="34" t="s">
        <v>105</v>
      </c>
      <c r="E9" s="34" t="s">
        <v>106</v>
      </c>
      <c r="F9" s="35">
        <v>0</v>
      </c>
      <c r="G9" s="35">
        <v>0.12</v>
      </c>
      <c r="H9" s="35">
        <v>-3.0000000000000001E-3</v>
      </c>
      <c r="I9" s="35">
        <v>3.5000000000000003E-2</v>
      </c>
      <c r="J9" s="35">
        <v>0.06</v>
      </c>
    </row>
    <row r="10" spans="1:10" ht="48" customHeight="1">
      <c r="A10" s="32" t="s">
        <v>107</v>
      </c>
      <c r="B10" s="32" t="s">
        <v>91</v>
      </c>
      <c r="C10" s="33" t="s">
        <v>108</v>
      </c>
      <c r="D10" s="34" t="s">
        <v>109</v>
      </c>
      <c r="E10" s="34" t="s">
        <v>110</v>
      </c>
      <c r="F10" s="35">
        <v>0</v>
      </c>
      <c r="G10" s="35">
        <v>0.03</v>
      </c>
      <c r="H10" s="35">
        <v>0</v>
      </c>
      <c r="I10" s="35">
        <v>0</v>
      </c>
      <c r="J10" s="35">
        <v>1.4999999999999999E-2</v>
      </c>
    </row>
    <row r="11" spans="1:10" ht="48" customHeight="1">
      <c r="A11" s="32" t="s">
        <v>111</v>
      </c>
      <c r="B11" s="32" t="s">
        <v>91</v>
      </c>
      <c r="C11" s="33" t="s">
        <v>112</v>
      </c>
      <c r="D11" s="34" t="s">
        <v>113</v>
      </c>
      <c r="E11" s="34" t="s">
        <v>114</v>
      </c>
      <c r="F11" s="35">
        <v>0</v>
      </c>
      <c r="G11" s="35">
        <v>-0.06</v>
      </c>
      <c r="H11" s="35">
        <v>1E-3</v>
      </c>
      <c r="I11" s="35">
        <v>-7.0000000000000007E-2</v>
      </c>
      <c r="J11" s="35">
        <v>-0.03</v>
      </c>
    </row>
    <row r="12" spans="1:10" ht="48" customHeight="1">
      <c r="A12" s="32" t="s">
        <v>115</v>
      </c>
      <c r="B12" s="32" t="s">
        <v>91</v>
      </c>
      <c r="C12" s="33" t="s">
        <v>116</v>
      </c>
      <c r="D12" s="34" t="s">
        <v>117</v>
      </c>
      <c r="E12" s="34" t="s">
        <v>118</v>
      </c>
      <c r="F12" s="35">
        <v>0</v>
      </c>
      <c r="G12" s="35">
        <v>0.18</v>
      </c>
      <c r="H12" s="35">
        <v>0</v>
      </c>
      <c r="I12" s="35">
        <v>9.5000000000000001E-2</v>
      </c>
      <c r="J12" s="35">
        <v>0.09</v>
      </c>
    </row>
    <row r="13" spans="1:10" ht="48" customHeight="1">
      <c r="A13" s="32" t="s">
        <v>119</v>
      </c>
      <c r="B13" s="32" t="s">
        <v>91</v>
      </c>
      <c r="C13" s="33" t="s">
        <v>120</v>
      </c>
      <c r="D13" s="34" t="s">
        <v>121</v>
      </c>
      <c r="E13" s="34" t="s">
        <v>122</v>
      </c>
      <c r="F13" s="35">
        <v>0</v>
      </c>
      <c r="G13" s="35">
        <v>-0.06</v>
      </c>
      <c r="H13" s="35">
        <v>2E-3</v>
      </c>
      <c r="I13" s="35">
        <v>-0.05</v>
      </c>
      <c r="J13" s="35">
        <v>-0.03</v>
      </c>
    </row>
    <row r="14" spans="1:10" ht="48" customHeight="1">
      <c r="A14" s="32" t="s">
        <v>123</v>
      </c>
      <c r="B14" s="32" t="s">
        <v>91</v>
      </c>
      <c r="C14" s="33" t="s">
        <v>124</v>
      </c>
      <c r="D14" s="34" t="s">
        <v>125</v>
      </c>
      <c r="E14" s="34" t="s">
        <v>126</v>
      </c>
      <c r="F14" s="35">
        <v>0</v>
      </c>
      <c r="G14" s="35">
        <v>-0.04</v>
      </c>
      <c r="H14" s="35">
        <v>4.0000000000000001E-3</v>
      </c>
      <c r="I14" s="35">
        <v>0</v>
      </c>
      <c r="J14" s="35">
        <v>-0.02</v>
      </c>
    </row>
    <row r="15" spans="1:10" ht="48" customHeight="1">
      <c r="A15" s="32" t="s">
        <v>127</v>
      </c>
      <c r="B15" s="32" t="s">
        <v>91</v>
      </c>
      <c r="C15" s="33" t="s">
        <v>128</v>
      </c>
      <c r="D15" s="34" t="s">
        <v>129</v>
      </c>
      <c r="E15" s="34" t="s">
        <v>130</v>
      </c>
      <c r="F15" s="35">
        <v>0</v>
      </c>
      <c r="G15" s="35">
        <v>0.04</v>
      </c>
      <c r="H15" s="35">
        <v>-1E-3</v>
      </c>
      <c r="I15" s="35">
        <v>0</v>
      </c>
      <c r="J15" s="35">
        <v>0.02</v>
      </c>
    </row>
    <row r="16" spans="1:10" ht="48" customHeight="1">
      <c r="A16" s="32" t="s">
        <v>131</v>
      </c>
      <c r="B16" s="32" t="s">
        <v>91</v>
      </c>
      <c r="C16" s="33" t="s">
        <v>132</v>
      </c>
      <c r="D16" s="34" t="s">
        <v>133</v>
      </c>
      <c r="E16" s="34" t="s">
        <v>134</v>
      </c>
      <c r="F16" s="35">
        <v>0</v>
      </c>
      <c r="G16" s="35">
        <v>0.04</v>
      </c>
      <c r="H16" s="35">
        <v>0</v>
      </c>
      <c r="I16" s="35">
        <v>-2.5000000000000001E-2</v>
      </c>
      <c r="J16" s="35">
        <v>0.02</v>
      </c>
    </row>
    <row r="17" spans="1:10" ht="48" customHeight="1">
      <c r="A17" s="32" t="s">
        <v>135</v>
      </c>
      <c r="B17" s="32" t="s">
        <v>91</v>
      </c>
      <c r="C17" s="33" t="s">
        <v>136</v>
      </c>
      <c r="D17" s="34" t="s">
        <v>137</v>
      </c>
      <c r="E17" s="34" t="s">
        <v>138</v>
      </c>
      <c r="F17" s="35">
        <v>0</v>
      </c>
      <c r="G17" s="35">
        <v>-0.06</v>
      </c>
      <c r="H17" s="35">
        <v>0</v>
      </c>
      <c r="I17" s="35">
        <v>0.05</v>
      </c>
      <c r="J17" s="35">
        <v>-0.03</v>
      </c>
    </row>
    <row r="18" spans="1:10" ht="48" customHeight="1">
      <c r="A18" s="32" t="s">
        <v>139</v>
      </c>
      <c r="B18" s="32" t="s">
        <v>91</v>
      </c>
      <c r="C18" s="33" t="s">
        <v>140</v>
      </c>
      <c r="D18" s="34" t="s">
        <v>141</v>
      </c>
      <c r="E18" s="34" t="s">
        <v>142</v>
      </c>
      <c r="F18" s="35">
        <v>0</v>
      </c>
      <c r="G18" s="35">
        <v>-0.12</v>
      </c>
      <c r="H18" s="35">
        <v>2E-3</v>
      </c>
      <c r="I18" s="35">
        <v>0.12</v>
      </c>
      <c r="J18" s="35">
        <v>-0.06</v>
      </c>
    </row>
    <row r="19" spans="1:10" ht="48" customHeight="1">
      <c r="A19" s="32" t="s">
        <v>143</v>
      </c>
      <c r="B19" s="32" t="s">
        <v>91</v>
      </c>
      <c r="C19" s="33" t="s">
        <v>144</v>
      </c>
      <c r="D19" s="34" t="s">
        <v>145</v>
      </c>
      <c r="E19" s="34" t="s">
        <v>146</v>
      </c>
      <c r="F19" s="35">
        <v>0</v>
      </c>
      <c r="G19" s="35">
        <v>0.1</v>
      </c>
      <c r="H19" s="35">
        <v>0</v>
      </c>
      <c r="I19" s="35">
        <v>-0.05</v>
      </c>
      <c r="J19" s="35">
        <v>0.05</v>
      </c>
    </row>
    <row r="20" spans="1:10" ht="48" customHeight="1">
      <c r="A20" s="32" t="s">
        <v>147</v>
      </c>
      <c r="B20" s="32" t="s">
        <v>91</v>
      </c>
      <c r="C20" s="33" t="s">
        <v>148</v>
      </c>
      <c r="D20" s="34" t="s">
        <v>149</v>
      </c>
      <c r="E20" s="34" t="s">
        <v>150</v>
      </c>
      <c r="F20" s="35">
        <v>0</v>
      </c>
      <c r="G20" s="35">
        <v>-0.03</v>
      </c>
      <c r="H20" s="35">
        <v>3.0000000000000001E-3</v>
      </c>
      <c r="I20" s="35">
        <v>0</v>
      </c>
      <c r="J20" s="35">
        <v>-1.4999999999999999E-2</v>
      </c>
    </row>
    <row r="21" spans="1:10" ht="48" customHeight="1">
      <c r="A21" s="32" t="s">
        <v>151</v>
      </c>
      <c r="B21" s="32" t="s">
        <v>152</v>
      </c>
      <c r="C21" s="33" t="s">
        <v>153</v>
      </c>
      <c r="D21" s="34" t="s">
        <v>154</v>
      </c>
      <c r="E21" s="34" t="s">
        <v>155</v>
      </c>
      <c r="F21" s="35">
        <v>0</v>
      </c>
      <c r="G21" s="35">
        <v>-0.04</v>
      </c>
      <c r="H21" s="35">
        <v>1E-3</v>
      </c>
      <c r="I21" s="35">
        <v>0.05</v>
      </c>
      <c r="J21" s="35">
        <v>-0.02</v>
      </c>
    </row>
    <row r="22" spans="1:10" ht="48" customHeight="1">
      <c r="A22" s="32" t="s">
        <v>156</v>
      </c>
      <c r="B22" s="32" t="s">
        <v>152</v>
      </c>
      <c r="C22" s="33" t="s">
        <v>157</v>
      </c>
      <c r="D22" s="34" t="s">
        <v>158</v>
      </c>
      <c r="E22" s="34" t="s">
        <v>159</v>
      </c>
      <c r="F22" s="35">
        <v>0</v>
      </c>
      <c r="G22" s="35">
        <v>0.04</v>
      </c>
      <c r="H22" s="35">
        <v>0</v>
      </c>
      <c r="I22" s="35">
        <v>-0.01</v>
      </c>
      <c r="J22" s="35">
        <v>0.02</v>
      </c>
    </row>
    <row r="23" spans="1:10" ht="48" customHeight="1">
      <c r="A23" s="32" t="s">
        <v>160</v>
      </c>
      <c r="B23" s="32" t="s">
        <v>152</v>
      </c>
      <c r="C23" s="33" t="s">
        <v>161</v>
      </c>
      <c r="D23" s="34" t="s">
        <v>162</v>
      </c>
      <c r="E23" s="34" t="s">
        <v>163</v>
      </c>
      <c r="F23" s="35">
        <v>0</v>
      </c>
      <c r="G23" s="35">
        <v>0.1</v>
      </c>
      <c r="H23" s="35">
        <v>0</v>
      </c>
      <c r="I23" s="35">
        <v>-2.5000000000000001E-2</v>
      </c>
      <c r="J23" s="35">
        <v>0.05</v>
      </c>
    </row>
    <row r="24" spans="1:10" ht="48" customHeight="1">
      <c r="A24" s="32" t="s">
        <v>164</v>
      </c>
      <c r="B24" s="32" t="s">
        <v>152</v>
      </c>
      <c r="C24" s="33" t="s">
        <v>165</v>
      </c>
      <c r="D24" s="34" t="s">
        <v>166</v>
      </c>
      <c r="E24" s="34" t="s">
        <v>167</v>
      </c>
      <c r="F24" s="35">
        <v>0</v>
      </c>
      <c r="G24" s="35">
        <v>-0.1</v>
      </c>
      <c r="H24" s="35">
        <v>0</v>
      </c>
      <c r="I24" s="35">
        <v>3.5000000000000003E-2</v>
      </c>
      <c r="J24" s="35">
        <v>-0.05</v>
      </c>
    </row>
    <row r="25" spans="1:10" ht="48" customHeight="1">
      <c r="A25" s="32" t="s">
        <v>168</v>
      </c>
      <c r="B25" s="32" t="s">
        <v>152</v>
      </c>
      <c r="C25" s="33" t="s">
        <v>169</v>
      </c>
      <c r="D25" s="34" t="s">
        <v>170</v>
      </c>
      <c r="E25" s="34" t="s">
        <v>171</v>
      </c>
      <c r="F25" s="35">
        <v>0</v>
      </c>
      <c r="G25" s="35">
        <v>-0.06</v>
      </c>
      <c r="H25" s="35">
        <v>0</v>
      </c>
      <c r="I25" s="35">
        <v>0.01</v>
      </c>
      <c r="J25" s="35">
        <v>-0.03</v>
      </c>
    </row>
    <row r="26" spans="1:10" ht="48" customHeight="1">
      <c r="A26" s="32" t="s">
        <v>172</v>
      </c>
      <c r="B26" s="32" t="s">
        <v>152</v>
      </c>
      <c r="C26" s="33" t="s">
        <v>173</v>
      </c>
      <c r="D26" s="34" t="s">
        <v>174</v>
      </c>
      <c r="E26" s="34" t="s">
        <v>175</v>
      </c>
      <c r="F26" s="35">
        <v>0</v>
      </c>
      <c r="G26" s="35">
        <v>0.03</v>
      </c>
      <c r="H26" s="35">
        <v>0</v>
      </c>
      <c r="I26" s="35">
        <v>-0.01</v>
      </c>
      <c r="J26" s="35">
        <v>1.4999999999999999E-2</v>
      </c>
    </row>
    <row r="27" spans="1:10" ht="48" customHeight="1">
      <c r="A27" s="32" t="s">
        <v>176</v>
      </c>
      <c r="B27" s="32" t="s">
        <v>152</v>
      </c>
      <c r="C27" s="33" t="s">
        <v>177</v>
      </c>
      <c r="D27" s="34" t="s">
        <v>178</v>
      </c>
      <c r="E27" s="34" t="s">
        <v>179</v>
      </c>
      <c r="F27" s="35">
        <v>0</v>
      </c>
      <c r="G27" s="35">
        <v>-0.05</v>
      </c>
      <c r="H27" s="35">
        <v>0</v>
      </c>
      <c r="I27" s="35">
        <v>2.5000000000000001E-2</v>
      </c>
      <c r="J27" s="35">
        <v>-2.5000000000000001E-2</v>
      </c>
    </row>
    <row r="28" spans="1:10" ht="48" customHeight="1">
      <c r="A28" s="32" t="s">
        <v>180</v>
      </c>
      <c r="B28" s="32" t="s">
        <v>152</v>
      </c>
      <c r="C28" s="33" t="s">
        <v>181</v>
      </c>
      <c r="D28" s="34" t="s">
        <v>182</v>
      </c>
      <c r="E28" s="34" t="s">
        <v>183</v>
      </c>
      <c r="F28" s="35">
        <v>0</v>
      </c>
      <c r="G28" s="35">
        <v>0.06</v>
      </c>
      <c r="H28" s="35">
        <v>0</v>
      </c>
      <c r="I28" s="35">
        <v>-0.01</v>
      </c>
      <c r="J28" s="35">
        <v>0.03</v>
      </c>
    </row>
    <row r="29" spans="1:10" ht="48" customHeight="1">
      <c r="A29" s="32" t="s">
        <v>184</v>
      </c>
      <c r="B29" s="32" t="s">
        <v>152</v>
      </c>
      <c r="C29" s="33" t="s">
        <v>185</v>
      </c>
      <c r="D29" s="34" t="s">
        <v>186</v>
      </c>
      <c r="E29" s="34" t="s">
        <v>187</v>
      </c>
      <c r="F29" s="35">
        <v>0</v>
      </c>
      <c r="G29" s="35">
        <v>0.06</v>
      </c>
      <c r="H29" s="35">
        <v>0</v>
      </c>
      <c r="I29" s="35">
        <v>-0.01</v>
      </c>
      <c r="J29" s="35">
        <v>0.03</v>
      </c>
    </row>
    <row r="30" spans="1:10" ht="48" customHeight="1">
      <c r="A30" s="32" t="s">
        <v>188</v>
      </c>
      <c r="B30" s="32" t="s">
        <v>152</v>
      </c>
      <c r="C30" s="33" t="s">
        <v>189</v>
      </c>
      <c r="D30" s="34" t="s">
        <v>190</v>
      </c>
      <c r="E30" s="34" t="s">
        <v>191</v>
      </c>
      <c r="F30" s="35">
        <v>0</v>
      </c>
      <c r="G30" s="35">
        <v>-0.08</v>
      </c>
      <c r="H30" s="35">
        <v>0</v>
      </c>
      <c r="I30" s="35">
        <v>2.5000000000000001E-2</v>
      </c>
      <c r="J30" s="35">
        <v>-0.04</v>
      </c>
    </row>
    <row r="31" spans="1:10" ht="48" customHeight="1">
      <c r="A31" s="32" t="s">
        <v>192</v>
      </c>
      <c r="B31" s="32" t="s">
        <v>152</v>
      </c>
      <c r="C31" s="33" t="s">
        <v>193</v>
      </c>
      <c r="D31" s="34" t="s">
        <v>194</v>
      </c>
      <c r="E31" s="34" t="s">
        <v>195</v>
      </c>
      <c r="F31" s="35">
        <v>0</v>
      </c>
      <c r="G31" s="35">
        <v>-0.06</v>
      </c>
      <c r="H31" s="35">
        <v>1E-3</v>
      </c>
      <c r="I31" s="35">
        <v>2.5000000000000001E-2</v>
      </c>
      <c r="J31" s="35">
        <v>-0.03</v>
      </c>
    </row>
    <row r="32" spans="1:10" ht="48" customHeight="1">
      <c r="A32" s="32" t="s">
        <v>196</v>
      </c>
      <c r="B32" s="32" t="s">
        <v>152</v>
      </c>
      <c r="C32" s="33" t="s">
        <v>197</v>
      </c>
      <c r="D32" s="34" t="s">
        <v>198</v>
      </c>
      <c r="E32" s="34" t="s">
        <v>199</v>
      </c>
      <c r="F32" s="35">
        <v>0</v>
      </c>
      <c r="G32" s="35">
        <v>0.05</v>
      </c>
      <c r="H32" s="35">
        <v>0</v>
      </c>
      <c r="I32" s="35">
        <v>0</v>
      </c>
      <c r="J32" s="35">
        <v>2.5000000000000001E-2</v>
      </c>
    </row>
    <row r="33" spans="1:10" ht="48" customHeight="1">
      <c r="A33" s="32" t="s">
        <v>200</v>
      </c>
      <c r="B33" s="32" t="s">
        <v>152</v>
      </c>
      <c r="C33" s="33" t="s">
        <v>201</v>
      </c>
      <c r="D33" s="34" t="s">
        <v>202</v>
      </c>
      <c r="E33" s="34" t="s">
        <v>203</v>
      </c>
      <c r="F33" s="35">
        <v>0</v>
      </c>
      <c r="G33" s="35">
        <v>-0.05</v>
      </c>
      <c r="H33" s="35">
        <v>-1E-3</v>
      </c>
      <c r="I33" s="35">
        <v>0.01</v>
      </c>
      <c r="J33" s="35">
        <v>-2.5000000000000001E-2</v>
      </c>
    </row>
    <row r="34" spans="1:10" ht="48" customHeight="1">
      <c r="A34" s="32" t="s">
        <v>204</v>
      </c>
      <c r="B34" s="32" t="s">
        <v>152</v>
      </c>
      <c r="C34" s="33" t="s">
        <v>205</v>
      </c>
      <c r="D34" s="34" t="s">
        <v>206</v>
      </c>
      <c r="E34" s="34" t="s">
        <v>207</v>
      </c>
      <c r="F34" s="35">
        <v>0</v>
      </c>
      <c r="G34" s="35">
        <v>0.06</v>
      </c>
      <c r="H34" s="35">
        <v>0</v>
      </c>
      <c r="I34" s="35">
        <v>-0.01</v>
      </c>
      <c r="J34" s="35">
        <v>0.03</v>
      </c>
    </row>
    <row r="35" spans="1:10" ht="48" customHeight="1">
      <c r="A35" s="32" t="s">
        <v>208</v>
      </c>
      <c r="B35" s="32" t="s">
        <v>152</v>
      </c>
      <c r="C35" s="33" t="s">
        <v>209</v>
      </c>
      <c r="D35" s="34" t="s">
        <v>210</v>
      </c>
      <c r="E35" s="34" t="s">
        <v>211</v>
      </c>
      <c r="F35" s="35">
        <v>0</v>
      </c>
      <c r="G35" s="35">
        <v>0.06</v>
      </c>
      <c r="H35" s="35">
        <v>1E-3</v>
      </c>
      <c r="I35" s="35">
        <v>0</v>
      </c>
      <c r="J35" s="35">
        <v>0.03</v>
      </c>
    </row>
    <row r="36" spans="1:10" ht="48" customHeight="1">
      <c r="A36" s="32" t="s">
        <v>212</v>
      </c>
      <c r="B36" s="32" t="s">
        <v>213</v>
      </c>
      <c r="C36" s="33" t="s">
        <v>214</v>
      </c>
      <c r="D36" s="34" t="s">
        <v>215</v>
      </c>
      <c r="E36" s="34" t="s">
        <v>216</v>
      </c>
      <c r="F36" s="35">
        <v>0</v>
      </c>
      <c r="G36" s="35">
        <v>-0.12</v>
      </c>
      <c r="H36" s="35">
        <v>0</v>
      </c>
      <c r="I36" s="35">
        <v>2.5000000000000001E-2</v>
      </c>
      <c r="J36" s="35">
        <v>-0.06</v>
      </c>
    </row>
    <row r="37" spans="1:10" ht="48" customHeight="1">
      <c r="A37" s="32" t="s">
        <v>217</v>
      </c>
      <c r="B37" s="32" t="s">
        <v>213</v>
      </c>
      <c r="C37" s="33" t="s">
        <v>218</v>
      </c>
      <c r="D37" s="34" t="s">
        <v>219</v>
      </c>
      <c r="E37" s="34" t="s">
        <v>220</v>
      </c>
      <c r="F37" s="35">
        <v>0</v>
      </c>
      <c r="G37" s="35">
        <v>0.1</v>
      </c>
      <c r="H37" s="35">
        <v>0</v>
      </c>
      <c r="I37" s="35">
        <v>-0.01</v>
      </c>
      <c r="J37" s="35">
        <v>0.05</v>
      </c>
    </row>
    <row r="38" spans="1:10" ht="48" customHeight="1">
      <c r="A38" s="32" t="s">
        <v>221</v>
      </c>
      <c r="B38" s="32" t="s">
        <v>213</v>
      </c>
      <c r="C38" s="33" t="s">
        <v>222</v>
      </c>
      <c r="D38" s="34" t="s">
        <v>223</v>
      </c>
      <c r="E38" s="34" t="s">
        <v>224</v>
      </c>
      <c r="F38" s="35">
        <v>0</v>
      </c>
      <c r="G38" s="35">
        <v>-0.08</v>
      </c>
      <c r="H38" s="35">
        <v>0</v>
      </c>
      <c r="I38" s="35">
        <v>0.01</v>
      </c>
      <c r="J38" s="35">
        <v>-0.04</v>
      </c>
    </row>
    <row r="39" spans="1:10" ht="48" customHeight="1">
      <c r="A39" s="32" t="s">
        <v>225</v>
      </c>
      <c r="B39" s="32" t="s">
        <v>213</v>
      </c>
      <c r="C39" s="33" t="s">
        <v>226</v>
      </c>
      <c r="D39" s="34" t="s">
        <v>227</v>
      </c>
      <c r="E39" s="34" t="s">
        <v>228</v>
      </c>
      <c r="F39" s="35">
        <v>0</v>
      </c>
      <c r="G39" s="35">
        <v>-0.04</v>
      </c>
      <c r="H39" s="35">
        <v>0</v>
      </c>
      <c r="I39" s="35">
        <v>0</v>
      </c>
      <c r="J39" s="35">
        <v>-0.02</v>
      </c>
    </row>
    <row r="40" spans="1:10" ht="48" customHeight="1">
      <c r="A40" s="32" t="s">
        <v>229</v>
      </c>
      <c r="B40" s="32" t="s">
        <v>213</v>
      </c>
      <c r="C40" s="33" t="s">
        <v>230</v>
      </c>
      <c r="D40" s="34" t="s">
        <v>231</v>
      </c>
      <c r="E40" s="34" t="s">
        <v>232</v>
      </c>
      <c r="F40" s="35">
        <v>0</v>
      </c>
      <c r="G40" s="35">
        <v>0.08</v>
      </c>
      <c r="H40" s="35">
        <v>0</v>
      </c>
      <c r="I40" s="35">
        <v>-0.01</v>
      </c>
      <c r="J40" s="35">
        <v>0.04</v>
      </c>
    </row>
    <row r="41" spans="1:10" ht="48" customHeight="1">
      <c r="A41" s="32" t="s">
        <v>233</v>
      </c>
      <c r="B41" s="32" t="s">
        <v>213</v>
      </c>
      <c r="C41" s="33" t="s">
        <v>234</v>
      </c>
      <c r="D41" s="34" t="s">
        <v>235</v>
      </c>
      <c r="E41" s="34" t="s">
        <v>236</v>
      </c>
      <c r="F41" s="35">
        <v>0</v>
      </c>
      <c r="G41" s="35">
        <v>0.06</v>
      </c>
      <c r="H41" s="35">
        <v>0</v>
      </c>
      <c r="I41" s="35">
        <v>0</v>
      </c>
      <c r="J41" s="35">
        <v>0.03</v>
      </c>
    </row>
    <row r="42" spans="1:10" ht="48" customHeight="1">
      <c r="A42" s="32" t="s">
        <v>237</v>
      </c>
      <c r="B42" s="32" t="s">
        <v>213</v>
      </c>
      <c r="C42" s="33" t="s">
        <v>238</v>
      </c>
      <c r="D42" s="34" t="s">
        <v>239</v>
      </c>
      <c r="E42" s="34" t="s">
        <v>240</v>
      </c>
      <c r="F42" s="35">
        <v>0</v>
      </c>
      <c r="G42" s="35">
        <v>-0.08</v>
      </c>
      <c r="H42" s="35">
        <v>0</v>
      </c>
      <c r="I42" s="35">
        <v>0.01</v>
      </c>
      <c r="J42" s="35">
        <v>-0.04</v>
      </c>
    </row>
    <row r="43" spans="1:10" ht="48" customHeight="1">
      <c r="A43" s="32" t="s">
        <v>241</v>
      </c>
      <c r="B43" s="32" t="s">
        <v>213</v>
      </c>
      <c r="C43" s="33" t="s">
        <v>242</v>
      </c>
      <c r="D43" s="34" t="s">
        <v>243</v>
      </c>
      <c r="E43" s="34" t="s">
        <v>244</v>
      </c>
      <c r="F43" s="35">
        <v>0</v>
      </c>
      <c r="G43" s="35">
        <v>-0.03</v>
      </c>
      <c r="H43" s="35">
        <v>-4.0000000000000001E-3</v>
      </c>
      <c r="I43" s="35">
        <v>0.01</v>
      </c>
      <c r="J43" s="35">
        <v>-1.4999999999999999E-2</v>
      </c>
    </row>
    <row r="44" spans="1:10" ht="48" customHeight="1">
      <c r="A44" s="32" t="s">
        <v>245</v>
      </c>
      <c r="B44" s="32" t="s">
        <v>213</v>
      </c>
      <c r="C44" s="33" t="s">
        <v>246</v>
      </c>
      <c r="D44" s="34" t="s">
        <v>247</v>
      </c>
      <c r="E44" s="34" t="s">
        <v>248</v>
      </c>
      <c r="F44" s="35">
        <v>0</v>
      </c>
      <c r="G44" s="35">
        <v>0.03</v>
      </c>
      <c r="H44" s="35">
        <v>0</v>
      </c>
      <c r="I44" s="35">
        <v>-0.01</v>
      </c>
      <c r="J44" s="35">
        <v>1.4999999999999999E-2</v>
      </c>
    </row>
    <row r="45" spans="1:10" ht="48" customHeight="1">
      <c r="A45" s="32" t="s">
        <v>249</v>
      </c>
      <c r="B45" s="32" t="s">
        <v>213</v>
      </c>
      <c r="C45" s="33" t="s">
        <v>250</v>
      </c>
      <c r="D45" s="34" t="s">
        <v>251</v>
      </c>
      <c r="E45" s="34" t="s">
        <v>252</v>
      </c>
      <c r="F45" s="35">
        <v>0</v>
      </c>
      <c r="G45" s="35">
        <v>-0.03</v>
      </c>
      <c r="H45" s="35">
        <v>0</v>
      </c>
      <c r="I45" s="35">
        <v>0.02</v>
      </c>
      <c r="J45" s="35">
        <v>-1.4999999999999999E-2</v>
      </c>
    </row>
    <row r="46" spans="1:10" ht="48" customHeight="1">
      <c r="A46" s="32" t="s">
        <v>253</v>
      </c>
      <c r="B46" s="32" t="s">
        <v>213</v>
      </c>
      <c r="C46" s="33" t="s">
        <v>254</v>
      </c>
      <c r="D46" s="34" t="s">
        <v>255</v>
      </c>
      <c r="E46" s="34" t="s">
        <v>256</v>
      </c>
      <c r="F46" s="35">
        <v>0</v>
      </c>
      <c r="G46" s="35">
        <v>0.05</v>
      </c>
      <c r="H46" s="35">
        <v>0</v>
      </c>
      <c r="I46" s="35">
        <v>0</v>
      </c>
      <c r="J46" s="35">
        <v>2.5000000000000001E-2</v>
      </c>
    </row>
    <row r="47" spans="1:10" ht="48" customHeight="1">
      <c r="A47" s="32" t="s">
        <v>257</v>
      </c>
      <c r="B47" s="32" t="s">
        <v>213</v>
      </c>
      <c r="C47" s="33" t="s">
        <v>258</v>
      </c>
      <c r="D47" s="34" t="s">
        <v>259</v>
      </c>
      <c r="E47" s="34" t="s">
        <v>260</v>
      </c>
      <c r="F47" s="35">
        <v>0</v>
      </c>
      <c r="G47" s="35">
        <v>-0.15</v>
      </c>
      <c r="H47" s="35">
        <v>0</v>
      </c>
      <c r="I47" s="35">
        <v>0.04</v>
      </c>
      <c r="J47" s="35">
        <v>-7.4999999999999997E-2</v>
      </c>
    </row>
    <row r="48" spans="1:10" ht="48" customHeight="1">
      <c r="A48" s="32" t="s">
        <v>261</v>
      </c>
      <c r="B48" s="32" t="s">
        <v>213</v>
      </c>
      <c r="C48" s="33" t="s">
        <v>262</v>
      </c>
      <c r="D48" s="34" t="s">
        <v>263</v>
      </c>
      <c r="E48" s="34" t="s">
        <v>264</v>
      </c>
      <c r="F48" s="35">
        <v>0</v>
      </c>
      <c r="G48" s="35">
        <v>0.15</v>
      </c>
      <c r="H48" s="35">
        <v>0</v>
      </c>
      <c r="I48" s="35">
        <v>-0.05</v>
      </c>
      <c r="J48" s="35">
        <v>7.4999999999999997E-2</v>
      </c>
    </row>
    <row r="49" spans="1:10" ht="48" customHeight="1">
      <c r="A49" s="32" t="s">
        <v>265</v>
      </c>
      <c r="B49" s="32" t="s">
        <v>213</v>
      </c>
      <c r="C49" s="33" t="s">
        <v>266</v>
      </c>
      <c r="D49" s="34" t="s">
        <v>267</v>
      </c>
      <c r="E49" s="34" t="s">
        <v>268</v>
      </c>
      <c r="F49" s="35">
        <v>0</v>
      </c>
      <c r="G49" s="35">
        <v>0.06</v>
      </c>
      <c r="H49" s="35">
        <v>0</v>
      </c>
      <c r="I49" s="35">
        <v>0</v>
      </c>
      <c r="J49" s="35">
        <v>0.03</v>
      </c>
    </row>
    <row r="50" spans="1:10" ht="48" customHeight="1">
      <c r="A50" s="32" t="s">
        <v>269</v>
      </c>
      <c r="B50" s="32" t="s">
        <v>213</v>
      </c>
      <c r="C50" s="33" t="s">
        <v>270</v>
      </c>
      <c r="D50" s="34" t="s">
        <v>271</v>
      </c>
      <c r="E50" s="34" t="s">
        <v>272</v>
      </c>
      <c r="F50" s="35">
        <v>0</v>
      </c>
      <c r="G50" s="35">
        <v>-0.15</v>
      </c>
      <c r="H50" s="35">
        <v>0</v>
      </c>
      <c r="I50" s="35">
        <v>0.03</v>
      </c>
      <c r="J50" s="35">
        <v>-7.4999999999999997E-2</v>
      </c>
    </row>
    <row r="51" spans="1:10" ht="48" customHeight="1">
      <c r="A51" s="32" t="s">
        <v>273</v>
      </c>
      <c r="B51" s="32" t="s">
        <v>274</v>
      </c>
      <c r="C51" s="33" t="s">
        <v>275</v>
      </c>
      <c r="D51" s="34" t="s">
        <v>276</v>
      </c>
      <c r="E51" s="34" t="s">
        <v>277</v>
      </c>
      <c r="F51" s="35">
        <v>0</v>
      </c>
      <c r="G51" s="35">
        <v>-0.06</v>
      </c>
      <c r="H51" s="35">
        <v>0</v>
      </c>
      <c r="I51" s="35">
        <v>0.14499999999999999</v>
      </c>
      <c r="J51" s="35">
        <v>-0.03</v>
      </c>
    </row>
    <row r="52" spans="1:10" ht="48" customHeight="1">
      <c r="A52" s="32" t="s">
        <v>278</v>
      </c>
      <c r="B52" s="32" t="s">
        <v>274</v>
      </c>
      <c r="C52" s="33" t="s">
        <v>279</v>
      </c>
      <c r="D52" s="34" t="s">
        <v>280</v>
      </c>
      <c r="E52" s="34" t="s">
        <v>281</v>
      </c>
      <c r="F52" s="35">
        <v>0</v>
      </c>
      <c r="G52" s="35">
        <v>-0.08</v>
      </c>
      <c r="H52" s="35">
        <v>0</v>
      </c>
      <c r="I52" s="35">
        <v>7.0000000000000007E-2</v>
      </c>
      <c r="J52" s="35">
        <v>-0.04</v>
      </c>
    </row>
    <row r="53" spans="1:10" ht="48" customHeight="1">
      <c r="A53" s="32" t="s">
        <v>282</v>
      </c>
      <c r="B53" s="32" t="s">
        <v>274</v>
      </c>
      <c r="C53" s="33" t="s">
        <v>283</v>
      </c>
      <c r="D53" s="34" t="s">
        <v>284</v>
      </c>
      <c r="E53" s="34" t="s">
        <v>285</v>
      </c>
      <c r="F53" s="35">
        <v>0</v>
      </c>
      <c r="G53" s="35">
        <v>0.1</v>
      </c>
      <c r="H53" s="35">
        <v>0</v>
      </c>
      <c r="I53" s="35">
        <v>-0.05</v>
      </c>
      <c r="J53" s="35">
        <v>0.05</v>
      </c>
    </row>
    <row r="54" spans="1:10" ht="48" customHeight="1">
      <c r="A54" s="32" t="s">
        <v>286</v>
      </c>
      <c r="B54" s="32" t="s">
        <v>274</v>
      </c>
      <c r="C54" s="33" t="s">
        <v>287</v>
      </c>
      <c r="D54" s="34" t="s">
        <v>288</v>
      </c>
      <c r="E54" s="34" t="s">
        <v>289</v>
      </c>
      <c r="F54" s="35">
        <v>0</v>
      </c>
      <c r="G54" s="35">
        <v>-0.12</v>
      </c>
      <c r="H54" s="35">
        <v>0</v>
      </c>
      <c r="I54" s="35">
        <v>9.5000000000000001E-2</v>
      </c>
      <c r="J54" s="35">
        <v>-0.06</v>
      </c>
    </row>
    <row r="55" spans="1:10" ht="48" customHeight="1">
      <c r="A55" s="32" t="s">
        <v>290</v>
      </c>
      <c r="B55" s="32" t="s">
        <v>274</v>
      </c>
      <c r="C55" s="33" t="s">
        <v>291</v>
      </c>
      <c r="D55" s="34" t="s">
        <v>292</v>
      </c>
      <c r="E55" s="34" t="s">
        <v>293</v>
      </c>
      <c r="F55" s="35">
        <v>0</v>
      </c>
      <c r="G55" s="35">
        <v>-0.05</v>
      </c>
      <c r="H55" s="35">
        <v>0</v>
      </c>
      <c r="I55" s="35">
        <v>2.5000000000000001E-2</v>
      </c>
      <c r="J55" s="35">
        <v>-2.5000000000000001E-2</v>
      </c>
    </row>
    <row r="56" spans="1:10" ht="48" customHeight="1">
      <c r="A56" s="32" t="s">
        <v>294</v>
      </c>
      <c r="B56" s="32" t="s">
        <v>274</v>
      </c>
      <c r="C56" s="33" t="s">
        <v>295</v>
      </c>
      <c r="D56" s="34" t="s">
        <v>296</v>
      </c>
      <c r="E56" s="34" t="s">
        <v>297</v>
      </c>
      <c r="F56" s="35">
        <v>0</v>
      </c>
      <c r="G56" s="35">
        <v>0.08</v>
      </c>
      <c r="H56" s="35">
        <v>0</v>
      </c>
      <c r="I56" s="35">
        <v>2.5000000000000001E-2</v>
      </c>
      <c r="J56" s="35">
        <v>0.04</v>
      </c>
    </row>
    <row r="57" spans="1:10" ht="48" customHeight="1">
      <c r="A57" s="32" t="s">
        <v>298</v>
      </c>
      <c r="B57" s="32" t="s">
        <v>274</v>
      </c>
      <c r="C57" s="33" t="s">
        <v>299</v>
      </c>
      <c r="D57" s="34" t="s">
        <v>300</v>
      </c>
      <c r="E57" s="34" t="s">
        <v>301</v>
      </c>
      <c r="F57" s="35">
        <v>0</v>
      </c>
      <c r="G57" s="35">
        <v>-0.1</v>
      </c>
      <c r="H57" s="35">
        <v>0</v>
      </c>
      <c r="I57" s="35">
        <v>0.05</v>
      </c>
      <c r="J57" s="35">
        <v>-0.05</v>
      </c>
    </row>
    <row r="58" spans="1:10" ht="48" customHeight="1">
      <c r="A58" s="32" t="s">
        <v>302</v>
      </c>
      <c r="B58" s="32" t="s">
        <v>274</v>
      </c>
      <c r="C58" s="33" t="s">
        <v>303</v>
      </c>
      <c r="D58" s="34" t="s">
        <v>304</v>
      </c>
      <c r="E58" s="34" t="s">
        <v>305</v>
      </c>
      <c r="F58" s="35">
        <v>0</v>
      </c>
      <c r="G58" s="35">
        <v>-0.04</v>
      </c>
      <c r="H58" s="35">
        <v>0</v>
      </c>
      <c r="I58" s="35">
        <v>0.06</v>
      </c>
      <c r="J58" s="35">
        <v>-0.02</v>
      </c>
    </row>
    <row r="59" spans="1:10" ht="48" customHeight="1">
      <c r="A59" s="32" t="s">
        <v>306</v>
      </c>
      <c r="B59" s="32" t="s">
        <v>274</v>
      </c>
      <c r="C59" s="33" t="s">
        <v>307</v>
      </c>
      <c r="D59" s="34" t="s">
        <v>308</v>
      </c>
      <c r="E59" s="34" t="s">
        <v>309</v>
      </c>
      <c r="F59" s="35">
        <v>0</v>
      </c>
      <c r="G59" s="35">
        <v>-0.04</v>
      </c>
      <c r="H59" s="35">
        <v>0</v>
      </c>
      <c r="I59" s="35">
        <v>0.05</v>
      </c>
      <c r="J59" s="35">
        <v>-0.02</v>
      </c>
    </row>
    <row r="60" spans="1:10" ht="48" customHeight="1">
      <c r="A60" s="32" t="s">
        <v>310</v>
      </c>
      <c r="B60" s="32" t="s">
        <v>274</v>
      </c>
      <c r="C60" s="33" t="s">
        <v>311</v>
      </c>
      <c r="D60" s="34" t="s">
        <v>312</v>
      </c>
      <c r="E60" s="34" t="s">
        <v>313</v>
      </c>
      <c r="F60" s="35">
        <v>0</v>
      </c>
      <c r="G60" s="35">
        <v>0.05</v>
      </c>
      <c r="H60" s="35">
        <v>0</v>
      </c>
      <c r="I60" s="35">
        <v>-0.01</v>
      </c>
      <c r="J60" s="35">
        <v>2.5000000000000001E-2</v>
      </c>
    </row>
    <row r="61" spans="1:10" ht="48" customHeight="1">
      <c r="A61" s="32" t="s">
        <v>314</v>
      </c>
      <c r="B61" s="32" t="s">
        <v>274</v>
      </c>
      <c r="C61" s="33" t="s">
        <v>315</v>
      </c>
      <c r="D61" s="34" t="s">
        <v>316</v>
      </c>
      <c r="E61" s="34" t="s">
        <v>317</v>
      </c>
      <c r="F61" s="35">
        <v>0</v>
      </c>
      <c r="G61" s="35">
        <v>-0.08</v>
      </c>
      <c r="H61" s="35">
        <v>0</v>
      </c>
      <c r="I61" s="35">
        <v>0.12</v>
      </c>
      <c r="J61" s="35">
        <v>-0.04</v>
      </c>
    </row>
    <row r="62" spans="1:10" ht="48" customHeight="1">
      <c r="A62" s="32" t="s">
        <v>318</v>
      </c>
      <c r="B62" s="32" t="s">
        <v>274</v>
      </c>
      <c r="C62" s="33" t="s">
        <v>319</v>
      </c>
      <c r="D62" s="34" t="s">
        <v>320</v>
      </c>
      <c r="E62" s="34" t="s">
        <v>321</v>
      </c>
      <c r="F62" s="35">
        <v>0</v>
      </c>
      <c r="G62" s="35">
        <v>0.05</v>
      </c>
      <c r="H62" s="35">
        <v>0</v>
      </c>
      <c r="I62" s="35">
        <v>3.5000000000000003E-2</v>
      </c>
      <c r="J62" s="35">
        <v>2.5000000000000001E-2</v>
      </c>
    </row>
    <row r="63" spans="1:10" ht="48" customHeight="1">
      <c r="A63" s="32" t="s">
        <v>322</v>
      </c>
      <c r="B63" s="32" t="s">
        <v>274</v>
      </c>
      <c r="C63" s="33" t="s">
        <v>323</v>
      </c>
      <c r="D63" s="34" t="s">
        <v>324</v>
      </c>
      <c r="E63" s="34" t="s">
        <v>325</v>
      </c>
      <c r="F63" s="35">
        <v>0</v>
      </c>
      <c r="G63" s="35">
        <v>-0.02</v>
      </c>
      <c r="H63" s="35">
        <v>0</v>
      </c>
      <c r="I63" s="35">
        <v>9.5000000000000001E-2</v>
      </c>
      <c r="J63" s="35">
        <v>-0.01</v>
      </c>
    </row>
    <row r="64" spans="1:10" ht="48" customHeight="1">
      <c r="A64" s="32" t="s">
        <v>326</v>
      </c>
      <c r="B64" s="32" t="s">
        <v>274</v>
      </c>
      <c r="C64" s="33" t="s">
        <v>327</v>
      </c>
      <c r="D64" s="34" t="s">
        <v>328</v>
      </c>
      <c r="E64" s="34" t="s">
        <v>329</v>
      </c>
      <c r="F64" s="35">
        <v>0</v>
      </c>
      <c r="G64" s="35">
        <v>0.05</v>
      </c>
      <c r="H64" s="35">
        <v>0</v>
      </c>
      <c r="I64" s="35">
        <v>-7.0000000000000007E-2</v>
      </c>
      <c r="J64" s="35">
        <v>2.5000000000000001E-2</v>
      </c>
    </row>
    <row r="65" spans="1:10" ht="48" customHeight="1">
      <c r="A65" s="32" t="s">
        <v>330</v>
      </c>
      <c r="B65" s="32" t="s">
        <v>274</v>
      </c>
      <c r="C65" s="33" t="s">
        <v>331</v>
      </c>
      <c r="D65" s="34" t="s">
        <v>332</v>
      </c>
      <c r="E65" s="34" t="s">
        <v>333</v>
      </c>
      <c r="F65" s="35">
        <v>0</v>
      </c>
      <c r="G65" s="35">
        <v>-0.05</v>
      </c>
      <c r="H65" s="35">
        <v>0</v>
      </c>
      <c r="I65" s="35">
        <v>0.05</v>
      </c>
      <c r="J65" s="35">
        <v>-2.5000000000000001E-2</v>
      </c>
    </row>
    <row r="66" spans="1:10" ht="48" customHeight="1">
      <c r="A66" s="32" t="s">
        <v>334</v>
      </c>
      <c r="B66" s="32" t="s">
        <v>335</v>
      </c>
      <c r="C66" s="33" t="s">
        <v>336</v>
      </c>
      <c r="D66" s="34" t="s">
        <v>337</v>
      </c>
      <c r="E66" s="34" t="s">
        <v>338</v>
      </c>
      <c r="F66" s="35">
        <v>0</v>
      </c>
      <c r="G66" s="35">
        <v>0.15</v>
      </c>
      <c r="H66" s="35">
        <v>0</v>
      </c>
      <c r="I66" s="35">
        <v>2.5000000000000001E-2</v>
      </c>
      <c r="J66" s="35">
        <v>7.4999999999999997E-2</v>
      </c>
    </row>
    <row r="67" spans="1:10" ht="48" customHeight="1">
      <c r="A67" s="32" t="s">
        <v>339</v>
      </c>
      <c r="B67" s="32" t="s">
        <v>335</v>
      </c>
      <c r="C67" s="33" t="s">
        <v>340</v>
      </c>
      <c r="D67" s="34" t="s">
        <v>341</v>
      </c>
      <c r="E67" s="34" t="s">
        <v>342</v>
      </c>
      <c r="F67" s="35">
        <v>0</v>
      </c>
      <c r="G67" s="35">
        <v>-0.08</v>
      </c>
      <c r="H67" s="35">
        <v>0</v>
      </c>
      <c r="I67" s="35">
        <v>0</v>
      </c>
      <c r="J67" s="35">
        <v>-0.04</v>
      </c>
    </row>
    <row r="68" spans="1:10" ht="48" customHeight="1">
      <c r="A68" s="32" t="s">
        <v>343</v>
      </c>
      <c r="B68" s="32" t="s">
        <v>335</v>
      </c>
      <c r="C68" s="33" t="s">
        <v>344</v>
      </c>
      <c r="D68" s="34" t="s">
        <v>345</v>
      </c>
      <c r="E68" s="34" t="s">
        <v>346</v>
      </c>
      <c r="F68" s="35">
        <v>0</v>
      </c>
      <c r="G68" s="35">
        <v>-0.04</v>
      </c>
      <c r="H68" s="35">
        <v>0</v>
      </c>
      <c r="I68" s="35">
        <v>0.05</v>
      </c>
      <c r="J68" s="35">
        <v>-0.02</v>
      </c>
    </row>
    <row r="69" spans="1:10" ht="48" customHeight="1">
      <c r="A69" s="32" t="s">
        <v>347</v>
      </c>
      <c r="B69" s="32" t="s">
        <v>335</v>
      </c>
      <c r="C69" s="33" t="s">
        <v>348</v>
      </c>
      <c r="D69" s="34" t="s">
        <v>349</v>
      </c>
      <c r="E69" s="34" t="s">
        <v>350</v>
      </c>
      <c r="F69" s="35">
        <v>0</v>
      </c>
      <c r="G69" s="35">
        <v>0.03</v>
      </c>
      <c r="H69" s="35">
        <v>0</v>
      </c>
      <c r="I69" s="35">
        <v>-2.5000000000000001E-2</v>
      </c>
      <c r="J69" s="35">
        <v>1.4999999999999999E-2</v>
      </c>
    </row>
    <row r="70" spans="1:10" ht="48" customHeight="1">
      <c r="A70" s="32" t="s">
        <v>351</v>
      </c>
      <c r="B70" s="32" t="s">
        <v>335</v>
      </c>
      <c r="C70" s="33" t="s">
        <v>352</v>
      </c>
      <c r="D70" s="34" t="s">
        <v>353</v>
      </c>
      <c r="E70" s="34" t="s">
        <v>354</v>
      </c>
      <c r="F70" s="35">
        <v>0</v>
      </c>
      <c r="G70" s="35">
        <v>0.04</v>
      </c>
      <c r="H70" s="35">
        <v>0</v>
      </c>
      <c r="I70" s="35">
        <v>0</v>
      </c>
      <c r="J70" s="35">
        <v>0.02</v>
      </c>
    </row>
    <row r="71" spans="1:10" ht="48" customHeight="1">
      <c r="A71" s="32" t="s">
        <v>355</v>
      </c>
      <c r="B71" s="32" t="s">
        <v>335</v>
      </c>
      <c r="C71" s="33" t="s">
        <v>356</v>
      </c>
      <c r="D71" s="34" t="s">
        <v>357</v>
      </c>
      <c r="E71" s="34" t="s">
        <v>358</v>
      </c>
      <c r="F71" s="35">
        <v>0</v>
      </c>
      <c r="G71" s="35">
        <v>-0.03</v>
      </c>
      <c r="H71" s="35">
        <v>0</v>
      </c>
      <c r="I71" s="35">
        <v>3.5000000000000003E-2</v>
      </c>
      <c r="J71" s="35">
        <v>-1.4999999999999999E-2</v>
      </c>
    </row>
    <row r="72" spans="1:10" ht="48" customHeight="1">
      <c r="A72" s="32" t="s">
        <v>359</v>
      </c>
      <c r="B72" s="32" t="s">
        <v>335</v>
      </c>
      <c r="C72" s="33" t="s">
        <v>360</v>
      </c>
      <c r="D72" s="34" t="s">
        <v>361</v>
      </c>
      <c r="E72" s="34" t="s">
        <v>362</v>
      </c>
      <c r="F72" s="35">
        <v>0</v>
      </c>
      <c r="G72" s="35">
        <v>-0.02</v>
      </c>
      <c r="H72" s="35">
        <v>0</v>
      </c>
      <c r="I72" s="35">
        <v>0.11</v>
      </c>
      <c r="J72" s="35">
        <v>-0.01</v>
      </c>
    </row>
    <row r="73" spans="1:10" ht="48" customHeight="1">
      <c r="A73" s="32" t="s">
        <v>363</v>
      </c>
      <c r="B73" s="32" t="s">
        <v>335</v>
      </c>
      <c r="C73" s="33" t="s">
        <v>364</v>
      </c>
      <c r="D73" s="34" t="s">
        <v>365</v>
      </c>
      <c r="E73" s="34" t="s">
        <v>366</v>
      </c>
      <c r="F73" s="35">
        <v>0</v>
      </c>
      <c r="G73" s="35">
        <v>0.01</v>
      </c>
      <c r="H73" s="35">
        <v>0</v>
      </c>
      <c r="I73" s="35">
        <v>-0.1</v>
      </c>
      <c r="J73" s="35">
        <v>5.0000000000000001E-3</v>
      </c>
    </row>
    <row r="74" spans="1:10" ht="48" customHeight="1">
      <c r="A74" s="32" t="s">
        <v>367</v>
      </c>
      <c r="B74" s="32" t="s">
        <v>335</v>
      </c>
      <c r="C74" s="33" t="s">
        <v>368</v>
      </c>
      <c r="D74" s="34" t="s">
        <v>369</v>
      </c>
      <c r="E74" s="34" t="s">
        <v>370</v>
      </c>
      <c r="F74" s="35">
        <v>0</v>
      </c>
      <c r="G74" s="35">
        <v>-0.01</v>
      </c>
      <c r="H74" s="35">
        <v>0</v>
      </c>
      <c r="I74" s="35">
        <v>0.06</v>
      </c>
      <c r="J74" s="35">
        <v>-5.0000000000000001E-3</v>
      </c>
    </row>
    <row r="75" spans="1:10" ht="48" customHeight="1">
      <c r="A75" s="32" t="s">
        <v>371</v>
      </c>
      <c r="B75" s="32" t="s">
        <v>335</v>
      </c>
      <c r="C75" s="33" t="s">
        <v>372</v>
      </c>
      <c r="D75" s="34" t="s">
        <v>373</v>
      </c>
      <c r="E75" s="34" t="s">
        <v>374</v>
      </c>
      <c r="F75" s="35">
        <v>0</v>
      </c>
      <c r="G75" s="35">
        <v>-0.05</v>
      </c>
      <c r="H75" s="35">
        <v>0</v>
      </c>
      <c r="I75" s="35">
        <v>0</v>
      </c>
      <c r="J75" s="35">
        <v>-2.5000000000000001E-2</v>
      </c>
    </row>
    <row r="76" spans="1:10" ht="48" customHeight="1">
      <c r="A76" s="32" t="s">
        <v>375</v>
      </c>
      <c r="B76" s="32" t="s">
        <v>376</v>
      </c>
      <c r="C76" s="33" t="s">
        <v>377</v>
      </c>
      <c r="D76" s="34" t="s">
        <v>378</v>
      </c>
      <c r="E76" s="34" t="s">
        <v>379</v>
      </c>
      <c r="F76" s="35">
        <v>0</v>
      </c>
      <c r="G76" s="35">
        <v>0.05</v>
      </c>
      <c r="H76" s="35">
        <v>0</v>
      </c>
      <c r="I76" s="35">
        <v>-2.5000000000000001E-2</v>
      </c>
      <c r="J76" s="35">
        <v>2.5000000000000001E-2</v>
      </c>
    </row>
    <row r="77" spans="1:10" ht="48" customHeight="1">
      <c r="A77" s="32" t="s">
        <v>380</v>
      </c>
      <c r="B77" s="32" t="s">
        <v>376</v>
      </c>
      <c r="C77" s="33" t="s">
        <v>381</v>
      </c>
      <c r="D77" s="34" t="s">
        <v>382</v>
      </c>
      <c r="E77" s="34" t="s">
        <v>383</v>
      </c>
      <c r="F77" s="35">
        <v>0</v>
      </c>
      <c r="G77" s="35">
        <v>-0.06</v>
      </c>
      <c r="H77" s="35">
        <v>0</v>
      </c>
      <c r="I77" s="35">
        <v>2.5000000000000001E-2</v>
      </c>
      <c r="J77" s="35">
        <v>-0.03</v>
      </c>
    </row>
    <row r="78" spans="1:10" ht="48" customHeight="1">
      <c r="A78" s="32" t="s">
        <v>384</v>
      </c>
      <c r="B78" s="32" t="s">
        <v>376</v>
      </c>
      <c r="C78" s="33" t="s">
        <v>385</v>
      </c>
      <c r="D78" s="34" t="s">
        <v>386</v>
      </c>
      <c r="E78" s="34" t="s">
        <v>387</v>
      </c>
      <c r="F78" s="35">
        <v>0</v>
      </c>
      <c r="G78" s="35">
        <v>0.02</v>
      </c>
      <c r="H78" s="35">
        <v>0</v>
      </c>
      <c r="I78" s="35">
        <v>0</v>
      </c>
      <c r="J78" s="35">
        <v>0.01</v>
      </c>
    </row>
    <row r="79" spans="1:10" ht="48" customHeight="1">
      <c r="A79" s="32" t="s">
        <v>388</v>
      </c>
      <c r="B79" s="32" t="s">
        <v>376</v>
      </c>
      <c r="C79" s="33" t="s">
        <v>389</v>
      </c>
      <c r="D79" s="34" t="s">
        <v>390</v>
      </c>
      <c r="E79" s="34" t="s">
        <v>391</v>
      </c>
      <c r="F79" s="35">
        <v>0</v>
      </c>
      <c r="G79" s="35">
        <v>-0.01</v>
      </c>
      <c r="H79" s="35">
        <v>0</v>
      </c>
      <c r="I79" s="35">
        <v>0</v>
      </c>
      <c r="J79" s="35">
        <v>-5.0000000000000001E-3</v>
      </c>
    </row>
    <row r="80" spans="1:10" ht="48" customHeight="1">
      <c r="A80" s="32" t="s">
        <v>392</v>
      </c>
      <c r="B80" s="32" t="s">
        <v>376</v>
      </c>
      <c r="C80" s="33" t="s">
        <v>393</v>
      </c>
      <c r="D80" s="34" t="s">
        <v>394</v>
      </c>
      <c r="E80" s="34" t="s">
        <v>395</v>
      </c>
      <c r="F80" s="35">
        <v>0</v>
      </c>
      <c r="G80" s="35">
        <v>0.02</v>
      </c>
      <c r="H80" s="35">
        <v>0</v>
      </c>
      <c r="I80" s="35">
        <v>0</v>
      </c>
      <c r="J80" s="35">
        <v>0.01</v>
      </c>
    </row>
    <row r="81" spans="1:10" ht="48" customHeight="1">
      <c r="A81" s="32" t="s">
        <v>396</v>
      </c>
      <c r="B81" s="32" t="s">
        <v>376</v>
      </c>
      <c r="C81" s="33" t="s">
        <v>397</v>
      </c>
      <c r="D81" s="34" t="s">
        <v>398</v>
      </c>
      <c r="E81" s="34" t="s">
        <v>399</v>
      </c>
      <c r="F81" s="35">
        <v>0</v>
      </c>
      <c r="G81" s="35">
        <v>-0.03</v>
      </c>
      <c r="H81" s="35">
        <v>0</v>
      </c>
      <c r="I81" s="35">
        <v>2.5000000000000001E-2</v>
      </c>
      <c r="J81" s="35">
        <v>-1.4999999999999999E-2</v>
      </c>
    </row>
    <row r="82" spans="1:10" ht="48" customHeight="1">
      <c r="A82" s="32" t="s">
        <v>400</v>
      </c>
      <c r="B82" s="32" t="s">
        <v>376</v>
      </c>
      <c r="C82" s="33" t="s">
        <v>401</v>
      </c>
      <c r="D82" s="34" t="s">
        <v>402</v>
      </c>
      <c r="E82" s="34" t="s">
        <v>403</v>
      </c>
      <c r="F82" s="35">
        <v>0</v>
      </c>
      <c r="G82" s="35">
        <v>0.02</v>
      </c>
      <c r="H82" s="35">
        <v>0</v>
      </c>
      <c r="I82" s="35">
        <v>0</v>
      </c>
      <c r="J82" s="35">
        <v>0.01</v>
      </c>
    </row>
    <row r="83" spans="1:10" ht="48" customHeight="1">
      <c r="A83" s="32" t="s">
        <v>404</v>
      </c>
      <c r="B83" s="32" t="s">
        <v>376</v>
      </c>
      <c r="C83" s="33" t="s">
        <v>405</v>
      </c>
      <c r="D83" s="34" t="s">
        <v>406</v>
      </c>
      <c r="E83" s="34" t="s">
        <v>407</v>
      </c>
      <c r="F83" s="35">
        <v>0</v>
      </c>
      <c r="G83" s="35">
        <v>0.03</v>
      </c>
      <c r="H83" s="35">
        <v>0</v>
      </c>
      <c r="I83" s="35">
        <v>0</v>
      </c>
      <c r="J83" s="35">
        <v>1.4999999999999999E-2</v>
      </c>
    </row>
    <row r="84" spans="1:10" ht="48" customHeight="1">
      <c r="A84" s="32" t="s">
        <v>408</v>
      </c>
      <c r="B84" s="32" t="s">
        <v>376</v>
      </c>
      <c r="C84" s="33" t="s">
        <v>409</v>
      </c>
      <c r="D84" s="34" t="s">
        <v>410</v>
      </c>
      <c r="E84" s="34" t="s">
        <v>411</v>
      </c>
      <c r="F84" s="35">
        <v>0</v>
      </c>
      <c r="G84" s="35">
        <v>0.01</v>
      </c>
      <c r="H84" s="35">
        <v>0</v>
      </c>
      <c r="I84" s="35">
        <v>0</v>
      </c>
      <c r="J84" s="35">
        <v>5.0000000000000001E-3</v>
      </c>
    </row>
    <row r="85" spans="1:10" ht="48" customHeight="1">
      <c r="A85" s="32" t="s">
        <v>412</v>
      </c>
      <c r="B85" s="32" t="s">
        <v>376</v>
      </c>
      <c r="C85" s="33" t="s">
        <v>413</v>
      </c>
      <c r="D85" s="34" t="s">
        <v>414</v>
      </c>
      <c r="E85" s="34" t="s">
        <v>415</v>
      </c>
      <c r="F85" s="35">
        <v>0</v>
      </c>
      <c r="G85" s="35">
        <v>0.04</v>
      </c>
      <c r="H85" s="35">
        <v>0</v>
      </c>
      <c r="I85" s="35">
        <v>0.01</v>
      </c>
      <c r="J85" s="35">
        <v>0.02</v>
      </c>
    </row>
    <row r="86" spans="1:10" ht="48" customHeight="1">
      <c r="A86" s="32" t="s">
        <v>416</v>
      </c>
      <c r="B86" s="32" t="s">
        <v>417</v>
      </c>
      <c r="C86" s="33" t="s">
        <v>418</v>
      </c>
      <c r="D86" s="34" t="s">
        <v>419</v>
      </c>
      <c r="E86" s="34" t="s">
        <v>420</v>
      </c>
      <c r="F86" s="35">
        <v>0</v>
      </c>
      <c r="G86" s="35">
        <v>-0.25</v>
      </c>
      <c r="H86" s="35">
        <v>2E-3</v>
      </c>
      <c r="I86" s="35">
        <v>0.12</v>
      </c>
      <c r="J86" s="35">
        <v>-0.125</v>
      </c>
    </row>
    <row r="87" spans="1:10" ht="48" customHeight="1">
      <c r="A87" s="32" t="s">
        <v>421</v>
      </c>
      <c r="B87" s="32" t="s">
        <v>417</v>
      </c>
      <c r="C87" s="33" t="s">
        <v>422</v>
      </c>
      <c r="D87" s="34" t="s">
        <v>423</v>
      </c>
      <c r="E87" s="34" t="s">
        <v>424</v>
      </c>
      <c r="F87" s="35">
        <v>0</v>
      </c>
      <c r="G87" s="35">
        <v>-0.3</v>
      </c>
      <c r="H87" s="35">
        <v>2E-3</v>
      </c>
      <c r="I87" s="35">
        <v>0.09</v>
      </c>
      <c r="J87" s="35">
        <v>-0.15</v>
      </c>
    </row>
    <row r="88" spans="1:10" ht="48" customHeight="1">
      <c r="A88" s="32" t="s">
        <v>425</v>
      </c>
      <c r="B88" s="32" t="s">
        <v>417</v>
      </c>
      <c r="C88" s="33" t="s">
        <v>426</v>
      </c>
      <c r="D88" s="34" t="s">
        <v>427</v>
      </c>
      <c r="E88" s="34" t="s">
        <v>428</v>
      </c>
      <c r="F88" s="35">
        <v>0</v>
      </c>
      <c r="G88" s="35">
        <v>-0.1</v>
      </c>
      <c r="H88" s="35">
        <v>0</v>
      </c>
      <c r="I88" s="35">
        <v>0.03</v>
      </c>
      <c r="J88" s="35">
        <v>-0.05</v>
      </c>
    </row>
    <row r="89" spans="1:10" ht="48" customHeight="1">
      <c r="A89" s="32" t="s">
        <v>429</v>
      </c>
      <c r="B89" s="32" t="s">
        <v>417</v>
      </c>
      <c r="C89" s="33" t="s">
        <v>430</v>
      </c>
      <c r="D89" s="34" t="s">
        <v>431</v>
      </c>
      <c r="E89" s="34" t="s">
        <v>432</v>
      </c>
      <c r="F89" s="35">
        <v>0</v>
      </c>
      <c r="G89" s="35">
        <v>-0.2</v>
      </c>
      <c r="H89" s="35">
        <v>3.0000000000000001E-3</v>
      </c>
      <c r="I89" s="35">
        <v>0.12</v>
      </c>
      <c r="J89" s="35">
        <v>-0.1</v>
      </c>
    </row>
    <row r="90" spans="1:10" ht="48" customHeight="1">
      <c r="A90" s="32" t="s">
        <v>433</v>
      </c>
      <c r="B90" s="32" t="s">
        <v>417</v>
      </c>
      <c r="C90" s="33" t="s">
        <v>434</v>
      </c>
      <c r="D90" s="34" t="s">
        <v>435</v>
      </c>
      <c r="E90" s="34" t="s">
        <v>436</v>
      </c>
      <c r="F90" s="35">
        <v>0</v>
      </c>
      <c r="G90" s="35">
        <v>-0.18</v>
      </c>
      <c r="H90" s="35">
        <v>-0.01</v>
      </c>
      <c r="I90" s="35">
        <v>0.09</v>
      </c>
      <c r="J90" s="35">
        <v>-0.09</v>
      </c>
    </row>
    <row r="91" spans="1:10" ht="48" customHeight="1">
      <c r="A91" s="32" t="s">
        <v>437</v>
      </c>
      <c r="B91" s="32" t="s">
        <v>438</v>
      </c>
      <c r="C91" s="33" t="s">
        <v>439</v>
      </c>
      <c r="D91" s="34" t="s">
        <v>440</v>
      </c>
      <c r="E91" s="34" t="s">
        <v>441</v>
      </c>
      <c r="F91" s="35">
        <v>0</v>
      </c>
      <c r="G91" s="35">
        <v>0.3</v>
      </c>
      <c r="H91" s="35">
        <v>0</v>
      </c>
      <c r="I91" s="35">
        <v>-0.03</v>
      </c>
      <c r="J91" s="35">
        <v>0.15</v>
      </c>
    </row>
    <row r="92" spans="1:10" ht="48" customHeight="1">
      <c r="A92" s="32" t="s">
        <v>442</v>
      </c>
      <c r="B92" s="32" t="s">
        <v>438</v>
      </c>
      <c r="C92" s="33" t="s">
        <v>443</v>
      </c>
      <c r="D92" s="34" t="s">
        <v>444</v>
      </c>
      <c r="E92" s="34" t="s">
        <v>445</v>
      </c>
      <c r="F92" s="35">
        <v>0</v>
      </c>
      <c r="G92" s="35">
        <v>0.25</v>
      </c>
      <c r="H92" s="35">
        <v>0</v>
      </c>
      <c r="I92" s="35">
        <v>-3.5000000000000003E-2</v>
      </c>
      <c r="J92" s="35">
        <v>0.125</v>
      </c>
    </row>
    <row r="93" spans="1:10" ht="48" customHeight="1">
      <c r="A93" s="32" t="s">
        <v>446</v>
      </c>
      <c r="B93" s="32" t="s">
        <v>438</v>
      </c>
      <c r="C93" s="33" t="s">
        <v>447</v>
      </c>
      <c r="D93" s="34" t="s">
        <v>448</v>
      </c>
      <c r="E93" s="34" t="s">
        <v>449</v>
      </c>
      <c r="F93" s="35">
        <v>0</v>
      </c>
      <c r="G93" s="35">
        <v>0.08</v>
      </c>
      <c r="H93" s="35">
        <v>0</v>
      </c>
      <c r="I93" s="35">
        <v>0</v>
      </c>
      <c r="J93" s="35">
        <v>0.04</v>
      </c>
    </row>
    <row r="94" spans="1:10" ht="48" customHeight="1">
      <c r="A94" s="32" t="s">
        <v>450</v>
      </c>
      <c r="B94" s="32" t="s">
        <v>438</v>
      </c>
      <c r="C94" s="33" t="s">
        <v>451</v>
      </c>
      <c r="D94" s="34" t="s">
        <v>452</v>
      </c>
      <c r="E94" s="34" t="s">
        <v>453</v>
      </c>
      <c r="F94" s="35">
        <v>0</v>
      </c>
      <c r="G94" s="35">
        <v>0.12</v>
      </c>
      <c r="H94" s="35">
        <v>0</v>
      </c>
      <c r="I94" s="35">
        <v>0</v>
      </c>
      <c r="J94" s="35">
        <v>0.06</v>
      </c>
    </row>
    <row r="95" spans="1:10" ht="48" customHeight="1">
      <c r="A95" s="32" t="s">
        <v>454</v>
      </c>
      <c r="B95" s="32" t="s">
        <v>438</v>
      </c>
      <c r="C95" s="33" t="s">
        <v>455</v>
      </c>
      <c r="D95" s="34" t="s">
        <v>456</v>
      </c>
      <c r="E95" s="34" t="s">
        <v>457</v>
      </c>
      <c r="F95" s="35">
        <v>0</v>
      </c>
      <c r="G95" s="35">
        <v>0.12</v>
      </c>
      <c r="H95" s="35">
        <v>-3.0000000000000001E-3</v>
      </c>
      <c r="I95" s="35">
        <v>0.05</v>
      </c>
      <c r="J95" s="35">
        <v>0.06</v>
      </c>
    </row>
    <row r="96" spans="1:10" ht="48" customHeight="1">
      <c r="A96" s="32" t="s">
        <v>458</v>
      </c>
      <c r="B96" s="32" t="s">
        <v>438</v>
      </c>
      <c r="C96" s="33" t="s">
        <v>459</v>
      </c>
      <c r="D96" s="34" t="s">
        <v>460</v>
      </c>
      <c r="E96" s="34" t="s">
        <v>461</v>
      </c>
      <c r="F96" s="35">
        <v>0</v>
      </c>
      <c r="G96" s="35">
        <v>0.06</v>
      </c>
      <c r="H96" s="35">
        <v>0</v>
      </c>
      <c r="I96" s="35">
        <v>0</v>
      </c>
      <c r="J96" s="35">
        <v>0.03</v>
      </c>
    </row>
    <row r="97" spans="1:10" ht="48" customHeight="1">
      <c r="A97" s="32" t="s">
        <v>462</v>
      </c>
      <c r="B97" s="32" t="s">
        <v>438</v>
      </c>
      <c r="C97" s="33" t="s">
        <v>463</v>
      </c>
      <c r="D97" s="34" t="s">
        <v>464</v>
      </c>
      <c r="E97" s="34" t="s">
        <v>465</v>
      </c>
      <c r="F97" s="35">
        <v>0</v>
      </c>
      <c r="G97" s="35">
        <v>0.08</v>
      </c>
      <c r="H97" s="35">
        <v>0</v>
      </c>
      <c r="I97" s="35">
        <v>0</v>
      </c>
      <c r="J97" s="35">
        <v>0.04</v>
      </c>
    </row>
    <row r="98" spans="1:10" ht="48" customHeight="1">
      <c r="A98" s="32" t="s">
        <v>466</v>
      </c>
      <c r="B98" s="32" t="s">
        <v>438</v>
      </c>
      <c r="C98" s="33" t="s">
        <v>467</v>
      </c>
      <c r="D98" s="34" t="s">
        <v>468</v>
      </c>
      <c r="E98" s="34" t="s">
        <v>469</v>
      </c>
      <c r="F98" s="35">
        <v>0</v>
      </c>
      <c r="G98" s="35">
        <v>0.2</v>
      </c>
      <c r="H98" s="35">
        <v>0</v>
      </c>
      <c r="I98" s="35">
        <v>-0.02</v>
      </c>
      <c r="J98" s="35">
        <v>0.1</v>
      </c>
    </row>
    <row r="99" spans="1:10" ht="48" customHeight="1">
      <c r="A99" s="32" t="s">
        <v>470</v>
      </c>
      <c r="B99" s="32" t="s">
        <v>438</v>
      </c>
      <c r="C99" s="33" t="s">
        <v>471</v>
      </c>
      <c r="D99" s="34" t="s">
        <v>472</v>
      </c>
      <c r="E99" s="34" t="s">
        <v>473</v>
      </c>
      <c r="F99" s="35">
        <v>0</v>
      </c>
      <c r="G99" s="35">
        <v>0.08</v>
      </c>
      <c r="H99" s="35">
        <v>0</v>
      </c>
      <c r="I99" s="35">
        <v>0</v>
      </c>
      <c r="J99" s="35">
        <v>0.04</v>
      </c>
    </row>
    <row r="100" spans="1:10" ht="48" customHeight="1">
      <c r="A100" s="32" t="s">
        <v>474</v>
      </c>
      <c r="B100" s="32" t="s">
        <v>438</v>
      </c>
      <c r="C100" s="33" t="s">
        <v>475</v>
      </c>
      <c r="D100" s="34" t="s">
        <v>476</v>
      </c>
      <c r="E100" s="34" t="s">
        <v>477</v>
      </c>
      <c r="F100" s="35">
        <v>0</v>
      </c>
      <c r="G100" s="35">
        <v>0.08</v>
      </c>
      <c r="H100" s="35">
        <v>0</v>
      </c>
      <c r="I100" s="35">
        <v>-2.5000000000000001E-2</v>
      </c>
      <c r="J100" s="35">
        <v>0.04</v>
      </c>
    </row>
    <row r="101" spans="1:10" ht="48" customHeight="1">
      <c r="A101" s="32" t="s">
        <v>478</v>
      </c>
      <c r="B101" s="32" t="s">
        <v>479</v>
      </c>
      <c r="C101" s="33" t="s">
        <v>480</v>
      </c>
      <c r="D101" s="34" t="s">
        <v>481</v>
      </c>
      <c r="E101" s="34" t="s">
        <v>482</v>
      </c>
      <c r="F101" s="35">
        <v>0</v>
      </c>
      <c r="G101" s="35">
        <v>-0.01</v>
      </c>
      <c r="H101" s="35">
        <v>0</v>
      </c>
      <c r="I101" s="35">
        <v>0</v>
      </c>
      <c r="J101" s="35">
        <v>-5.0000000000000001E-3</v>
      </c>
    </row>
    <row r="102" spans="1:10" ht="48" customHeight="1">
      <c r="A102" s="32" t="s">
        <v>483</v>
      </c>
      <c r="B102" s="32" t="s">
        <v>479</v>
      </c>
      <c r="C102" s="33" t="s">
        <v>484</v>
      </c>
      <c r="D102" s="34" t="s">
        <v>485</v>
      </c>
      <c r="E102" s="34" t="s">
        <v>486</v>
      </c>
      <c r="F102" s="35">
        <v>0</v>
      </c>
      <c r="G102" s="35">
        <v>-0.02</v>
      </c>
      <c r="H102" s="35">
        <v>0</v>
      </c>
      <c r="I102" s="35">
        <v>0</v>
      </c>
      <c r="J102" s="35">
        <v>-0.01</v>
      </c>
    </row>
    <row r="103" spans="1:10" ht="48" customHeight="1">
      <c r="A103" s="32" t="s">
        <v>487</v>
      </c>
      <c r="B103" s="32" t="s">
        <v>479</v>
      </c>
      <c r="C103" s="33" t="s">
        <v>488</v>
      </c>
      <c r="D103" s="34" t="s">
        <v>489</v>
      </c>
      <c r="E103" s="34" t="s">
        <v>490</v>
      </c>
      <c r="F103" s="35">
        <v>0</v>
      </c>
      <c r="G103" s="35">
        <v>0.02</v>
      </c>
      <c r="H103" s="35">
        <v>0</v>
      </c>
      <c r="I103" s="35">
        <v>0</v>
      </c>
      <c r="J103" s="35">
        <v>0.01</v>
      </c>
    </row>
    <row r="104" spans="1:10" ht="48" customHeight="1">
      <c r="A104" s="32" t="s">
        <v>491</v>
      </c>
      <c r="B104" s="32" t="s">
        <v>479</v>
      </c>
      <c r="C104" s="33" t="s">
        <v>492</v>
      </c>
      <c r="D104" s="34" t="s">
        <v>493</v>
      </c>
      <c r="E104" s="34" t="s">
        <v>494</v>
      </c>
      <c r="F104" s="35">
        <v>0</v>
      </c>
      <c r="G104" s="35">
        <v>0.01</v>
      </c>
      <c r="H104" s="35">
        <v>0</v>
      </c>
      <c r="I104" s="35">
        <v>0</v>
      </c>
      <c r="J104" s="35">
        <v>5.0000000000000001E-3</v>
      </c>
    </row>
    <row r="105" spans="1:10" ht="48" customHeight="1">
      <c r="A105" s="32" t="s">
        <v>495</v>
      </c>
      <c r="B105" s="32" t="s">
        <v>479</v>
      </c>
      <c r="C105" s="33" t="s">
        <v>496</v>
      </c>
      <c r="D105" s="34" t="s">
        <v>497</v>
      </c>
      <c r="E105" s="34" t="s">
        <v>498</v>
      </c>
      <c r="F105" s="35">
        <v>0</v>
      </c>
      <c r="G105" s="35">
        <v>-0.02</v>
      </c>
      <c r="H105" s="35">
        <v>0</v>
      </c>
      <c r="I105" s="35">
        <v>0.01</v>
      </c>
      <c r="J105" s="35">
        <v>-0.01</v>
      </c>
    </row>
  </sheetData>
  <autoFilter ref="A5:J105" xr:uid="{00000000-0009-0000-0000-000003000000}"/>
  <conditionalFormatting sqref="F6:J105">
    <cfRule type="cellIs" dxfId="8" priority="2" operator="greaterThan">
      <formula>0</formula>
    </cfRule>
    <cfRule type="cellIs" dxfId="7" priority="3" operator="lessThan">
      <formula>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35"/>
  <sheetViews>
    <sheetView showGridLines="0" zoomScaleNormal="100" workbookViewId="0">
      <pane xSplit="2" ySplit="5" topLeftCell="C6" activePane="bottomRight" state="frozen"/>
      <selection pane="bottomRight"/>
      <selection pane="bottomLeft" activeCell="A6" sqref="A6"/>
      <selection pane="topRight" activeCell="C1" sqref="C1"/>
    </sheetView>
  </sheetViews>
  <sheetFormatPr defaultColWidth="8.7109375" defaultRowHeight="14.45"/>
  <cols>
    <col min="1" max="1" width="8" customWidth="1"/>
    <col min="2" max="2" width="7" customWidth="1"/>
    <col min="3" max="3" width="10" customWidth="1"/>
    <col min="4" max="4" width="18" customWidth="1"/>
    <col min="5" max="5" width="32" customWidth="1"/>
    <col min="6" max="6" width="20" customWidth="1"/>
    <col min="7" max="21" width="12" customWidth="1"/>
  </cols>
  <sheetData>
    <row r="2" spans="1:21" ht="21">
      <c r="B2" s="12" t="s">
        <v>499</v>
      </c>
    </row>
    <row r="3" spans="1:21" ht="15.6">
      <c r="B3" s="15" t="s">
        <v>500</v>
      </c>
      <c r="F3" s="16" t="s">
        <v>501</v>
      </c>
      <c r="G3" s="21">
        <f>COUNTIF(C6:C35,"?*")</f>
        <v>2</v>
      </c>
    </row>
    <row r="5" spans="1:21" ht="39.6">
      <c r="A5" s="22" t="s">
        <v>502</v>
      </c>
      <c r="B5" s="22" t="s">
        <v>503</v>
      </c>
      <c r="C5" s="22" t="s">
        <v>504</v>
      </c>
      <c r="D5" s="22" t="s">
        <v>505</v>
      </c>
      <c r="E5" s="22" t="s">
        <v>87</v>
      </c>
      <c r="F5" s="22" t="s">
        <v>86</v>
      </c>
      <c r="G5" s="22" t="s">
        <v>506</v>
      </c>
      <c r="H5" s="22" t="s">
        <v>507</v>
      </c>
      <c r="I5" s="22" t="s">
        <v>508</v>
      </c>
      <c r="J5" s="22" t="s">
        <v>509</v>
      </c>
      <c r="K5" s="22" t="s">
        <v>510</v>
      </c>
      <c r="L5" s="22" t="s">
        <v>511</v>
      </c>
      <c r="M5" s="22" t="s">
        <v>512</v>
      </c>
      <c r="N5" s="22" t="s">
        <v>513</v>
      </c>
      <c r="O5" s="22" t="s">
        <v>514</v>
      </c>
      <c r="P5" s="22" t="s">
        <v>515</v>
      </c>
      <c r="Q5" s="22" t="s">
        <v>516</v>
      </c>
      <c r="R5" s="22" t="s">
        <v>517</v>
      </c>
      <c r="S5" s="22" t="s">
        <v>518</v>
      </c>
      <c r="T5" s="22" t="s">
        <v>519</v>
      </c>
      <c r="U5" s="22" t="s">
        <v>520</v>
      </c>
    </row>
    <row r="6" spans="1:21">
      <c r="A6" s="36">
        <v>1</v>
      </c>
      <c r="B6" s="36">
        <v>1</v>
      </c>
      <c r="C6" s="37" t="s">
        <v>249</v>
      </c>
      <c r="D6" s="53">
        <v>46302.689942129633</v>
      </c>
      <c r="E6" s="36" t="str">
        <f>IF($C6="","",INDEX(Kartu!$C$6:$C$105,MATCH($C6,Kartu!$A$6:$A$105,0)))</f>
        <v>Asing Lepas SBN Besar-besaran</v>
      </c>
      <c r="F6" s="36" t="str">
        <f>IF($C6="","",INDEX(Kartu!$B$6:$B$105,MATCH($C6,Kartu!$A$6:$A$105,0)))</f>
        <v>Pasar Modal</v>
      </c>
      <c r="G6" s="38">
        <f>IF($C6="","",Dasar1+INDEX(Kartu!$F$6:$F$105,MATCH($C6,Kartu!$A$6:$A$105,0)))</f>
        <v>1.7500000000000002E-2</v>
      </c>
      <c r="H6" s="38">
        <f>IF($C6="","",Dasar2+INDEX(Kartu!$G$6:$G$105,MATCH($C6,Kartu!$A$6:$A$105,0)))</f>
        <v>-0.03</v>
      </c>
      <c r="I6" s="38">
        <f>IF($C6="","",Dasar3+INDEX(Kartu!$H$6:$H$105,MATCH($C6,Kartu!$A$6:$A$105,0)))</f>
        <v>1.0999999999999999E-2</v>
      </c>
      <c r="J6" s="38">
        <f>IF($C6="","",Dasar4+INDEX(Kartu!$I$6:$I$105,MATCH($C6,Kartu!$A$6:$A$105,0)))</f>
        <v>2.1999999999999999E-2</v>
      </c>
      <c r="K6" s="38">
        <f>IF($C6="","",Dasar5+INDEX(Kartu!$J$6:$J$105,MATCH($C6,Kartu!$A$6:$A$105,0)))</f>
        <v>-7.5999999999999991E-3</v>
      </c>
      <c r="L6" s="39">
        <f>IF($C6="","",1+G6)</f>
        <v>1.0175000000000001</v>
      </c>
      <c r="M6" s="39">
        <f>IF($C6="","",1+H6)</f>
        <v>0.97</v>
      </c>
      <c r="N6" s="39">
        <f>IF($C6="","",1+I6)</f>
        <v>1.0109999999999999</v>
      </c>
      <c r="O6" s="39">
        <f>IF($C6="","",1+J6)</f>
        <v>1.022</v>
      </c>
      <c r="P6" s="39">
        <f>IF($C6="","",1+K6)</f>
        <v>0.99239999999999995</v>
      </c>
      <c r="Q6" s="40">
        <f>IF($C6="","",100*(1+G6))</f>
        <v>101.75</v>
      </c>
      <c r="R6" s="40">
        <f>IF($C6="","",100*(1+H6))</f>
        <v>97</v>
      </c>
      <c r="S6" s="40">
        <f>IF($C6="","",100*(1+I6))</f>
        <v>101.1</v>
      </c>
      <c r="T6" s="40">
        <f>IF($C6="","",100*(1+J6))</f>
        <v>102.2</v>
      </c>
      <c r="U6" s="40">
        <f>IF($C6="","",100*(1+K6))</f>
        <v>99.24</v>
      </c>
    </row>
    <row r="7" spans="1:21">
      <c r="A7" s="36">
        <v>2</v>
      </c>
      <c r="B7" s="36">
        <v>1</v>
      </c>
      <c r="C7" s="37" t="s">
        <v>302</v>
      </c>
      <c r="D7" s="53">
        <v>46302.690243055556</v>
      </c>
      <c r="E7" s="36" t="str">
        <f>IF($C7="","",INDEX(Kartu!$C$6:$C$105,MATCH($C7,Kartu!$A$6:$A$105,0)))</f>
        <v>Ketegangan Laut China Selatan</v>
      </c>
      <c r="F7" s="36" t="str">
        <f>IF($C7="","",INDEX(Kartu!$B$6:$B$105,MATCH($C7,Kartu!$A$6:$A$105,0)))</f>
        <v>Geopolitik &amp; Global</v>
      </c>
      <c r="G7" s="38">
        <f>IF($C7="","",Dasar1+INDEX(Kartu!$F$6:$F$105,MATCH($C7,Kartu!$A$6:$A$105,0)))</f>
        <v>1.7500000000000002E-2</v>
      </c>
      <c r="H7" s="38">
        <f>IF($C7="","",Dasar2+INDEX(Kartu!$G$6:$G$105,MATCH($C7,Kartu!$A$6:$A$105,0)))</f>
        <v>-0.04</v>
      </c>
      <c r="I7" s="38">
        <f>IF($C7="","",Dasar3+INDEX(Kartu!$H$6:$H$105,MATCH($C7,Kartu!$A$6:$A$105,0)))</f>
        <v>1.0999999999999999E-2</v>
      </c>
      <c r="J7" s="38">
        <f>IF($C7="","",Dasar4+INDEX(Kartu!$I$6:$I$105,MATCH($C7,Kartu!$A$6:$A$105,0)))</f>
        <v>6.2E-2</v>
      </c>
      <c r="K7" s="38">
        <f>IF($C7="","",Dasar5+INDEX(Kartu!$J$6:$J$105,MATCH($C7,Kartu!$A$6:$A$105,0)))</f>
        <v>-1.26E-2</v>
      </c>
      <c r="L7" s="39">
        <f t="shared" ref="L7:L15" si="0">IF($C7="","",L6*(1+G7))</f>
        <v>1.0353062500000001</v>
      </c>
      <c r="M7" s="39">
        <f t="shared" ref="M7:M15" si="1">IF($C7="","",M6*(1+H7))</f>
        <v>0.93119999999999992</v>
      </c>
      <c r="N7" s="39">
        <f t="shared" ref="N7:N15" si="2">IF($C7="","",N6*(1+I7))</f>
        <v>1.0221209999999998</v>
      </c>
      <c r="O7" s="39">
        <f t="shared" ref="O7:O15" si="3">IF($C7="","",O6*(1+J7))</f>
        <v>1.085364</v>
      </c>
      <c r="P7" s="39">
        <f t="shared" ref="P7:P15" si="4">IF($C7="","",P6*(1+K7))</f>
        <v>0.97989576</v>
      </c>
      <c r="Q7" s="40">
        <f t="shared" ref="Q7:Q35" si="5">IF($C7="","",Q6*(1+G7))</f>
        <v>103.530625</v>
      </c>
      <c r="R7" s="40">
        <f t="shared" ref="R7:R35" si="6">IF($C7="","",R6*(1+H7))</f>
        <v>93.11999999999999</v>
      </c>
      <c r="S7" s="40">
        <f t="shared" ref="S7:S35" si="7">IF($C7="","",S6*(1+I7))</f>
        <v>102.21209999999998</v>
      </c>
      <c r="T7" s="40">
        <f t="shared" ref="T7:T35" si="8">IF($C7="","",T6*(1+J7))</f>
        <v>108.53640000000001</v>
      </c>
      <c r="U7" s="40">
        <f t="shared" ref="U7:U35" si="9">IF($C7="","",U6*(1+K7))</f>
        <v>97.989576</v>
      </c>
    </row>
    <row r="8" spans="1:21">
      <c r="A8" s="36">
        <v>3</v>
      </c>
      <c r="B8" s="36">
        <v>1</v>
      </c>
      <c r="C8" s="37"/>
      <c r="D8" s="53"/>
      <c r="E8" s="36" t="str">
        <f>IF($C8="","",INDEX(Kartu!$C$6:$C$105,MATCH($C8,Kartu!$A$6:$A$105,0)))</f>
        <v/>
      </c>
      <c r="F8" s="36" t="str">
        <f>IF($C8="","",INDEX(Kartu!$B$6:$B$105,MATCH($C8,Kartu!$A$6:$A$105,0)))</f>
        <v/>
      </c>
      <c r="G8" s="38" t="str">
        <f>IF($C8="","",Dasar1+INDEX(Kartu!$F$6:$F$105,MATCH($C8,Kartu!$A$6:$A$105,0)))</f>
        <v/>
      </c>
      <c r="H8" s="38" t="str">
        <f>IF($C8="","",Dasar2+INDEX(Kartu!$G$6:$G$105,MATCH($C8,Kartu!$A$6:$A$105,0)))</f>
        <v/>
      </c>
      <c r="I8" s="38" t="str">
        <f>IF($C8="","",Dasar3+INDEX(Kartu!$H$6:$H$105,MATCH($C8,Kartu!$A$6:$A$105,0)))</f>
        <v/>
      </c>
      <c r="J8" s="38" t="str">
        <f>IF($C8="","",Dasar4+INDEX(Kartu!$I$6:$I$105,MATCH($C8,Kartu!$A$6:$A$105,0)))</f>
        <v/>
      </c>
      <c r="K8" s="38" t="str">
        <f>IF($C8="","",Dasar5+INDEX(Kartu!$J$6:$J$105,MATCH($C8,Kartu!$A$6:$A$105,0)))</f>
        <v/>
      </c>
      <c r="L8" s="39" t="str">
        <f t="shared" si="0"/>
        <v/>
      </c>
      <c r="M8" s="39" t="str">
        <f t="shared" si="1"/>
        <v/>
      </c>
      <c r="N8" s="39" t="str">
        <f t="shared" si="2"/>
        <v/>
      </c>
      <c r="O8" s="39" t="str">
        <f t="shared" si="3"/>
        <v/>
      </c>
      <c r="P8" s="39" t="str">
        <f t="shared" si="4"/>
        <v/>
      </c>
      <c r="Q8" s="40" t="str">
        <f t="shared" si="5"/>
        <v/>
      </c>
      <c r="R8" s="40" t="str">
        <f t="shared" si="6"/>
        <v/>
      </c>
      <c r="S8" s="40" t="str">
        <f t="shared" si="7"/>
        <v/>
      </c>
      <c r="T8" s="40" t="str">
        <f t="shared" si="8"/>
        <v/>
      </c>
      <c r="U8" s="40" t="str">
        <f t="shared" si="9"/>
        <v/>
      </c>
    </row>
    <row r="9" spans="1:21">
      <c r="A9" s="36">
        <v>4</v>
      </c>
      <c r="B9" s="36">
        <v>1</v>
      </c>
      <c r="C9" s="37"/>
      <c r="D9" s="53"/>
      <c r="E9" s="36" t="str">
        <f>IF($C9="","",INDEX(Kartu!$C$6:$C$105,MATCH($C9,Kartu!$A$6:$A$105,0)))</f>
        <v/>
      </c>
      <c r="F9" s="36" t="str">
        <f>IF($C9="","",INDEX(Kartu!$B$6:$B$105,MATCH($C9,Kartu!$A$6:$A$105,0)))</f>
        <v/>
      </c>
      <c r="G9" s="38" t="str">
        <f>IF($C9="","",Dasar1+INDEX(Kartu!$F$6:$F$105,MATCH($C9,Kartu!$A$6:$A$105,0)))</f>
        <v/>
      </c>
      <c r="H9" s="38" t="str">
        <f>IF($C9="","",Dasar2+INDEX(Kartu!$G$6:$G$105,MATCH($C9,Kartu!$A$6:$A$105,0)))</f>
        <v/>
      </c>
      <c r="I9" s="38" t="str">
        <f>IF($C9="","",Dasar3+INDEX(Kartu!$H$6:$H$105,MATCH($C9,Kartu!$A$6:$A$105,0)))</f>
        <v/>
      </c>
      <c r="J9" s="38" t="str">
        <f>IF($C9="","",Dasar4+INDEX(Kartu!$I$6:$I$105,MATCH($C9,Kartu!$A$6:$A$105,0)))</f>
        <v/>
      </c>
      <c r="K9" s="38" t="str">
        <f>IF($C9="","",Dasar5+INDEX(Kartu!$J$6:$J$105,MATCH($C9,Kartu!$A$6:$A$105,0)))</f>
        <v/>
      </c>
      <c r="L9" s="39" t="str">
        <f t="shared" si="0"/>
        <v/>
      </c>
      <c r="M9" s="39" t="str">
        <f t="shared" si="1"/>
        <v/>
      </c>
      <c r="N9" s="39" t="str">
        <f t="shared" si="2"/>
        <v/>
      </c>
      <c r="O9" s="39" t="str">
        <f t="shared" si="3"/>
        <v/>
      </c>
      <c r="P9" s="39" t="str">
        <f t="shared" si="4"/>
        <v/>
      </c>
      <c r="Q9" s="40" t="str">
        <f t="shared" si="5"/>
        <v/>
      </c>
      <c r="R9" s="40" t="str">
        <f t="shared" si="6"/>
        <v/>
      </c>
      <c r="S9" s="40" t="str">
        <f t="shared" si="7"/>
        <v/>
      </c>
      <c r="T9" s="40" t="str">
        <f t="shared" si="8"/>
        <v/>
      </c>
      <c r="U9" s="40" t="str">
        <f t="shared" si="9"/>
        <v/>
      </c>
    </row>
    <row r="10" spans="1:21">
      <c r="A10" s="36">
        <v>5</v>
      </c>
      <c r="B10" s="36">
        <v>1</v>
      </c>
      <c r="C10" s="37"/>
      <c r="D10" s="53"/>
      <c r="E10" s="36" t="str">
        <f>IF($C10="","",INDEX(Kartu!$C$6:$C$105,MATCH($C10,Kartu!$A$6:$A$105,0)))</f>
        <v/>
      </c>
      <c r="F10" s="36" t="str">
        <f>IF($C10="","",INDEX(Kartu!$B$6:$B$105,MATCH($C10,Kartu!$A$6:$A$105,0)))</f>
        <v/>
      </c>
      <c r="G10" s="38" t="str">
        <f>IF($C10="","",Dasar1+INDEX(Kartu!$F$6:$F$105,MATCH($C10,Kartu!$A$6:$A$105,0)))</f>
        <v/>
      </c>
      <c r="H10" s="38" t="str">
        <f>IF($C10="","",Dasar2+INDEX(Kartu!$G$6:$G$105,MATCH($C10,Kartu!$A$6:$A$105,0)))</f>
        <v/>
      </c>
      <c r="I10" s="38" t="str">
        <f>IF($C10="","",Dasar3+INDEX(Kartu!$H$6:$H$105,MATCH($C10,Kartu!$A$6:$A$105,0)))</f>
        <v/>
      </c>
      <c r="J10" s="38" t="str">
        <f>IF($C10="","",Dasar4+INDEX(Kartu!$I$6:$I$105,MATCH($C10,Kartu!$A$6:$A$105,0)))</f>
        <v/>
      </c>
      <c r="K10" s="38" t="str">
        <f>IF($C10="","",Dasar5+INDEX(Kartu!$J$6:$J$105,MATCH($C10,Kartu!$A$6:$A$105,0)))</f>
        <v/>
      </c>
      <c r="L10" s="39" t="str">
        <f t="shared" si="0"/>
        <v/>
      </c>
      <c r="M10" s="39" t="str">
        <f t="shared" si="1"/>
        <v/>
      </c>
      <c r="N10" s="39" t="str">
        <f t="shared" si="2"/>
        <v/>
      </c>
      <c r="O10" s="39" t="str">
        <f t="shared" si="3"/>
        <v/>
      </c>
      <c r="P10" s="39" t="str">
        <f t="shared" si="4"/>
        <v/>
      </c>
      <c r="Q10" s="40" t="str">
        <f t="shared" si="5"/>
        <v/>
      </c>
      <c r="R10" s="40" t="str">
        <f t="shared" si="6"/>
        <v/>
      </c>
      <c r="S10" s="40" t="str">
        <f t="shared" si="7"/>
        <v/>
      </c>
      <c r="T10" s="40" t="str">
        <f t="shared" si="8"/>
        <v/>
      </c>
      <c r="U10" s="40" t="str">
        <f t="shared" si="9"/>
        <v/>
      </c>
    </row>
    <row r="11" spans="1:21">
      <c r="A11" s="36">
        <v>6</v>
      </c>
      <c r="B11" s="36">
        <v>1</v>
      </c>
      <c r="C11" s="37"/>
      <c r="D11" s="53"/>
      <c r="E11" s="36" t="str">
        <f>IF($C11="","",INDEX(Kartu!$C$6:$C$105,MATCH($C11,Kartu!$A$6:$A$105,0)))</f>
        <v/>
      </c>
      <c r="F11" s="36" t="str">
        <f>IF($C11="","",INDEX(Kartu!$B$6:$B$105,MATCH($C11,Kartu!$A$6:$A$105,0)))</f>
        <v/>
      </c>
      <c r="G11" s="38" t="str">
        <f>IF($C11="","",Dasar1+INDEX(Kartu!$F$6:$F$105,MATCH($C11,Kartu!$A$6:$A$105,0)))</f>
        <v/>
      </c>
      <c r="H11" s="38" t="str">
        <f>IF($C11="","",Dasar2+INDEX(Kartu!$G$6:$G$105,MATCH($C11,Kartu!$A$6:$A$105,0)))</f>
        <v/>
      </c>
      <c r="I11" s="38" t="str">
        <f>IF($C11="","",Dasar3+INDEX(Kartu!$H$6:$H$105,MATCH($C11,Kartu!$A$6:$A$105,0)))</f>
        <v/>
      </c>
      <c r="J11" s="38" t="str">
        <f>IF($C11="","",Dasar4+INDEX(Kartu!$I$6:$I$105,MATCH($C11,Kartu!$A$6:$A$105,0)))</f>
        <v/>
      </c>
      <c r="K11" s="38" t="str">
        <f>IF($C11="","",Dasar5+INDEX(Kartu!$J$6:$J$105,MATCH($C11,Kartu!$A$6:$A$105,0)))</f>
        <v/>
      </c>
      <c r="L11" s="39" t="str">
        <f t="shared" si="0"/>
        <v/>
      </c>
      <c r="M11" s="39" t="str">
        <f t="shared" si="1"/>
        <v/>
      </c>
      <c r="N11" s="39" t="str">
        <f t="shared" si="2"/>
        <v/>
      </c>
      <c r="O11" s="39" t="str">
        <f t="shared" si="3"/>
        <v/>
      </c>
      <c r="P11" s="39" t="str">
        <f t="shared" si="4"/>
        <v/>
      </c>
      <c r="Q11" s="40" t="str">
        <f t="shared" si="5"/>
        <v/>
      </c>
      <c r="R11" s="40" t="str">
        <f t="shared" si="6"/>
        <v/>
      </c>
      <c r="S11" s="40" t="str">
        <f t="shared" si="7"/>
        <v/>
      </c>
      <c r="T11" s="40" t="str">
        <f t="shared" si="8"/>
        <v/>
      </c>
      <c r="U11" s="40" t="str">
        <f t="shared" si="9"/>
        <v/>
      </c>
    </row>
    <row r="12" spans="1:21">
      <c r="A12" s="36">
        <v>7</v>
      </c>
      <c r="B12" s="36">
        <v>1</v>
      </c>
      <c r="C12" s="37"/>
      <c r="D12" s="53"/>
      <c r="E12" s="36" t="str">
        <f>IF($C12="","",INDEX(Kartu!$C$6:$C$105,MATCH($C12,Kartu!$A$6:$A$105,0)))</f>
        <v/>
      </c>
      <c r="F12" s="36" t="str">
        <f>IF($C12="","",INDEX(Kartu!$B$6:$B$105,MATCH($C12,Kartu!$A$6:$A$105,0)))</f>
        <v/>
      </c>
      <c r="G12" s="38" t="str">
        <f>IF($C12="","",Dasar1+INDEX(Kartu!$F$6:$F$105,MATCH($C12,Kartu!$A$6:$A$105,0)))</f>
        <v/>
      </c>
      <c r="H12" s="38" t="str">
        <f>IF($C12="","",Dasar2+INDEX(Kartu!$G$6:$G$105,MATCH($C12,Kartu!$A$6:$A$105,0)))</f>
        <v/>
      </c>
      <c r="I12" s="38" t="str">
        <f>IF($C12="","",Dasar3+INDEX(Kartu!$H$6:$H$105,MATCH($C12,Kartu!$A$6:$A$105,0)))</f>
        <v/>
      </c>
      <c r="J12" s="38" t="str">
        <f>IF($C12="","",Dasar4+INDEX(Kartu!$I$6:$I$105,MATCH($C12,Kartu!$A$6:$A$105,0)))</f>
        <v/>
      </c>
      <c r="K12" s="38" t="str">
        <f>IF($C12="","",Dasar5+INDEX(Kartu!$J$6:$J$105,MATCH($C12,Kartu!$A$6:$A$105,0)))</f>
        <v/>
      </c>
      <c r="L12" s="39" t="str">
        <f t="shared" si="0"/>
        <v/>
      </c>
      <c r="M12" s="39" t="str">
        <f t="shared" si="1"/>
        <v/>
      </c>
      <c r="N12" s="39" t="str">
        <f t="shared" si="2"/>
        <v/>
      </c>
      <c r="O12" s="39" t="str">
        <f t="shared" si="3"/>
        <v/>
      </c>
      <c r="P12" s="39" t="str">
        <f t="shared" si="4"/>
        <v/>
      </c>
      <c r="Q12" s="40" t="str">
        <f t="shared" si="5"/>
        <v/>
      </c>
      <c r="R12" s="40" t="str">
        <f t="shared" si="6"/>
        <v/>
      </c>
      <c r="S12" s="40" t="str">
        <f t="shared" si="7"/>
        <v/>
      </c>
      <c r="T12" s="40" t="str">
        <f t="shared" si="8"/>
        <v/>
      </c>
      <c r="U12" s="40" t="str">
        <f t="shared" si="9"/>
        <v/>
      </c>
    </row>
    <row r="13" spans="1:21">
      <c r="A13" s="36">
        <v>8</v>
      </c>
      <c r="B13" s="36">
        <v>1</v>
      </c>
      <c r="C13" s="37"/>
      <c r="D13" s="53"/>
      <c r="E13" s="36" t="str">
        <f>IF($C13="","",INDEX(Kartu!$C$6:$C$105,MATCH($C13,Kartu!$A$6:$A$105,0)))</f>
        <v/>
      </c>
      <c r="F13" s="36" t="str">
        <f>IF($C13="","",INDEX(Kartu!$B$6:$B$105,MATCH($C13,Kartu!$A$6:$A$105,0)))</f>
        <v/>
      </c>
      <c r="G13" s="38" t="str">
        <f>IF($C13="","",Dasar1+INDEX(Kartu!$F$6:$F$105,MATCH($C13,Kartu!$A$6:$A$105,0)))</f>
        <v/>
      </c>
      <c r="H13" s="38" t="str">
        <f>IF($C13="","",Dasar2+INDEX(Kartu!$G$6:$G$105,MATCH($C13,Kartu!$A$6:$A$105,0)))</f>
        <v/>
      </c>
      <c r="I13" s="38" t="str">
        <f>IF($C13="","",Dasar3+INDEX(Kartu!$H$6:$H$105,MATCH($C13,Kartu!$A$6:$A$105,0)))</f>
        <v/>
      </c>
      <c r="J13" s="38" t="str">
        <f>IF($C13="","",Dasar4+INDEX(Kartu!$I$6:$I$105,MATCH($C13,Kartu!$A$6:$A$105,0)))</f>
        <v/>
      </c>
      <c r="K13" s="38" t="str">
        <f>IF($C13="","",Dasar5+INDEX(Kartu!$J$6:$J$105,MATCH($C13,Kartu!$A$6:$A$105,0)))</f>
        <v/>
      </c>
      <c r="L13" s="39" t="str">
        <f t="shared" si="0"/>
        <v/>
      </c>
      <c r="M13" s="39" t="str">
        <f t="shared" si="1"/>
        <v/>
      </c>
      <c r="N13" s="39" t="str">
        <f t="shared" si="2"/>
        <v/>
      </c>
      <c r="O13" s="39" t="str">
        <f t="shared" si="3"/>
        <v/>
      </c>
      <c r="P13" s="39" t="str">
        <f t="shared" si="4"/>
        <v/>
      </c>
      <c r="Q13" s="40" t="str">
        <f t="shared" si="5"/>
        <v/>
      </c>
      <c r="R13" s="40" t="str">
        <f t="shared" si="6"/>
        <v/>
      </c>
      <c r="S13" s="40" t="str">
        <f t="shared" si="7"/>
        <v/>
      </c>
      <c r="T13" s="40" t="str">
        <f t="shared" si="8"/>
        <v/>
      </c>
      <c r="U13" s="40" t="str">
        <f t="shared" si="9"/>
        <v/>
      </c>
    </row>
    <row r="14" spans="1:21">
      <c r="A14" s="36">
        <v>9</v>
      </c>
      <c r="B14" s="36">
        <v>1</v>
      </c>
      <c r="C14" s="37"/>
      <c r="D14" s="53"/>
      <c r="E14" s="36" t="str">
        <f>IF($C14="","",INDEX(Kartu!$C$6:$C$105,MATCH($C14,Kartu!$A$6:$A$105,0)))</f>
        <v/>
      </c>
      <c r="F14" s="36" t="str">
        <f>IF($C14="","",INDEX(Kartu!$B$6:$B$105,MATCH($C14,Kartu!$A$6:$A$105,0)))</f>
        <v/>
      </c>
      <c r="G14" s="38" t="str">
        <f>IF($C14="","",Dasar1+INDEX(Kartu!$F$6:$F$105,MATCH($C14,Kartu!$A$6:$A$105,0)))</f>
        <v/>
      </c>
      <c r="H14" s="38" t="str">
        <f>IF($C14="","",Dasar2+INDEX(Kartu!$G$6:$G$105,MATCH($C14,Kartu!$A$6:$A$105,0)))</f>
        <v/>
      </c>
      <c r="I14" s="38" t="str">
        <f>IF($C14="","",Dasar3+INDEX(Kartu!$H$6:$H$105,MATCH($C14,Kartu!$A$6:$A$105,0)))</f>
        <v/>
      </c>
      <c r="J14" s="38" t="str">
        <f>IF($C14="","",Dasar4+INDEX(Kartu!$I$6:$I$105,MATCH($C14,Kartu!$A$6:$A$105,0)))</f>
        <v/>
      </c>
      <c r="K14" s="38" t="str">
        <f>IF($C14="","",Dasar5+INDEX(Kartu!$J$6:$J$105,MATCH($C14,Kartu!$A$6:$A$105,0)))</f>
        <v/>
      </c>
      <c r="L14" s="39" t="str">
        <f t="shared" si="0"/>
        <v/>
      </c>
      <c r="M14" s="39" t="str">
        <f t="shared" si="1"/>
        <v/>
      </c>
      <c r="N14" s="39" t="str">
        <f t="shared" si="2"/>
        <v/>
      </c>
      <c r="O14" s="39" t="str">
        <f t="shared" si="3"/>
        <v/>
      </c>
      <c r="P14" s="39" t="str">
        <f t="shared" si="4"/>
        <v/>
      </c>
      <c r="Q14" s="40" t="str">
        <f t="shared" si="5"/>
        <v/>
      </c>
      <c r="R14" s="40" t="str">
        <f t="shared" si="6"/>
        <v/>
      </c>
      <c r="S14" s="40" t="str">
        <f t="shared" si="7"/>
        <v/>
      </c>
      <c r="T14" s="40" t="str">
        <f t="shared" si="8"/>
        <v/>
      </c>
      <c r="U14" s="40" t="str">
        <f t="shared" si="9"/>
        <v/>
      </c>
    </row>
    <row r="15" spans="1:21">
      <c r="A15" s="36">
        <v>10</v>
      </c>
      <c r="B15" s="36">
        <v>1</v>
      </c>
      <c r="C15" s="37"/>
      <c r="D15" s="53"/>
      <c r="E15" s="36" t="str">
        <f>IF($C15="","",INDEX(Kartu!$C$6:$C$105,MATCH($C15,Kartu!$A$6:$A$105,0)))</f>
        <v/>
      </c>
      <c r="F15" s="36" t="str">
        <f>IF($C15="","",INDEX(Kartu!$B$6:$B$105,MATCH($C15,Kartu!$A$6:$A$105,0)))</f>
        <v/>
      </c>
      <c r="G15" s="38" t="str">
        <f>IF($C15="","",Dasar1+INDEX(Kartu!$F$6:$F$105,MATCH($C15,Kartu!$A$6:$A$105,0)))</f>
        <v/>
      </c>
      <c r="H15" s="38" t="str">
        <f>IF($C15="","",Dasar2+INDEX(Kartu!$G$6:$G$105,MATCH($C15,Kartu!$A$6:$A$105,0)))</f>
        <v/>
      </c>
      <c r="I15" s="38" t="str">
        <f>IF($C15="","",Dasar3+INDEX(Kartu!$H$6:$H$105,MATCH($C15,Kartu!$A$6:$A$105,0)))</f>
        <v/>
      </c>
      <c r="J15" s="38" t="str">
        <f>IF($C15="","",Dasar4+INDEX(Kartu!$I$6:$I$105,MATCH($C15,Kartu!$A$6:$A$105,0)))</f>
        <v/>
      </c>
      <c r="K15" s="38" t="str">
        <f>IF($C15="","",Dasar5+INDEX(Kartu!$J$6:$J$105,MATCH($C15,Kartu!$A$6:$A$105,0)))</f>
        <v/>
      </c>
      <c r="L15" s="39" t="str">
        <f t="shared" si="0"/>
        <v/>
      </c>
      <c r="M15" s="39" t="str">
        <f t="shared" si="1"/>
        <v/>
      </c>
      <c r="N15" s="39" t="str">
        <f t="shared" si="2"/>
        <v/>
      </c>
      <c r="O15" s="39" t="str">
        <f t="shared" si="3"/>
        <v/>
      </c>
      <c r="P15" s="39" t="str">
        <f t="shared" si="4"/>
        <v/>
      </c>
      <c r="Q15" s="40" t="str">
        <f t="shared" si="5"/>
        <v/>
      </c>
      <c r="R15" s="40" t="str">
        <f t="shared" si="6"/>
        <v/>
      </c>
      <c r="S15" s="40" t="str">
        <f t="shared" si="7"/>
        <v/>
      </c>
      <c r="T15" s="40" t="str">
        <f t="shared" si="8"/>
        <v/>
      </c>
      <c r="U15" s="40" t="str">
        <f t="shared" si="9"/>
        <v/>
      </c>
    </row>
    <row r="16" spans="1:21">
      <c r="A16" s="36">
        <v>11</v>
      </c>
      <c r="B16" s="36">
        <v>2</v>
      </c>
      <c r="C16" s="37"/>
      <c r="D16" s="36"/>
      <c r="E16" s="36" t="str">
        <f>IF($C16="","",INDEX(Kartu!$C$6:$C$105,MATCH($C16,Kartu!$A$6:$A$105,0)))</f>
        <v/>
      </c>
      <c r="F16" s="36" t="str">
        <f>IF($C16="","",INDEX(Kartu!$B$6:$B$105,MATCH($C16,Kartu!$A$6:$A$105,0)))</f>
        <v/>
      </c>
      <c r="G16" s="38" t="str">
        <f>IF($C16="","",Dasar1+INDEX(Kartu!$F$6:$F$105,MATCH($C16,Kartu!$A$6:$A$105,0)))</f>
        <v/>
      </c>
      <c r="H16" s="38" t="str">
        <f>IF($C16="","",Dasar2+INDEX(Kartu!$G$6:$G$105,MATCH($C16,Kartu!$A$6:$A$105,0)))</f>
        <v/>
      </c>
      <c r="I16" s="38" t="str">
        <f>IF($C16="","",Dasar3+INDEX(Kartu!$H$6:$H$105,MATCH($C16,Kartu!$A$6:$A$105,0)))</f>
        <v/>
      </c>
      <c r="J16" s="38" t="str">
        <f>IF($C16="","",Dasar4+INDEX(Kartu!$I$6:$I$105,MATCH($C16,Kartu!$A$6:$A$105,0)))</f>
        <v/>
      </c>
      <c r="K16" s="38" t="str">
        <f>IF($C16="","",Dasar5+INDEX(Kartu!$J$6:$J$105,MATCH($C16,Kartu!$A$6:$A$105,0)))</f>
        <v/>
      </c>
      <c r="L16" s="39" t="str">
        <f>IF($C16="","",1+G16)</f>
        <v/>
      </c>
      <c r="M16" s="39" t="str">
        <f>IF($C16="","",1+H16)</f>
        <v/>
      </c>
      <c r="N16" s="39" t="str">
        <f>IF($C16="","",1+I16)</f>
        <v/>
      </c>
      <c r="O16" s="39" t="str">
        <f>IF($C16="","",1+J16)</f>
        <v/>
      </c>
      <c r="P16" s="39" t="str">
        <f>IF($C16="","",1+K16)</f>
        <v/>
      </c>
      <c r="Q16" s="40" t="str">
        <f t="shared" si="5"/>
        <v/>
      </c>
      <c r="R16" s="40" t="str">
        <f t="shared" si="6"/>
        <v/>
      </c>
      <c r="S16" s="40" t="str">
        <f t="shared" si="7"/>
        <v/>
      </c>
      <c r="T16" s="40" t="str">
        <f t="shared" si="8"/>
        <v/>
      </c>
      <c r="U16" s="40" t="str">
        <f t="shared" si="9"/>
        <v/>
      </c>
    </row>
    <row r="17" spans="1:21">
      <c r="A17" s="36">
        <v>12</v>
      </c>
      <c r="B17" s="36">
        <v>2</v>
      </c>
      <c r="C17" s="37"/>
      <c r="D17" s="36"/>
      <c r="E17" s="36" t="str">
        <f>IF($C17="","",INDEX(Kartu!$C$6:$C$105,MATCH($C17,Kartu!$A$6:$A$105,0)))</f>
        <v/>
      </c>
      <c r="F17" s="36" t="str">
        <f>IF($C17="","",INDEX(Kartu!$B$6:$B$105,MATCH($C17,Kartu!$A$6:$A$105,0)))</f>
        <v/>
      </c>
      <c r="G17" s="38" t="str">
        <f>IF($C17="","",Dasar1+INDEX(Kartu!$F$6:$F$105,MATCH($C17,Kartu!$A$6:$A$105,0)))</f>
        <v/>
      </c>
      <c r="H17" s="38" t="str">
        <f>IF($C17="","",Dasar2+INDEX(Kartu!$G$6:$G$105,MATCH($C17,Kartu!$A$6:$A$105,0)))</f>
        <v/>
      </c>
      <c r="I17" s="38" t="str">
        <f>IF($C17="","",Dasar3+INDEX(Kartu!$H$6:$H$105,MATCH($C17,Kartu!$A$6:$A$105,0)))</f>
        <v/>
      </c>
      <c r="J17" s="38" t="str">
        <f>IF($C17="","",Dasar4+INDEX(Kartu!$I$6:$I$105,MATCH($C17,Kartu!$A$6:$A$105,0)))</f>
        <v/>
      </c>
      <c r="K17" s="38" t="str">
        <f>IF($C17="","",Dasar5+INDEX(Kartu!$J$6:$J$105,MATCH($C17,Kartu!$A$6:$A$105,0)))</f>
        <v/>
      </c>
      <c r="L17" s="39" t="str">
        <f t="shared" ref="L17:L25" si="10">IF($C17="","",L16*(1+G17))</f>
        <v/>
      </c>
      <c r="M17" s="39" t="str">
        <f t="shared" ref="M17:M25" si="11">IF($C17="","",M16*(1+H17))</f>
        <v/>
      </c>
      <c r="N17" s="39" t="str">
        <f t="shared" ref="N17:N25" si="12">IF($C17="","",N16*(1+I17))</f>
        <v/>
      </c>
      <c r="O17" s="39" t="str">
        <f t="shared" ref="O17:O25" si="13">IF($C17="","",O16*(1+J17))</f>
        <v/>
      </c>
      <c r="P17" s="39" t="str">
        <f t="shared" ref="P17:P25" si="14">IF($C17="","",P16*(1+K17))</f>
        <v/>
      </c>
      <c r="Q17" s="40" t="str">
        <f t="shared" si="5"/>
        <v/>
      </c>
      <c r="R17" s="40" t="str">
        <f t="shared" si="6"/>
        <v/>
      </c>
      <c r="S17" s="40" t="str">
        <f t="shared" si="7"/>
        <v/>
      </c>
      <c r="T17" s="40" t="str">
        <f t="shared" si="8"/>
        <v/>
      </c>
      <c r="U17" s="40" t="str">
        <f t="shared" si="9"/>
        <v/>
      </c>
    </row>
    <row r="18" spans="1:21">
      <c r="A18" s="36">
        <v>13</v>
      </c>
      <c r="B18" s="36">
        <v>2</v>
      </c>
      <c r="C18" s="37"/>
      <c r="D18" s="36"/>
      <c r="E18" s="36" t="str">
        <f>IF($C18="","",INDEX(Kartu!$C$6:$C$105,MATCH($C18,Kartu!$A$6:$A$105,0)))</f>
        <v/>
      </c>
      <c r="F18" s="36" t="str">
        <f>IF($C18="","",INDEX(Kartu!$B$6:$B$105,MATCH($C18,Kartu!$A$6:$A$105,0)))</f>
        <v/>
      </c>
      <c r="G18" s="38" t="str">
        <f>IF($C18="","",Dasar1+INDEX(Kartu!$F$6:$F$105,MATCH($C18,Kartu!$A$6:$A$105,0)))</f>
        <v/>
      </c>
      <c r="H18" s="38" t="str">
        <f>IF($C18="","",Dasar2+INDEX(Kartu!$G$6:$G$105,MATCH($C18,Kartu!$A$6:$A$105,0)))</f>
        <v/>
      </c>
      <c r="I18" s="38" t="str">
        <f>IF($C18="","",Dasar3+INDEX(Kartu!$H$6:$H$105,MATCH($C18,Kartu!$A$6:$A$105,0)))</f>
        <v/>
      </c>
      <c r="J18" s="38" t="str">
        <f>IF($C18="","",Dasar4+INDEX(Kartu!$I$6:$I$105,MATCH($C18,Kartu!$A$6:$A$105,0)))</f>
        <v/>
      </c>
      <c r="K18" s="38" t="str">
        <f>IF($C18="","",Dasar5+INDEX(Kartu!$J$6:$J$105,MATCH($C18,Kartu!$A$6:$A$105,0)))</f>
        <v/>
      </c>
      <c r="L18" s="39" t="str">
        <f t="shared" si="10"/>
        <v/>
      </c>
      <c r="M18" s="39" t="str">
        <f t="shared" si="11"/>
        <v/>
      </c>
      <c r="N18" s="39" t="str">
        <f t="shared" si="12"/>
        <v/>
      </c>
      <c r="O18" s="39" t="str">
        <f t="shared" si="13"/>
        <v/>
      </c>
      <c r="P18" s="39" t="str">
        <f t="shared" si="14"/>
        <v/>
      </c>
      <c r="Q18" s="40" t="str">
        <f t="shared" si="5"/>
        <v/>
      </c>
      <c r="R18" s="40" t="str">
        <f t="shared" si="6"/>
        <v/>
      </c>
      <c r="S18" s="40" t="str">
        <f t="shared" si="7"/>
        <v/>
      </c>
      <c r="T18" s="40" t="str">
        <f t="shared" si="8"/>
        <v/>
      </c>
      <c r="U18" s="40" t="str">
        <f t="shared" si="9"/>
        <v/>
      </c>
    </row>
    <row r="19" spans="1:21">
      <c r="A19" s="36">
        <v>14</v>
      </c>
      <c r="B19" s="36">
        <v>2</v>
      </c>
      <c r="C19" s="37"/>
      <c r="D19" s="36"/>
      <c r="E19" s="36" t="str">
        <f>IF($C19="","",INDEX(Kartu!$C$6:$C$105,MATCH($C19,Kartu!$A$6:$A$105,0)))</f>
        <v/>
      </c>
      <c r="F19" s="36" t="str">
        <f>IF($C19="","",INDEX(Kartu!$B$6:$B$105,MATCH($C19,Kartu!$A$6:$A$105,0)))</f>
        <v/>
      </c>
      <c r="G19" s="38" t="str">
        <f>IF($C19="","",Dasar1+INDEX(Kartu!$F$6:$F$105,MATCH($C19,Kartu!$A$6:$A$105,0)))</f>
        <v/>
      </c>
      <c r="H19" s="38" t="str">
        <f>IF($C19="","",Dasar2+INDEX(Kartu!$G$6:$G$105,MATCH($C19,Kartu!$A$6:$A$105,0)))</f>
        <v/>
      </c>
      <c r="I19" s="38" t="str">
        <f>IF($C19="","",Dasar3+INDEX(Kartu!$H$6:$H$105,MATCH($C19,Kartu!$A$6:$A$105,0)))</f>
        <v/>
      </c>
      <c r="J19" s="38" t="str">
        <f>IF($C19="","",Dasar4+INDEX(Kartu!$I$6:$I$105,MATCH($C19,Kartu!$A$6:$A$105,0)))</f>
        <v/>
      </c>
      <c r="K19" s="38" t="str">
        <f>IF($C19="","",Dasar5+INDEX(Kartu!$J$6:$J$105,MATCH($C19,Kartu!$A$6:$A$105,0)))</f>
        <v/>
      </c>
      <c r="L19" s="39" t="str">
        <f t="shared" si="10"/>
        <v/>
      </c>
      <c r="M19" s="39" t="str">
        <f t="shared" si="11"/>
        <v/>
      </c>
      <c r="N19" s="39" t="str">
        <f t="shared" si="12"/>
        <v/>
      </c>
      <c r="O19" s="39" t="str">
        <f t="shared" si="13"/>
        <v/>
      </c>
      <c r="P19" s="39" t="str">
        <f t="shared" si="14"/>
        <v/>
      </c>
      <c r="Q19" s="40" t="str">
        <f t="shared" si="5"/>
        <v/>
      </c>
      <c r="R19" s="40" t="str">
        <f t="shared" si="6"/>
        <v/>
      </c>
      <c r="S19" s="40" t="str">
        <f t="shared" si="7"/>
        <v/>
      </c>
      <c r="T19" s="40" t="str">
        <f t="shared" si="8"/>
        <v/>
      </c>
      <c r="U19" s="40" t="str">
        <f t="shared" si="9"/>
        <v/>
      </c>
    </row>
    <row r="20" spans="1:21">
      <c r="A20" s="36">
        <v>15</v>
      </c>
      <c r="B20" s="36">
        <v>2</v>
      </c>
      <c r="C20" s="37"/>
      <c r="D20" s="36"/>
      <c r="E20" s="36" t="str">
        <f>IF($C20="","",INDEX(Kartu!$C$6:$C$105,MATCH($C20,Kartu!$A$6:$A$105,0)))</f>
        <v/>
      </c>
      <c r="F20" s="36" t="str">
        <f>IF($C20="","",INDEX(Kartu!$B$6:$B$105,MATCH($C20,Kartu!$A$6:$A$105,0)))</f>
        <v/>
      </c>
      <c r="G20" s="38" t="str">
        <f>IF($C20="","",Dasar1+INDEX(Kartu!$F$6:$F$105,MATCH($C20,Kartu!$A$6:$A$105,0)))</f>
        <v/>
      </c>
      <c r="H20" s="38" t="str">
        <f>IF($C20="","",Dasar2+INDEX(Kartu!$G$6:$G$105,MATCH($C20,Kartu!$A$6:$A$105,0)))</f>
        <v/>
      </c>
      <c r="I20" s="38" t="str">
        <f>IF($C20="","",Dasar3+INDEX(Kartu!$H$6:$H$105,MATCH($C20,Kartu!$A$6:$A$105,0)))</f>
        <v/>
      </c>
      <c r="J20" s="38" t="str">
        <f>IF($C20="","",Dasar4+INDEX(Kartu!$I$6:$I$105,MATCH($C20,Kartu!$A$6:$A$105,0)))</f>
        <v/>
      </c>
      <c r="K20" s="38" t="str">
        <f>IF($C20="","",Dasar5+INDEX(Kartu!$J$6:$J$105,MATCH($C20,Kartu!$A$6:$A$105,0)))</f>
        <v/>
      </c>
      <c r="L20" s="39" t="str">
        <f t="shared" si="10"/>
        <v/>
      </c>
      <c r="M20" s="39" t="str">
        <f t="shared" si="11"/>
        <v/>
      </c>
      <c r="N20" s="39" t="str">
        <f t="shared" si="12"/>
        <v/>
      </c>
      <c r="O20" s="39" t="str">
        <f t="shared" si="13"/>
        <v/>
      </c>
      <c r="P20" s="39" t="str">
        <f t="shared" si="14"/>
        <v/>
      </c>
      <c r="Q20" s="40" t="str">
        <f t="shared" si="5"/>
        <v/>
      </c>
      <c r="R20" s="40" t="str">
        <f t="shared" si="6"/>
        <v/>
      </c>
      <c r="S20" s="40" t="str">
        <f t="shared" si="7"/>
        <v/>
      </c>
      <c r="T20" s="40" t="str">
        <f t="shared" si="8"/>
        <v/>
      </c>
      <c r="U20" s="40" t="str">
        <f t="shared" si="9"/>
        <v/>
      </c>
    </row>
    <row r="21" spans="1:21">
      <c r="A21" s="36">
        <v>16</v>
      </c>
      <c r="B21" s="36">
        <v>2</v>
      </c>
      <c r="C21" s="37"/>
      <c r="D21" s="36"/>
      <c r="E21" s="36" t="str">
        <f>IF($C21="","",INDEX(Kartu!$C$6:$C$105,MATCH($C21,Kartu!$A$6:$A$105,0)))</f>
        <v/>
      </c>
      <c r="F21" s="36" t="str">
        <f>IF($C21="","",INDEX(Kartu!$B$6:$B$105,MATCH($C21,Kartu!$A$6:$A$105,0)))</f>
        <v/>
      </c>
      <c r="G21" s="38" t="str">
        <f>IF($C21="","",Dasar1+INDEX(Kartu!$F$6:$F$105,MATCH($C21,Kartu!$A$6:$A$105,0)))</f>
        <v/>
      </c>
      <c r="H21" s="38" t="str">
        <f>IF($C21="","",Dasar2+INDEX(Kartu!$G$6:$G$105,MATCH($C21,Kartu!$A$6:$A$105,0)))</f>
        <v/>
      </c>
      <c r="I21" s="38" t="str">
        <f>IF($C21="","",Dasar3+INDEX(Kartu!$H$6:$H$105,MATCH($C21,Kartu!$A$6:$A$105,0)))</f>
        <v/>
      </c>
      <c r="J21" s="38" t="str">
        <f>IF($C21="","",Dasar4+INDEX(Kartu!$I$6:$I$105,MATCH($C21,Kartu!$A$6:$A$105,0)))</f>
        <v/>
      </c>
      <c r="K21" s="38" t="str">
        <f>IF($C21="","",Dasar5+INDEX(Kartu!$J$6:$J$105,MATCH($C21,Kartu!$A$6:$A$105,0)))</f>
        <v/>
      </c>
      <c r="L21" s="39" t="str">
        <f t="shared" si="10"/>
        <v/>
      </c>
      <c r="M21" s="39" t="str">
        <f t="shared" si="11"/>
        <v/>
      </c>
      <c r="N21" s="39" t="str">
        <f t="shared" si="12"/>
        <v/>
      </c>
      <c r="O21" s="39" t="str">
        <f t="shared" si="13"/>
        <v/>
      </c>
      <c r="P21" s="39" t="str">
        <f t="shared" si="14"/>
        <v/>
      </c>
      <c r="Q21" s="40" t="str">
        <f t="shared" si="5"/>
        <v/>
      </c>
      <c r="R21" s="40" t="str">
        <f t="shared" si="6"/>
        <v/>
      </c>
      <c r="S21" s="40" t="str">
        <f t="shared" si="7"/>
        <v/>
      </c>
      <c r="T21" s="40" t="str">
        <f t="shared" si="8"/>
        <v/>
      </c>
      <c r="U21" s="40" t="str">
        <f t="shared" si="9"/>
        <v/>
      </c>
    </row>
    <row r="22" spans="1:21">
      <c r="A22" s="36">
        <v>17</v>
      </c>
      <c r="B22" s="36">
        <v>2</v>
      </c>
      <c r="C22" s="37"/>
      <c r="D22" s="36"/>
      <c r="E22" s="36" t="str">
        <f>IF($C22="","",INDEX(Kartu!$C$6:$C$105,MATCH($C22,Kartu!$A$6:$A$105,0)))</f>
        <v/>
      </c>
      <c r="F22" s="36" t="str">
        <f>IF($C22="","",INDEX(Kartu!$B$6:$B$105,MATCH($C22,Kartu!$A$6:$A$105,0)))</f>
        <v/>
      </c>
      <c r="G22" s="38" t="str">
        <f>IF($C22="","",Dasar1+INDEX(Kartu!$F$6:$F$105,MATCH($C22,Kartu!$A$6:$A$105,0)))</f>
        <v/>
      </c>
      <c r="H22" s="38" t="str">
        <f>IF($C22="","",Dasar2+INDEX(Kartu!$G$6:$G$105,MATCH($C22,Kartu!$A$6:$A$105,0)))</f>
        <v/>
      </c>
      <c r="I22" s="38" t="str">
        <f>IF($C22="","",Dasar3+INDEX(Kartu!$H$6:$H$105,MATCH($C22,Kartu!$A$6:$A$105,0)))</f>
        <v/>
      </c>
      <c r="J22" s="38" t="str">
        <f>IF($C22="","",Dasar4+INDEX(Kartu!$I$6:$I$105,MATCH($C22,Kartu!$A$6:$A$105,0)))</f>
        <v/>
      </c>
      <c r="K22" s="38" t="str">
        <f>IF($C22="","",Dasar5+INDEX(Kartu!$J$6:$J$105,MATCH($C22,Kartu!$A$6:$A$105,0)))</f>
        <v/>
      </c>
      <c r="L22" s="39" t="str">
        <f t="shared" si="10"/>
        <v/>
      </c>
      <c r="M22" s="39" t="str">
        <f t="shared" si="11"/>
        <v/>
      </c>
      <c r="N22" s="39" t="str">
        <f t="shared" si="12"/>
        <v/>
      </c>
      <c r="O22" s="39" t="str">
        <f t="shared" si="13"/>
        <v/>
      </c>
      <c r="P22" s="39" t="str">
        <f t="shared" si="14"/>
        <v/>
      </c>
      <c r="Q22" s="40" t="str">
        <f t="shared" si="5"/>
        <v/>
      </c>
      <c r="R22" s="40" t="str">
        <f t="shared" si="6"/>
        <v/>
      </c>
      <c r="S22" s="40" t="str">
        <f t="shared" si="7"/>
        <v/>
      </c>
      <c r="T22" s="40" t="str">
        <f t="shared" si="8"/>
        <v/>
      </c>
      <c r="U22" s="40" t="str">
        <f t="shared" si="9"/>
        <v/>
      </c>
    </row>
    <row r="23" spans="1:21">
      <c r="A23" s="36">
        <v>18</v>
      </c>
      <c r="B23" s="36">
        <v>2</v>
      </c>
      <c r="C23" s="37"/>
      <c r="D23" s="36"/>
      <c r="E23" s="36" t="str">
        <f>IF($C23="","",INDEX(Kartu!$C$6:$C$105,MATCH($C23,Kartu!$A$6:$A$105,0)))</f>
        <v/>
      </c>
      <c r="F23" s="36" t="str">
        <f>IF($C23="","",INDEX(Kartu!$B$6:$B$105,MATCH($C23,Kartu!$A$6:$A$105,0)))</f>
        <v/>
      </c>
      <c r="G23" s="38" t="str">
        <f>IF($C23="","",Dasar1+INDEX(Kartu!$F$6:$F$105,MATCH($C23,Kartu!$A$6:$A$105,0)))</f>
        <v/>
      </c>
      <c r="H23" s="38" t="str">
        <f>IF($C23="","",Dasar2+INDEX(Kartu!$G$6:$G$105,MATCH($C23,Kartu!$A$6:$A$105,0)))</f>
        <v/>
      </c>
      <c r="I23" s="38" t="str">
        <f>IF($C23="","",Dasar3+INDEX(Kartu!$H$6:$H$105,MATCH($C23,Kartu!$A$6:$A$105,0)))</f>
        <v/>
      </c>
      <c r="J23" s="38" t="str">
        <f>IF($C23="","",Dasar4+INDEX(Kartu!$I$6:$I$105,MATCH($C23,Kartu!$A$6:$A$105,0)))</f>
        <v/>
      </c>
      <c r="K23" s="38" t="str">
        <f>IF($C23="","",Dasar5+INDEX(Kartu!$J$6:$J$105,MATCH($C23,Kartu!$A$6:$A$105,0)))</f>
        <v/>
      </c>
      <c r="L23" s="39" t="str">
        <f t="shared" si="10"/>
        <v/>
      </c>
      <c r="M23" s="39" t="str">
        <f t="shared" si="11"/>
        <v/>
      </c>
      <c r="N23" s="39" t="str">
        <f t="shared" si="12"/>
        <v/>
      </c>
      <c r="O23" s="39" t="str">
        <f t="shared" si="13"/>
        <v/>
      </c>
      <c r="P23" s="39" t="str">
        <f t="shared" si="14"/>
        <v/>
      </c>
      <c r="Q23" s="40" t="str">
        <f t="shared" si="5"/>
        <v/>
      </c>
      <c r="R23" s="40" t="str">
        <f t="shared" si="6"/>
        <v/>
      </c>
      <c r="S23" s="40" t="str">
        <f t="shared" si="7"/>
        <v/>
      </c>
      <c r="T23" s="40" t="str">
        <f t="shared" si="8"/>
        <v/>
      </c>
      <c r="U23" s="40" t="str">
        <f t="shared" si="9"/>
        <v/>
      </c>
    </row>
    <row r="24" spans="1:21">
      <c r="A24" s="36">
        <v>19</v>
      </c>
      <c r="B24" s="36">
        <v>2</v>
      </c>
      <c r="C24" s="37"/>
      <c r="D24" s="36"/>
      <c r="E24" s="36" t="str">
        <f>IF($C24="","",INDEX(Kartu!$C$6:$C$105,MATCH($C24,Kartu!$A$6:$A$105,0)))</f>
        <v/>
      </c>
      <c r="F24" s="36" t="str">
        <f>IF($C24="","",INDEX(Kartu!$B$6:$B$105,MATCH($C24,Kartu!$A$6:$A$105,0)))</f>
        <v/>
      </c>
      <c r="G24" s="38" t="str">
        <f>IF($C24="","",Dasar1+INDEX(Kartu!$F$6:$F$105,MATCH($C24,Kartu!$A$6:$A$105,0)))</f>
        <v/>
      </c>
      <c r="H24" s="38" t="str">
        <f>IF($C24="","",Dasar2+INDEX(Kartu!$G$6:$G$105,MATCH($C24,Kartu!$A$6:$A$105,0)))</f>
        <v/>
      </c>
      <c r="I24" s="38" t="str">
        <f>IF($C24="","",Dasar3+INDEX(Kartu!$H$6:$H$105,MATCH($C24,Kartu!$A$6:$A$105,0)))</f>
        <v/>
      </c>
      <c r="J24" s="38" t="str">
        <f>IF($C24="","",Dasar4+INDEX(Kartu!$I$6:$I$105,MATCH($C24,Kartu!$A$6:$A$105,0)))</f>
        <v/>
      </c>
      <c r="K24" s="38" t="str">
        <f>IF($C24="","",Dasar5+INDEX(Kartu!$J$6:$J$105,MATCH($C24,Kartu!$A$6:$A$105,0)))</f>
        <v/>
      </c>
      <c r="L24" s="39" t="str">
        <f t="shared" si="10"/>
        <v/>
      </c>
      <c r="M24" s="39" t="str">
        <f t="shared" si="11"/>
        <v/>
      </c>
      <c r="N24" s="39" t="str">
        <f t="shared" si="12"/>
        <v/>
      </c>
      <c r="O24" s="39" t="str">
        <f t="shared" si="13"/>
        <v/>
      </c>
      <c r="P24" s="39" t="str">
        <f t="shared" si="14"/>
        <v/>
      </c>
      <c r="Q24" s="40" t="str">
        <f t="shared" si="5"/>
        <v/>
      </c>
      <c r="R24" s="40" t="str">
        <f t="shared" si="6"/>
        <v/>
      </c>
      <c r="S24" s="40" t="str">
        <f t="shared" si="7"/>
        <v/>
      </c>
      <c r="T24" s="40" t="str">
        <f t="shared" si="8"/>
        <v/>
      </c>
      <c r="U24" s="40" t="str">
        <f t="shared" si="9"/>
        <v/>
      </c>
    </row>
    <row r="25" spans="1:21">
      <c r="A25" s="36">
        <v>20</v>
      </c>
      <c r="B25" s="36">
        <v>2</v>
      </c>
      <c r="C25" s="37"/>
      <c r="D25" s="36"/>
      <c r="E25" s="36" t="str">
        <f>IF($C25="","",INDEX(Kartu!$C$6:$C$105,MATCH($C25,Kartu!$A$6:$A$105,0)))</f>
        <v/>
      </c>
      <c r="F25" s="36" t="str">
        <f>IF($C25="","",INDEX(Kartu!$B$6:$B$105,MATCH($C25,Kartu!$A$6:$A$105,0)))</f>
        <v/>
      </c>
      <c r="G25" s="38" t="str">
        <f>IF($C25="","",Dasar1+INDEX(Kartu!$F$6:$F$105,MATCH($C25,Kartu!$A$6:$A$105,0)))</f>
        <v/>
      </c>
      <c r="H25" s="38" t="str">
        <f>IF($C25="","",Dasar2+INDEX(Kartu!$G$6:$G$105,MATCH($C25,Kartu!$A$6:$A$105,0)))</f>
        <v/>
      </c>
      <c r="I25" s="38" t="str">
        <f>IF($C25="","",Dasar3+INDEX(Kartu!$H$6:$H$105,MATCH($C25,Kartu!$A$6:$A$105,0)))</f>
        <v/>
      </c>
      <c r="J25" s="38" t="str">
        <f>IF($C25="","",Dasar4+INDEX(Kartu!$I$6:$I$105,MATCH($C25,Kartu!$A$6:$A$105,0)))</f>
        <v/>
      </c>
      <c r="K25" s="38" t="str">
        <f>IF($C25="","",Dasar5+INDEX(Kartu!$J$6:$J$105,MATCH($C25,Kartu!$A$6:$A$105,0)))</f>
        <v/>
      </c>
      <c r="L25" s="39" t="str">
        <f t="shared" si="10"/>
        <v/>
      </c>
      <c r="M25" s="39" t="str">
        <f t="shared" si="11"/>
        <v/>
      </c>
      <c r="N25" s="39" t="str">
        <f t="shared" si="12"/>
        <v/>
      </c>
      <c r="O25" s="39" t="str">
        <f t="shared" si="13"/>
        <v/>
      </c>
      <c r="P25" s="39" t="str">
        <f t="shared" si="14"/>
        <v/>
      </c>
      <c r="Q25" s="40" t="str">
        <f t="shared" si="5"/>
        <v/>
      </c>
      <c r="R25" s="40" t="str">
        <f t="shared" si="6"/>
        <v/>
      </c>
      <c r="S25" s="40" t="str">
        <f t="shared" si="7"/>
        <v/>
      </c>
      <c r="T25" s="40" t="str">
        <f t="shared" si="8"/>
        <v/>
      </c>
      <c r="U25" s="40" t="str">
        <f t="shared" si="9"/>
        <v/>
      </c>
    </row>
    <row r="26" spans="1:21">
      <c r="A26" s="36">
        <v>21</v>
      </c>
      <c r="B26" s="36">
        <v>3</v>
      </c>
      <c r="C26" s="37"/>
      <c r="D26" s="36"/>
      <c r="E26" s="36" t="str">
        <f>IF($C26="","",INDEX(Kartu!$C$6:$C$105,MATCH($C26,Kartu!$A$6:$A$105,0)))</f>
        <v/>
      </c>
      <c r="F26" s="36" t="str">
        <f>IF($C26="","",INDEX(Kartu!$B$6:$B$105,MATCH($C26,Kartu!$A$6:$A$105,0)))</f>
        <v/>
      </c>
      <c r="G26" s="38" t="str">
        <f>IF($C26="","",Dasar1+INDEX(Kartu!$F$6:$F$105,MATCH($C26,Kartu!$A$6:$A$105,0)))</f>
        <v/>
      </c>
      <c r="H26" s="38" t="str">
        <f>IF($C26="","",Dasar2+INDEX(Kartu!$G$6:$G$105,MATCH($C26,Kartu!$A$6:$A$105,0)))</f>
        <v/>
      </c>
      <c r="I26" s="38" t="str">
        <f>IF($C26="","",Dasar3+INDEX(Kartu!$H$6:$H$105,MATCH($C26,Kartu!$A$6:$A$105,0)))</f>
        <v/>
      </c>
      <c r="J26" s="38" t="str">
        <f>IF($C26="","",Dasar4+INDEX(Kartu!$I$6:$I$105,MATCH($C26,Kartu!$A$6:$A$105,0)))</f>
        <v/>
      </c>
      <c r="K26" s="38" t="str">
        <f>IF($C26="","",Dasar5+INDEX(Kartu!$J$6:$J$105,MATCH($C26,Kartu!$A$6:$A$105,0)))</f>
        <v/>
      </c>
      <c r="L26" s="39" t="str">
        <f>IF($C26="","",1+G26)</f>
        <v/>
      </c>
      <c r="M26" s="39" t="str">
        <f>IF($C26="","",1+H26)</f>
        <v/>
      </c>
      <c r="N26" s="39" t="str">
        <f>IF($C26="","",1+I26)</f>
        <v/>
      </c>
      <c r="O26" s="39" t="str">
        <f>IF($C26="","",1+J26)</f>
        <v/>
      </c>
      <c r="P26" s="39" t="str">
        <f>IF($C26="","",1+K26)</f>
        <v/>
      </c>
      <c r="Q26" s="40" t="str">
        <f t="shared" si="5"/>
        <v/>
      </c>
      <c r="R26" s="40" t="str">
        <f t="shared" si="6"/>
        <v/>
      </c>
      <c r="S26" s="40" t="str">
        <f t="shared" si="7"/>
        <v/>
      </c>
      <c r="T26" s="40" t="str">
        <f t="shared" si="8"/>
        <v/>
      </c>
      <c r="U26" s="40" t="str">
        <f t="shared" si="9"/>
        <v/>
      </c>
    </row>
    <row r="27" spans="1:21">
      <c r="A27" s="36">
        <v>22</v>
      </c>
      <c r="B27" s="36">
        <v>3</v>
      </c>
      <c r="C27" s="37"/>
      <c r="D27" s="36"/>
      <c r="E27" s="36" t="str">
        <f>IF($C27="","",INDEX(Kartu!$C$6:$C$105,MATCH($C27,Kartu!$A$6:$A$105,0)))</f>
        <v/>
      </c>
      <c r="F27" s="36" t="str">
        <f>IF($C27="","",INDEX(Kartu!$B$6:$B$105,MATCH($C27,Kartu!$A$6:$A$105,0)))</f>
        <v/>
      </c>
      <c r="G27" s="38" t="str">
        <f>IF($C27="","",Dasar1+INDEX(Kartu!$F$6:$F$105,MATCH($C27,Kartu!$A$6:$A$105,0)))</f>
        <v/>
      </c>
      <c r="H27" s="38" t="str">
        <f>IF($C27="","",Dasar2+INDEX(Kartu!$G$6:$G$105,MATCH($C27,Kartu!$A$6:$A$105,0)))</f>
        <v/>
      </c>
      <c r="I27" s="38" t="str">
        <f>IF($C27="","",Dasar3+INDEX(Kartu!$H$6:$H$105,MATCH($C27,Kartu!$A$6:$A$105,0)))</f>
        <v/>
      </c>
      <c r="J27" s="38" t="str">
        <f>IF($C27="","",Dasar4+INDEX(Kartu!$I$6:$I$105,MATCH($C27,Kartu!$A$6:$A$105,0)))</f>
        <v/>
      </c>
      <c r="K27" s="38" t="str">
        <f>IF($C27="","",Dasar5+INDEX(Kartu!$J$6:$J$105,MATCH($C27,Kartu!$A$6:$A$105,0)))</f>
        <v/>
      </c>
      <c r="L27" s="39" t="str">
        <f t="shared" ref="L27:L35" si="15">IF($C27="","",L26*(1+G27))</f>
        <v/>
      </c>
      <c r="M27" s="39" t="str">
        <f t="shared" ref="M27:M35" si="16">IF($C27="","",M26*(1+H27))</f>
        <v/>
      </c>
      <c r="N27" s="39" t="str">
        <f t="shared" ref="N27:N35" si="17">IF($C27="","",N26*(1+I27))</f>
        <v/>
      </c>
      <c r="O27" s="39" t="str">
        <f t="shared" ref="O27:O35" si="18">IF($C27="","",O26*(1+J27))</f>
        <v/>
      </c>
      <c r="P27" s="39" t="str">
        <f t="shared" ref="P27:P35" si="19">IF($C27="","",P26*(1+K27))</f>
        <v/>
      </c>
      <c r="Q27" s="40" t="str">
        <f t="shared" si="5"/>
        <v/>
      </c>
      <c r="R27" s="40" t="str">
        <f t="shared" si="6"/>
        <v/>
      </c>
      <c r="S27" s="40" t="str">
        <f t="shared" si="7"/>
        <v/>
      </c>
      <c r="T27" s="40" t="str">
        <f t="shared" si="8"/>
        <v/>
      </c>
      <c r="U27" s="40" t="str">
        <f t="shared" si="9"/>
        <v/>
      </c>
    </row>
    <row r="28" spans="1:21">
      <c r="A28" s="36">
        <v>23</v>
      </c>
      <c r="B28" s="36">
        <v>3</v>
      </c>
      <c r="C28" s="37"/>
      <c r="D28" s="36"/>
      <c r="E28" s="36" t="str">
        <f>IF($C28="","",INDEX(Kartu!$C$6:$C$105,MATCH($C28,Kartu!$A$6:$A$105,0)))</f>
        <v/>
      </c>
      <c r="F28" s="36" t="str">
        <f>IF($C28="","",INDEX(Kartu!$B$6:$B$105,MATCH($C28,Kartu!$A$6:$A$105,0)))</f>
        <v/>
      </c>
      <c r="G28" s="38" t="str">
        <f>IF($C28="","",Dasar1+INDEX(Kartu!$F$6:$F$105,MATCH($C28,Kartu!$A$6:$A$105,0)))</f>
        <v/>
      </c>
      <c r="H28" s="38" t="str">
        <f>IF($C28="","",Dasar2+INDEX(Kartu!$G$6:$G$105,MATCH($C28,Kartu!$A$6:$A$105,0)))</f>
        <v/>
      </c>
      <c r="I28" s="38" t="str">
        <f>IF($C28="","",Dasar3+INDEX(Kartu!$H$6:$H$105,MATCH($C28,Kartu!$A$6:$A$105,0)))</f>
        <v/>
      </c>
      <c r="J28" s="38" t="str">
        <f>IF($C28="","",Dasar4+INDEX(Kartu!$I$6:$I$105,MATCH($C28,Kartu!$A$6:$A$105,0)))</f>
        <v/>
      </c>
      <c r="K28" s="38" t="str">
        <f>IF($C28="","",Dasar5+INDEX(Kartu!$J$6:$J$105,MATCH($C28,Kartu!$A$6:$A$105,0)))</f>
        <v/>
      </c>
      <c r="L28" s="39" t="str">
        <f t="shared" si="15"/>
        <v/>
      </c>
      <c r="M28" s="39" t="str">
        <f t="shared" si="16"/>
        <v/>
      </c>
      <c r="N28" s="39" t="str">
        <f t="shared" si="17"/>
        <v/>
      </c>
      <c r="O28" s="39" t="str">
        <f t="shared" si="18"/>
        <v/>
      </c>
      <c r="P28" s="39" t="str">
        <f t="shared" si="19"/>
        <v/>
      </c>
      <c r="Q28" s="40" t="str">
        <f t="shared" si="5"/>
        <v/>
      </c>
      <c r="R28" s="40" t="str">
        <f t="shared" si="6"/>
        <v/>
      </c>
      <c r="S28" s="40" t="str">
        <f t="shared" si="7"/>
        <v/>
      </c>
      <c r="T28" s="40" t="str">
        <f t="shared" si="8"/>
        <v/>
      </c>
      <c r="U28" s="40" t="str">
        <f t="shared" si="9"/>
        <v/>
      </c>
    </row>
    <row r="29" spans="1:21">
      <c r="A29" s="36">
        <v>24</v>
      </c>
      <c r="B29" s="36">
        <v>3</v>
      </c>
      <c r="C29" s="37"/>
      <c r="D29" s="36"/>
      <c r="E29" s="36" t="str">
        <f>IF($C29="","",INDEX(Kartu!$C$6:$C$105,MATCH($C29,Kartu!$A$6:$A$105,0)))</f>
        <v/>
      </c>
      <c r="F29" s="36" t="str">
        <f>IF($C29="","",INDEX(Kartu!$B$6:$B$105,MATCH($C29,Kartu!$A$6:$A$105,0)))</f>
        <v/>
      </c>
      <c r="G29" s="38" t="str">
        <f>IF($C29="","",Dasar1+INDEX(Kartu!$F$6:$F$105,MATCH($C29,Kartu!$A$6:$A$105,0)))</f>
        <v/>
      </c>
      <c r="H29" s="38" t="str">
        <f>IF($C29="","",Dasar2+INDEX(Kartu!$G$6:$G$105,MATCH($C29,Kartu!$A$6:$A$105,0)))</f>
        <v/>
      </c>
      <c r="I29" s="38" t="str">
        <f>IF($C29="","",Dasar3+INDEX(Kartu!$H$6:$H$105,MATCH($C29,Kartu!$A$6:$A$105,0)))</f>
        <v/>
      </c>
      <c r="J29" s="38" t="str">
        <f>IF($C29="","",Dasar4+INDEX(Kartu!$I$6:$I$105,MATCH($C29,Kartu!$A$6:$A$105,0)))</f>
        <v/>
      </c>
      <c r="K29" s="38" t="str">
        <f>IF($C29="","",Dasar5+INDEX(Kartu!$J$6:$J$105,MATCH($C29,Kartu!$A$6:$A$105,0)))</f>
        <v/>
      </c>
      <c r="L29" s="39" t="str">
        <f t="shared" si="15"/>
        <v/>
      </c>
      <c r="M29" s="39" t="str">
        <f t="shared" si="16"/>
        <v/>
      </c>
      <c r="N29" s="39" t="str">
        <f t="shared" si="17"/>
        <v/>
      </c>
      <c r="O29" s="39" t="str">
        <f t="shared" si="18"/>
        <v/>
      </c>
      <c r="P29" s="39" t="str">
        <f t="shared" si="19"/>
        <v/>
      </c>
      <c r="Q29" s="40" t="str">
        <f t="shared" si="5"/>
        <v/>
      </c>
      <c r="R29" s="40" t="str">
        <f t="shared" si="6"/>
        <v/>
      </c>
      <c r="S29" s="40" t="str">
        <f t="shared" si="7"/>
        <v/>
      </c>
      <c r="T29" s="40" t="str">
        <f t="shared" si="8"/>
        <v/>
      </c>
      <c r="U29" s="40" t="str">
        <f t="shared" si="9"/>
        <v/>
      </c>
    </row>
    <row r="30" spans="1:21">
      <c r="A30" s="36">
        <v>25</v>
      </c>
      <c r="B30" s="36">
        <v>3</v>
      </c>
      <c r="C30" s="37"/>
      <c r="D30" s="36"/>
      <c r="E30" s="36" t="str">
        <f>IF($C30="","",INDEX(Kartu!$C$6:$C$105,MATCH($C30,Kartu!$A$6:$A$105,0)))</f>
        <v/>
      </c>
      <c r="F30" s="36" t="str">
        <f>IF($C30="","",INDEX(Kartu!$B$6:$B$105,MATCH($C30,Kartu!$A$6:$A$105,0)))</f>
        <v/>
      </c>
      <c r="G30" s="38" t="str">
        <f>IF($C30="","",Dasar1+INDEX(Kartu!$F$6:$F$105,MATCH($C30,Kartu!$A$6:$A$105,0)))</f>
        <v/>
      </c>
      <c r="H30" s="38" t="str">
        <f>IF($C30="","",Dasar2+INDEX(Kartu!$G$6:$G$105,MATCH($C30,Kartu!$A$6:$A$105,0)))</f>
        <v/>
      </c>
      <c r="I30" s="38" t="str">
        <f>IF($C30="","",Dasar3+INDEX(Kartu!$H$6:$H$105,MATCH($C30,Kartu!$A$6:$A$105,0)))</f>
        <v/>
      </c>
      <c r="J30" s="38" t="str">
        <f>IF($C30="","",Dasar4+INDEX(Kartu!$I$6:$I$105,MATCH($C30,Kartu!$A$6:$A$105,0)))</f>
        <v/>
      </c>
      <c r="K30" s="38" t="str">
        <f>IF($C30="","",Dasar5+INDEX(Kartu!$J$6:$J$105,MATCH($C30,Kartu!$A$6:$A$105,0)))</f>
        <v/>
      </c>
      <c r="L30" s="39" t="str">
        <f t="shared" si="15"/>
        <v/>
      </c>
      <c r="M30" s="39" t="str">
        <f t="shared" si="16"/>
        <v/>
      </c>
      <c r="N30" s="39" t="str">
        <f t="shared" si="17"/>
        <v/>
      </c>
      <c r="O30" s="39" t="str">
        <f t="shared" si="18"/>
        <v/>
      </c>
      <c r="P30" s="39" t="str">
        <f t="shared" si="19"/>
        <v/>
      </c>
      <c r="Q30" s="40" t="str">
        <f t="shared" si="5"/>
        <v/>
      </c>
      <c r="R30" s="40" t="str">
        <f t="shared" si="6"/>
        <v/>
      </c>
      <c r="S30" s="40" t="str">
        <f t="shared" si="7"/>
        <v/>
      </c>
      <c r="T30" s="40" t="str">
        <f t="shared" si="8"/>
        <v/>
      </c>
      <c r="U30" s="40" t="str">
        <f t="shared" si="9"/>
        <v/>
      </c>
    </row>
    <row r="31" spans="1:21">
      <c r="A31" s="36">
        <v>26</v>
      </c>
      <c r="B31" s="36">
        <v>3</v>
      </c>
      <c r="C31" s="37"/>
      <c r="D31" s="36"/>
      <c r="E31" s="36" t="str">
        <f>IF($C31="","",INDEX(Kartu!$C$6:$C$105,MATCH($C31,Kartu!$A$6:$A$105,0)))</f>
        <v/>
      </c>
      <c r="F31" s="36" t="str">
        <f>IF($C31="","",INDEX(Kartu!$B$6:$B$105,MATCH($C31,Kartu!$A$6:$A$105,0)))</f>
        <v/>
      </c>
      <c r="G31" s="38" t="str">
        <f>IF($C31="","",Dasar1+INDEX(Kartu!$F$6:$F$105,MATCH($C31,Kartu!$A$6:$A$105,0)))</f>
        <v/>
      </c>
      <c r="H31" s="38" t="str">
        <f>IF($C31="","",Dasar2+INDEX(Kartu!$G$6:$G$105,MATCH($C31,Kartu!$A$6:$A$105,0)))</f>
        <v/>
      </c>
      <c r="I31" s="38" t="str">
        <f>IF($C31="","",Dasar3+INDEX(Kartu!$H$6:$H$105,MATCH($C31,Kartu!$A$6:$A$105,0)))</f>
        <v/>
      </c>
      <c r="J31" s="38" t="str">
        <f>IF($C31="","",Dasar4+INDEX(Kartu!$I$6:$I$105,MATCH($C31,Kartu!$A$6:$A$105,0)))</f>
        <v/>
      </c>
      <c r="K31" s="38" t="str">
        <f>IF($C31="","",Dasar5+INDEX(Kartu!$J$6:$J$105,MATCH($C31,Kartu!$A$6:$A$105,0)))</f>
        <v/>
      </c>
      <c r="L31" s="39" t="str">
        <f t="shared" si="15"/>
        <v/>
      </c>
      <c r="M31" s="39" t="str">
        <f t="shared" si="16"/>
        <v/>
      </c>
      <c r="N31" s="39" t="str">
        <f t="shared" si="17"/>
        <v/>
      </c>
      <c r="O31" s="39" t="str">
        <f t="shared" si="18"/>
        <v/>
      </c>
      <c r="P31" s="39" t="str">
        <f t="shared" si="19"/>
        <v/>
      </c>
      <c r="Q31" s="40" t="str">
        <f t="shared" si="5"/>
        <v/>
      </c>
      <c r="R31" s="40" t="str">
        <f t="shared" si="6"/>
        <v/>
      </c>
      <c r="S31" s="40" t="str">
        <f t="shared" si="7"/>
        <v/>
      </c>
      <c r="T31" s="40" t="str">
        <f t="shared" si="8"/>
        <v/>
      </c>
      <c r="U31" s="40" t="str">
        <f t="shared" si="9"/>
        <v/>
      </c>
    </row>
    <row r="32" spans="1:21">
      <c r="A32" s="36">
        <v>27</v>
      </c>
      <c r="B32" s="36">
        <v>3</v>
      </c>
      <c r="C32" s="37"/>
      <c r="D32" s="36"/>
      <c r="E32" s="36" t="str">
        <f>IF($C32="","",INDEX(Kartu!$C$6:$C$105,MATCH($C32,Kartu!$A$6:$A$105,0)))</f>
        <v/>
      </c>
      <c r="F32" s="36" t="str">
        <f>IF($C32="","",INDEX(Kartu!$B$6:$B$105,MATCH($C32,Kartu!$A$6:$A$105,0)))</f>
        <v/>
      </c>
      <c r="G32" s="38" t="str">
        <f>IF($C32="","",Dasar1+INDEX(Kartu!$F$6:$F$105,MATCH($C32,Kartu!$A$6:$A$105,0)))</f>
        <v/>
      </c>
      <c r="H32" s="38" t="str">
        <f>IF($C32="","",Dasar2+INDEX(Kartu!$G$6:$G$105,MATCH($C32,Kartu!$A$6:$A$105,0)))</f>
        <v/>
      </c>
      <c r="I32" s="38" t="str">
        <f>IF($C32="","",Dasar3+INDEX(Kartu!$H$6:$H$105,MATCH($C32,Kartu!$A$6:$A$105,0)))</f>
        <v/>
      </c>
      <c r="J32" s="38" t="str">
        <f>IF($C32="","",Dasar4+INDEX(Kartu!$I$6:$I$105,MATCH($C32,Kartu!$A$6:$A$105,0)))</f>
        <v/>
      </c>
      <c r="K32" s="38" t="str">
        <f>IF($C32="","",Dasar5+INDEX(Kartu!$J$6:$J$105,MATCH($C32,Kartu!$A$6:$A$105,0)))</f>
        <v/>
      </c>
      <c r="L32" s="39" t="str">
        <f t="shared" si="15"/>
        <v/>
      </c>
      <c r="M32" s="39" t="str">
        <f t="shared" si="16"/>
        <v/>
      </c>
      <c r="N32" s="39" t="str">
        <f t="shared" si="17"/>
        <v/>
      </c>
      <c r="O32" s="39" t="str">
        <f t="shared" si="18"/>
        <v/>
      </c>
      <c r="P32" s="39" t="str">
        <f t="shared" si="19"/>
        <v/>
      </c>
      <c r="Q32" s="40" t="str">
        <f t="shared" si="5"/>
        <v/>
      </c>
      <c r="R32" s="40" t="str">
        <f t="shared" si="6"/>
        <v/>
      </c>
      <c r="S32" s="40" t="str">
        <f t="shared" si="7"/>
        <v/>
      </c>
      <c r="T32" s="40" t="str">
        <f t="shared" si="8"/>
        <v/>
      </c>
      <c r="U32" s="40" t="str">
        <f t="shared" si="9"/>
        <v/>
      </c>
    </row>
    <row r="33" spans="1:21">
      <c r="A33" s="36">
        <v>28</v>
      </c>
      <c r="B33" s="36">
        <v>3</v>
      </c>
      <c r="C33" s="37"/>
      <c r="D33" s="36"/>
      <c r="E33" s="36" t="str">
        <f>IF($C33="","",INDEX(Kartu!$C$6:$C$105,MATCH($C33,Kartu!$A$6:$A$105,0)))</f>
        <v/>
      </c>
      <c r="F33" s="36" t="str">
        <f>IF($C33="","",INDEX(Kartu!$B$6:$B$105,MATCH($C33,Kartu!$A$6:$A$105,0)))</f>
        <v/>
      </c>
      <c r="G33" s="38" t="str">
        <f>IF($C33="","",Dasar1+INDEX(Kartu!$F$6:$F$105,MATCH($C33,Kartu!$A$6:$A$105,0)))</f>
        <v/>
      </c>
      <c r="H33" s="38" t="str">
        <f>IF($C33="","",Dasar2+INDEX(Kartu!$G$6:$G$105,MATCH($C33,Kartu!$A$6:$A$105,0)))</f>
        <v/>
      </c>
      <c r="I33" s="38" t="str">
        <f>IF($C33="","",Dasar3+INDEX(Kartu!$H$6:$H$105,MATCH($C33,Kartu!$A$6:$A$105,0)))</f>
        <v/>
      </c>
      <c r="J33" s="38" t="str">
        <f>IF($C33="","",Dasar4+INDEX(Kartu!$I$6:$I$105,MATCH($C33,Kartu!$A$6:$A$105,0)))</f>
        <v/>
      </c>
      <c r="K33" s="38" t="str">
        <f>IF($C33="","",Dasar5+INDEX(Kartu!$J$6:$J$105,MATCH($C33,Kartu!$A$6:$A$105,0)))</f>
        <v/>
      </c>
      <c r="L33" s="39" t="str">
        <f t="shared" si="15"/>
        <v/>
      </c>
      <c r="M33" s="39" t="str">
        <f t="shared" si="16"/>
        <v/>
      </c>
      <c r="N33" s="39" t="str">
        <f t="shared" si="17"/>
        <v/>
      </c>
      <c r="O33" s="39" t="str">
        <f t="shared" si="18"/>
        <v/>
      </c>
      <c r="P33" s="39" t="str">
        <f t="shared" si="19"/>
        <v/>
      </c>
      <c r="Q33" s="40" t="str">
        <f t="shared" si="5"/>
        <v/>
      </c>
      <c r="R33" s="40" t="str">
        <f t="shared" si="6"/>
        <v/>
      </c>
      <c r="S33" s="40" t="str">
        <f t="shared" si="7"/>
        <v/>
      </c>
      <c r="T33" s="40" t="str">
        <f t="shared" si="8"/>
        <v/>
      </c>
      <c r="U33" s="40" t="str">
        <f t="shared" si="9"/>
        <v/>
      </c>
    </row>
    <row r="34" spans="1:21">
      <c r="A34" s="36">
        <v>29</v>
      </c>
      <c r="B34" s="36">
        <v>3</v>
      </c>
      <c r="C34" s="37"/>
      <c r="D34" s="36"/>
      <c r="E34" s="36" t="str">
        <f>IF($C34="","",INDEX(Kartu!$C$6:$C$105,MATCH($C34,Kartu!$A$6:$A$105,0)))</f>
        <v/>
      </c>
      <c r="F34" s="36" t="str">
        <f>IF($C34="","",INDEX(Kartu!$B$6:$B$105,MATCH($C34,Kartu!$A$6:$A$105,0)))</f>
        <v/>
      </c>
      <c r="G34" s="38" t="str">
        <f>IF($C34="","",Dasar1+INDEX(Kartu!$F$6:$F$105,MATCH($C34,Kartu!$A$6:$A$105,0)))</f>
        <v/>
      </c>
      <c r="H34" s="38" t="str">
        <f>IF($C34="","",Dasar2+INDEX(Kartu!$G$6:$G$105,MATCH($C34,Kartu!$A$6:$A$105,0)))</f>
        <v/>
      </c>
      <c r="I34" s="38" t="str">
        <f>IF($C34="","",Dasar3+INDEX(Kartu!$H$6:$H$105,MATCH($C34,Kartu!$A$6:$A$105,0)))</f>
        <v/>
      </c>
      <c r="J34" s="38" t="str">
        <f>IF($C34="","",Dasar4+INDEX(Kartu!$I$6:$I$105,MATCH($C34,Kartu!$A$6:$A$105,0)))</f>
        <v/>
      </c>
      <c r="K34" s="38" t="str">
        <f>IF($C34="","",Dasar5+INDEX(Kartu!$J$6:$J$105,MATCH($C34,Kartu!$A$6:$A$105,0)))</f>
        <v/>
      </c>
      <c r="L34" s="39" t="str">
        <f t="shared" si="15"/>
        <v/>
      </c>
      <c r="M34" s="39" t="str">
        <f t="shared" si="16"/>
        <v/>
      </c>
      <c r="N34" s="39" t="str">
        <f t="shared" si="17"/>
        <v/>
      </c>
      <c r="O34" s="39" t="str">
        <f t="shared" si="18"/>
        <v/>
      </c>
      <c r="P34" s="39" t="str">
        <f t="shared" si="19"/>
        <v/>
      </c>
      <c r="Q34" s="40" t="str">
        <f t="shared" si="5"/>
        <v/>
      </c>
      <c r="R34" s="40" t="str">
        <f t="shared" si="6"/>
        <v/>
      </c>
      <c r="S34" s="40" t="str">
        <f t="shared" si="7"/>
        <v/>
      </c>
      <c r="T34" s="40" t="str">
        <f t="shared" si="8"/>
        <v/>
      </c>
      <c r="U34" s="40" t="str">
        <f t="shared" si="9"/>
        <v/>
      </c>
    </row>
    <row r="35" spans="1:21">
      <c r="A35" s="36">
        <v>30</v>
      </c>
      <c r="B35" s="36">
        <v>3</v>
      </c>
      <c r="C35" s="37"/>
      <c r="D35" s="36"/>
      <c r="E35" s="36" t="str">
        <f>IF($C35="","",INDEX(Kartu!$C$6:$C$105,MATCH($C35,Kartu!$A$6:$A$105,0)))</f>
        <v/>
      </c>
      <c r="F35" s="36" t="str">
        <f>IF($C35="","",INDEX(Kartu!$B$6:$B$105,MATCH($C35,Kartu!$A$6:$A$105,0)))</f>
        <v/>
      </c>
      <c r="G35" s="38" t="str">
        <f>IF($C35="","",Dasar1+INDEX(Kartu!$F$6:$F$105,MATCH($C35,Kartu!$A$6:$A$105,0)))</f>
        <v/>
      </c>
      <c r="H35" s="38" t="str">
        <f>IF($C35="","",Dasar2+INDEX(Kartu!$G$6:$G$105,MATCH($C35,Kartu!$A$6:$A$105,0)))</f>
        <v/>
      </c>
      <c r="I35" s="38" t="str">
        <f>IF($C35="","",Dasar3+INDEX(Kartu!$H$6:$H$105,MATCH($C35,Kartu!$A$6:$A$105,0)))</f>
        <v/>
      </c>
      <c r="J35" s="38" t="str">
        <f>IF($C35="","",Dasar4+INDEX(Kartu!$I$6:$I$105,MATCH($C35,Kartu!$A$6:$A$105,0)))</f>
        <v/>
      </c>
      <c r="K35" s="38" t="str">
        <f>IF($C35="","",Dasar5+INDEX(Kartu!$J$6:$J$105,MATCH($C35,Kartu!$A$6:$A$105,0)))</f>
        <v/>
      </c>
      <c r="L35" s="39" t="str">
        <f t="shared" si="15"/>
        <v/>
      </c>
      <c r="M35" s="39" t="str">
        <f t="shared" si="16"/>
        <v/>
      </c>
      <c r="N35" s="39" t="str">
        <f t="shared" si="17"/>
        <v/>
      </c>
      <c r="O35" s="39" t="str">
        <f t="shared" si="18"/>
        <v/>
      </c>
      <c r="P35" s="39" t="str">
        <f t="shared" si="19"/>
        <v/>
      </c>
      <c r="Q35" s="40" t="str">
        <f t="shared" si="5"/>
        <v/>
      </c>
      <c r="R35" s="40" t="str">
        <f t="shared" si="6"/>
        <v/>
      </c>
      <c r="S35" s="40" t="str">
        <f t="shared" si="7"/>
        <v/>
      </c>
      <c r="T35" s="40" t="str">
        <f t="shared" si="8"/>
        <v/>
      </c>
      <c r="U35" s="40" t="str">
        <f t="shared" si="9"/>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
  <sheetViews>
    <sheetView tabSelected="1" zoomScaleNormal="100" workbookViewId="0">
      <pane ySplit="1" topLeftCell="A2" activePane="bottomLeft" state="frozen"/>
      <selection pane="bottomLeft" activeCell="E4" sqref="E4"/>
    </sheetView>
  </sheetViews>
  <sheetFormatPr defaultColWidth="8.7109375" defaultRowHeight="14.45"/>
  <cols>
    <col min="1" max="1" width="20" customWidth="1"/>
    <col min="2" max="2" width="10" customWidth="1"/>
    <col min="3" max="3" width="26" customWidth="1"/>
    <col min="4" max="4" width="17.140625" customWidth="1"/>
    <col min="5" max="5" width="17.28515625" customWidth="1"/>
    <col min="6" max="6" width="18.140625" customWidth="1"/>
    <col min="7" max="7" width="16.140625" customWidth="1"/>
    <col min="8" max="8" width="14.85546875" customWidth="1"/>
    <col min="9" max="9" width="18" customWidth="1"/>
    <col min="10" max="10" width="28" customWidth="1"/>
  </cols>
  <sheetData>
    <row r="1" spans="1:12">
      <c r="A1" s="41" t="s">
        <v>505</v>
      </c>
      <c r="B1" s="41" t="s">
        <v>521</v>
      </c>
      <c r="C1" s="41" t="s">
        <v>522</v>
      </c>
      <c r="D1" s="41" t="s">
        <v>503</v>
      </c>
      <c r="E1" s="41" t="s">
        <v>523</v>
      </c>
      <c r="F1" s="41" t="s">
        <v>15</v>
      </c>
      <c r="G1" s="41" t="s">
        <v>524</v>
      </c>
      <c r="H1" s="41" t="s">
        <v>17</v>
      </c>
      <c r="I1" s="41" t="s">
        <v>525</v>
      </c>
      <c r="J1" s="41" t="s">
        <v>526</v>
      </c>
      <c r="K1" t="s">
        <v>527</v>
      </c>
      <c r="L1" s="29" t="s">
        <v>528</v>
      </c>
    </row>
    <row r="2" spans="1:12">
      <c r="A2" s="54"/>
      <c r="B2" s="42" t="s">
        <v>529</v>
      </c>
      <c r="C2" s="42" t="s">
        <v>530</v>
      </c>
      <c r="D2" s="42">
        <v>1</v>
      </c>
      <c r="E2" s="42">
        <v>50</v>
      </c>
      <c r="F2" s="42">
        <v>20</v>
      </c>
      <c r="G2" s="42">
        <v>30</v>
      </c>
      <c r="H2" s="42">
        <v>0</v>
      </c>
      <c r="I2" s="42">
        <v>0</v>
      </c>
      <c r="J2" s="42"/>
      <c r="L2" s="43" t="s">
        <v>531</v>
      </c>
    </row>
    <row r="3" spans="1:12">
      <c r="B3" t="s">
        <v>532</v>
      </c>
      <c r="C3" t="s">
        <v>533</v>
      </c>
      <c r="D3">
        <v>1</v>
      </c>
      <c r="E3">
        <v>20</v>
      </c>
      <c r="F3">
        <v>30</v>
      </c>
      <c r="G3">
        <v>50</v>
      </c>
      <c r="H3">
        <v>0</v>
      </c>
      <c r="I3">
        <v>0</v>
      </c>
      <c r="K3" s="88"/>
      <c r="L3" s="43" t="s">
        <v>534</v>
      </c>
    </row>
    <row r="4" spans="1:12">
      <c r="B4" t="s">
        <v>529</v>
      </c>
      <c r="D4">
        <v>2</v>
      </c>
      <c r="K4" s="88"/>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65"/>
  <sheetViews>
    <sheetView showGridLines="0" zoomScaleNormal="100" workbookViewId="0"/>
  </sheetViews>
  <sheetFormatPr defaultColWidth="8.7109375" defaultRowHeight="14.45"/>
  <cols>
    <col min="1" max="1" width="10" customWidth="1"/>
    <col min="2" max="2" width="30" customWidth="1"/>
    <col min="3" max="3" width="40" customWidth="1"/>
  </cols>
  <sheetData>
    <row r="2" spans="1:3" ht="21">
      <c r="B2" s="12" t="s">
        <v>535</v>
      </c>
    </row>
    <row r="3" spans="1:3">
      <c r="B3" s="15" t="s">
        <v>536</v>
      </c>
    </row>
    <row r="5" spans="1:3">
      <c r="A5" s="22" t="s">
        <v>521</v>
      </c>
      <c r="B5" s="22" t="s">
        <v>537</v>
      </c>
      <c r="C5" s="22" t="s">
        <v>538</v>
      </c>
    </row>
    <row r="6" spans="1:3">
      <c r="A6" s="44" t="s">
        <v>539</v>
      </c>
      <c r="B6" s="45"/>
      <c r="C6" s="46"/>
    </row>
    <row r="7" spans="1:3">
      <c r="A7" s="44" t="s">
        <v>540</v>
      </c>
      <c r="B7" s="45"/>
      <c r="C7" s="46"/>
    </row>
    <row r="8" spans="1:3">
      <c r="A8" s="44" t="s">
        <v>541</v>
      </c>
      <c r="B8" s="45"/>
      <c r="C8" s="46"/>
    </row>
    <row r="9" spans="1:3">
      <c r="A9" s="44" t="s">
        <v>542</v>
      </c>
      <c r="B9" s="45"/>
      <c r="C9" s="46"/>
    </row>
    <row r="10" spans="1:3">
      <c r="A10" s="44" t="s">
        <v>543</v>
      </c>
      <c r="B10" s="45"/>
      <c r="C10" s="46"/>
    </row>
    <row r="11" spans="1:3">
      <c r="A11" s="44" t="s">
        <v>544</v>
      </c>
      <c r="B11" s="45"/>
      <c r="C11" s="46"/>
    </row>
    <row r="12" spans="1:3">
      <c r="A12" s="44" t="s">
        <v>545</v>
      </c>
      <c r="B12" s="45"/>
      <c r="C12" s="46"/>
    </row>
    <row r="13" spans="1:3">
      <c r="A13" s="44" t="s">
        <v>546</v>
      </c>
      <c r="B13" s="45"/>
      <c r="C13" s="46"/>
    </row>
    <row r="14" spans="1:3">
      <c r="A14" s="44" t="s">
        <v>547</v>
      </c>
      <c r="B14" s="45"/>
      <c r="C14" s="46"/>
    </row>
    <row r="15" spans="1:3">
      <c r="A15" s="44" t="s">
        <v>548</v>
      </c>
      <c r="B15" s="45"/>
      <c r="C15" s="46"/>
    </row>
    <row r="16" spans="1:3">
      <c r="A16" s="44" t="s">
        <v>549</v>
      </c>
      <c r="B16" s="45"/>
      <c r="C16" s="46"/>
    </row>
    <row r="17" spans="1:3">
      <c r="A17" s="44" t="s">
        <v>550</v>
      </c>
      <c r="B17" s="45"/>
      <c r="C17" s="46"/>
    </row>
    <row r="18" spans="1:3">
      <c r="A18" s="44" t="s">
        <v>551</v>
      </c>
      <c r="B18" s="45"/>
      <c r="C18" s="46"/>
    </row>
    <row r="19" spans="1:3">
      <c r="A19" s="44" t="s">
        <v>552</v>
      </c>
      <c r="B19" s="45"/>
      <c r="C19" s="46"/>
    </row>
    <row r="20" spans="1:3">
      <c r="A20" s="44" t="s">
        <v>553</v>
      </c>
      <c r="B20" s="45"/>
      <c r="C20" s="46"/>
    </row>
    <row r="21" spans="1:3">
      <c r="A21" s="44" t="s">
        <v>554</v>
      </c>
      <c r="B21" s="45"/>
      <c r="C21" s="46"/>
    </row>
    <row r="22" spans="1:3">
      <c r="A22" s="44" t="s">
        <v>555</v>
      </c>
      <c r="B22" s="45"/>
      <c r="C22" s="46"/>
    </row>
    <row r="23" spans="1:3">
      <c r="A23" s="44" t="s">
        <v>556</v>
      </c>
      <c r="B23" s="45"/>
      <c r="C23" s="46"/>
    </row>
    <row r="24" spans="1:3">
      <c r="A24" s="44" t="s">
        <v>557</v>
      </c>
      <c r="B24" s="45"/>
      <c r="C24" s="46"/>
    </row>
    <row r="25" spans="1:3">
      <c r="A25" s="44" t="s">
        <v>558</v>
      </c>
      <c r="B25" s="45"/>
      <c r="C25" s="46"/>
    </row>
    <row r="26" spans="1:3">
      <c r="A26" s="44" t="s">
        <v>559</v>
      </c>
      <c r="B26" s="45"/>
      <c r="C26" s="46"/>
    </row>
    <row r="27" spans="1:3">
      <c r="A27" s="44" t="s">
        <v>560</v>
      </c>
      <c r="B27" s="45"/>
      <c r="C27" s="46"/>
    </row>
    <row r="28" spans="1:3">
      <c r="A28" s="44" t="s">
        <v>561</v>
      </c>
      <c r="B28" s="45"/>
      <c r="C28" s="46"/>
    </row>
    <row r="29" spans="1:3">
      <c r="A29" s="44" t="s">
        <v>562</v>
      </c>
      <c r="B29" s="45"/>
      <c r="C29" s="46"/>
    </row>
    <row r="30" spans="1:3">
      <c r="A30" s="44" t="s">
        <v>563</v>
      </c>
      <c r="B30" s="45"/>
      <c r="C30" s="46"/>
    </row>
    <row r="31" spans="1:3">
      <c r="A31" s="44" t="s">
        <v>564</v>
      </c>
      <c r="B31" s="45"/>
      <c r="C31" s="46"/>
    </row>
    <row r="32" spans="1:3">
      <c r="A32" s="44" t="s">
        <v>565</v>
      </c>
      <c r="B32" s="45"/>
      <c r="C32" s="46"/>
    </row>
    <row r="33" spans="1:3">
      <c r="A33" s="44" t="s">
        <v>566</v>
      </c>
      <c r="B33" s="45"/>
      <c r="C33" s="46"/>
    </row>
    <row r="34" spans="1:3">
      <c r="A34" s="44" t="s">
        <v>567</v>
      </c>
      <c r="B34" s="45"/>
      <c r="C34" s="46"/>
    </row>
    <row r="35" spans="1:3">
      <c r="A35" s="44" t="s">
        <v>568</v>
      </c>
      <c r="B35" s="45"/>
      <c r="C35" s="46"/>
    </row>
    <row r="36" spans="1:3">
      <c r="A36" s="44" t="s">
        <v>569</v>
      </c>
      <c r="B36" s="45"/>
      <c r="C36" s="46"/>
    </row>
    <row r="37" spans="1:3">
      <c r="A37" s="44" t="s">
        <v>570</v>
      </c>
      <c r="B37" s="45"/>
      <c r="C37" s="46"/>
    </row>
    <row r="38" spans="1:3">
      <c r="A38" s="44" t="s">
        <v>571</v>
      </c>
      <c r="B38" s="45"/>
      <c r="C38" s="46"/>
    </row>
    <row r="39" spans="1:3">
      <c r="A39" s="44" t="s">
        <v>572</v>
      </c>
      <c r="B39" s="45"/>
      <c r="C39" s="46"/>
    </row>
    <row r="40" spans="1:3">
      <c r="A40" s="44" t="s">
        <v>573</v>
      </c>
      <c r="B40" s="45"/>
      <c r="C40" s="46"/>
    </row>
    <row r="41" spans="1:3">
      <c r="A41" s="44" t="s">
        <v>574</v>
      </c>
      <c r="B41" s="45"/>
      <c r="C41" s="46"/>
    </row>
    <row r="42" spans="1:3">
      <c r="A42" s="44" t="s">
        <v>575</v>
      </c>
      <c r="B42" s="45"/>
      <c r="C42" s="46"/>
    </row>
    <row r="43" spans="1:3">
      <c r="A43" s="44" t="s">
        <v>576</v>
      </c>
      <c r="B43" s="45"/>
      <c r="C43" s="46"/>
    </row>
    <row r="44" spans="1:3">
      <c r="A44" s="44" t="s">
        <v>577</v>
      </c>
      <c r="B44" s="45"/>
      <c r="C44" s="46"/>
    </row>
    <row r="45" spans="1:3">
      <c r="A45" s="44" t="s">
        <v>578</v>
      </c>
      <c r="B45" s="45"/>
      <c r="C45" s="46"/>
    </row>
    <row r="46" spans="1:3">
      <c r="A46" s="44" t="s">
        <v>579</v>
      </c>
      <c r="B46" s="45"/>
      <c r="C46" s="46"/>
    </row>
    <row r="47" spans="1:3">
      <c r="A47" s="44" t="s">
        <v>580</v>
      </c>
      <c r="B47" s="45"/>
      <c r="C47" s="46"/>
    </row>
    <row r="48" spans="1:3">
      <c r="A48" s="44" t="s">
        <v>581</v>
      </c>
      <c r="B48" s="45"/>
      <c r="C48" s="46"/>
    </row>
    <row r="49" spans="1:3">
      <c r="A49" s="44" t="s">
        <v>582</v>
      </c>
      <c r="B49" s="45"/>
      <c r="C49" s="46"/>
    </row>
    <row r="50" spans="1:3">
      <c r="A50" s="44" t="s">
        <v>583</v>
      </c>
      <c r="B50" s="45"/>
      <c r="C50" s="46"/>
    </row>
    <row r="51" spans="1:3">
      <c r="A51" s="44" t="s">
        <v>584</v>
      </c>
      <c r="B51" s="45"/>
      <c r="C51" s="46"/>
    </row>
    <row r="52" spans="1:3">
      <c r="A52" s="44" t="s">
        <v>585</v>
      </c>
      <c r="B52" s="45"/>
      <c r="C52" s="46"/>
    </row>
    <row r="53" spans="1:3">
      <c r="A53" s="44" t="s">
        <v>586</v>
      </c>
      <c r="B53" s="45"/>
      <c r="C53" s="46"/>
    </row>
    <row r="54" spans="1:3">
      <c r="A54" s="44" t="s">
        <v>587</v>
      </c>
      <c r="B54" s="45"/>
      <c r="C54" s="46"/>
    </row>
    <row r="55" spans="1:3">
      <c r="A55" s="44" t="s">
        <v>588</v>
      </c>
      <c r="B55" s="45"/>
      <c r="C55" s="46"/>
    </row>
    <row r="56" spans="1:3">
      <c r="A56" s="44" t="s">
        <v>589</v>
      </c>
      <c r="B56" s="45"/>
      <c r="C56" s="46"/>
    </row>
    <row r="57" spans="1:3">
      <c r="A57" s="44" t="s">
        <v>590</v>
      </c>
      <c r="B57" s="45"/>
      <c r="C57" s="46"/>
    </row>
    <row r="58" spans="1:3">
      <c r="A58" s="44" t="s">
        <v>591</v>
      </c>
      <c r="B58" s="45"/>
      <c r="C58" s="46"/>
    </row>
    <row r="59" spans="1:3">
      <c r="A59" s="44" t="s">
        <v>592</v>
      </c>
      <c r="B59" s="45"/>
      <c r="C59" s="46"/>
    </row>
    <row r="60" spans="1:3">
      <c r="A60" s="44" t="s">
        <v>593</v>
      </c>
      <c r="B60" s="45"/>
      <c r="C60" s="46"/>
    </row>
    <row r="61" spans="1:3">
      <c r="A61" s="44" t="s">
        <v>594</v>
      </c>
      <c r="B61" s="45"/>
      <c r="C61" s="46"/>
    </row>
    <row r="62" spans="1:3">
      <c r="A62" s="44" t="s">
        <v>595</v>
      </c>
      <c r="B62" s="45"/>
      <c r="C62" s="46"/>
    </row>
    <row r="63" spans="1:3">
      <c r="A63" s="44" t="s">
        <v>596</v>
      </c>
      <c r="B63" s="45"/>
      <c r="C63" s="46"/>
    </row>
    <row r="64" spans="1:3">
      <c r="A64" s="44" t="s">
        <v>597</v>
      </c>
      <c r="B64" s="45"/>
      <c r="C64" s="46"/>
    </row>
    <row r="65" spans="1:3">
      <c r="A65" s="44" t="s">
        <v>598</v>
      </c>
      <c r="B65" s="45"/>
      <c r="C65" s="46"/>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F65"/>
  <sheetViews>
    <sheetView showGridLines="0" zoomScaleNormal="100" workbookViewId="0">
      <pane xSplit="2" ySplit="5" topLeftCell="C6" activePane="bottomRight" state="frozen"/>
      <selection pane="bottomRight"/>
      <selection pane="bottomLeft" activeCell="A6" sqref="A6"/>
      <selection pane="topRight" activeCell="C1" sqref="C1"/>
    </sheetView>
  </sheetViews>
  <sheetFormatPr defaultColWidth="8.7109375" defaultRowHeight="14.45"/>
  <cols>
    <col min="1" max="1" width="11" customWidth="1"/>
    <col min="2" max="2" width="22" customWidth="1"/>
    <col min="3" max="10" width="11" customWidth="1"/>
    <col min="11" max="11" width="22" customWidth="1"/>
    <col min="12" max="18" width="11" customWidth="1"/>
    <col min="19" max="19" width="22" customWidth="1"/>
    <col min="20" max="26" width="11" customWidth="1"/>
    <col min="27" max="27" width="22" customWidth="1"/>
    <col min="28" max="84" width="11" customWidth="1"/>
  </cols>
  <sheetData>
    <row r="2" spans="1:84" ht="21">
      <c r="B2" s="12" t="s">
        <v>599</v>
      </c>
    </row>
    <row r="3" spans="1:84">
      <c r="B3" s="15" t="s">
        <v>600</v>
      </c>
    </row>
    <row r="5" spans="1:84" ht="39.6">
      <c r="A5" s="22" t="s">
        <v>521</v>
      </c>
      <c r="B5" s="22" t="s">
        <v>522</v>
      </c>
      <c r="C5" s="22" t="s">
        <v>601</v>
      </c>
      <c r="D5" s="22" t="s">
        <v>602</v>
      </c>
      <c r="E5" s="22" t="s">
        <v>603</v>
      </c>
      <c r="F5" s="22" t="s">
        <v>604</v>
      </c>
      <c r="G5" s="22" t="s">
        <v>605</v>
      </c>
      <c r="H5" s="22" t="s">
        <v>606</v>
      </c>
      <c r="I5" s="22" t="s">
        <v>607</v>
      </c>
      <c r="J5" s="22" t="s">
        <v>608</v>
      </c>
      <c r="K5" s="22" t="s">
        <v>609</v>
      </c>
      <c r="L5" s="22" t="s">
        <v>610</v>
      </c>
      <c r="M5" s="22" t="s">
        <v>611</v>
      </c>
      <c r="N5" s="22" t="s">
        <v>612</v>
      </c>
      <c r="O5" s="22" t="s">
        <v>613</v>
      </c>
      <c r="P5" s="22" t="s">
        <v>614</v>
      </c>
      <c r="Q5" s="22" t="s">
        <v>615</v>
      </c>
      <c r="R5" s="22" t="s">
        <v>616</v>
      </c>
      <c r="S5" s="22" t="s">
        <v>617</v>
      </c>
      <c r="T5" s="22" t="s">
        <v>618</v>
      </c>
      <c r="U5" s="22" t="s">
        <v>619</v>
      </c>
      <c r="V5" s="22" t="s">
        <v>620</v>
      </c>
      <c r="W5" s="22" t="s">
        <v>621</v>
      </c>
      <c r="X5" s="22" t="s">
        <v>622</v>
      </c>
      <c r="Y5" s="22" t="s">
        <v>623</v>
      </c>
      <c r="Z5" s="22" t="s">
        <v>624</v>
      </c>
      <c r="AA5" s="22" t="s">
        <v>625</v>
      </c>
      <c r="AB5" s="22" t="s">
        <v>626</v>
      </c>
      <c r="AC5" s="22" t="s">
        <v>627</v>
      </c>
      <c r="AD5" s="22" t="s">
        <v>628</v>
      </c>
      <c r="AE5" s="22" t="s">
        <v>629</v>
      </c>
      <c r="AF5" s="22" t="s">
        <v>630</v>
      </c>
      <c r="AG5" s="22" t="s">
        <v>631</v>
      </c>
      <c r="AH5" s="22" t="s">
        <v>632</v>
      </c>
      <c r="AI5" s="22" t="s">
        <v>633</v>
      </c>
      <c r="AJ5" s="22" t="s">
        <v>634</v>
      </c>
      <c r="AK5" s="22" t="s">
        <v>635</v>
      </c>
      <c r="AL5" s="22" t="s">
        <v>636</v>
      </c>
      <c r="AM5" s="22" t="s">
        <v>637</v>
      </c>
      <c r="AN5" s="22" t="s">
        <v>638</v>
      </c>
      <c r="AO5" s="22" t="s">
        <v>639</v>
      </c>
      <c r="AP5" s="22" t="s">
        <v>640</v>
      </c>
      <c r="AQ5" s="22" t="s">
        <v>641</v>
      </c>
      <c r="AR5" s="22" t="s">
        <v>642</v>
      </c>
      <c r="AS5" s="22" t="s">
        <v>643</v>
      </c>
      <c r="AT5" s="22" t="s">
        <v>644</v>
      </c>
      <c r="AU5" s="22" t="s">
        <v>645</v>
      </c>
      <c r="AV5" s="22" t="s">
        <v>646</v>
      </c>
      <c r="AW5" s="22" t="s">
        <v>647</v>
      </c>
      <c r="AX5" s="22" t="s">
        <v>648</v>
      </c>
      <c r="AY5" s="22" t="s">
        <v>649</v>
      </c>
      <c r="AZ5" s="22" t="s">
        <v>650</v>
      </c>
      <c r="BA5" s="22" t="s">
        <v>651</v>
      </c>
      <c r="BB5" s="22" t="s">
        <v>652</v>
      </c>
      <c r="BC5" s="22" t="s">
        <v>653</v>
      </c>
      <c r="BD5" s="22" t="s">
        <v>654</v>
      </c>
      <c r="BE5" s="22" t="s">
        <v>655</v>
      </c>
      <c r="BF5" s="22" t="s">
        <v>656</v>
      </c>
      <c r="BG5" s="22" t="s">
        <v>657</v>
      </c>
      <c r="BH5" s="22" t="s">
        <v>658</v>
      </c>
      <c r="BI5" s="22" t="s">
        <v>659</v>
      </c>
      <c r="BJ5" s="22" t="s">
        <v>660</v>
      </c>
      <c r="BK5" s="22" t="s">
        <v>661</v>
      </c>
      <c r="BL5" s="22" t="s">
        <v>662</v>
      </c>
      <c r="BM5" s="22" t="s">
        <v>663</v>
      </c>
      <c r="BN5" s="22" t="s">
        <v>664</v>
      </c>
      <c r="BO5" s="22" t="s">
        <v>665</v>
      </c>
      <c r="BP5" s="22" t="s">
        <v>666</v>
      </c>
      <c r="BQ5" s="22" t="s">
        <v>667</v>
      </c>
      <c r="BR5" s="22" t="s">
        <v>668</v>
      </c>
      <c r="BS5" s="22" t="s">
        <v>669</v>
      </c>
      <c r="BT5" s="22" t="s">
        <v>670</v>
      </c>
      <c r="BU5" s="22" t="s">
        <v>671</v>
      </c>
      <c r="BV5" s="22" t="s">
        <v>672</v>
      </c>
      <c r="BW5" s="22" t="s">
        <v>673</v>
      </c>
      <c r="BX5" s="22" t="s">
        <v>674</v>
      </c>
      <c r="BY5" s="22" t="s">
        <v>12</v>
      </c>
      <c r="BZ5" s="22" t="s">
        <v>675</v>
      </c>
      <c r="CA5" s="22" t="s">
        <v>676</v>
      </c>
      <c r="CB5" s="22" t="s">
        <v>677</v>
      </c>
      <c r="CC5" s="22" t="s">
        <v>678</v>
      </c>
      <c r="CD5" s="22" t="s">
        <v>679</v>
      </c>
      <c r="CE5" s="22" t="s">
        <v>680</v>
      </c>
      <c r="CF5" s="22" t="s">
        <v>681</v>
      </c>
    </row>
    <row r="6" spans="1:84">
      <c r="A6" s="36" t="str">
        <f>Peserta!A6</f>
        <v>P01</v>
      </c>
      <c r="B6" s="36" t="str">
        <f>IF($C6&gt;0,INDEX(Input!$C:$C,$C6)&amp;"",IF(Peserta!B6="",$A6,Peserta!B6))</f>
        <v/>
      </c>
      <c r="C6" s="36">
        <f>SUMPRODUCT(MAX((_Bantu!$A$2:$A$2001=$A6)*ROW(_Bantu!$A$2:$A$2001)))</f>
        <v>4</v>
      </c>
      <c r="D6" s="36">
        <f>SUMPRODUCT(MAX((_Bantu!$C$2:$C$2001=$A6&amp;"|1")*ROW(_Bantu!$C$2:$C$2001)))</f>
        <v>2</v>
      </c>
      <c r="E6" s="47">
        <f>IF($D6=0,"",INDEX(_Bantu!D:D,$D6))</f>
        <v>0.5</v>
      </c>
      <c r="F6" s="47">
        <f>IF($D6=0,"",INDEX(_Bantu!E:E,$D6))</f>
        <v>0.2</v>
      </c>
      <c r="G6" s="47">
        <f>IF($D6=0,"",INDEX(_Bantu!F:F,$D6))</f>
        <v>0.3</v>
      </c>
      <c r="H6" s="47">
        <f>IF($D6=0,"",INDEX(_Bantu!G:G,$D6))</f>
        <v>0</v>
      </c>
      <c r="I6" s="47">
        <f>IF($D6=0,"",INDEX(_Bantu!H:H,$D6))</f>
        <v>0</v>
      </c>
      <c r="J6" s="47">
        <f t="shared" ref="J6:J37" si="0">IF($D6=0,"",SUM(E6:I6))</f>
        <v>1</v>
      </c>
      <c r="K6" s="36" t="str">
        <f t="shared" ref="K6:K37" si="1">IF($D6=0,"Belum isi",IF(ABS(J6-1)&gt;0.0001,"Total "&amp;ROUND(J6*100,0)&amp;"% (harus 100%)",IF(MAX(E6:I6)&gt;BatasAset+0.0001,"Melebihi batas per aset",IF(MIN(E6:I6)&lt;0,"Ada nilai negatif","OK"))))</f>
        <v>OK</v>
      </c>
      <c r="L6" s="36">
        <f>SUMPRODUCT(MAX((_Bantu!$C$2:$C$2001=$A6&amp;"|2")*ROW(_Bantu!$C$2:$C$2001)))</f>
        <v>4</v>
      </c>
      <c r="M6" s="47">
        <f>IF($L6=0,"",INDEX(_Bantu!D:D,$L6))</f>
        <v>0</v>
      </c>
      <c r="N6" s="47">
        <f>IF($L6=0,"",INDEX(_Bantu!E:E,$L6))</f>
        <v>0</v>
      </c>
      <c r="O6" s="47">
        <f>IF($L6=0,"",INDEX(_Bantu!F:F,$L6))</f>
        <v>0</v>
      </c>
      <c r="P6" s="47">
        <f>IF($L6=0,"",INDEX(_Bantu!G:G,$L6))</f>
        <v>0</v>
      </c>
      <c r="Q6" s="47">
        <f>IF($L6=0,"",INDEX(_Bantu!H:H,$L6))</f>
        <v>0</v>
      </c>
      <c r="R6" s="47">
        <f t="shared" ref="R6:R37" si="2">IF($L6=0,"",SUM(M6:Q6))</f>
        <v>0</v>
      </c>
      <c r="S6" s="36" t="str">
        <f t="shared" ref="S6:S37" si="3">IF($L6=0,"Belum isi",IF(ABS(R6-1)&gt;0.0001,"Total "&amp;ROUND(R6*100,0)&amp;"% (harus 100%)",IF(MAX(M6:Q6)&gt;BatasAset+0.0001,"Melebihi batas per aset",IF(MIN(M6:Q6)&lt;0,"Ada nilai negatif","OK"))))</f>
        <v>Total 0% (harus 100%)</v>
      </c>
      <c r="T6" s="36">
        <f>SUMPRODUCT(MAX((_Bantu!$C$2:$C$2001=$A6&amp;"|3")*ROW(_Bantu!$C$2:$C$2001)))</f>
        <v>0</v>
      </c>
      <c r="U6" s="47" t="str">
        <f>IF($T6=0,"",INDEX(_Bantu!D:D,$T6))</f>
        <v/>
      </c>
      <c r="V6" s="47" t="str">
        <f>IF($T6=0,"",INDEX(_Bantu!E:E,$T6))</f>
        <v/>
      </c>
      <c r="W6" s="47" t="str">
        <f>IF($T6=0,"",INDEX(_Bantu!F:F,$T6))</f>
        <v/>
      </c>
      <c r="X6" s="47" t="str">
        <f>IF($T6=0,"",INDEX(_Bantu!G:G,$T6))</f>
        <v/>
      </c>
      <c r="Y6" s="47" t="str">
        <f>IF($T6=0,"",INDEX(_Bantu!H:H,$T6))</f>
        <v/>
      </c>
      <c r="Z6" s="47" t="str">
        <f t="shared" ref="Z6:Z37" si="4">IF($T6=0,"",SUM(U6:Y6))</f>
        <v/>
      </c>
      <c r="AA6" s="36" t="str">
        <f t="shared" ref="AA6:AA37" si="5">IF($T6=0,"Belum isi",IF(ABS(Z6-1)&gt;0.0001,"Total "&amp;ROUND(Z6*100,0)&amp;"% (harus 100%)",IF(MAX(U6:Y6)&gt;BatasAset+0.0001,"Melebihi batas per aset",IF(MIN(U6:Y6)&lt;0,"Ada nilai negatif","OK"))))</f>
        <v>Belum isi</v>
      </c>
      <c r="AB6" s="47">
        <f t="shared" ref="AB6:AB37" si="6">IF($K6="OK",E6,0)</f>
        <v>0.5</v>
      </c>
      <c r="AC6" s="47">
        <f t="shared" ref="AC6:AC37" si="7">IF($K6="OK",F6,0)</f>
        <v>0.2</v>
      </c>
      <c r="AD6" s="47">
        <f t="shared" ref="AD6:AD37" si="8">IF($K6="OK",G6,0)</f>
        <v>0.3</v>
      </c>
      <c r="AE6" s="47">
        <f t="shared" ref="AE6:AE37" si="9">IF($K6="OK",H6,0)</f>
        <v>0</v>
      </c>
      <c r="AF6" s="47">
        <f t="shared" ref="AF6:AF37" si="10">IF($K6="OK",I6,0)</f>
        <v>0</v>
      </c>
      <c r="AG6" s="47">
        <f t="shared" ref="AG6:AG37" si="11">IF($S6="OK",M6,AB6)</f>
        <v>0.5</v>
      </c>
      <c r="AH6" s="47">
        <f t="shared" ref="AH6:AH37" si="12">IF($S6="OK",N6,AC6)</f>
        <v>0.2</v>
      </c>
      <c r="AI6" s="47">
        <f t="shared" ref="AI6:AI37" si="13">IF($S6="OK",O6,AD6)</f>
        <v>0.3</v>
      </c>
      <c r="AJ6" s="47">
        <f t="shared" ref="AJ6:AJ37" si="14">IF($S6="OK",P6,AE6)</f>
        <v>0</v>
      </c>
      <c r="AK6" s="47">
        <f t="shared" ref="AK6:AK37" si="15">IF($S6="OK",Q6,AF6)</f>
        <v>0</v>
      </c>
      <c r="AL6" s="47">
        <f t="shared" ref="AL6:AL37" si="16">IF($AA6="OK",U6,AG6)</f>
        <v>0.5</v>
      </c>
      <c r="AM6" s="47">
        <f t="shared" ref="AM6:AM37" si="17">IF($AA6="OK",V6,AH6)</f>
        <v>0.2</v>
      </c>
      <c r="AN6" s="47">
        <f t="shared" ref="AN6:AN37" si="18">IF($AA6="OK",W6,AI6)</f>
        <v>0.3</v>
      </c>
      <c r="AO6" s="47">
        <f t="shared" ref="AO6:AO37" si="19">IF($AA6="OK",X6,AJ6)</f>
        <v>0</v>
      </c>
      <c r="AP6" s="47">
        <f t="shared" ref="AP6:AP37" si="20">IF($AA6="OK",Y6,AK6)</f>
        <v>0</v>
      </c>
      <c r="AQ6" s="36" t="b">
        <f t="shared" ref="AQ6:AQ37" si="21">$K6="OK"</f>
        <v>1</v>
      </c>
      <c r="AR6" s="48">
        <f t="shared" ref="AR6:AR37" si="22">IF($AQ6,Modal,"")</f>
        <v>100000000</v>
      </c>
      <c r="AS6" s="48">
        <f>IF(OR(NOT($AQ6),Log_Putaran!$C$6=""),"",$AR6*SUMPRODUCT($AB6:$AF6,Log_Putaran!$L$6:$P$6))</f>
        <v>100604999.99999999</v>
      </c>
      <c r="AT6" s="48">
        <f>IF(OR(NOT($AQ6),Log_Putaran!$C$7=""),"",$AR6*SUMPRODUCT($AB6:$AF6,Log_Putaran!$L$7:$P$7))</f>
        <v>101052942.49999999</v>
      </c>
      <c r="AU6" s="48" t="str">
        <f>IF(OR(NOT($AQ6),Log_Putaran!$C$8=""),"",$AR6*SUMPRODUCT($AB6:$AF6,Log_Putaran!$L$8:$P$8))</f>
        <v/>
      </c>
      <c r="AV6" s="48" t="str">
        <f>IF(OR(NOT($AQ6),Log_Putaran!$C$9=""),"",$AR6*SUMPRODUCT($AB6:$AF6,Log_Putaran!$L$9:$P$9))</f>
        <v/>
      </c>
      <c r="AW6" s="48" t="str">
        <f>IF(OR(NOT($AQ6),Log_Putaran!$C$10=""),"",$AR6*SUMPRODUCT($AB6:$AF6,Log_Putaran!$L$10:$P$10))</f>
        <v/>
      </c>
      <c r="AX6" s="48" t="str">
        <f>IF(OR(NOT($AQ6),Log_Putaran!$C$11=""),"",$AR6*SUMPRODUCT($AB6:$AF6,Log_Putaran!$L$11:$P$11))</f>
        <v/>
      </c>
      <c r="AY6" s="48" t="str">
        <f>IF(OR(NOT($AQ6),Log_Putaran!$C$12=""),"",$AR6*SUMPRODUCT($AB6:$AF6,Log_Putaran!$L$12:$P$12))</f>
        <v/>
      </c>
      <c r="AZ6" s="48" t="str">
        <f>IF(OR(NOT($AQ6),Log_Putaran!$C$13=""),"",$AR6*SUMPRODUCT($AB6:$AF6,Log_Putaran!$L$13:$P$13))</f>
        <v/>
      </c>
      <c r="BA6" s="48" t="str">
        <f>IF(OR(NOT($AQ6),Log_Putaran!$C$14=""),"",$AR6*SUMPRODUCT($AB6:$AF6,Log_Putaran!$L$14:$P$14))</f>
        <v/>
      </c>
      <c r="BB6" s="48" t="str">
        <f>IF(OR(NOT($AQ6),Log_Putaran!$C$15=""),"",$AR6*SUMPRODUCT($AB6:$AF6,Log_Putaran!$L$15:$P$15))</f>
        <v/>
      </c>
      <c r="BC6" s="48" t="str">
        <f>IF(OR(NOT($AQ6),Log_Putaran!$C$16=""),"",$BB6*SUMPRODUCT($AG6:$AK6,Log_Putaran!$L$16:$P$16))</f>
        <v/>
      </c>
      <c r="BD6" s="48" t="str">
        <f>IF(OR(NOT($AQ6),Log_Putaran!$C$17=""),"",$BB6*SUMPRODUCT($AG6:$AK6,Log_Putaran!$L$17:$P$17))</f>
        <v/>
      </c>
      <c r="BE6" s="48" t="str">
        <f>IF(OR(NOT($AQ6),Log_Putaran!$C$18=""),"",$BB6*SUMPRODUCT($AG6:$AK6,Log_Putaran!$L$18:$P$18))</f>
        <v/>
      </c>
      <c r="BF6" s="48" t="str">
        <f>IF(OR(NOT($AQ6),Log_Putaran!$C$19=""),"",$BB6*SUMPRODUCT($AG6:$AK6,Log_Putaran!$L$19:$P$19))</f>
        <v/>
      </c>
      <c r="BG6" s="48" t="str">
        <f>IF(OR(NOT($AQ6),Log_Putaran!$C$20=""),"",$BB6*SUMPRODUCT($AG6:$AK6,Log_Putaran!$L$20:$P$20))</f>
        <v/>
      </c>
      <c r="BH6" s="48" t="str">
        <f>IF(OR(NOT($AQ6),Log_Putaran!$C$21=""),"",$BB6*SUMPRODUCT($AG6:$AK6,Log_Putaran!$L$21:$P$21))</f>
        <v/>
      </c>
      <c r="BI6" s="48" t="str">
        <f>IF(OR(NOT($AQ6),Log_Putaran!$C$22=""),"",$BB6*SUMPRODUCT($AG6:$AK6,Log_Putaran!$L$22:$P$22))</f>
        <v/>
      </c>
      <c r="BJ6" s="48" t="str">
        <f>IF(OR(NOT($AQ6),Log_Putaran!$C$23=""),"",$BB6*SUMPRODUCT($AG6:$AK6,Log_Putaran!$L$23:$P$23))</f>
        <v/>
      </c>
      <c r="BK6" s="48" t="str">
        <f>IF(OR(NOT($AQ6),Log_Putaran!$C$24=""),"",$BB6*SUMPRODUCT($AG6:$AK6,Log_Putaran!$L$24:$P$24))</f>
        <v/>
      </c>
      <c r="BL6" s="48" t="str">
        <f>IF(OR(NOT($AQ6),Log_Putaran!$C$25=""),"",$BB6*SUMPRODUCT($AG6:$AK6,Log_Putaran!$L$25:$P$25))</f>
        <v/>
      </c>
      <c r="BM6" s="48" t="str">
        <f>IF(OR(NOT($AQ6),Log_Putaran!$C$26=""),"",$BL6*SUMPRODUCT($AL6:$AP6,Log_Putaran!$L$26:$P$26))</f>
        <v/>
      </c>
      <c r="BN6" s="48" t="str">
        <f>IF(OR(NOT($AQ6),Log_Putaran!$C$27=""),"",$BL6*SUMPRODUCT($AL6:$AP6,Log_Putaran!$L$27:$P$27))</f>
        <v/>
      </c>
      <c r="BO6" s="48" t="str">
        <f>IF(OR(NOT($AQ6),Log_Putaran!$C$28=""),"",$BL6*SUMPRODUCT($AL6:$AP6,Log_Putaran!$L$28:$P$28))</f>
        <v/>
      </c>
      <c r="BP6" s="48" t="str">
        <f>IF(OR(NOT($AQ6),Log_Putaran!$C$29=""),"",$BL6*SUMPRODUCT($AL6:$AP6,Log_Putaran!$L$29:$P$29))</f>
        <v/>
      </c>
      <c r="BQ6" s="48" t="str">
        <f>IF(OR(NOT($AQ6),Log_Putaran!$C$30=""),"",$BL6*SUMPRODUCT($AL6:$AP6,Log_Putaran!$L$30:$P$30))</f>
        <v/>
      </c>
      <c r="BR6" s="48" t="str">
        <f>IF(OR(NOT($AQ6),Log_Putaran!$C$31=""),"",$BL6*SUMPRODUCT($AL6:$AP6,Log_Putaran!$L$31:$P$31))</f>
        <v/>
      </c>
      <c r="BS6" s="48" t="str">
        <f>IF(OR(NOT($AQ6),Log_Putaran!$C$32=""),"",$BL6*SUMPRODUCT($AL6:$AP6,Log_Putaran!$L$32:$P$32))</f>
        <v/>
      </c>
      <c r="BT6" s="48" t="str">
        <f>IF(OR(NOT($AQ6),Log_Putaran!$C$33=""),"",$BL6*SUMPRODUCT($AL6:$AP6,Log_Putaran!$L$33:$P$33))</f>
        <v/>
      </c>
      <c r="BU6" s="48" t="str">
        <f>IF(OR(NOT($AQ6),Log_Putaran!$C$34=""),"",$BL6*SUMPRODUCT($AL6:$AP6,Log_Putaran!$L$34:$P$34))</f>
        <v/>
      </c>
      <c r="BV6" s="48" t="str">
        <f>IF(OR(NOT($AQ6),Log_Putaran!$C$35=""),"",$BL6*SUMPRODUCT($AL6:$AP6,Log_Putaran!$L$35:$P$35))</f>
        <v/>
      </c>
      <c r="BW6" s="48">
        <f t="shared" ref="BW6:BW37" si="23">IF($AQ6,INDEX($AR6:$BV6,1,PutaranKini+1),"")</f>
        <v>101052942.49999999</v>
      </c>
      <c r="BX6" s="48">
        <f t="shared" ref="BX6:BX37" si="24">IF($AQ6,INDEX($AR6:$BV6,1,MAX(PutaranKini,1)),"")</f>
        <v>100604999.99999999</v>
      </c>
      <c r="BY6" s="38">
        <f t="shared" ref="BY6:BY37" si="25">IF($AQ6,BW6/Modal-1,"")</f>
        <v>1.052942499999987E-2</v>
      </c>
      <c r="BZ6" s="49">
        <f>IF($AQ6,MAX(_DD!$B6:$AE6),"")</f>
        <v>0</v>
      </c>
      <c r="CA6" s="36">
        <f t="shared" ref="CA6:CA37" si="26">IF($AQ6,BW6-ROW()/10000,-1E+99)</f>
        <v>101052942.49939999</v>
      </c>
      <c r="CB6" s="36">
        <f t="shared" ref="CB6:CB37" si="27">IF($AQ6,SUMPRODUCT(--($CA$6:$CA$65&gt;CA6))+1,"")</f>
        <v>1</v>
      </c>
      <c r="CC6" s="36">
        <f t="shared" ref="CC6:CC37" si="28">IF($AQ6,BX6-ROW()/10000,-1E+99)</f>
        <v>100604999.99939999</v>
      </c>
      <c r="CD6" s="36">
        <f t="shared" ref="CD6:CD37" si="29">IF($AQ6,SUMPRODUCT(--($CC$6:$CC$65&gt;CC6))+1,"")</f>
        <v>1</v>
      </c>
      <c r="CE6" s="36">
        <f t="shared" ref="CE6:CE37" si="30">IF($AQ6,CD6-CB6,"")</f>
        <v>0</v>
      </c>
      <c r="CF6" s="36">
        <f t="shared" ref="CF6:CF37" si="31">IF(AND($AQ6,N(BZ6)&lt;=BatasDD),BW6-ROW()/10000,-1E+99)</f>
        <v>101052942.49939999</v>
      </c>
    </row>
    <row r="7" spans="1:84">
      <c r="A7" s="36" t="str">
        <f>Peserta!A7</f>
        <v>P02</v>
      </c>
      <c r="B7" s="36" t="str">
        <f>IF($C7&gt;0,INDEX(Input!$C:$C,$C7)&amp;"",IF(Peserta!B7="",$A7,Peserta!B7))</f>
        <v>pandu</v>
      </c>
      <c r="C7" s="36">
        <f>SUMPRODUCT(MAX((_Bantu!$A$2:$A$2001=$A7)*ROW(_Bantu!$A$2:$A$2001)))</f>
        <v>3</v>
      </c>
      <c r="D7" s="36">
        <f>SUMPRODUCT(MAX((_Bantu!$C$2:$C$2001=$A7&amp;"|1")*ROW(_Bantu!$C$2:$C$2001)))</f>
        <v>3</v>
      </c>
      <c r="E7" s="47">
        <f>IF($D7=0,"",INDEX(_Bantu!D:D,$D7))</f>
        <v>0.2</v>
      </c>
      <c r="F7" s="47">
        <f>IF($D7=0,"",INDEX(_Bantu!E:E,$D7))</f>
        <v>0.3</v>
      </c>
      <c r="G7" s="47">
        <f>IF($D7=0,"",INDEX(_Bantu!F:F,$D7))</f>
        <v>0.5</v>
      </c>
      <c r="H7" s="47">
        <f>IF($D7=0,"",INDEX(_Bantu!G:G,$D7))</f>
        <v>0</v>
      </c>
      <c r="I7" s="47">
        <f>IF($D7=0,"",INDEX(_Bantu!H:H,$D7))</f>
        <v>0</v>
      </c>
      <c r="J7" s="47">
        <f t="shared" si="0"/>
        <v>1</v>
      </c>
      <c r="K7" s="36" t="str">
        <f t="shared" si="1"/>
        <v>OK</v>
      </c>
      <c r="L7" s="36">
        <f>SUMPRODUCT(MAX((_Bantu!$C$2:$C$2001=$A7&amp;"|2")*ROW(_Bantu!$C$2:$C$2001)))</f>
        <v>0</v>
      </c>
      <c r="M7" s="47" t="str">
        <f>IF($L7=0,"",INDEX(_Bantu!D:D,$L7))</f>
        <v/>
      </c>
      <c r="N7" s="47" t="str">
        <f>IF($L7=0,"",INDEX(_Bantu!E:E,$L7))</f>
        <v/>
      </c>
      <c r="O7" s="47" t="str">
        <f>IF($L7=0,"",INDEX(_Bantu!F:F,$L7))</f>
        <v/>
      </c>
      <c r="P7" s="47" t="str">
        <f>IF($L7=0,"",INDEX(_Bantu!G:G,$L7))</f>
        <v/>
      </c>
      <c r="Q7" s="47" t="str">
        <f>IF($L7=0,"",INDEX(_Bantu!H:H,$L7))</f>
        <v/>
      </c>
      <c r="R7" s="47" t="str">
        <f t="shared" si="2"/>
        <v/>
      </c>
      <c r="S7" s="36" t="str">
        <f t="shared" si="3"/>
        <v>Belum isi</v>
      </c>
      <c r="T7" s="36">
        <f>SUMPRODUCT(MAX((_Bantu!$C$2:$C$2001=$A7&amp;"|3")*ROW(_Bantu!$C$2:$C$2001)))</f>
        <v>0</v>
      </c>
      <c r="U7" s="47" t="str">
        <f>IF($T7=0,"",INDEX(_Bantu!D:D,$T7))</f>
        <v/>
      </c>
      <c r="V7" s="47" t="str">
        <f>IF($T7=0,"",INDEX(_Bantu!E:E,$T7))</f>
        <v/>
      </c>
      <c r="W7" s="47" t="str">
        <f>IF($T7=0,"",INDEX(_Bantu!F:F,$T7))</f>
        <v/>
      </c>
      <c r="X7" s="47" t="str">
        <f>IF($T7=0,"",INDEX(_Bantu!G:G,$T7))</f>
        <v/>
      </c>
      <c r="Y7" s="47" t="str">
        <f>IF($T7=0,"",INDEX(_Bantu!H:H,$T7))</f>
        <v/>
      </c>
      <c r="Z7" s="47" t="str">
        <f t="shared" si="4"/>
        <v/>
      </c>
      <c r="AA7" s="36" t="str">
        <f t="shared" si="5"/>
        <v>Belum isi</v>
      </c>
      <c r="AB7" s="47">
        <f t="shared" si="6"/>
        <v>0.2</v>
      </c>
      <c r="AC7" s="47">
        <f t="shared" si="7"/>
        <v>0.3</v>
      </c>
      <c r="AD7" s="47">
        <f t="shared" si="8"/>
        <v>0.5</v>
      </c>
      <c r="AE7" s="47">
        <f t="shared" si="9"/>
        <v>0</v>
      </c>
      <c r="AF7" s="47">
        <f t="shared" si="10"/>
        <v>0</v>
      </c>
      <c r="AG7" s="47">
        <f t="shared" si="11"/>
        <v>0.2</v>
      </c>
      <c r="AH7" s="47">
        <f t="shared" si="12"/>
        <v>0.3</v>
      </c>
      <c r="AI7" s="47">
        <f t="shared" si="13"/>
        <v>0.5</v>
      </c>
      <c r="AJ7" s="47">
        <f t="shared" si="14"/>
        <v>0</v>
      </c>
      <c r="AK7" s="47">
        <f t="shared" si="15"/>
        <v>0</v>
      </c>
      <c r="AL7" s="47">
        <f t="shared" si="16"/>
        <v>0.2</v>
      </c>
      <c r="AM7" s="47">
        <f t="shared" si="17"/>
        <v>0.3</v>
      </c>
      <c r="AN7" s="47">
        <f t="shared" si="18"/>
        <v>0.5</v>
      </c>
      <c r="AO7" s="47">
        <f t="shared" si="19"/>
        <v>0</v>
      </c>
      <c r="AP7" s="47">
        <f t="shared" si="20"/>
        <v>0</v>
      </c>
      <c r="AQ7" s="36" t="b">
        <f t="shared" si="21"/>
        <v>1</v>
      </c>
      <c r="AR7" s="48">
        <f t="shared" si="22"/>
        <v>100000000</v>
      </c>
      <c r="AS7" s="48">
        <f>IF(OR(NOT($AQ7),Log_Putaran!$C$6=""),"",$AR7*SUMPRODUCT($AB7:$AF7,Log_Putaran!$L$6:$P$6))</f>
        <v>100000000</v>
      </c>
      <c r="AT7" s="48">
        <f>IF(OR(NOT($AQ7),Log_Putaran!$C$7=""),"",$AR7*SUMPRODUCT($AB7:$AF7,Log_Putaran!$L$7:$P$7))</f>
        <v>99748175</v>
      </c>
      <c r="AU7" s="48" t="str">
        <f>IF(OR(NOT($AQ7),Log_Putaran!$C$8=""),"",$AR7*SUMPRODUCT($AB7:$AF7,Log_Putaran!$L$8:$P$8))</f>
        <v/>
      </c>
      <c r="AV7" s="48" t="str">
        <f>IF(OR(NOT($AQ7),Log_Putaran!$C$9=""),"",$AR7*SUMPRODUCT($AB7:$AF7,Log_Putaran!$L$9:$P$9))</f>
        <v/>
      </c>
      <c r="AW7" s="48" t="str">
        <f>IF(OR(NOT($AQ7),Log_Putaran!$C$10=""),"",$AR7*SUMPRODUCT($AB7:$AF7,Log_Putaran!$L$10:$P$10))</f>
        <v/>
      </c>
      <c r="AX7" s="48" t="str">
        <f>IF(OR(NOT($AQ7),Log_Putaran!$C$11=""),"",$AR7*SUMPRODUCT($AB7:$AF7,Log_Putaran!$L$11:$P$11))</f>
        <v/>
      </c>
      <c r="AY7" s="48" t="str">
        <f>IF(OR(NOT($AQ7),Log_Putaran!$C$12=""),"",$AR7*SUMPRODUCT($AB7:$AF7,Log_Putaran!$L$12:$P$12))</f>
        <v/>
      </c>
      <c r="AZ7" s="48" t="str">
        <f>IF(OR(NOT($AQ7),Log_Putaran!$C$13=""),"",$AR7*SUMPRODUCT($AB7:$AF7,Log_Putaran!$L$13:$P$13))</f>
        <v/>
      </c>
      <c r="BA7" s="48" t="str">
        <f>IF(OR(NOT($AQ7),Log_Putaran!$C$14=""),"",$AR7*SUMPRODUCT($AB7:$AF7,Log_Putaran!$L$14:$P$14))</f>
        <v/>
      </c>
      <c r="BB7" s="48" t="str">
        <f>IF(OR(NOT($AQ7),Log_Putaran!$C$15=""),"",$AR7*SUMPRODUCT($AB7:$AF7,Log_Putaran!$L$15:$P$15))</f>
        <v/>
      </c>
      <c r="BC7" s="48" t="str">
        <f>IF(OR(NOT($AQ7),Log_Putaran!$C$16=""),"",$BB7*SUMPRODUCT($AG7:$AK7,Log_Putaran!$L$16:$P$16))</f>
        <v/>
      </c>
      <c r="BD7" s="48" t="str">
        <f>IF(OR(NOT($AQ7),Log_Putaran!$C$17=""),"",$BB7*SUMPRODUCT($AG7:$AK7,Log_Putaran!$L$17:$P$17))</f>
        <v/>
      </c>
      <c r="BE7" s="48" t="str">
        <f>IF(OR(NOT($AQ7),Log_Putaran!$C$18=""),"",$BB7*SUMPRODUCT($AG7:$AK7,Log_Putaran!$L$18:$P$18))</f>
        <v/>
      </c>
      <c r="BF7" s="48" t="str">
        <f>IF(OR(NOT($AQ7),Log_Putaran!$C$19=""),"",$BB7*SUMPRODUCT($AG7:$AK7,Log_Putaran!$L$19:$P$19))</f>
        <v/>
      </c>
      <c r="BG7" s="48" t="str">
        <f>IF(OR(NOT($AQ7),Log_Putaran!$C$20=""),"",$BB7*SUMPRODUCT($AG7:$AK7,Log_Putaran!$L$20:$P$20))</f>
        <v/>
      </c>
      <c r="BH7" s="48" t="str">
        <f>IF(OR(NOT($AQ7),Log_Putaran!$C$21=""),"",$BB7*SUMPRODUCT($AG7:$AK7,Log_Putaran!$L$21:$P$21))</f>
        <v/>
      </c>
      <c r="BI7" s="48" t="str">
        <f>IF(OR(NOT($AQ7),Log_Putaran!$C$22=""),"",$BB7*SUMPRODUCT($AG7:$AK7,Log_Putaran!$L$22:$P$22))</f>
        <v/>
      </c>
      <c r="BJ7" s="48" t="str">
        <f>IF(OR(NOT($AQ7),Log_Putaran!$C$23=""),"",$BB7*SUMPRODUCT($AG7:$AK7,Log_Putaran!$L$23:$P$23))</f>
        <v/>
      </c>
      <c r="BK7" s="48" t="str">
        <f>IF(OR(NOT($AQ7),Log_Putaran!$C$24=""),"",$BB7*SUMPRODUCT($AG7:$AK7,Log_Putaran!$L$24:$P$24))</f>
        <v/>
      </c>
      <c r="BL7" s="48" t="str">
        <f>IF(OR(NOT($AQ7),Log_Putaran!$C$25=""),"",$BB7*SUMPRODUCT($AG7:$AK7,Log_Putaran!$L$25:$P$25))</f>
        <v/>
      </c>
      <c r="BM7" s="48" t="str">
        <f>IF(OR(NOT($AQ7),Log_Putaran!$C$26=""),"",$BL7*SUMPRODUCT($AL7:$AP7,Log_Putaran!$L$26:$P$26))</f>
        <v/>
      </c>
      <c r="BN7" s="48" t="str">
        <f>IF(OR(NOT($AQ7),Log_Putaran!$C$27=""),"",$BL7*SUMPRODUCT($AL7:$AP7,Log_Putaran!$L$27:$P$27))</f>
        <v/>
      </c>
      <c r="BO7" s="48" t="str">
        <f>IF(OR(NOT($AQ7),Log_Putaran!$C$28=""),"",$BL7*SUMPRODUCT($AL7:$AP7,Log_Putaran!$L$28:$P$28))</f>
        <v/>
      </c>
      <c r="BP7" s="48" t="str">
        <f>IF(OR(NOT($AQ7),Log_Putaran!$C$29=""),"",$BL7*SUMPRODUCT($AL7:$AP7,Log_Putaran!$L$29:$P$29))</f>
        <v/>
      </c>
      <c r="BQ7" s="48" t="str">
        <f>IF(OR(NOT($AQ7),Log_Putaran!$C$30=""),"",$BL7*SUMPRODUCT($AL7:$AP7,Log_Putaran!$L$30:$P$30))</f>
        <v/>
      </c>
      <c r="BR7" s="48" t="str">
        <f>IF(OR(NOT($AQ7),Log_Putaran!$C$31=""),"",$BL7*SUMPRODUCT($AL7:$AP7,Log_Putaran!$L$31:$P$31))</f>
        <v/>
      </c>
      <c r="BS7" s="48" t="str">
        <f>IF(OR(NOT($AQ7),Log_Putaran!$C$32=""),"",$BL7*SUMPRODUCT($AL7:$AP7,Log_Putaran!$L$32:$P$32))</f>
        <v/>
      </c>
      <c r="BT7" s="48" t="str">
        <f>IF(OR(NOT($AQ7),Log_Putaran!$C$33=""),"",$BL7*SUMPRODUCT($AL7:$AP7,Log_Putaran!$L$33:$P$33))</f>
        <v/>
      </c>
      <c r="BU7" s="48" t="str">
        <f>IF(OR(NOT($AQ7),Log_Putaran!$C$34=""),"",$BL7*SUMPRODUCT($AL7:$AP7,Log_Putaran!$L$34:$P$34))</f>
        <v/>
      </c>
      <c r="BV7" s="48" t="str">
        <f>IF(OR(NOT($AQ7),Log_Putaran!$C$35=""),"",$BL7*SUMPRODUCT($AL7:$AP7,Log_Putaran!$L$35:$P$35))</f>
        <v/>
      </c>
      <c r="BW7" s="48">
        <f t="shared" si="23"/>
        <v>99748175</v>
      </c>
      <c r="BX7" s="48">
        <f t="shared" si="24"/>
        <v>100000000</v>
      </c>
      <c r="BY7" s="38">
        <f t="shared" si="25"/>
        <v>-2.5182500000000552E-3</v>
      </c>
      <c r="BZ7" s="49">
        <f>IF($AQ7,MAX(_DD!$B7:$AE7),"")</f>
        <v>2.5182500000000552E-3</v>
      </c>
      <c r="CA7" s="36">
        <f t="shared" si="26"/>
        <v>99748174.999300003</v>
      </c>
      <c r="CB7" s="36">
        <f t="shared" si="27"/>
        <v>2</v>
      </c>
      <c r="CC7" s="36">
        <f t="shared" si="28"/>
        <v>99999999.999300003</v>
      </c>
      <c r="CD7" s="36">
        <f t="shared" si="29"/>
        <v>2</v>
      </c>
      <c r="CE7" s="36">
        <f t="shared" si="30"/>
        <v>0</v>
      </c>
      <c r="CF7" s="36">
        <f t="shared" si="31"/>
        <v>99748174.999300003</v>
      </c>
    </row>
    <row r="8" spans="1:84">
      <c r="A8" s="36" t="str">
        <f>Peserta!A8</f>
        <v>P03</v>
      </c>
      <c r="B8" s="36" t="str">
        <f>IF($C8&gt;0,INDEX(Input!$C:$C,$C8)&amp;"",IF(Peserta!B8="",$A8,Peserta!B8))</f>
        <v>P03</v>
      </c>
      <c r="C8" s="36">
        <f>SUMPRODUCT(MAX((_Bantu!$A$2:$A$2001=$A8)*ROW(_Bantu!$A$2:$A$2001)))</f>
        <v>0</v>
      </c>
      <c r="D8" s="36">
        <f>SUMPRODUCT(MAX((_Bantu!$C$2:$C$2001=$A8&amp;"|1")*ROW(_Bantu!$C$2:$C$2001)))</f>
        <v>0</v>
      </c>
      <c r="E8" s="47" t="str">
        <f>IF($D8=0,"",INDEX(_Bantu!D:D,$D8))</f>
        <v/>
      </c>
      <c r="F8" s="47" t="str">
        <f>IF($D8=0,"",INDEX(_Bantu!E:E,$D8))</f>
        <v/>
      </c>
      <c r="G8" s="47" t="str">
        <f>IF($D8=0,"",INDEX(_Bantu!F:F,$D8))</f>
        <v/>
      </c>
      <c r="H8" s="47" t="str">
        <f>IF($D8=0,"",INDEX(_Bantu!G:G,$D8))</f>
        <v/>
      </c>
      <c r="I8" s="47" t="str">
        <f>IF($D8=0,"",INDEX(_Bantu!H:H,$D8))</f>
        <v/>
      </c>
      <c r="J8" s="47" t="str">
        <f t="shared" si="0"/>
        <v/>
      </c>
      <c r="K8" s="36" t="str">
        <f t="shared" si="1"/>
        <v>Belum isi</v>
      </c>
      <c r="L8" s="36">
        <f>SUMPRODUCT(MAX((_Bantu!$C$2:$C$2001=$A8&amp;"|2")*ROW(_Bantu!$C$2:$C$2001)))</f>
        <v>0</v>
      </c>
      <c r="M8" s="47" t="str">
        <f>IF($L8=0,"",INDEX(_Bantu!D:D,$L8))</f>
        <v/>
      </c>
      <c r="N8" s="47" t="str">
        <f>IF($L8=0,"",INDEX(_Bantu!E:E,$L8))</f>
        <v/>
      </c>
      <c r="O8" s="47" t="str">
        <f>IF($L8=0,"",INDEX(_Bantu!F:F,$L8))</f>
        <v/>
      </c>
      <c r="P8" s="47" t="str">
        <f>IF($L8=0,"",INDEX(_Bantu!G:G,$L8))</f>
        <v/>
      </c>
      <c r="Q8" s="47" t="str">
        <f>IF($L8=0,"",INDEX(_Bantu!H:H,$L8))</f>
        <v/>
      </c>
      <c r="R8" s="47" t="str">
        <f t="shared" si="2"/>
        <v/>
      </c>
      <c r="S8" s="36" t="str">
        <f t="shared" si="3"/>
        <v>Belum isi</v>
      </c>
      <c r="T8" s="36">
        <f>SUMPRODUCT(MAX((_Bantu!$C$2:$C$2001=$A8&amp;"|3")*ROW(_Bantu!$C$2:$C$2001)))</f>
        <v>0</v>
      </c>
      <c r="U8" s="47" t="str">
        <f>IF($T8=0,"",INDEX(_Bantu!D:D,$T8))</f>
        <v/>
      </c>
      <c r="V8" s="47" t="str">
        <f>IF($T8=0,"",INDEX(_Bantu!E:E,$T8))</f>
        <v/>
      </c>
      <c r="W8" s="47" t="str">
        <f>IF($T8=0,"",INDEX(_Bantu!F:F,$T8))</f>
        <v/>
      </c>
      <c r="X8" s="47" t="str">
        <f>IF($T8=0,"",INDEX(_Bantu!G:G,$T8))</f>
        <v/>
      </c>
      <c r="Y8" s="47" t="str">
        <f>IF($T8=0,"",INDEX(_Bantu!H:H,$T8))</f>
        <v/>
      </c>
      <c r="Z8" s="47" t="str">
        <f t="shared" si="4"/>
        <v/>
      </c>
      <c r="AA8" s="36" t="str">
        <f t="shared" si="5"/>
        <v>Belum isi</v>
      </c>
      <c r="AB8" s="47">
        <f t="shared" si="6"/>
        <v>0</v>
      </c>
      <c r="AC8" s="47">
        <f t="shared" si="7"/>
        <v>0</v>
      </c>
      <c r="AD8" s="47">
        <f t="shared" si="8"/>
        <v>0</v>
      </c>
      <c r="AE8" s="47">
        <f t="shared" si="9"/>
        <v>0</v>
      </c>
      <c r="AF8" s="47">
        <f t="shared" si="10"/>
        <v>0</v>
      </c>
      <c r="AG8" s="47">
        <f t="shared" si="11"/>
        <v>0</v>
      </c>
      <c r="AH8" s="47">
        <f t="shared" si="12"/>
        <v>0</v>
      </c>
      <c r="AI8" s="47">
        <f t="shared" si="13"/>
        <v>0</v>
      </c>
      <c r="AJ8" s="47">
        <f t="shared" si="14"/>
        <v>0</v>
      </c>
      <c r="AK8" s="47">
        <f t="shared" si="15"/>
        <v>0</v>
      </c>
      <c r="AL8" s="47">
        <f t="shared" si="16"/>
        <v>0</v>
      </c>
      <c r="AM8" s="47">
        <f t="shared" si="17"/>
        <v>0</v>
      </c>
      <c r="AN8" s="47">
        <f t="shared" si="18"/>
        <v>0</v>
      </c>
      <c r="AO8" s="47">
        <f t="shared" si="19"/>
        <v>0</v>
      </c>
      <c r="AP8" s="47">
        <f t="shared" si="20"/>
        <v>0</v>
      </c>
      <c r="AQ8" s="36" t="b">
        <f t="shared" si="21"/>
        <v>0</v>
      </c>
      <c r="AR8" s="48" t="str">
        <f t="shared" si="22"/>
        <v/>
      </c>
      <c r="AS8" s="48" t="str">
        <f>IF(OR(NOT($AQ8),Log_Putaran!$C$6=""),"",$AR8*SUMPRODUCT($AB8:$AF8,Log_Putaran!$L$6:$P$6))</f>
        <v/>
      </c>
      <c r="AT8" s="48" t="str">
        <f>IF(OR(NOT($AQ8),Log_Putaran!$C$7=""),"",$AR8*SUMPRODUCT($AB8:$AF8,Log_Putaran!$L$7:$P$7))</f>
        <v/>
      </c>
      <c r="AU8" s="48" t="str">
        <f>IF(OR(NOT($AQ8),Log_Putaran!$C$8=""),"",$AR8*SUMPRODUCT($AB8:$AF8,Log_Putaran!$L$8:$P$8))</f>
        <v/>
      </c>
      <c r="AV8" s="48" t="str">
        <f>IF(OR(NOT($AQ8),Log_Putaran!$C$9=""),"",$AR8*SUMPRODUCT($AB8:$AF8,Log_Putaran!$L$9:$P$9))</f>
        <v/>
      </c>
      <c r="AW8" s="48" t="str">
        <f>IF(OR(NOT($AQ8),Log_Putaran!$C$10=""),"",$AR8*SUMPRODUCT($AB8:$AF8,Log_Putaran!$L$10:$P$10))</f>
        <v/>
      </c>
      <c r="AX8" s="48" t="str">
        <f>IF(OR(NOT($AQ8),Log_Putaran!$C$11=""),"",$AR8*SUMPRODUCT($AB8:$AF8,Log_Putaran!$L$11:$P$11))</f>
        <v/>
      </c>
      <c r="AY8" s="48" t="str">
        <f>IF(OR(NOT($AQ8),Log_Putaran!$C$12=""),"",$AR8*SUMPRODUCT($AB8:$AF8,Log_Putaran!$L$12:$P$12))</f>
        <v/>
      </c>
      <c r="AZ8" s="48" t="str">
        <f>IF(OR(NOT($AQ8),Log_Putaran!$C$13=""),"",$AR8*SUMPRODUCT($AB8:$AF8,Log_Putaran!$L$13:$P$13))</f>
        <v/>
      </c>
      <c r="BA8" s="48" t="str">
        <f>IF(OR(NOT($AQ8),Log_Putaran!$C$14=""),"",$AR8*SUMPRODUCT($AB8:$AF8,Log_Putaran!$L$14:$P$14))</f>
        <v/>
      </c>
      <c r="BB8" s="48" t="str">
        <f>IF(OR(NOT($AQ8),Log_Putaran!$C$15=""),"",$AR8*SUMPRODUCT($AB8:$AF8,Log_Putaran!$L$15:$P$15))</f>
        <v/>
      </c>
      <c r="BC8" s="48" t="str">
        <f>IF(OR(NOT($AQ8),Log_Putaran!$C$16=""),"",$BB8*SUMPRODUCT($AG8:$AK8,Log_Putaran!$L$16:$P$16))</f>
        <v/>
      </c>
      <c r="BD8" s="48" t="str">
        <f>IF(OR(NOT($AQ8),Log_Putaran!$C$17=""),"",$BB8*SUMPRODUCT($AG8:$AK8,Log_Putaran!$L$17:$P$17))</f>
        <v/>
      </c>
      <c r="BE8" s="48" t="str">
        <f>IF(OR(NOT($AQ8),Log_Putaran!$C$18=""),"",$BB8*SUMPRODUCT($AG8:$AK8,Log_Putaran!$L$18:$P$18))</f>
        <v/>
      </c>
      <c r="BF8" s="48" t="str">
        <f>IF(OR(NOT($AQ8),Log_Putaran!$C$19=""),"",$BB8*SUMPRODUCT($AG8:$AK8,Log_Putaran!$L$19:$P$19))</f>
        <v/>
      </c>
      <c r="BG8" s="48" t="str">
        <f>IF(OR(NOT($AQ8),Log_Putaran!$C$20=""),"",$BB8*SUMPRODUCT($AG8:$AK8,Log_Putaran!$L$20:$P$20))</f>
        <v/>
      </c>
      <c r="BH8" s="48" t="str">
        <f>IF(OR(NOT($AQ8),Log_Putaran!$C$21=""),"",$BB8*SUMPRODUCT($AG8:$AK8,Log_Putaran!$L$21:$P$21))</f>
        <v/>
      </c>
      <c r="BI8" s="48" t="str">
        <f>IF(OR(NOT($AQ8),Log_Putaran!$C$22=""),"",$BB8*SUMPRODUCT($AG8:$AK8,Log_Putaran!$L$22:$P$22))</f>
        <v/>
      </c>
      <c r="BJ8" s="48" t="str">
        <f>IF(OR(NOT($AQ8),Log_Putaran!$C$23=""),"",$BB8*SUMPRODUCT($AG8:$AK8,Log_Putaran!$L$23:$P$23))</f>
        <v/>
      </c>
      <c r="BK8" s="48" t="str">
        <f>IF(OR(NOT($AQ8),Log_Putaran!$C$24=""),"",$BB8*SUMPRODUCT($AG8:$AK8,Log_Putaran!$L$24:$P$24))</f>
        <v/>
      </c>
      <c r="BL8" s="48" t="str">
        <f>IF(OR(NOT($AQ8),Log_Putaran!$C$25=""),"",$BB8*SUMPRODUCT($AG8:$AK8,Log_Putaran!$L$25:$P$25))</f>
        <v/>
      </c>
      <c r="BM8" s="48" t="str">
        <f>IF(OR(NOT($AQ8),Log_Putaran!$C$26=""),"",$BL8*SUMPRODUCT($AL8:$AP8,Log_Putaran!$L$26:$P$26))</f>
        <v/>
      </c>
      <c r="BN8" s="48" t="str">
        <f>IF(OR(NOT($AQ8),Log_Putaran!$C$27=""),"",$BL8*SUMPRODUCT($AL8:$AP8,Log_Putaran!$L$27:$P$27))</f>
        <v/>
      </c>
      <c r="BO8" s="48" t="str">
        <f>IF(OR(NOT($AQ8),Log_Putaran!$C$28=""),"",$BL8*SUMPRODUCT($AL8:$AP8,Log_Putaran!$L$28:$P$28))</f>
        <v/>
      </c>
      <c r="BP8" s="48" t="str">
        <f>IF(OR(NOT($AQ8),Log_Putaran!$C$29=""),"",$BL8*SUMPRODUCT($AL8:$AP8,Log_Putaran!$L$29:$P$29))</f>
        <v/>
      </c>
      <c r="BQ8" s="48" t="str">
        <f>IF(OR(NOT($AQ8),Log_Putaran!$C$30=""),"",$BL8*SUMPRODUCT($AL8:$AP8,Log_Putaran!$L$30:$P$30))</f>
        <v/>
      </c>
      <c r="BR8" s="48" t="str">
        <f>IF(OR(NOT($AQ8),Log_Putaran!$C$31=""),"",$BL8*SUMPRODUCT($AL8:$AP8,Log_Putaran!$L$31:$P$31))</f>
        <v/>
      </c>
      <c r="BS8" s="48" t="str">
        <f>IF(OR(NOT($AQ8),Log_Putaran!$C$32=""),"",$BL8*SUMPRODUCT($AL8:$AP8,Log_Putaran!$L$32:$P$32))</f>
        <v/>
      </c>
      <c r="BT8" s="48" t="str">
        <f>IF(OR(NOT($AQ8),Log_Putaran!$C$33=""),"",$BL8*SUMPRODUCT($AL8:$AP8,Log_Putaran!$L$33:$P$33))</f>
        <v/>
      </c>
      <c r="BU8" s="48" t="str">
        <f>IF(OR(NOT($AQ8),Log_Putaran!$C$34=""),"",$BL8*SUMPRODUCT($AL8:$AP8,Log_Putaran!$L$34:$P$34))</f>
        <v/>
      </c>
      <c r="BV8" s="48" t="str">
        <f>IF(OR(NOT($AQ8),Log_Putaran!$C$35=""),"",$BL8*SUMPRODUCT($AL8:$AP8,Log_Putaran!$L$35:$P$35))</f>
        <v/>
      </c>
      <c r="BW8" s="48" t="str">
        <f t="shared" si="23"/>
        <v/>
      </c>
      <c r="BX8" s="48" t="str">
        <f t="shared" si="24"/>
        <v/>
      </c>
      <c r="BY8" s="38" t="str">
        <f t="shared" si="25"/>
        <v/>
      </c>
      <c r="BZ8" s="49" t="str">
        <f>IF($AQ8,MAX(_DD!$B8:$AE8),"")</f>
        <v/>
      </c>
      <c r="CA8" s="36">
        <f t="shared" si="26"/>
        <v>-9.9999999999999997E+98</v>
      </c>
      <c r="CB8" s="36" t="str">
        <f t="shared" si="27"/>
        <v/>
      </c>
      <c r="CC8" s="36">
        <f t="shared" si="28"/>
        <v>-9.9999999999999997E+98</v>
      </c>
      <c r="CD8" s="36" t="str">
        <f t="shared" si="29"/>
        <v/>
      </c>
      <c r="CE8" s="36" t="str">
        <f t="shared" si="30"/>
        <v/>
      </c>
      <c r="CF8" s="36">
        <f t="shared" si="31"/>
        <v>-9.9999999999999997E+98</v>
      </c>
    </row>
    <row r="9" spans="1:84">
      <c r="A9" s="36" t="str">
        <f>Peserta!A9</f>
        <v>P04</v>
      </c>
      <c r="B9" s="36" t="str">
        <f>IF($C9&gt;0,INDEX(Input!$C:$C,$C9)&amp;"",IF(Peserta!B9="",$A9,Peserta!B9))</f>
        <v>P04</v>
      </c>
      <c r="C9" s="36">
        <f>SUMPRODUCT(MAX((_Bantu!$A$2:$A$2001=$A9)*ROW(_Bantu!$A$2:$A$2001)))</f>
        <v>0</v>
      </c>
      <c r="D9" s="36">
        <f>SUMPRODUCT(MAX((_Bantu!$C$2:$C$2001=$A9&amp;"|1")*ROW(_Bantu!$C$2:$C$2001)))</f>
        <v>0</v>
      </c>
      <c r="E9" s="47" t="str">
        <f>IF($D9=0,"",INDEX(_Bantu!D:D,$D9))</f>
        <v/>
      </c>
      <c r="F9" s="47" t="str">
        <f>IF($D9=0,"",INDEX(_Bantu!E:E,$D9))</f>
        <v/>
      </c>
      <c r="G9" s="47" t="str">
        <f>IF($D9=0,"",INDEX(_Bantu!F:F,$D9))</f>
        <v/>
      </c>
      <c r="H9" s="47" t="str">
        <f>IF($D9=0,"",INDEX(_Bantu!G:G,$D9))</f>
        <v/>
      </c>
      <c r="I9" s="47" t="str">
        <f>IF($D9=0,"",INDEX(_Bantu!H:H,$D9))</f>
        <v/>
      </c>
      <c r="J9" s="47" t="str">
        <f t="shared" si="0"/>
        <v/>
      </c>
      <c r="K9" s="36" t="str">
        <f t="shared" si="1"/>
        <v>Belum isi</v>
      </c>
      <c r="L9" s="36">
        <f>SUMPRODUCT(MAX((_Bantu!$C$2:$C$2001=$A9&amp;"|2")*ROW(_Bantu!$C$2:$C$2001)))</f>
        <v>0</v>
      </c>
      <c r="M9" s="47" t="str">
        <f>IF($L9=0,"",INDEX(_Bantu!D:D,$L9))</f>
        <v/>
      </c>
      <c r="N9" s="47" t="str">
        <f>IF($L9=0,"",INDEX(_Bantu!E:E,$L9))</f>
        <v/>
      </c>
      <c r="O9" s="47" t="str">
        <f>IF($L9=0,"",INDEX(_Bantu!F:F,$L9))</f>
        <v/>
      </c>
      <c r="P9" s="47" t="str">
        <f>IF($L9=0,"",INDEX(_Bantu!G:G,$L9))</f>
        <v/>
      </c>
      <c r="Q9" s="47" t="str">
        <f>IF($L9=0,"",INDEX(_Bantu!H:H,$L9))</f>
        <v/>
      </c>
      <c r="R9" s="47" t="str">
        <f t="shared" si="2"/>
        <v/>
      </c>
      <c r="S9" s="36" t="str">
        <f t="shared" si="3"/>
        <v>Belum isi</v>
      </c>
      <c r="T9" s="36">
        <f>SUMPRODUCT(MAX((_Bantu!$C$2:$C$2001=$A9&amp;"|3")*ROW(_Bantu!$C$2:$C$2001)))</f>
        <v>0</v>
      </c>
      <c r="U9" s="47" t="str">
        <f>IF($T9=0,"",INDEX(_Bantu!D:D,$T9))</f>
        <v/>
      </c>
      <c r="V9" s="47" t="str">
        <f>IF($T9=0,"",INDEX(_Bantu!E:E,$T9))</f>
        <v/>
      </c>
      <c r="W9" s="47" t="str">
        <f>IF($T9=0,"",INDEX(_Bantu!F:F,$T9))</f>
        <v/>
      </c>
      <c r="X9" s="47" t="str">
        <f>IF($T9=0,"",INDEX(_Bantu!G:G,$T9))</f>
        <v/>
      </c>
      <c r="Y9" s="47" t="str">
        <f>IF($T9=0,"",INDEX(_Bantu!H:H,$T9))</f>
        <v/>
      </c>
      <c r="Z9" s="47" t="str">
        <f t="shared" si="4"/>
        <v/>
      </c>
      <c r="AA9" s="36" t="str">
        <f t="shared" si="5"/>
        <v>Belum isi</v>
      </c>
      <c r="AB9" s="47">
        <f t="shared" si="6"/>
        <v>0</v>
      </c>
      <c r="AC9" s="47">
        <f t="shared" si="7"/>
        <v>0</v>
      </c>
      <c r="AD9" s="47">
        <f t="shared" si="8"/>
        <v>0</v>
      </c>
      <c r="AE9" s="47">
        <f t="shared" si="9"/>
        <v>0</v>
      </c>
      <c r="AF9" s="47">
        <f t="shared" si="10"/>
        <v>0</v>
      </c>
      <c r="AG9" s="47">
        <f t="shared" si="11"/>
        <v>0</v>
      </c>
      <c r="AH9" s="47">
        <f t="shared" si="12"/>
        <v>0</v>
      </c>
      <c r="AI9" s="47">
        <f t="shared" si="13"/>
        <v>0</v>
      </c>
      <c r="AJ9" s="47">
        <f t="shared" si="14"/>
        <v>0</v>
      </c>
      <c r="AK9" s="47">
        <f t="shared" si="15"/>
        <v>0</v>
      </c>
      <c r="AL9" s="47">
        <f t="shared" si="16"/>
        <v>0</v>
      </c>
      <c r="AM9" s="47">
        <f t="shared" si="17"/>
        <v>0</v>
      </c>
      <c r="AN9" s="47">
        <f t="shared" si="18"/>
        <v>0</v>
      </c>
      <c r="AO9" s="47">
        <f t="shared" si="19"/>
        <v>0</v>
      </c>
      <c r="AP9" s="47">
        <f t="shared" si="20"/>
        <v>0</v>
      </c>
      <c r="AQ9" s="36" t="b">
        <f t="shared" si="21"/>
        <v>0</v>
      </c>
      <c r="AR9" s="48" t="str">
        <f t="shared" si="22"/>
        <v/>
      </c>
      <c r="AS9" s="48" t="str">
        <f>IF(OR(NOT($AQ9),Log_Putaran!$C$6=""),"",$AR9*SUMPRODUCT($AB9:$AF9,Log_Putaran!$L$6:$P$6))</f>
        <v/>
      </c>
      <c r="AT9" s="48" t="str">
        <f>IF(OR(NOT($AQ9),Log_Putaran!$C$7=""),"",$AR9*SUMPRODUCT($AB9:$AF9,Log_Putaran!$L$7:$P$7))</f>
        <v/>
      </c>
      <c r="AU9" s="48" t="str">
        <f>IF(OR(NOT($AQ9),Log_Putaran!$C$8=""),"",$AR9*SUMPRODUCT($AB9:$AF9,Log_Putaran!$L$8:$P$8))</f>
        <v/>
      </c>
      <c r="AV9" s="48" t="str">
        <f>IF(OR(NOT($AQ9),Log_Putaran!$C$9=""),"",$AR9*SUMPRODUCT($AB9:$AF9,Log_Putaran!$L$9:$P$9))</f>
        <v/>
      </c>
      <c r="AW9" s="48" t="str">
        <f>IF(OR(NOT($AQ9),Log_Putaran!$C$10=""),"",$AR9*SUMPRODUCT($AB9:$AF9,Log_Putaran!$L$10:$P$10))</f>
        <v/>
      </c>
      <c r="AX9" s="48" t="str">
        <f>IF(OR(NOT($AQ9),Log_Putaran!$C$11=""),"",$AR9*SUMPRODUCT($AB9:$AF9,Log_Putaran!$L$11:$P$11))</f>
        <v/>
      </c>
      <c r="AY9" s="48" t="str">
        <f>IF(OR(NOT($AQ9),Log_Putaran!$C$12=""),"",$AR9*SUMPRODUCT($AB9:$AF9,Log_Putaran!$L$12:$P$12))</f>
        <v/>
      </c>
      <c r="AZ9" s="48" t="str">
        <f>IF(OR(NOT($AQ9),Log_Putaran!$C$13=""),"",$AR9*SUMPRODUCT($AB9:$AF9,Log_Putaran!$L$13:$P$13))</f>
        <v/>
      </c>
      <c r="BA9" s="48" t="str">
        <f>IF(OR(NOT($AQ9),Log_Putaran!$C$14=""),"",$AR9*SUMPRODUCT($AB9:$AF9,Log_Putaran!$L$14:$P$14))</f>
        <v/>
      </c>
      <c r="BB9" s="48" t="str">
        <f>IF(OR(NOT($AQ9),Log_Putaran!$C$15=""),"",$AR9*SUMPRODUCT($AB9:$AF9,Log_Putaran!$L$15:$P$15))</f>
        <v/>
      </c>
      <c r="BC9" s="48" t="str">
        <f>IF(OR(NOT($AQ9),Log_Putaran!$C$16=""),"",$BB9*SUMPRODUCT($AG9:$AK9,Log_Putaran!$L$16:$P$16))</f>
        <v/>
      </c>
      <c r="BD9" s="48" t="str">
        <f>IF(OR(NOT($AQ9),Log_Putaran!$C$17=""),"",$BB9*SUMPRODUCT($AG9:$AK9,Log_Putaran!$L$17:$P$17))</f>
        <v/>
      </c>
      <c r="BE9" s="48" t="str">
        <f>IF(OR(NOT($AQ9),Log_Putaran!$C$18=""),"",$BB9*SUMPRODUCT($AG9:$AK9,Log_Putaran!$L$18:$P$18))</f>
        <v/>
      </c>
      <c r="BF9" s="48" t="str">
        <f>IF(OR(NOT($AQ9),Log_Putaran!$C$19=""),"",$BB9*SUMPRODUCT($AG9:$AK9,Log_Putaran!$L$19:$P$19))</f>
        <v/>
      </c>
      <c r="BG9" s="48" t="str">
        <f>IF(OR(NOT($AQ9),Log_Putaran!$C$20=""),"",$BB9*SUMPRODUCT($AG9:$AK9,Log_Putaran!$L$20:$P$20))</f>
        <v/>
      </c>
      <c r="BH9" s="48" t="str">
        <f>IF(OR(NOT($AQ9),Log_Putaran!$C$21=""),"",$BB9*SUMPRODUCT($AG9:$AK9,Log_Putaran!$L$21:$P$21))</f>
        <v/>
      </c>
      <c r="BI9" s="48" t="str">
        <f>IF(OR(NOT($AQ9),Log_Putaran!$C$22=""),"",$BB9*SUMPRODUCT($AG9:$AK9,Log_Putaran!$L$22:$P$22))</f>
        <v/>
      </c>
      <c r="BJ9" s="48" t="str">
        <f>IF(OR(NOT($AQ9),Log_Putaran!$C$23=""),"",$BB9*SUMPRODUCT($AG9:$AK9,Log_Putaran!$L$23:$P$23))</f>
        <v/>
      </c>
      <c r="BK9" s="48" t="str">
        <f>IF(OR(NOT($AQ9),Log_Putaran!$C$24=""),"",$BB9*SUMPRODUCT($AG9:$AK9,Log_Putaran!$L$24:$P$24))</f>
        <v/>
      </c>
      <c r="BL9" s="48" t="str">
        <f>IF(OR(NOT($AQ9),Log_Putaran!$C$25=""),"",$BB9*SUMPRODUCT($AG9:$AK9,Log_Putaran!$L$25:$P$25))</f>
        <v/>
      </c>
      <c r="BM9" s="48" t="str">
        <f>IF(OR(NOT($AQ9),Log_Putaran!$C$26=""),"",$BL9*SUMPRODUCT($AL9:$AP9,Log_Putaran!$L$26:$P$26))</f>
        <v/>
      </c>
      <c r="BN9" s="48" t="str">
        <f>IF(OR(NOT($AQ9),Log_Putaran!$C$27=""),"",$BL9*SUMPRODUCT($AL9:$AP9,Log_Putaran!$L$27:$P$27))</f>
        <v/>
      </c>
      <c r="BO9" s="48" t="str">
        <f>IF(OR(NOT($AQ9),Log_Putaran!$C$28=""),"",$BL9*SUMPRODUCT($AL9:$AP9,Log_Putaran!$L$28:$P$28))</f>
        <v/>
      </c>
      <c r="BP9" s="48" t="str">
        <f>IF(OR(NOT($AQ9),Log_Putaran!$C$29=""),"",$BL9*SUMPRODUCT($AL9:$AP9,Log_Putaran!$L$29:$P$29))</f>
        <v/>
      </c>
      <c r="BQ9" s="48" t="str">
        <f>IF(OR(NOT($AQ9),Log_Putaran!$C$30=""),"",$BL9*SUMPRODUCT($AL9:$AP9,Log_Putaran!$L$30:$P$30))</f>
        <v/>
      </c>
      <c r="BR9" s="48" t="str">
        <f>IF(OR(NOT($AQ9),Log_Putaran!$C$31=""),"",$BL9*SUMPRODUCT($AL9:$AP9,Log_Putaran!$L$31:$P$31))</f>
        <v/>
      </c>
      <c r="BS9" s="48" t="str">
        <f>IF(OR(NOT($AQ9),Log_Putaran!$C$32=""),"",$BL9*SUMPRODUCT($AL9:$AP9,Log_Putaran!$L$32:$P$32))</f>
        <v/>
      </c>
      <c r="BT9" s="48" t="str">
        <f>IF(OR(NOT($AQ9),Log_Putaran!$C$33=""),"",$BL9*SUMPRODUCT($AL9:$AP9,Log_Putaran!$L$33:$P$33))</f>
        <v/>
      </c>
      <c r="BU9" s="48" t="str">
        <f>IF(OR(NOT($AQ9),Log_Putaran!$C$34=""),"",$BL9*SUMPRODUCT($AL9:$AP9,Log_Putaran!$L$34:$P$34))</f>
        <v/>
      </c>
      <c r="BV9" s="48" t="str">
        <f>IF(OR(NOT($AQ9),Log_Putaran!$C$35=""),"",$BL9*SUMPRODUCT($AL9:$AP9,Log_Putaran!$L$35:$P$35))</f>
        <v/>
      </c>
      <c r="BW9" s="48" t="str">
        <f t="shared" si="23"/>
        <v/>
      </c>
      <c r="BX9" s="48" t="str">
        <f t="shared" si="24"/>
        <v/>
      </c>
      <c r="BY9" s="38" t="str">
        <f t="shared" si="25"/>
        <v/>
      </c>
      <c r="BZ9" s="49" t="str">
        <f>IF($AQ9,MAX(_DD!$B9:$AE9),"")</f>
        <v/>
      </c>
      <c r="CA9" s="36">
        <f t="shared" si="26"/>
        <v>-9.9999999999999997E+98</v>
      </c>
      <c r="CB9" s="36" t="str">
        <f t="shared" si="27"/>
        <v/>
      </c>
      <c r="CC9" s="36">
        <f t="shared" si="28"/>
        <v>-9.9999999999999997E+98</v>
      </c>
      <c r="CD9" s="36" t="str">
        <f t="shared" si="29"/>
        <v/>
      </c>
      <c r="CE9" s="36" t="str">
        <f t="shared" si="30"/>
        <v/>
      </c>
      <c r="CF9" s="36">
        <f t="shared" si="31"/>
        <v>-9.9999999999999997E+98</v>
      </c>
    </row>
    <row r="10" spans="1:84">
      <c r="A10" s="36" t="str">
        <f>Peserta!A10</f>
        <v>P05</v>
      </c>
      <c r="B10" s="36" t="str">
        <f>IF($C10&gt;0,INDEX(Input!$C:$C,$C10)&amp;"",IF(Peserta!B10="",$A10,Peserta!B10))</f>
        <v>P05</v>
      </c>
      <c r="C10" s="36">
        <f>SUMPRODUCT(MAX((_Bantu!$A$2:$A$2001=$A10)*ROW(_Bantu!$A$2:$A$2001)))</f>
        <v>0</v>
      </c>
      <c r="D10" s="36">
        <f>SUMPRODUCT(MAX((_Bantu!$C$2:$C$2001=$A10&amp;"|1")*ROW(_Bantu!$C$2:$C$2001)))</f>
        <v>0</v>
      </c>
      <c r="E10" s="47" t="str">
        <f>IF($D10=0,"",INDEX(_Bantu!D:D,$D10))</f>
        <v/>
      </c>
      <c r="F10" s="47" t="str">
        <f>IF($D10=0,"",INDEX(_Bantu!E:E,$D10))</f>
        <v/>
      </c>
      <c r="G10" s="47" t="str">
        <f>IF($D10=0,"",INDEX(_Bantu!F:F,$D10))</f>
        <v/>
      </c>
      <c r="H10" s="47" t="str">
        <f>IF($D10=0,"",INDEX(_Bantu!G:G,$D10))</f>
        <v/>
      </c>
      <c r="I10" s="47" t="str">
        <f>IF($D10=0,"",INDEX(_Bantu!H:H,$D10))</f>
        <v/>
      </c>
      <c r="J10" s="47" t="str">
        <f t="shared" si="0"/>
        <v/>
      </c>
      <c r="K10" s="36" t="str">
        <f t="shared" si="1"/>
        <v>Belum isi</v>
      </c>
      <c r="L10" s="36">
        <f>SUMPRODUCT(MAX((_Bantu!$C$2:$C$2001=$A10&amp;"|2")*ROW(_Bantu!$C$2:$C$2001)))</f>
        <v>0</v>
      </c>
      <c r="M10" s="47" t="str">
        <f>IF($L10=0,"",INDEX(_Bantu!D:D,$L10))</f>
        <v/>
      </c>
      <c r="N10" s="47" t="str">
        <f>IF($L10=0,"",INDEX(_Bantu!E:E,$L10))</f>
        <v/>
      </c>
      <c r="O10" s="47" t="str">
        <f>IF($L10=0,"",INDEX(_Bantu!F:F,$L10))</f>
        <v/>
      </c>
      <c r="P10" s="47" t="str">
        <f>IF($L10=0,"",INDEX(_Bantu!G:G,$L10))</f>
        <v/>
      </c>
      <c r="Q10" s="47" t="str">
        <f>IF($L10=0,"",INDEX(_Bantu!H:H,$L10))</f>
        <v/>
      </c>
      <c r="R10" s="47" t="str">
        <f t="shared" si="2"/>
        <v/>
      </c>
      <c r="S10" s="36" t="str">
        <f t="shared" si="3"/>
        <v>Belum isi</v>
      </c>
      <c r="T10" s="36">
        <f>SUMPRODUCT(MAX((_Bantu!$C$2:$C$2001=$A10&amp;"|3")*ROW(_Bantu!$C$2:$C$2001)))</f>
        <v>0</v>
      </c>
      <c r="U10" s="47" t="str">
        <f>IF($T10=0,"",INDEX(_Bantu!D:D,$T10))</f>
        <v/>
      </c>
      <c r="V10" s="47" t="str">
        <f>IF($T10=0,"",INDEX(_Bantu!E:E,$T10))</f>
        <v/>
      </c>
      <c r="W10" s="47" t="str">
        <f>IF($T10=0,"",INDEX(_Bantu!F:F,$T10))</f>
        <v/>
      </c>
      <c r="X10" s="47" t="str">
        <f>IF($T10=0,"",INDEX(_Bantu!G:G,$T10))</f>
        <v/>
      </c>
      <c r="Y10" s="47" t="str">
        <f>IF($T10=0,"",INDEX(_Bantu!H:H,$T10))</f>
        <v/>
      </c>
      <c r="Z10" s="47" t="str">
        <f t="shared" si="4"/>
        <v/>
      </c>
      <c r="AA10" s="36" t="str">
        <f t="shared" si="5"/>
        <v>Belum isi</v>
      </c>
      <c r="AB10" s="47">
        <f t="shared" si="6"/>
        <v>0</v>
      </c>
      <c r="AC10" s="47">
        <f t="shared" si="7"/>
        <v>0</v>
      </c>
      <c r="AD10" s="47">
        <f t="shared" si="8"/>
        <v>0</v>
      </c>
      <c r="AE10" s="47">
        <f t="shared" si="9"/>
        <v>0</v>
      </c>
      <c r="AF10" s="47">
        <f t="shared" si="10"/>
        <v>0</v>
      </c>
      <c r="AG10" s="47">
        <f t="shared" si="11"/>
        <v>0</v>
      </c>
      <c r="AH10" s="47">
        <f t="shared" si="12"/>
        <v>0</v>
      </c>
      <c r="AI10" s="47">
        <f t="shared" si="13"/>
        <v>0</v>
      </c>
      <c r="AJ10" s="47">
        <f t="shared" si="14"/>
        <v>0</v>
      </c>
      <c r="AK10" s="47">
        <f t="shared" si="15"/>
        <v>0</v>
      </c>
      <c r="AL10" s="47">
        <f t="shared" si="16"/>
        <v>0</v>
      </c>
      <c r="AM10" s="47">
        <f t="shared" si="17"/>
        <v>0</v>
      </c>
      <c r="AN10" s="47">
        <f t="shared" si="18"/>
        <v>0</v>
      </c>
      <c r="AO10" s="47">
        <f t="shared" si="19"/>
        <v>0</v>
      </c>
      <c r="AP10" s="47">
        <f t="shared" si="20"/>
        <v>0</v>
      </c>
      <c r="AQ10" s="36" t="b">
        <f t="shared" si="21"/>
        <v>0</v>
      </c>
      <c r="AR10" s="48" t="str">
        <f t="shared" si="22"/>
        <v/>
      </c>
      <c r="AS10" s="48" t="str">
        <f>IF(OR(NOT($AQ10),Log_Putaran!$C$6=""),"",$AR10*SUMPRODUCT($AB10:$AF10,Log_Putaran!$L$6:$P$6))</f>
        <v/>
      </c>
      <c r="AT10" s="48" t="str">
        <f>IF(OR(NOT($AQ10),Log_Putaran!$C$7=""),"",$AR10*SUMPRODUCT($AB10:$AF10,Log_Putaran!$L$7:$P$7))</f>
        <v/>
      </c>
      <c r="AU10" s="48" t="str">
        <f>IF(OR(NOT($AQ10),Log_Putaran!$C$8=""),"",$AR10*SUMPRODUCT($AB10:$AF10,Log_Putaran!$L$8:$P$8))</f>
        <v/>
      </c>
      <c r="AV10" s="48" t="str">
        <f>IF(OR(NOT($AQ10),Log_Putaran!$C$9=""),"",$AR10*SUMPRODUCT($AB10:$AF10,Log_Putaran!$L$9:$P$9))</f>
        <v/>
      </c>
      <c r="AW10" s="48" t="str">
        <f>IF(OR(NOT($AQ10),Log_Putaran!$C$10=""),"",$AR10*SUMPRODUCT($AB10:$AF10,Log_Putaran!$L$10:$P$10))</f>
        <v/>
      </c>
      <c r="AX10" s="48" t="str">
        <f>IF(OR(NOT($AQ10),Log_Putaran!$C$11=""),"",$AR10*SUMPRODUCT($AB10:$AF10,Log_Putaran!$L$11:$P$11))</f>
        <v/>
      </c>
      <c r="AY10" s="48" t="str">
        <f>IF(OR(NOT($AQ10),Log_Putaran!$C$12=""),"",$AR10*SUMPRODUCT($AB10:$AF10,Log_Putaran!$L$12:$P$12))</f>
        <v/>
      </c>
      <c r="AZ10" s="48" t="str">
        <f>IF(OR(NOT($AQ10),Log_Putaran!$C$13=""),"",$AR10*SUMPRODUCT($AB10:$AF10,Log_Putaran!$L$13:$P$13))</f>
        <v/>
      </c>
      <c r="BA10" s="48" t="str">
        <f>IF(OR(NOT($AQ10),Log_Putaran!$C$14=""),"",$AR10*SUMPRODUCT($AB10:$AF10,Log_Putaran!$L$14:$P$14))</f>
        <v/>
      </c>
      <c r="BB10" s="48" t="str">
        <f>IF(OR(NOT($AQ10),Log_Putaran!$C$15=""),"",$AR10*SUMPRODUCT($AB10:$AF10,Log_Putaran!$L$15:$P$15))</f>
        <v/>
      </c>
      <c r="BC10" s="48" t="str">
        <f>IF(OR(NOT($AQ10),Log_Putaran!$C$16=""),"",$BB10*SUMPRODUCT($AG10:$AK10,Log_Putaran!$L$16:$P$16))</f>
        <v/>
      </c>
      <c r="BD10" s="48" t="str">
        <f>IF(OR(NOT($AQ10),Log_Putaran!$C$17=""),"",$BB10*SUMPRODUCT($AG10:$AK10,Log_Putaran!$L$17:$P$17))</f>
        <v/>
      </c>
      <c r="BE10" s="48" t="str">
        <f>IF(OR(NOT($AQ10),Log_Putaran!$C$18=""),"",$BB10*SUMPRODUCT($AG10:$AK10,Log_Putaran!$L$18:$P$18))</f>
        <v/>
      </c>
      <c r="BF10" s="48" t="str">
        <f>IF(OR(NOT($AQ10),Log_Putaran!$C$19=""),"",$BB10*SUMPRODUCT($AG10:$AK10,Log_Putaran!$L$19:$P$19))</f>
        <v/>
      </c>
      <c r="BG10" s="48" t="str">
        <f>IF(OR(NOT($AQ10),Log_Putaran!$C$20=""),"",$BB10*SUMPRODUCT($AG10:$AK10,Log_Putaran!$L$20:$P$20))</f>
        <v/>
      </c>
      <c r="BH10" s="48" t="str">
        <f>IF(OR(NOT($AQ10),Log_Putaran!$C$21=""),"",$BB10*SUMPRODUCT($AG10:$AK10,Log_Putaran!$L$21:$P$21))</f>
        <v/>
      </c>
      <c r="BI10" s="48" t="str">
        <f>IF(OR(NOT($AQ10),Log_Putaran!$C$22=""),"",$BB10*SUMPRODUCT($AG10:$AK10,Log_Putaran!$L$22:$P$22))</f>
        <v/>
      </c>
      <c r="BJ10" s="48" t="str">
        <f>IF(OR(NOT($AQ10),Log_Putaran!$C$23=""),"",$BB10*SUMPRODUCT($AG10:$AK10,Log_Putaran!$L$23:$P$23))</f>
        <v/>
      </c>
      <c r="BK10" s="48" t="str">
        <f>IF(OR(NOT($AQ10),Log_Putaran!$C$24=""),"",$BB10*SUMPRODUCT($AG10:$AK10,Log_Putaran!$L$24:$P$24))</f>
        <v/>
      </c>
      <c r="BL10" s="48" t="str">
        <f>IF(OR(NOT($AQ10),Log_Putaran!$C$25=""),"",$BB10*SUMPRODUCT($AG10:$AK10,Log_Putaran!$L$25:$P$25))</f>
        <v/>
      </c>
      <c r="BM10" s="48" t="str">
        <f>IF(OR(NOT($AQ10),Log_Putaran!$C$26=""),"",$BL10*SUMPRODUCT($AL10:$AP10,Log_Putaran!$L$26:$P$26))</f>
        <v/>
      </c>
      <c r="BN10" s="48" t="str">
        <f>IF(OR(NOT($AQ10),Log_Putaran!$C$27=""),"",$BL10*SUMPRODUCT($AL10:$AP10,Log_Putaran!$L$27:$P$27))</f>
        <v/>
      </c>
      <c r="BO10" s="48" t="str">
        <f>IF(OR(NOT($AQ10),Log_Putaran!$C$28=""),"",$BL10*SUMPRODUCT($AL10:$AP10,Log_Putaran!$L$28:$P$28))</f>
        <v/>
      </c>
      <c r="BP10" s="48" t="str">
        <f>IF(OR(NOT($AQ10),Log_Putaran!$C$29=""),"",$BL10*SUMPRODUCT($AL10:$AP10,Log_Putaran!$L$29:$P$29))</f>
        <v/>
      </c>
      <c r="BQ10" s="48" t="str">
        <f>IF(OR(NOT($AQ10),Log_Putaran!$C$30=""),"",$BL10*SUMPRODUCT($AL10:$AP10,Log_Putaran!$L$30:$P$30))</f>
        <v/>
      </c>
      <c r="BR10" s="48" t="str">
        <f>IF(OR(NOT($AQ10),Log_Putaran!$C$31=""),"",$BL10*SUMPRODUCT($AL10:$AP10,Log_Putaran!$L$31:$P$31))</f>
        <v/>
      </c>
      <c r="BS10" s="48" t="str">
        <f>IF(OR(NOT($AQ10),Log_Putaran!$C$32=""),"",$BL10*SUMPRODUCT($AL10:$AP10,Log_Putaran!$L$32:$P$32))</f>
        <v/>
      </c>
      <c r="BT10" s="48" t="str">
        <f>IF(OR(NOT($AQ10),Log_Putaran!$C$33=""),"",$BL10*SUMPRODUCT($AL10:$AP10,Log_Putaran!$L$33:$P$33))</f>
        <v/>
      </c>
      <c r="BU10" s="48" t="str">
        <f>IF(OR(NOT($AQ10),Log_Putaran!$C$34=""),"",$BL10*SUMPRODUCT($AL10:$AP10,Log_Putaran!$L$34:$P$34))</f>
        <v/>
      </c>
      <c r="BV10" s="48" t="str">
        <f>IF(OR(NOT($AQ10),Log_Putaran!$C$35=""),"",$BL10*SUMPRODUCT($AL10:$AP10,Log_Putaran!$L$35:$P$35))</f>
        <v/>
      </c>
      <c r="BW10" s="48" t="str">
        <f t="shared" si="23"/>
        <v/>
      </c>
      <c r="BX10" s="48" t="str">
        <f t="shared" si="24"/>
        <v/>
      </c>
      <c r="BY10" s="38" t="str">
        <f t="shared" si="25"/>
        <v/>
      </c>
      <c r="BZ10" s="49" t="str">
        <f>IF($AQ10,MAX(_DD!$B10:$AE10),"")</f>
        <v/>
      </c>
      <c r="CA10" s="36">
        <f t="shared" si="26"/>
        <v>-9.9999999999999997E+98</v>
      </c>
      <c r="CB10" s="36" t="str">
        <f t="shared" si="27"/>
        <v/>
      </c>
      <c r="CC10" s="36">
        <f t="shared" si="28"/>
        <v>-9.9999999999999997E+98</v>
      </c>
      <c r="CD10" s="36" t="str">
        <f t="shared" si="29"/>
        <v/>
      </c>
      <c r="CE10" s="36" t="str">
        <f t="shared" si="30"/>
        <v/>
      </c>
      <c r="CF10" s="36">
        <f t="shared" si="31"/>
        <v>-9.9999999999999997E+98</v>
      </c>
    </row>
    <row r="11" spans="1:84">
      <c r="A11" s="36" t="str">
        <f>Peserta!A11</f>
        <v>P06</v>
      </c>
      <c r="B11" s="36" t="str">
        <f>IF($C11&gt;0,INDEX(Input!$C:$C,$C11)&amp;"",IF(Peserta!B11="",$A11,Peserta!B11))</f>
        <v>P06</v>
      </c>
      <c r="C11" s="36">
        <f>SUMPRODUCT(MAX((_Bantu!$A$2:$A$2001=$A11)*ROW(_Bantu!$A$2:$A$2001)))</f>
        <v>0</v>
      </c>
      <c r="D11" s="36">
        <f>SUMPRODUCT(MAX((_Bantu!$C$2:$C$2001=$A11&amp;"|1")*ROW(_Bantu!$C$2:$C$2001)))</f>
        <v>0</v>
      </c>
      <c r="E11" s="47" t="str">
        <f>IF($D11=0,"",INDEX(_Bantu!D:D,$D11))</f>
        <v/>
      </c>
      <c r="F11" s="47" t="str">
        <f>IF($D11=0,"",INDEX(_Bantu!E:E,$D11))</f>
        <v/>
      </c>
      <c r="G11" s="47" t="str">
        <f>IF($D11=0,"",INDEX(_Bantu!F:F,$D11))</f>
        <v/>
      </c>
      <c r="H11" s="47" t="str">
        <f>IF($D11=0,"",INDEX(_Bantu!G:G,$D11))</f>
        <v/>
      </c>
      <c r="I11" s="47" t="str">
        <f>IF($D11=0,"",INDEX(_Bantu!H:H,$D11))</f>
        <v/>
      </c>
      <c r="J11" s="47" t="str">
        <f t="shared" si="0"/>
        <v/>
      </c>
      <c r="K11" s="36" t="str">
        <f t="shared" si="1"/>
        <v>Belum isi</v>
      </c>
      <c r="L11" s="36">
        <f>SUMPRODUCT(MAX((_Bantu!$C$2:$C$2001=$A11&amp;"|2")*ROW(_Bantu!$C$2:$C$2001)))</f>
        <v>0</v>
      </c>
      <c r="M11" s="47" t="str">
        <f>IF($L11=0,"",INDEX(_Bantu!D:D,$L11))</f>
        <v/>
      </c>
      <c r="N11" s="47" t="str">
        <f>IF($L11=0,"",INDEX(_Bantu!E:E,$L11))</f>
        <v/>
      </c>
      <c r="O11" s="47" t="str">
        <f>IF($L11=0,"",INDEX(_Bantu!F:F,$L11))</f>
        <v/>
      </c>
      <c r="P11" s="47" t="str">
        <f>IF($L11=0,"",INDEX(_Bantu!G:G,$L11))</f>
        <v/>
      </c>
      <c r="Q11" s="47" t="str">
        <f>IF($L11=0,"",INDEX(_Bantu!H:H,$L11))</f>
        <v/>
      </c>
      <c r="R11" s="47" t="str">
        <f t="shared" si="2"/>
        <v/>
      </c>
      <c r="S11" s="36" t="str">
        <f t="shared" si="3"/>
        <v>Belum isi</v>
      </c>
      <c r="T11" s="36">
        <f>SUMPRODUCT(MAX((_Bantu!$C$2:$C$2001=$A11&amp;"|3")*ROW(_Bantu!$C$2:$C$2001)))</f>
        <v>0</v>
      </c>
      <c r="U11" s="47" t="str">
        <f>IF($T11=0,"",INDEX(_Bantu!D:D,$T11))</f>
        <v/>
      </c>
      <c r="V11" s="47" t="str">
        <f>IF($T11=0,"",INDEX(_Bantu!E:E,$T11))</f>
        <v/>
      </c>
      <c r="W11" s="47" t="str">
        <f>IF($T11=0,"",INDEX(_Bantu!F:F,$T11))</f>
        <v/>
      </c>
      <c r="X11" s="47" t="str">
        <f>IF($T11=0,"",INDEX(_Bantu!G:G,$T11))</f>
        <v/>
      </c>
      <c r="Y11" s="47" t="str">
        <f>IF($T11=0,"",INDEX(_Bantu!H:H,$T11))</f>
        <v/>
      </c>
      <c r="Z11" s="47" t="str">
        <f t="shared" si="4"/>
        <v/>
      </c>
      <c r="AA11" s="36" t="str">
        <f t="shared" si="5"/>
        <v>Belum isi</v>
      </c>
      <c r="AB11" s="47">
        <f t="shared" si="6"/>
        <v>0</v>
      </c>
      <c r="AC11" s="47">
        <f t="shared" si="7"/>
        <v>0</v>
      </c>
      <c r="AD11" s="47">
        <f t="shared" si="8"/>
        <v>0</v>
      </c>
      <c r="AE11" s="47">
        <f t="shared" si="9"/>
        <v>0</v>
      </c>
      <c r="AF11" s="47">
        <f t="shared" si="10"/>
        <v>0</v>
      </c>
      <c r="AG11" s="47">
        <f t="shared" si="11"/>
        <v>0</v>
      </c>
      <c r="AH11" s="47">
        <f t="shared" si="12"/>
        <v>0</v>
      </c>
      <c r="AI11" s="47">
        <f t="shared" si="13"/>
        <v>0</v>
      </c>
      <c r="AJ11" s="47">
        <f t="shared" si="14"/>
        <v>0</v>
      </c>
      <c r="AK11" s="47">
        <f t="shared" si="15"/>
        <v>0</v>
      </c>
      <c r="AL11" s="47">
        <f t="shared" si="16"/>
        <v>0</v>
      </c>
      <c r="AM11" s="47">
        <f t="shared" si="17"/>
        <v>0</v>
      </c>
      <c r="AN11" s="47">
        <f t="shared" si="18"/>
        <v>0</v>
      </c>
      <c r="AO11" s="47">
        <f t="shared" si="19"/>
        <v>0</v>
      </c>
      <c r="AP11" s="47">
        <f t="shared" si="20"/>
        <v>0</v>
      </c>
      <c r="AQ11" s="36" t="b">
        <f t="shared" si="21"/>
        <v>0</v>
      </c>
      <c r="AR11" s="48" t="str">
        <f t="shared" si="22"/>
        <v/>
      </c>
      <c r="AS11" s="48" t="str">
        <f>IF(OR(NOT($AQ11),Log_Putaran!$C$6=""),"",$AR11*SUMPRODUCT($AB11:$AF11,Log_Putaran!$L$6:$P$6))</f>
        <v/>
      </c>
      <c r="AT11" s="48" t="str">
        <f>IF(OR(NOT($AQ11),Log_Putaran!$C$7=""),"",$AR11*SUMPRODUCT($AB11:$AF11,Log_Putaran!$L$7:$P$7))</f>
        <v/>
      </c>
      <c r="AU11" s="48" t="str">
        <f>IF(OR(NOT($AQ11),Log_Putaran!$C$8=""),"",$AR11*SUMPRODUCT($AB11:$AF11,Log_Putaran!$L$8:$P$8))</f>
        <v/>
      </c>
      <c r="AV11" s="48" t="str">
        <f>IF(OR(NOT($AQ11),Log_Putaran!$C$9=""),"",$AR11*SUMPRODUCT($AB11:$AF11,Log_Putaran!$L$9:$P$9))</f>
        <v/>
      </c>
      <c r="AW11" s="48" t="str">
        <f>IF(OR(NOT($AQ11),Log_Putaran!$C$10=""),"",$AR11*SUMPRODUCT($AB11:$AF11,Log_Putaran!$L$10:$P$10))</f>
        <v/>
      </c>
      <c r="AX11" s="48" t="str">
        <f>IF(OR(NOT($AQ11),Log_Putaran!$C$11=""),"",$AR11*SUMPRODUCT($AB11:$AF11,Log_Putaran!$L$11:$P$11))</f>
        <v/>
      </c>
      <c r="AY11" s="48" t="str">
        <f>IF(OR(NOT($AQ11),Log_Putaran!$C$12=""),"",$AR11*SUMPRODUCT($AB11:$AF11,Log_Putaran!$L$12:$P$12))</f>
        <v/>
      </c>
      <c r="AZ11" s="48" t="str">
        <f>IF(OR(NOT($AQ11),Log_Putaran!$C$13=""),"",$AR11*SUMPRODUCT($AB11:$AF11,Log_Putaran!$L$13:$P$13))</f>
        <v/>
      </c>
      <c r="BA11" s="48" t="str">
        <f>IF(OR(NOT($AQ11),Log_Putaran!$C$14=""),"",$AR11*SUMPRODUCT($AB11:$AF11,Log_Putaran!$L$14:$P$14))</f>
        <v/>
      </c>
      <c r="BB11" s="48" t="str">
        <f>IF(OR(NOT($AQ11),Log_Putaran!$C$15=""),"",$AR11*SUMPRODUCT($AB11:$AF11,Log_Putaran!$L$15:$P$15))</f>
        <v/>
      </c>
      <c r="BC11" s="48" t="str">
        <f>IF(OR(NOT($AQ11),Log_Putaran!$C$16=""),"",$BB11*SUMPRODUCT($AG11:$AK11,Log_Putaran!$L$16:$P$16))</f>
        <v/>
      </c>
      <c r="BD11" s="48" t="str">
        <f>IF(OR(NOT($AQ11),Log_Putaran!$C$17=""),"",$BB11*SUMPRODUCT($AG11:$AK11,Log_Putaran!$L$17:$P$17))</f>
        <v/>
      </c>
      <c r="BE11" s="48" t="str">
        <f>IF(OR(NOT($AQ11),Log_Putaran!$C$18=""),"",$BB11*SUMPRODUCT($AG11:$AK11,Log_Putaran!$L$18:$P$18))</f>
        <v/>
      </c>
      <c r="BF11" s="48" t="str">
        <f>IF(OR(NOT($AQ11),Log_Putaran!$C$19=""),"",$BB11*SUMPRODUCT($AG11:$AK11,Log_Putaran!$L$19:$P$19))</f>
        <v/>
      </c>
      <c r="BG11" s="48" t="str">
        <f>IF(OR(NOT($AQ11),Log_Putaran!$C$20=""),"",$BB11*SUMPRODUCT($AG11:$AK11,Log_Putaran!$L$20:$P$20))</f>
        <v/>
      </c>
      <c r="BH11" s="48" t="str">
        <f>IF(OR(NOT($AQ11),Log_Putaran!$C$21=""),"",$BB11*SUMPRODUCT($AG11:$AK11,Log_Putaran!$L$21:$P$21))</f>
        <v/>
      </c>
      <c r="BI11" s="48" t="str">
        <f>IF(OR(NOT($AQ11),Log_Putaran!$C$22=""),"",$BB11*SUMPRODUCT($AG11:$AK11,Log_Putaran!$L$22:$P$22))</f>
        <v/>
      </c>
      <c r="BJ11" s="48" t="str">
        <f>IF(OR(NOT($AQ11),Log_Putaran!$C$23=""),"",$BB11*SUMPRODUCT($AG11:$AK11,Log_Putaran!$L$23:$P$23))</f>
        <v/>
      </c>
      <c r="BK11" s="48" t="str">
        <f>IF(OR(NOT($AQ11),Log_Putaran!$C$24=""),"",$BB11*SUMPRODUCT($AG11:$AK11,Log_Putaran!$L$24:$P$24))</f>
        <v/>
      </c>
      <c r="BL11" s="48" t="str">
        <f>IF(OR(NOT($AQ11),Log_Putaran!$C$25=""),"",$BB11*SUMPRODUCT($AG11:$AK11,Log_Putaran!$L$25:$P$25))</f>
        <v/>
      </c>
      <c r="BM11" s="48" t="str">
        <f>IF(OR(NOT($AQ11),Log_Putaran!$C$26=""),"",$BL11*SUMPRODUCT($AL11:$AP11,Log_Putaran!$L$26:$P$26))</f>
        <v/>
      </c>
      <c r="BN11" s="48" t="str">
        <f>IF(OR(NOT($AQ11),Log_Putaran!$C$27=""),"",$BL11*SUMPRODUCT($AL11:$AP11,Log_Putaran!$L$27:$P$27))</f>
        <v/>
      </c>
      <c r="BO11" s="48" t="str">
        <f>IF(OR(NOT($AQ11),Log_Putaran!$C$28=""),"",$BL11*SUMPRODUCT($AL11:$AP11,Log_Putaran!$L$28:$P$28))</f>
        <v/>
      </c>
      <c r="BP11" s="48" t="str">
        <f>IF(OR(NOT($AQ11),Log_Putaran!$C$29=""),"",$BL11*SUMPRODUCT($AL11:$AP11,Log_Putaran!$L$29:$P$29))</f>
        <v/>
      </c>
      <c r="BQ11" s="48" t="str">
        <f>IF(OR(NOT($AQ11),Log_Putaran!$C$30=""),"",$BL11*SUMPRODUCT($AL11:$AP11,Log_Putaran!$L$30:$P$30))</f>
        <v/>
      </c>
      <c r="BR11" s="48" t="str">
        <f>IF(OR(NOT($AQ11),Log_Putaran!$C$31=""),"",$BL11*SUMPRODUCT($AL11:$AP11,Log_Putaran!$L$31:$P$31))</f>
        <v/>
      </c>
      <c r="BS11" s="48" t="str">
        <f>IF(OR(NOT($AQ11),Log_Putaran!$C$32=""),"",$BL11*SUMPRODUCT($AL11:$AP11,Log_Putaran!$L$32:$P$32))</f>
        <v/>
      </c>
      <c r="BT11" s="48" t="str">
        <f>IF(OR(NOT($AQ11),Log_Putaran!$C$33=""),"",$BL11*SUMPRODUCT($AL11:$AP11,Log_Putaran!$L$33:$P$33))</f>
        <v/>
      </c>
      <c r="BU11" s="48" t="str">
        <f>IF(OR(NOT($AQ11),Log_Putaran!$C$34=""),"",$BL11*SUMPRODUCT($AL11:$AP11,Log_Putaran!$L$34:$P$34))</f>
        <v/>
      </c>
      <c r="BV11" s="48" t="str">
        <f>IF(OR(NOT($AQ11),Log_Putaran!$C$35=""),"",$BL11*SUMPRODUCT($AL11:$AP11,Log_Putaran!$L$35:$P$35))</f>
        <v/>
      </c>
      <c r="BW11" s="48" t="str">
        <f t="shared" si="23"/>
        <v/>
      </c>
      <c r="BX11" s="48" t="str">
        <f t="shared" si="24"/>
        <v/>
      </c>
      <c r="BY11" s="38" t="str">
        <f t="shared" si="25"/>
        <v/>
      </c>
      <c r="BZ11" s="49" t="str">
        <f>IF($AQ11,MAX(_DD!$B11:$AE11),"")</f>
        <v/>
      </c>
      <c r="CA11" s="36">
        <f t="shared" si="26"/>
        <v>-9.9999999999999997E+98</v>
      </c>
      <c r="CB11" s="36" t="str">
        <f t="shared" si="27"/>
        <v/>
      </c>
      <c r="CC11" s="36">
        <f t="shared" si="28"/>
        <v>-9.9999999999999997E+98</v>
      </c>
      <c r="CD11" s="36" t="str">
        <f t="shared" si="29"/>
        <v/>
      </c>
      <c r="CE11" s="36" t="str">
        <f t="shared" si="30"/>
        <v/>
      </c>
      <c r="CF11" s="36">
        <f t="shared" si="31"/>
        <v>-9.9999999999999997E+98</v>
      </c>
    </row>
    <row r="12" spans="1:84">
      <c r="A12" s="36" t="str">
        <f>Peserta!A12</f>
        <v>P07</v>
      </c>
      <c r="B12" s="36" t="str">
        <f>IF($C12&gt;0,INDEX(Input!$C:$C,$C12)&amp;"",IF(Peserta!B12="",$A12,Peserta!B12))</f>
        <v>P07</v>
      </c>
      <c r="C12" s="36">
        <f>SUMPRODUCT(MAX((_Bantu!$A$2:$A$2001=$A12)*ROW(_Bantu!$A$2:$A$2001)))</f>
        <v>0</v>
      </c>
      <c r="D12" s="36">
        <f>SUMPRODUCT(MAX((_Bantu!$C$2:$C$2001=$A12&amp;"|1")*ROW(_Bantu!$C$2:$C$2001)))</f>
        <v>0</v>
      </c>
      <c r="E12" s="47" t="str">
        <f>IF($D12=0,"",INDEX(_Bantu!D:D,$D12))</f>
        <v/>
      </c>
      <c r="F12" s="47" t="str">
        <f>IF($D12=0,"",INDEX(_Bantu!E:E,$D12))</f>
        <v/>
      </c>
      <c r="G12" s="47" t="str">
        <f>IF($D12=0,"",INDEX(_Bantu!F:F,$D12))</f>
        <v/>
      </c>
      <c r="H12" s="47" t="str">
        <f>IF($D12=0,"",INDEX(_Bantu!G:G,$D12))</f>
        <v/>
      </c>
      <c r="I12" s="47" t="str">
        <f>IF($D12=0,"",INDEX(_Bantu!H:H,$D12))</f>
        <v/>
      </c>
      <c r="J12" s="47" t="str">
        <f t="shared" si="0"/>
        <v/>
      </c>
      <c r="K12" s="36" t="str">
        <f t="shared" si="1"/>
        <v>Belum isi</v>
      </c>
      <c r="L12" s="36">
        <f>SUMPRODUCT(MAX((_Bantu!$C$2:$C$2001=$A12&amp;"|2")*ROW(_Bantu!$C$2:$C$2001)))</f>
        <v>0</v>
      </c>
      <c r="M12" s="47" t="str">
        <f>IF($L12=0,"",INDEX(_Bantu!D:D,$L12))</f>
        <v/>
      </c>
      <c r="N12" s="47" t="str">
        <f>IF($L12=0,"",INDEX(_Bantu!E:E,$L12))</f>
        <v/>
      </c>
      <c r="O12" s="47" t="str">
        <f>IF($L12=0,"",INDEX(_Bantu!F:F,$L12))</f>
        <v/>
      </c>
      <c r="P12" s="47" t="str">
        <f>IF($L12=0,"",INDEX(_Bantu!G:G,$L12))</f>
        <v/>
      </c>
      <c r="Q12" s="47" t="str">
        <f>IF($L12=0,"",INDEX(_Bantu!H:H,$L12))</f>
        <v/>
      </c>
      <c r="R12" s="47" t="str">
        <f t="shared" si="2"/>
        <v/>
      </c>
      <c r="S12" s="36" t="str">
        <f t="shared" si="3"/>
        <v>Belum isi</v>
      </c>
      <c r="T12" s="36">
        <f>SUMPRODUCT(MAX((_Bantu!$C$2:$C$2001=$A12&amp;"|3")*ROW(_Bantu!$C$2:$C$2001)))</f>
        <v>0</v>
      </c>
      <c r="U12" s="47" t="str">
        <f>IF($T12=0,"",INDEX(_Bantu!D:D,$T12))</f>
        <v/>
      </c>
      <c r="V12" s="47" t="str">
        <f>IF($T12=0,"",INDEX(_Bantu!E:E,$T12))</f>
        <v/>
      </c>
      <c r="W12" s="47" t="str">
        <f>IF($T12=0,"",INDEX(_Bantu!F:F,$T12))</f>
        <v/>
      </c>
      <c r="X12" s="47" t="str">
        <f>IF($T12=0,"",INDEX(_Bantu!G:G,$T12))</f>
        <v/>
      </c>
      <c r="Y12" s="47" t="str">
        <f>IF($T12=0,"",INDEX(_Bantu!H:H,$T12))</f>
        <v/>
      </c>
      <c r="Z12" s="47" t="str">
        <f t="shared" si="4"/>
        <v/>
      </c>
      <c r="AA12" s="36" t="str">
        <f t="shared" si="5"/>
        <v>Belum isi</v>
      </c>
      <c r="AB12" s="47">
        <f t="shared" si="6"/>
        <v>0</v>
      </c>
      <c r="AC12" s="47">
        <f t="shared" si="7"/>
        <v>0</v>
      </c>
      <c r="AD12" s="47">
        <f t="shared" si="8"/>
        <v>0</v>
      </c>
      <c r="AE12" s="47">
        <f t="shared" si="9"/>
        <v>0</v>
      </c>
      <c r="AF12" s="47">
        <f t="shared" si="10"/>
        <v>0</v>
      </c>
      <c r="AG12" s="47">
        <f t="shared" si="11"/>
        <v>0</v>
      </c>
      <c r="AH12" s="47">
        <f t="shared" si="12"/>
        <v>0</v>
      </c>
      <c r="AI12" s="47">
        <f t="shared" si="13"/>
        <v>0</v>
      </c>
      <c r="AJ12" s="47">
        <f t="shared" si="14"/>
        <v>0</v>
      </c>
      <c r="AK12" s="47">
        <f t="shared" si="15"/>
        <v>0</v>
      </c>
      <c r="AL12" s="47">
        <f t="shared" si="16"/>
        <v>0</v>
      </c>
      <c r="AM12" s="47">
        <f t="shared" si="17"/>
        <v>0</v>
      </c>
      <c r="AN12" s="47">
        <f t="shared" si="18"/>
        <v>0</v>
      </c>
      <c r="AO12" s="47">
        <f t="shared" si="19"/>
        <v>0</v>
      </c>
      <c r="AP12" s="47">
        <f t="shared" si="20"/>
        <v>0</v>
      </c>
      <c r="AQ12" s="36" t="b">
        <f t="shared" si="21"/>
        <v>0</v>
      </c>
      <c r="AR12" s="48" t="str">
        <f t="shared" si="22"/>
        <v/>
      </c>
      <c r="AS12" s="48" t="str">
        <f>IF(OR(NOT($AQ12),Log_Putaran!$C$6=""),"",$AR12*SUMPRODUCT($AB12:$AF12,Log_Putaran!$L$6:$P$6))</f>
        <v/>
      </c>
      <c r="AT12" s="48" t="str">
        <f>IF(OR(NOT($AQ12),Log_Putaran!$C$7=""),"",$AR12*SUMPRODUCT($AB12:$AF12,Log_Putaran!$L$7:$P$7))</f>
        <v/>
      </c>
      <c r="AU12" s="48" t="str">
        <f>IF(OR(NOT($AQ12),Log_Putaran!$C$8=""),"",$AR12*SUMPRODUCT($AB12:$AF12,Log_Putaran!$L$8:$P$8))</f>
        <v/>
      </c>
      <c r="AV12" s="48" t="str">
        <f>IF(OR(NOT($AQ12),Log_Putaran!$C$9=""),"",$AR12*SUMPRODUCT($AB12:$AF12,Log_Putaran!$L$9:$P$9))</f>
        <v/>
      </c>
      <c r="AW12" s="48" t="str">
        <f>IF(OR(NOT($AQ12),Log_Putaran!$C$10=""),"",$AR12*SUMPRODUCT($AB12:$AF12,Log_Putaran!$L$10:$P$10))</f>
        <v/>
      </c>
      <c r="AX12" s="48" t="str">
        <f>IF(OR(NOT($AQ12),Log_Putaran!$C$11=""),"",$AR12*SUMPRODUCT($AB12:$AF12,Log_Putaran!$L$11:$P$11))</f>
        <v/>
      </c>
      <c r="AY12" s="48" t="str">
        <f>IF(OR(NOT($AQ12),Log_Putaran!$C$12=""),"",$AR12*SUMPRODUCT($AB12:$AF12,Log_Putaran!$L$12:$P$12))</f>
        <v/>
      </c>
      <c r="AZ12" s="48" t="str">
        <f>IF(OR(NOT($AQ12),Log_Putaran!$C$13=""),"",$AR12*SUMPRODUCT($AB12:$AF12,Log_Putaran!$L$13:$P$13))</f>
        <v/>
      </c>
      <c r="BA12" s="48" t="str">
        <f>IF(OR(NOT($AQ12),Log_Putaran!$C$14=""),"",$AR12*SUMPRODUCT($AB12:$AF12,Log_Putaran!$L$14:$P$14))</f>
        <v/>
      </c>
      <c r="BB12" s="48" t="str">
        <f>IF(OR(NOT($AQ12),Log_Putaran!$C$15=""),"",$AR12*SUMPRODUCT($AB12:$AF12,Log_Putaran!$L$15:$P$15))</f>
        <v/>
      </c>
      <c r="BC12" s="48" t="str">
        <f>IF(OR(NOT($AQ12),Log_Putaran!$C$16=""),"",$BB12*SUMPRODUCT($AG12:$AK12,Log_Putaran!$L$16:$P$16))</f>
        <v/>
      </c>
      <c r="BD12" s="48" t="str">
        <f>IF(OR(NOT($AQ12),Log_Putaran!$C$17=""),"",$BB12*SUMPRODUCT($AG12:$AK12,Log_Putaran!$L$17:$P$17))</f>
        <v/>
      </c>
      <c r="BE12" s="48" t="str">
        <f>IF(OR(NOT($AQ12),Log_Putaran!$C$18=""),"",$BB12*SUMPRODUCT($AG12:$AK12,Log_Putaran!$L$18:$P$18))</f>
        <v/>
      </c>
      <c r="BF12" s="48" t="str">
        <f>IF(OR(NOT($AQ12),Log_Putaran!$C$19=""),"",$BB12*SUMPRODUCT($AG12:$AK12,Log_Putaran!$L$19:$P$19))</f>
        <v/>
      </c>
      <c r="BG12" s="48" t="str">
        <f>IF(OR(NOT($AQ12),Log_Putaran!$C$20=""),"",$BB12*SUMPRODUCT($AG12:$AK12,Log_Putaran!$L$20:$P$20))</f>
        <v/>
      </c>
      <c r="BH12" s="48" t="str">
        <f>IF(OR(NOT($AQ12),Log_Putaran!$C$21=""),"",$BB12*SUMPRODUCT($AG12:$AK12,Log_Putaran!$L$21:$P$21))</f>
        <v/>
      </c>
      <c r="BI12" s="48" t="str">
        <f>IF(OR(NOT($AQ12),Log_Putaran!$C$22=""),"",$BB12*SUMPRODUCT($AG12:$AK12,Log_Putaran!$L$22:$P$22))</f>
        <v/>
      </c>
      <c r="BJ12" s="48" t="str">
        <f>IF(OR(NOT($AQ12),Log_Putaran!$C$23=""),"",$BB12*SUMPRODUCT($AG12:$AK12,Log_Putaran!$L$23:$P$23))</f>
        <v/>
      </c>
      <c r="BK12" s="48" t="str">
        <f>IF(OR(NOT($AQ12),Log_Putaran!$C$24=""),"",$BB12*SUMPRODUCT($AG12:$AK12,Log_Putaran!$L$24:$P$24))</f>
        <v/>
      </c>
      <c r="BL12" s="48" t="str">
        <f>IF(OR(NOT($AQ12),Log_Putaran!$C$25=""),"",$BB12*SUMPRODUCT($AG12:$AK12,Log_Putaran!$L$25:$P$25))</f>
        <v/>
      </c>
      <c r="BM12" s="48" t="str">
        <f>IF(OR(NOT($AQ12),Log_Putaran!$C$26=""),"",$BL12*SUMPRODUCT($AL12:$AP12,Log_Putaran!$L$26:$P$26))</f>
        <v/>
      </c>
      <c r="BN12" s="48" t="str">
        <f>IF(OR(NOT($AQ12),Log_Putaran!$C$27=""),"",$BL12*SUMPRODUCT($AL12:$AP12,Log_Putaran!$L$27:$P$27))</f>
        <v/>
      </c>
      <c r="BO12" s="48" t="str">
        <f>IF(OR(NOT($AQ12),Log_Putaran!$C$28=""),"",$BL12*SUMPRODUCT($AL12:$AP12,Log_Putaran!$L$28:$P$28))</f>
        <v/>
      </c>
      <c r="BP12" s="48" t="str">
        <f>IF(OR(NOT($AQ12),Log_Putaran!$C$29=""),"",$BL12*SUMPRODUCT($AL12:$AP12,Log_Putaran!$L$29:$P$29))</f>
        <v/>
      </c>
      <c r="BQ12" s="48" t="str">
        <f>IF(OR(NOT($AQ12),Log_Putaran!$C$30=""),"",$BL12*SUMPRODUCT($AL12:$AP12,Log_Putaran!$L$30:$P$30))</f>
        <v/>
      </c>
      <c r="BR12" s="48" t="str">
        <f>IF(OR(NOT($AQ12),Log_Putaran!$C$31=""),"",$BL12*SUMPRODUCT($AL12:$AP12,Log_Putaran!$L$31:$P$31))</f>
        <v/>
      </c>
      <c r="BS12" s="48" t="str">
        <f>IF(OR(NOT($AQ12),Log_Putaran!$C$32=""),"",$BL12*SUMPRODUCT($AL12:$AP12,Log_Putaran!$L$32:$P$32))</f>
        <v/>
      </c>
      <c r="BT12" s="48" t="str">
        <f>IF(OR(NOT($AQ12),Log_Putaran!$C$33=""),"",$BL12*SUMPRODUCT($AL12:$AP12,Log_Putaran!$L$33:$P$33))</f>
        <v/>
      </c>
      <c r="BU12" s="48" t="str">
        <f>IF(OR(NOT($AQ12),Log_Putaran!$C$34=""),"",$BL12*SUMPRODUCT($AL12:$AP12,Log_Putaran!$L$34:$P$34))</f>
        <v/>
      </c>
      <c r="BV12" s="48" t="str">
        <f>IF(OR(NOT($AQ12),Log_Putaran!$C$35=""),"",$BL12*SUMPRODUCT($AL12:$AP12,Log_Putaran!$L$35:$P$35))</f>
        <v/>
      </c>
      <c r="BW12" s="48" t="str">
        <f t="shared" si="23"/>
        <v/>
      </c>
      <c r="BX12" s="48" t="str">
        <f t="shared" si="24"/>
        <v/>
      </c>
      <c r="BY12" s="38" t="str">
        <f t="shared" si="25"/>
        <v/>
      </c>
      <c r="BZ12" s="49" t="str">
        <f>IF($AQ12,MAX(_DD!$B12:$AE12),"")</f>
        <v/>
      </c>
      <c r="CA12" s="36">
        <f t="shared" si="26"/>
        <v>-9.9999999999999997E+98</v>
      </c>
      <c r="CB12" s="36" t="str">
        <f t="shared" si="27"/>
        <v/>
      </c>
      <c r="CC12" s="36">
        <f t="shared" si="28"/>
        <v>-9.9999999999999997E+98</v>
      </c>
      <c r="CD12" s="36" t="str">
        <f t="shared" si="29"/>
        <v/>
      </c>
      <c r="CE12" s="36" t="str">
        <f t="shared" si="30"/>
        <v/>
      </c>
      <c r="CF12" s="36">
        <f t="shared" si="31"/>
        <v>-9.9999999999999997E+98</v>
      </c>
    </row>
    <row r="13" spans="1:84">
      <c r="A13" s="36" t="str">
        <f>Peserta!A13</f>
        <v>P08</v>
      </c>
      <c r="B13" s="36" t="str">
        <f>IF($C13&gt;0,INDEX(Input!$C:$C,$C13)&amp;"",IF(Peserta!B13="",$A13,Peserta!B13))</f>
        <v>P08</v>
      </c>
      <c r="C13" s="36">
        <f>SUMPRODUCT(MAX((_Bantu!$A$2:$A$2001=$A13)*ROW(_Bantu!$A$2:$A$2001)))</f>
        <v>0</v>
      </c>
      <c r="D13" s="36">
        <f>SUMPRODUCT(MAX((_Bantu!$C$2:$C$2001=$A13&amp;"|1")*ROW(_Bantu!$C$2:$C$2001)))</f>
        <v>0</v>
      </c>
      <c r="E13" s="47" t="str">
        <f>IF($D13=0,"",INDEX(_Bantu!D:D,$D13))</f>
        <v/>
      </c>
      <c r="F13" s="47" t="str">
        <f>IF($D13=0,"",INDEX(_Bantu!E:E,$D13))</f>
        <v/>
      </c>
      <c r="G13" s="47" t="str">
        <f>IF($D13=0,"",INDEX(_Bantu!F:F,$D13))</f>
        <v/>
      </c>
      <c r="H13" s="47" t="str">
        <f>IF($D13=0,"",INDEX(_Bantu!G:G,$D13))</f>
        <v/>
      </c>
      <c r="I13" s="47" t="str">
        <f>IF($D13=0,"",INDEX(_Bantu!H:H,$D13))</f>
        <v/>
      </c>
      <c r="J13" s="47" t="str">
        <f t="shared" si="0"/>
        <v/>
      </c>
      <c r="K13" s="36" t="str">
        <f t="shared" si="1"/>
        <v>Belum isi</v>
      </c>
      <c r="L13" s="36">
        <f>SUMPRODUCT(MAX((_Bantu!$C$2:$C$2001=$A13&amp;"|2")*ROW(_Bantu!$C$2:$C$2001)))</f>
        <v>0</v>
      </c>
      <c r="M13" s="47" t="str">
        <f>IF($L13=0,"",INDEX(_Bantu!D:D,$L13))</f>
        <v/>
      </c>
      <c r="N13" s="47" t="str">
        <f>IF($L13=0,"",INDEX(_Bantu!E:E,$L13))</f>
        <v/>
      </c>
      <c r="O13" s="47" t="str">
        <f>IF($L13=0,"",INDEX(_Bantu!F:F,$L13))</f>
        <v/>
      </c>
      <c r="P13" s="47" t="str">
        <f>IF($L13=0,"",INDEX(_Bantu!G:G,$L13))</f>
        <v/>
      </c>
      <c r="Q13" s="47" t="str">
        <f>IF($L13=0,"",INDEX(_Bantu!H:H,$L13))</f>
        <v/>
      </c>
      <c r="R13" s="47" t="str">
        <f t="shared" si="2"/>
        <v/>
      </c>
      <c r="S13" s="36" t="str">
        <f t="shared" si="3"/>
        <v>Belum isi</v>
      </c>
      <c r="T13" s="36">
        <f>SUMPRODUCT(MAX((_Bantu!$C$2:$C$2001=$A13&amp;"|3")*ROW(_Bantu!$C$2:$C$2001)))</f>
        <v>0</v>
      </c>
      <c r="U13" s="47" t="str">
        <f>IF($T13=0,"",INDEX(_Bantu!D:D,$T13))</f>
        <v/>
      </c>
      <c r="V13" s="47" t="str">
        <f>IF($T13=0,"",INDEX(_Bantu!E:E,$T13))</f>
        <v/>
      </c>
      <c r="W13" s="47" t="str">
        <f>IF($T13=0,"",INDEX(_Bantu!F:F,$T13))</f>
        <v/>
      </c>
      <c r="X13" s="47" t="str">
        <f>IF($T13=0,"",INDEX(_Bantu!G:G,$T13))</f>
        <v/>
      </c>
      <c r="Y13" s="47" t="str">
        <f>IF($T13=0,"",INDEX(_Bantu!H:H,$T13))</f>
        <v/>
      </c>
      <c r="Z13" s="47" t="str">
        <f t="shared" si="4"/>
        <v/>
      </c>
      <c r="AA13" s="36" t="str">
        <f t="shared" si="5"/>
        <v>Belum isi</v>
      </c>
      <c r="AB13" s="47">
        <f t="shared" si="6"/>
        <v>0</v>
      </c>
      <c r="AC13" s="47">
        <f t="shared" si="7"/>
        <v>0</v>
      </c>
      <c r="AD13" s="47">
        <f t="shared" si="8"/>
        <v>0</v>
      </c>
      <c r="AE13" s="47">
        <f t="shared" si="9"/>
        <v>0</v>
      </c>
      <c r="AF13" s="47">
        <f t="shared" si="10"/>
        <v>0</v>
      </c>
      <c r="AG13" s="47">
        <f t="shared" si="11"/>
        <v>0</v>
      </c>
      <c r="AH13" s="47">
        <f t="shared" si="12"/>
        <v>0</v>
      </c>
      <c r="AI13" s="47">
        <f t="shared" si="13"/>
        <v>0</v>
      </c>
      <c r="AJ13" s="47">
        <f t="shared" si="14"/>
        <v>0</v>
      </c>
      <c r="AK13" s="47">
        <f t="shared" si="15"/>
        <v>0</v>
      </c>
      <c r="AL13" s="47">
        <f t="shared" si="16"/>
        <v>0</v>
      </c>
      <c r="AM13" s="47">
        <f t="shared" si="17"/>
        <v>0</v>
      </c>
      <c r="AN13" s="47">
        <f t="shared" si="18"/>
        <v>0</v>
      </c>
      <c r="AO13" s="47">
        <f t="shared" si="19"/>
        <v>0</v>
      </c>
      <c r="AP13" s="47">
        <f t="shared" si="20"/>
        <v>0</v>
      </c>
      <c r="AQ13" s="36" t="b">
        <f t="shared" si="21"/>
        <v>0</v>
      </c>
      <c r="AR13" s="48" t="str">
        <f t="shared" si="22"/>
        <v/>
      </c>
      <c r="AS13" s="48" t="str">
        <f>IF(OR(NOT($AQ13),Log_Putaran!$C$6=""),"",$AR13*SUMPRODUCT($AB13:$AF13,Log_Putaran!$L$6:$P$6))</f>
        <v/>
      </c>
      <c r="AT13" s="48" t="str">
        <f>IF(OR(NOT($AQ13),Log_Putaran!$C$7=""),"",$AR13*SUMPRODUCT($AB13:$AF13,Log_Putaran!$L$7:$P$7))</f>
        <v/>
      </c>
      <c r="AU13" s="48" t="str">
        <f>IF(OR(NOT($AQ13),Log_Putaran!$C$8=""),"",$AR13*SUMPRODUCT($AB13:$AF13,Log_Putaran!$L$8:$P$8))</f>
        <v/>
      </c>
      <c r="AV13" s="48" t="str">
        <f>IF(OR(NOT($AQ13),Log_Putaran!$C$9=""),"",$AR13*SUMPRODUCT($AB13:$AF13,Log_Putaran!$L$9:$P$9))</f>
        <v/>
      </c>
      <c r="AW13" s="48" t="str">
        <f>IF(OR(NOT($AQ13),Log_Putaran!$C$10=""),"",$AR13*SUMPRODUCT($AB13:$AF13,Log_Putaran!$L$10:$P$10))</f>
        <v/>
      </c>
      <c r="AX13" s="48" t="str">
        <f>IF(OR(NOT($AQ13),Log_Putaran!$C$11=""),"",$AR13*SUMPRODUCT($AB13:$AF13,Log_Putaran!$L$11:$P$11))</f>
        <v/>
      </c>
      <c r="AY13" s="48" t="str">
        <f>IF(OR(NOT($AQ13),Log_Putaran!$C$12=""),"",$AR13*SUMPRODUCT($AB13:$AF13,Log_Putaran!$L$12:$P$12))</f>
        <v/>
      </c>
      <c r="AZ13" s="48" t="str">
        <f>IF(OR(NOT($AQ13),Log_Putaran!$C$13=""),"",$AR13*SUMPRODUCT($AB13:$AF13,Log_Putaran!$L$13:$P$13))</f>
        <v/>
      </c>
      <c r="BA13" s="48" t="str">
        <f>IF(OR(NOT($AQ13),Log_Putaran!$C$14=""),"",$AR13*SUMPRODUCT($AB13:$AF13,Log_Putaran!$L$14:$P$14))</f>
        <v/>
      </c>
      <c r="BB13" s="48" t="str">
        <f>IF(OR(NOT($AQ13),Log_Putaran!$C$15=""),"",$AR13*SUMPRODUCT($AB13:$AF13,Log_Putaran!$L$15:$P$15))</f>
        <v/>
      </c>
      <c r="BC13" s="48" t="str">
        <f>IF(OR(NOT($AQ13),Log_Putaran!$C$16=""),"",$BB13*SUMPRODUCT($AG13:$AK13,Log_Putaran!$L$16:$P$16))</f>
        <v/>
      </c>
      <c r="BD13" s="48" t="str">
        <f>IF(OR(NOT($AQ13),Log_Putaran!$C$17=""),"",$BB13*SUMPRODUCT($AG13:$AK13,Log_Putaran!$L$17:$P$17))</f>
        <v/>
      </c>
      <c r="BE13" s="48" t="str">
        <f>IF(OR(NOT($AQ13),Log_Putaran!$C$18=""),"",$BB13*SUMPRODUCT($AG13:$AK13,Log_Putaran!$L$18:$P$18))</f>
        <v/>
      </c>
      <c r="BF13" s="48" t="str">
        <f>IF(OR(NOT($AQ13),Log_Putaran!$C$19=""),"",$BB13*SUMPRODUCT($AG13:$AK13,Log_Putaran!$L$19:$P$19))</f>
        <v/>
      </c>
      <c r="BG13" s="48" t="str">
        <f>IF(OR(NOT($AQ13),Log_Putaran!$C$20=""),"",$BB13*SUMPRODUCT($AG13:$AK13,Log_Putaran!$L$20:$P$20))</f>
        <v/>
      </c>
      <c r="BH13" s="48" t="str">
        <f>IF(OR(NOT($AQ13),Log_Putaran!$C$21=""),"",$BB13*SUMPRODUCT($AG13:$AK13,Log_Putaran!$L$21:$P$21))</f>
        <v/>
      </c>
      <c r="BI13" s="48" t="str">
        <f>IF(OR(NOT($AQ13),Log_Putaran!$C$22=""),"",$BB13*SUMPRODUCT($AG13:$AK13,Log_Putaran!$L$22:$P$22))</f>
        <v/>
      </c>
      <c r="BJ13" s="48" t="str">
        <f>IF(OR(NOT($AQ13),Log_Putaran!$C$23=""),"",$BB13*SUMPRODUCT($AG13:$AK13,Log_Putaran!$L$23:$P$23))</f>
        <v/>
      </c>
      <c r="BK13" s="48" t="str">
        <f>IF(OR(NOT($AQ13),Log_Putaran!$C$24=""),"",$BB13*SUMPRODUCT($AG13:$AK13,Log_Putaran!$L$24:$P$24))</f>
        <v/>
      </c>
      <c r="BL13" s="48" t="str">
        <f>IF(OR(NOT($AQ13),Log_Putaran!$C$25=""),"",$BB13*SUMPRODUCT($AG13:$AK13,Log_Putaran!$L$25:$P$25))</f>
        <v/>
      </c>
      <c r="BM13" s="48" t="str">
        <f>IF(OR(NOT($AQ13),Log_Putaran!$C$26=""),"",$BL13*SUMPRODUCT($AL13:$AP13,Log_Putaran!$L$26:$P$26))</f>
        <v/>
      </c>
      <c r="BN13" s="48" t="str">
        <f>IF(OR(NOT($AQ13),Log_Putaran!$C$27=""),"",$BL13*SUMPRODUCT($AL13:$AP13,Log_Putaran!$L$27:$P$27))</f>
        <v/>
      </c>
      <c r="BO13" s="48" t="str">
        <f>IF(OR(NOT($AQ13),Log_Putaran!$C$28=""),"",$BL13*SUMPRODUCT($AL13:$AP13,Log_Putaran!$L$28:$P$28))</f>
        <v/>
      </c>
      <c r="BP13" s="48" t="str">
        <f>IF(OR(NOT($AQ13),Log_Putaran!$C$29=""),"",$BL13*SUMPRODUCT($AL13:$AP13,Log_Putaran!$L$29:$P$29))</f>
        <v/>
      </c>
      <c r="BQ13" s="48" t="str">
        <f>IF(OR(NOT($AQ13),Log_Putaran!$C$30=""),"",$BL13*SUMPRODUCT($AL13:$AP13,Log_Putaran!$L$30:$P$30))</f>
        <v/>
      </c>
      <c r="BR13" s="48" t="str">
        <f>IF(OR(NOT($AQ13),Log_Putaran!$C$31=""),"",$BL13*SUMPRODUCT($AL13:$AP13,Log_Putaran!$L$31:$P$31))</f>
        <v/>
      </c>
      <c r="BS13" s="48" t="str">
        <f>IF(OR(NOT($AQ13),Log_Putaran!$C$32=""),"",$BL13*SUMPRODUCT($AL13:$AP13,Log_Putaran!$L$32:$P$32))</f>
        <v/>
      </c>
      <c r="BT13" s="48" t="str">
        <f>IF(OR(NOT($AQ13),Log_Putaran!$C$33=""),"",$BL13*SUMPRODUCT($AL13:$AP13,Log_Putaran!$L$33:$P$33))</f>
        <v/>
      </c>
      <c r="BU13" s="48" t="str">
        <f>IF(OR(NOT($AQ13),Log_Putaran!$C$34=""),"",$BL13*SUMPRODUCT($AL13:$AP13,Log_Putaran!$L$34:$P$34))</f>
        <v/>
      </c>
      <c r="BV13" s="48" t="str">
        <f>IF(OR(NOT($AQ13),Log_Putaran!$C$35=""),"",$BL13*SUMPRODUCT($AL13:$AP13,Log_Putaran!$L$35:$P$35))</f>
        <v/>
      </c>
      <c r="BW13" s="48" t="str">
        <f t="shared" si="23"/>
        <v/>
      </c>
      <c r="BX13" s="48" t="str">
        <f t="shared" si="24"/>
        <v/>
      </c>
      <c r="BY13" s="38" t="str">
        <f t="shared" si="25"/>
        <v/>
      </c>
      <c r="BZ13" s="49" t="str">
        <f>IF($AQ13,MAX(_DD!$B13:$AE13),"")</f>
        <v/>
      </c>
      <c r="CA13" s="36">
        <f t="shared" si="26"/>
        <v>-9.9999999999999997E+98</v>
      </c>
      <c r="CB13" s="36" t="str">
        <f t="shared" si="27"/>
        <v/>
      </c>
      <c r="CC13" s="36">
        <f t="shared" si="28"/>
        <v>-9.9999999999999997E+98</v>
      </c>
      <c r="CD13" s="36" t="str">
        <f t="shared" si="29"/>
        <v/>
      </c>
      <c r="CE13" s="36" t="str">
        <f t="shared" si="30"/>
        <v/>
      </c>
      <c r="CF13" s="36">
        <f t="shared" si="31"/>
        <v>-9.9999999999999997E+98</v>
      </c>
    </row>
    <row r="14" spans="1:84">
      <c r="A14" s="36" t="str">
        <f>Peserta!A14</f>
        <v>P09</v>
      </c>
      <c r="B14" s="36" t="str">
        <f>IF($C14&gt;0,INDEX(Input!$C:$C,$C14)&amp;"",IF(Peserta!B14="",$A14,Peserta!B14))</f>
        <v>P09</v>
      </c>
      <c r="C14" s="36">
        <f>SUMPRODUCT(MAX((_Bantu!$A$2:$A$2001=$A14)*ROW(_Bantu!$A$2:$A$2001)))</f>
        <v>0</v>
      </c>
      <c r="D14" s="36">
        <f>SUMPRODUCT(MAX((_Bantu!$C$2:$C$2001=$A14&amp;"|1")*ROW(_Bantu!$C$2:$C$2001)))</f>
        <v>0</v>
      </c>
      <c r="E14" s="47" t="str">
        <f>IF($D14=0,"",INDEX(_Bantu!D:D,$D14))</f>
        <v/>
      </c>
      <c r="F14" s="47" t="str">
        <f>IF($D14=0,"",INDEX(_Bantu!E:E,$D14))</f>
        <v/>
      </c>
      <c r="G14" s="47" t="str">
        <f>IF($D14=0,"",INDEX(_Bantu!F:F,$D14))</f>
        <v/>
      </c>
      <c r="H14" s="47" t="str">
        <f>IF($D14=0,"",INDEX(_Bantu!G:G,$D14))</f>
        <v/>
      </c>
      <c r="I14" s="47" t="str">
        <f>IF($D14=0,"",INDEX(_Bantu!H:H,$D14))</f>
        <v/>
      </c>
      <c r="J14" s="47" t="str">
        <f t="shared" si="0"/>
        <v/>
      </c>
      <c r="K14" s="36" t="str">
        <f t="shared" si="1"/>
        <v>Belum isi</v>
      </c>
      <c r="L14" s="36">
        <f>SUMPRODUCT(MAX((_Bantu!$C$2:$C$2001=$A14&amp;"|2")*ROW(_Bantu!$C$2:$C$2001)))</f>
        <v>0</v>
      </c>
      <c r="M14" s="47" t="str">
        <f>IF($L14=0,"",INDEX(_Bantu!D:D,$L14))</f>
        <v/>
      </c>
      <c r="N14" s="47" t="str">
        <f>IF($L14=0,"",INDEX(_Bantu!E:E,$L14))</f>
        <v/>
      </c>
      <c r="O14" s="47" t="str">
        <f>IF($L14=0,"",INDEX(_Bantu!F:F,$L14))</f>
        <v/>
      </c>
      <c r="P14" s="47" t="str">
        <f>IF($L14=0,"",INDEX(_Bantu!G:G,$L14))</f>
        <v/>
      </c>
      <c r="Q14" s="47" t="str">
        <f>IF($L14=0,"",INDEX(_Bantu!H:H,$L14))</f>
        <v/>
      </c>
      <c r="R14" s="47" t="str">
        <f t="shared" si="2"/>
        <v/>
      </c>
      <c r="S14" s="36" t="str">
        <f t="shared" si="3"/>
        <v>Belum isi</v>
      </c>
      <c r="T14" s="36">
        <f>SUMPRODUCT(MAX((_Bantu!$C$2:$C$2001=$A14&amp;"|3")*ROW(_Bantu!$C$2:$C$2001)))</f>
        <v>0</v>
      </c>
      <c r="U14" s="47" t="str">
        <f>IF($T14=0,"",INDEX(_Bantu!D:D,$T14))</f>
        <v/>
      </c>
      <c r="V14" s="47" t="str">
        <f>IF($T14=0,"",INDEX(_Bantu!E:E,$T14))</f>
        <v/>
      </c>
      <c r="W14" s="47" t="str">
        <f>IF($T14=0,"",INDEX(_Bantu!F:F,$T14))</f>
        <v/>
      </c>
      <c r="X14" s="47" t="str">
        <f>IF($T14=0,"",INDEX(_Bantu!G:G,$T14))</f>
        <v/>
      </c>
      <c r="Y14" s="47" t="str">
        <f>IF($T14=0,"",INDEX(_Bantu!H:H,$T14))</f>
        <v/>
      </c>
      <c r="Z14" s="47" t="str">
        <f t="shared" si="4"/>
        <v/>
      </c>
      <c r="AA14" s="36" t="str">
        <f t="shared" si="5"/>
        <v>Belum isi</v>
      </c>
      <c r="AB14" s="47">
        <f t="shared" si="6"/>
        <v>0</v>
      </c>
      <c r="AC14" s="47">
        <f t="shared" si="7"/>
        <v>0</v>
      </c>
      <c r="AD14" s="47">
        <f t="shared" si="8"/>
        <v>0</v>
      </c>
      <c r="AE14" s="47">
        <f t="shared" si="9"/>
        <v>0</v>
      </c>
      <c r="AF14" s="47">
        <f t="shared" si="10"/>
        <v>0</v>
      </c>
      <c r="AG14" s="47">
        <f t="shared" si="11"/>
        <v>0</v>
      </c>
      <c r="AH14" s="47">
        <f t="shared" si="12"/>
        <v>0</v>
      </c>
      <c r="AI14" s="47">
        <f t="shared" si="13"/>
        <v>0</v>
      </c>
      <c r="AJ14" s="47">
        <f t="shared" si="14"/>
        <v>0</v>
      </c>
      <c r="AK14" s="47">
        <f t="shared" si="15"/>
        <v>0</v>
      </c>
      <c r="AL14" s="47">
        <f t="shared" si="16"/>
        <v>0</v>
      </c>
      <c r="AM14" s="47">
        <f t="shared" si="17"/>
        <v>0</v>
      </c>
      <c r="AN14" s="47">
        <f t="shared" si="18"/>
        <v>0</v>
      </c>
      <c r="AO14" s="47">
        <f t="shared" si="19"/>
        <v>0</v>
      </c>
      <c r="AP14" s="47">
        <f t="shared" si="20"/>
        <v>0</v>
      </c>
      <c r="AQ14" s="36" t="b">
        <f t="shared" si="21"/>
        <v>0</v>
      </c>
      <c r="AR14" s="48" t="str">
        <f t="shared" si="22"/>
        <v/>
      </c>
      <c r="AS14" s="48" t="str">
        <f>IF(OR(NOT($AQ14),Log_Putaran!$C$6=""),"",$AR14*SUMPRODUCT($AB14:$AF14,Log_Putaran!$L$6:$P$6))</f>
        <v/>
      </c>
      <c r="AT14" s="48" t="str">
        <f>IF(OR(NOT($AQ14),Log_Putaran!$C$7=""),"",$AR14*SUMPRODUCT($AB14:$AF14,Log_Putaran!$L$7:$P$7))</f>
        <v/>
      </c>
      <c r="AU14" s="48" t="str">
        <f>IF(OR(NOT($AQ14),Log_Putaran!$C$8=""),"",$AR14*SUMPRODUCT($AB14:$AF14,Log_Putaran!$L$8:$P$8))</f>
        <v/>
      </c>
      <c r="AV14" s="48" t="str">
        <f>IF(OR(NOT($AQ14),Log_Putaran!$C$9=""),"",$AR14*SUMPRODUCT($AB14:$AF14,Log_Putaran!$L$9:$P$9))</f>
        <v/>
      </c>
      <c r="AW14" s="48" t="str">
        <f>IF(OR(NOT($AQ14),Log_Putaran!$C$10=""),"",$AR14*SUMPRODUCT($AB14:$AF14,Log_Putaran!$L$10:$P$10))</f>
        <v/>
      </c>
      <c r="AX14" s="48" t="str">
        <f>IF(OR(NOT($AQ14),Log_Putaran!$C$11=""),"",$AR14*SUMPRODUCT($AB14:$AF14,Log_Putaran!$L$11:$P$11))</f>
        <v/>
      </c>
      <c r="AY14" s="48" t="str">
        <f>IF(OR(NOT($AQ14),Log_Putaran!$C$12=""),"",$AR14*SUMPRODUCT($AB14:$AF14,Log_Putaran!$L$12:$P$12))</f>
        <v/>
      </c>
      <c r="AZ14" s="48" t="str">
        <f>IF(OR(NOT($AQ14),Log_Putaran!$C$13=""),"",$AR14*SUMPRODUCT($AB14:$AF14,Log_Putaran!$L$13:$P$13))</f>
        <v/>
      </c>
      <c r="BA14" s="48" t="str">
        <f>IF(OR(NOT($AQ14),Log_Putaran!$C$14=""),"",$AR14*SUMPRODUCT($AB14:$AF14,Log_Putaran!$L$14:$P$14))</f>
        <v/>
      </c>
      <c r="BB14" s="48" t="str">
        <f>IF(OR(NOT($AQ14),Log_Putaran!$C$15=""),"",$AR14*SUMPRODUCT($AB14:$AF14,Log_Putaran!$L$15:$P$15))</f>
        <v/>
      </c>
      <c r="BC14" s="48" t="str">
        <f>IF(OR(NOT($AQ14),Log_Putaran!$C$16=""),"",$BB14*SUMPRODUCT($AG14:$AK14,Log_Putaran!$L$16:$P$16))</f>
        <v/>
      </c>
      <c r="BD14" s="48" t="str">
        <f>IF(OR(NOT($AQ14),Log_Putaran!$C$17=""),"",$BB14*SUMPRODUCT($AG14:$AK14,Log_Putaran!$L$17:$P$17))</f>
        <v/>
      </c>
      <c r="BE14" s="48" t="str">
        <f>IF(OR(NOT($AQ14),Log_Putaran!$C$18=""),"",$BB14*SUMPRODUCT($AG14:$AK14,Log_Putaran!$L$18:$P$18))</f>
        <v/>
      </c>
      <c r="BF14" s="48" t="str">
        <f>IF(OR(NOT($AQ14),Log_Putaran!$C$19=""),"",$BB14*SUMPRODUCT($AG14:$AK14,Log_Putaran!$L$19:$P$19))</f>
        <v/>
      </c>
      <c r="BG14" s="48" t="str">
        <f>IF(OR(NOT($AQ14),Log_Putaran!$C$20=""),"",$BB14*SUMPRODUCT($AG14:$AK14,Log_Putaran!$L$20:$P$20))</f>
        <v/>
      </c>
      <c r="BH14" s="48" t="str">
        <f>IF(OR(NOT($AQ14),Log_Putaran!$C$21=""),"",$BB14*SUMPRODUCT($AG14:$AK14,Log_Putaran!$L$21:$P$21))</f>
        <v/>
      </c>
      <c r="BI14" s="48" t="str">
        <f>IF(OR(NOT($AQ14),Log_Putaran!$C$22=""),"",$BB14*SUMPRODUCT($AG14:$AK14,Log_Putaran!$L$22:$P$22))</f>
        <v/>
      </c>
      <c r="BJ14" s="48" t="str">
        <f>IF(OR(NOT($AQ14),Log_Putaran!$C$23=""),"",$BB14*SUMPRODUCT($AG14:$AK14,Log_Putaran!$L$23:$P$23))</f>
        <v/>
      </c>
      <c r="BK14" s="48" t="str">
        <f>IF(OR(NOT($AQ14),Log_Putaran!$C$24=""),"",$BB14*SUMPRODUCT($AG14:$AK14,Log_Putaran!$L$24:$P$24))</f>
        <v/>
      </c>
      <c r="BL14" s="48" t="str">
        <f>IF(OR(NOT($AQ14),Log_Putaran!$C$25=""),"",$BB14*SUMPRODUCT($AG14:$AK14,Log_Putaran!$L$25:$P$25))</f>
        <v/>
      </c>
      <c r="BM14" s="48" t="str">
        <f>IF(OR(NOT($AQ14),Log_Putaran!$C$26=""),"",$BL14*SUMPRODUCT($AL14:$AP14,Log_Putaran!$L$26:$P$26))</f>
        <v/>
      </c>
      <c r="BN14" s="48" t="str">
        <f>IF(OR(NOT($AQ14),Log_Putaran!$C$27=""),"",$BL14*SUMPRODUCT($AL14:$AP14,Log_Putaran!$L$27:$P$27))</f>
        <v/>
      </c>
      <c r="BO14" s="48" t="str">
        <f>IF(OR(NOT($AQ14),Log_Putaran!$C$28=""),"",$BL14*SUMPRODUCT($AL14:$AP14,Log_Putaran!$L$28:$P$28))</f>
        <v/>
      </c>
      <c r="BP14" s="48" t="str">
        <f>IF(OR(NOT($AQ14),Log_Putaran!$C$29=""),"",$BL14*SUMPRODUCT($AL14:$AP14,Log_Putaran!$L$29:$P$29))</f>
        <v/>
      </c>
      <c r="BQ14" s="48" t="str">
        <f>IF(OR(NOT($AQ14),Log_Putaran!$C$30=""),"",$BL14*SUMPRODUCT($AL14:$AP14,Log_Putaran!$L$30:$P$30))</f>
        <v/>
      </c>
      <c r="BR14" s="48" t="str">
        <f>IF(OR(NOT($AQ14),Log_Putaran!$C$31=""),"",$BL14*SUMPRODUCT($AL14:$AP14,Log_Putaran!$L$31:$P$31))</f>
        <v/>
      </c>
      <c r="BS14" s="48" t="str">
        <f>IF(OR(NOT($AQ14),Log_Putaran!$C$32=""),"",$BL14*SUMPRODUCT($AL14:$AP14,Log_Putaran!$L$32:$P$32))</f>
        <v/>
      </c>
      <c r="BT14" s="48" t="str">
        <f>IF(OR(NOT($AQ14),Log_Putaran!$C$33=""),"",$BL14*SUMPRODUCT($AL14:$AP14,Log_Putaran!$L$33:$P$33))</f>
        <v/>
      </c>
      <c r="BU14" s="48" t="str">
        <f>IF(OR(NOT($AQ14),Log_Putaran!$C$34=""),"",$BL14*SUMPRODUCT($AL14:$AP14,Log_Putaran!$L$34:$P$34))</f>
        <v/>
      </c>
      <c r="BV14" s="48" t="str">
        <f>IF(OR(NOT($AQ14),Log_Putaran!$C$35=""),"",$BL14*SUMPRODUCT($AL14:$AP14,Log_Putaran!$L$35:$P$35))</f>
        <v/>
      </c>
      <c r="BW14" s="48" t="str">
        <f t="shared" si="23"/>
        <v/>
      </c>
      <c r="BX14" s="48" t="str">
        <f t="shared" si="24"/>
        <v/>
      </c>
      <c r="BY14" s="38" t="str">
        <f t="shared" si="25"/>
        <v/>
      </c>
      <c r="BZ14" s="49" t="str">
        <f>IF($AQ14,MAX(_DD!$B14:$AE14),"")</f>
        <v/>
      </c>
      <c r="CA14" s="36">
        <f t="shared" si="26"/>
        <v>-9.9999999999999997E+98</v>
      </c>
      <c r="CB14" s="36" t="str">
        <f t="shared" si="27"/>
        <v/>
      </c>
      <c r="CC14" s="36">
        <f t="shared" si="28"/>
        <v>-9.9999999999999997E+98</v>
      </c>
      <c r="CD14" s="36" t="str">
        <f t="shared" si="29"/>
        <v/>
      </c>
      <c r="CE14" s="36" t="str">
        <f t="shared" si="30"/>
        <v/>
      </c>
      <c r="CF14" s="36">
        <f t="shared" si="31"/>
        <v>-9.9999999999999997E+98</v>
      </c>
    </row>
    <row r="15" spans="1:84">
      <c r="A15" s="36" t="str">
        <f>Peserta!A15</f>
        <v>P10</v>
      </c>
      <c r="B15" s="36" t="str">
        <f>IF($C15&gt;0,INDEX(Input!$C:$C,$C15)&amp;"",IF(Peserta!B15="",$A15,Peserta!B15))</f>
        <v>P10</v>
      </c>
      <c r="C15" s="36">
        <f>SUMPRODUCT(MAX((_Bantu!$A$2:$A$2001=$A15)*ROW(_Bantu!$A$2:$A$2001)))</f>
        <v>0</v>
      </c>
      <c r="D15" s="36">
        <f>SUMPRODUCT(MAX((_Bantu!$C$2:$C$2001=$A15&amp;"|1")*ROW(_Bantu!$C$2:$C$2001)))</f>
        <v>0</v>
      </c>
      <c r="E15" s="47" t="str">
        <f>IF($D15=0,"",INDEX(_Bantu!D:D,$D15))</f>
        <v/>
      </c>
      <c r="F15" s="47" t="str">
        <f>IF($D15=0,"",INDEX(_Bantu!E:E,$D15))</f>
        <v/>
      </c>
      <c r="G15" s="47" t="str">
        <f>IF($D15=0,"",INDEX(_Bantu!F:F,$D15))</f>
        <v/>
      </c>
      <c r="H15" s="47" t="str">
        <f>IF($D15=0,"",INDEX(_Bantu!G:G,$D15))</f>
        <v/>
      </c>
      <c r="I15" s="47" t="str">
        <f>IF($D15=0,"",INDEX(_Bantu!H:H,$D15))</f>
        <v/>
      </c>
      <c r="J15" s="47" t="str">
        <f t="shared" si="0"/>
        <v/>
      </c>
      <c r="K15" s="36" t="str">
        <f t="shared" si="1"/>
        <v>Belum isi</v>
      </c>
      <c r="L15" s="36">
        <f>SUMPRODUCT(MAX((_Bantu!$C$2:$C$2001=$A15&amp;"|2")*ROW(_Bantu!$C$2:$C$2001)))</f>
        <v>0</v>
      </c>
      <c r="M15" s="47" t="str">
        <f>IF($L15=0,"",INDEX(_Bantu!D:D,$L15))</f>
        <v/>
      </c>
      <c r="N15" s="47" t="str">
        <f>IF($L15=0,"",INDEX(_Bantu!E:E,$L15))</f>
        <v/>
      </c>
      <c r="O15" s="47" t="str">
        <f>IF($L15=0,"",INDEX(_Bantu!F:F,$L15))</f>
        <v/>
      </c>
      <c r="P15" s="47" t="str">
        <f>IF($L15=0,"",INDEX(_Bantu!G:G,$L15))</f>
        <v/>
      </c>
      <c r="Q15" s="47" t="str">
        <f>IF($L15=0,"",INDEX(_Bantu!H:H,$L15))</f>
        <v/>
      </c>
      <c r="R15" s="47" t="str">
        <f t="shared" si="2"/>
        <v/>
      </c>
      <c r="S15" s="36" t="str">
        <f t="shared" si="3"/>
        <v>Belum isi</v>
      </c>
      <c r="T15" s="36">
        <f>SUMPRODUCT(MAX((_Bantu!$C$2:$C$2001=$A15&amp;"|3")*ROW(_Bantu!$C$2:$C$2001)))</f>
        <v>0</v>
      </c>
      <c r="U15" s="47" t="str">
        <f>IF($T15=0,"",INDEX(_Bantu!D:D,$T15))</f>
        <v/>
      </c>
      <c r="V15" s="47" t="str">
        <f>IF($T15=0,"",INDEX(_Bantu!E:E,$T15))</f>
        <v/>
      </c>
      <c r="W15" s="47" t="str">
        <f>IF($T15=0,"",INDEX(_Bantu!F:F,$T15))</f>
        <v/>
      </c>
      <c r="X15" s="47" t="str">
        <f>IF($T15=0,"",INDEX(_Bantu!G:G,$T15))</f>
        <v/>
      </c>
      <c r="Y15" s="47" t="str">
        <f>IF($T15=0,"",INDEX(_Bantu!H:H,$T15))</f>
        <v/>
      </c>
      <c r="Z15" s="47" t="str">
        <f t="shared" si="4"/>
        <v/>
      </c>
      <c r="AA15" s="36" t="str">
        <f t="shared" si="5"/>
        <v>Belum isi</v>
      </c>
      <c r="AB15" s="47">
        <f t="shared" si="6"/>
        <v>0</v>
      </c>
      <c r="AC15" s="47">
        <f t="shared" si="7"/>
        <v>0</v>
      </c>
      <c r="AD15" s="47">
        <f t="shared" si="8"/>
        <v>0</v>
      </c>
      <c r="AE15" s="47">
        <f t="shared" si="9"/>
        <v>0</v>
      </c>
      <c r="AF15" s="47">
        <f t="shared" si="10"/>
        <v>0</v>
      </c>
      <c r="AG15" s="47">
        <f t="shared" si="11"/>
        <v>0</v>
      </c>
      <c r="AH15" s="47">
        <f t="shared" si="12"/>
        <v>0</v>
      </c>
      <c r="AI15" s="47">
        <f t="shared" si="13"/>
        <v>0</v>
      </c>
      <c r="AJ15" s="47">
        <f t="shared" si="14"/>
        <v>0</v>
      </c>
      <c r="AK15" s="47">
        <f t="shared" si="15"/>
        <v>0</v>
      </c>
      <c r="AL15" s="47">
        <f t="shared" si="16"/>
        <v>0</v>
      </c>
      <c r="AM15" s="47">
        <f t="shared" si="17"/>
        <v>0</v>
      </c>
      <c r="AN15" s="47">
        <f t="shared" si="18"/>
        <v>0</v>
      </c>
      <c r="AO15" s="47">
        <f t="shared" si="19"/>
        <v>0</v>
      </c>
      <c r="AP15" s="47">
        <f t="shared" si="20"/>
        <v>0</v>
      </c>
      <c r="AQ15" s="36" t="b">
        <f t="shared" si="21"/>
        <v>0</v>
      </c>
      <c r="AR15" s="48" t="str">
        <f t="shared" si="22"/>
        <v/>
      </c>
      <c r="AS15" s="48" t="str">
        <f>IF(OR(NOT($AQ15),Log_Putaran!$C$6=""),"",$AR15*SUMPRODUCT($AB15:$AF15,Log_Putaran!$L$6:$P$6))</f>
        <v/>
      </c>
      <c r="AT15" s="48" t="str">
        <f>IF(OR(NOT($AQ15),Log_Putaran!$C$7=""),"",$AR15*SUMPRODUCT($AB15:$AF15,Log_Putaran!$L$7:$P$7))</f>
        <v/>
      </c>
      <c r="AU15" s="48" t="str">
        <f>IF(OR(NOT($AQ15),Log_Putaran!$C$8=""),"",$AR15*SUMPRODUCT($AB15:$AF15,Log_Putaran!$L$8:$P$8))</f>
        <v/>
      </c>
      <c r="AV15" s="48" t="str">
        <f>IF(OR(NOT($AQ15),Log_Putaran!$C$9=""),"",$AR15*SUMPRODUCT($AB15:$AF15,Log_Putaran!$L$9:$P$9))</f>
        <v/>
      </c>
      <c r="AW15" s="48" t="str">
        <f>IF(OR(NOT($AQ15),Log_Putaran!$C$10=""),"",$AR15*SUMPRODUCT($AB15:$AF15,Log_Putaran!$L$10:$P$10))</f>
        <v/>
      </c>
      <c r="AX15" s="48" t="str">
        <f>IF(OR(NOT($AQ15),Log_Putaran!$C$11=""),"",$AR15*SUMPRODUCT($AB15:$AF15,Log_Putaran!$L$11:$P$11))</f>
        <v/>
      </c>
      <c r="AY15" s="48" t="str">
        <f>IF(OR(NOT($AQ15),Log_Putaran!$C$12=""),"",$AR15*SUMPRODUCT($AB15:$AF15,Log_Putaran!$L$12:$P$12))</f>
        <v/>
      </c>
      <c r="AZ15" s="48" t="str">
        <f>IF(OR(NOT($AQ15),Log_Putaran!$C$13=""),"",$AR15*SUMPRODUCT($AB15:$AF15,Log_Putaran!$L$13:$P$13))</f>
        <v/>
      </c>
      <c r="BA15" s="48" t="str">
        <f>IF(OR(NOT($AQ15),Log_Putaran!$C$14=""),"",$AR15*SUMPRODUCT($AB15:$AF15,Log_Putaran!$L$14:$P$14))</f>
        <v/>
      </c>
      <c r="BB15" s="48" t="str">
        <f>IF(OR(NOT($AQ15),Log_Putaran!$C$15=""),"",$AR15*SUMPRODUCT($AB15:$AF15,Log_Putaran!$L$15:$P$15))</f>
        <v/>
      </c>
      <c r="BC15" s="48" t="str">
        <f>IF(OR(NOT($AQ15),Log_Putaran!$C$16=""),"",$BB15*SUMPRODUCT($AG15:$AK15,Log_Putaran!$L$16:$P$16))</f>
        <v/>
      </c>
      <c r="BD15" s="48" t="str">
        <f>IF(OR(NOT($AQ15),Log_Putaran!$C$17=""),"",$BB15*SUMPRODUCT($AG15:$AK15,Log_Putaran!$L$17:$P$17))</f>
        <v/>
      </c>
      <c r="BE15" s="48" t="str">
        <f>IF(OR(NOT($AQ15),Log_Putaran!$C$18=""),"",$BB15*SUMPRODUCT($AG15:$AK15,Log_Putaran!$L$18:$P$18))</f>
        <v/>
      </c>
      <c r="BF15" s="48" t="str">
        <f>IF(OR(NOT($AQ15),Log_Putaran!$C$19=""),"",$BB15*SUMPRODUCT($AG15:$AK15,Log_Putaran!$L$19:$P$19))</f>
        <v/>
      </c>
      <c r="BG15" s="48" t="str">
        <f>IF(OR(NOT($AQ15),Log_Putaran!$C$20=""),"",$BB15*SUMPRODUCT($AG15:$AK15,Log_Putaran!$L$20:$P$20))</f>
        <v/>
      </c>
      <c r="BH15" s="48" t="str">
        <f>IF(OR(NOT($AQ15),Log_Putaran!$C$21=""),"",$BB15*SUMPRODUCT($AG15:$AK15,Log_Putaran!$L$21:$P$21))</f>
        <v/>
      </c>
      <c r="BI15" s="48" t="str">
        <f>IF(OR(NOT($AQ15),Log_Putaran!$C$22=""),"",$BB15*SUMPRODUCT($AG15:$AK15,Log_Putaran!$L$22:$P$22))</f>
        <v/>
      </c>
      <c r="BJ15" s="48" t="str">
        <f>IF(OR(NOT($AQ15),Log_Putaran!$C$23=""),"",$BB15*SUMPRODUCT($AG15:$AK15,Log_Putaran!$L$23:$P$23))</f>
        <v/>
      </c>
      <c r="BK15" s="48" t="str">
        <f>IF(OR(NOT($AQ15),Log_Putaran!$C$24=""),"",$BB15*SUMPRODUCT($AG15:$AK15,Log_Putaran!$L$24:$P$24))</f>
        <v/>
      </c>
      <c r="BL15" s="48" t="str">
        <f>IF(OR(NOT($AQ15),Log_Putaran!$C$25=""),"",$BB15*SUMPRODUCT($AG15:$AK15,Log_Putaran!$L$25:$P$25))</f>
        <v/>
      </c>
      <c r="BM15" s="48" t="str">
        <f>IF(OR(NOT($AQ15),Log_Putaran!$C$26=""),"",$BL15*SUMPRODUCT($AL15:$AP15,Log_Putaran!$L$26:$P$26))</f>
        <v/>
      </c>
      <c r="BN15" s="48" t="str">
        <f>IF(OR(NOT($AQ15),Log_Putaran!$C$27=""),"",$BL15*SUMPRODUCT($AL15:$AP15,Log_Putaran!$L$27:$P$27))</f>
        <v/>
      </c>
      <c r="BO15" s="48" t="str">
        <f>IF(OR(NOT($AQ15),Log_Putaran!$C$28=""),"",$BL15*SUMPRODUCT($AL15:$AP15,Log_Putaran!$L$28:$P$28))</f>
        <v/>
      </c>
      <c r="BP15" s="48" t="str">
        <f>IF(OR(NOT($AQ15),Log_Putaran!$C$29=""),"",$BL15*SUMPRODUCT($AL15:$AP15,Log_Putaran!$L$29:$P$29))</f>
        <v/>
      </c>
      <c r="BQ15" s="48" t="str">
        <f>IF(OR(NOT($AQ15),Log_Putaran!$C$30=""),"",$BL15*SUMPRODUCT($AL15:$AP15,Log_Putaran!$L$30:$P$30))</f>
        <v/>
      </c>
      <c r="BR15" s="48" t="str">
        <f>IF(OR(NOT($AQ15),Log_Putaran!$C$31=""),"",$BL15*SUMPRODUCT($AL15:$AP15,Log_Putaran!$L$31:$P$31))</f>
        <v/>
      </c>
      <c r="BS15" s="48" t="str">
        <f>IF(OR(NOT($AQ15),Log_Putaran!$C$32=""),"",$BL15*SUMPRODUCT($AL15:$AP15,Log_Putaran!$L$32:$P$32))</f>
        <v/>
      </c>
      <c r="BT15" s="48" t="str">
        <f>IF(OR(NOT($AQ15),Log_Putaran!$C$33=""),"",$BL15*SUMPRODUCT($AL15:$AP15,Log_Putaran!$L$33:$P$33))</f>
        <v/>
      </c>
      <c r="BU15" s="48" t="str">
        <f>IF(OR(NOT($AQ15),Log_Putaran!$C$34=""),"",$BL15*SUMPRODUCT($AL15:$AP15,Log_Putaran!$L$34:$P$34))</f>
        <v/>
      </c>
      <c r="BV15" s="48" t="str">
        <f>IF(OR(NOT($AQ15),Log_Putaran!$C$35=""),"",$BL15*SUMPRODUCT($AL15:$AP15,Log_Putaran!$L$35:$P$35))</f>
        <v/>
      </c>
      <c r="BW15" s="48" t="str">
        <f t="shared" si="23"/>
        <v/>
      </c>
      <c r="BX15" s="48" t="str">
        <f t="shared" si="24"/>
        <v/>
      </c>
      <c r="BY15" s="38" t="str">
        <f t="shared" si="25"/>
        <v/>
      </c>
      <c r="BZ15" s="49" t="str">
        <f>IF($AQ15,MAX(_DD!$B15:$AE15),"")</f>
        <v/>
      </c>
      <c r="CA15" s="36">
        <f t="shared" si="26"/>
        <v>-9.9999999999999997E+98</v>
      </c>
      <c r="CB15" s="36" t="str">
        <f t="shared" si="27"/>
        <v/>
      </c>
      <c r="CC15" s="36">
        <f t="shared" si="28"/>
        <v>-9.9999999999999997E+98</v>
      </c>
      <c r="CD15" s="36" t="str">
        <f t="shared" si="29"/>
        <v/>
      </c>
      <c r="CE15" s="36" t="str">
        <f t="shared" si="30"/>
        <v/>
      </c>
      <c r="CF15" s="36">
        <f t="shared" si="31"/>
        <v>-9.9999999999999997E+98</v>
      </c>
    </row>
    <row r="16" spans="1:84">
      <c r="A16" s="36" t="str">
        <f>Peserta!A16</f>
        <v>P11</v>
      </c>
      <c r="B16" s="36" t="str">
        <f>IF($C16&gt;0,INDEX(Input!$C:$C,$C16)&amp;"",IF(Peserta!B16="",$A16,Peserta!B16))</f>
        <v>P11</v>
      </c>
      <c r="C16" s="36">
        <f>SUMPRODUCT(MAX((_Bantu!$A$2:$A$2001=$A16)*ROW(_Bantu!$A$2:$A$2001)))</f>
        <v>0</v>
      </c>
      <c r="D16" s="36">
        <f>SUMPRODUCT(MAX((_Bantu!$C$2:$C$2001=$A16&amp;"|1")*ROW(_Bantu!$C$2:$C$2001)))</f>
        <v>0</v>
      </c>
      <c r="E16" s="47" t="str">
        <f>IF($D16=0,"",INDEX(_Bantu!D:D,$D16))</f>
        <v/>
      </c>
      <c r="F16" s="47" t="str">
        <f>IF($D16=0,"",INDEX(_Bantu!E:E,$D16))</f>
        <v/>
      </c>
      <c r="G16" s="47" t="str">
        <f>IF($D16=0,"",INDEX(_Bantu!F:F,$D16))</f>
        <v/>
      </c>
      <c r="H16" s="47" t="str">
        <f>IF($D16=0,"",INDEX(_Bantu!G:G,$D16))</f>
        <v/>
      </c>
      <c r="I16" s="47" t="str">
        <f>IF($D16=0,"",INDEX(_Bantu!H:H,$D16))</f>
        <v/>
      </c>
      <c r="J16" s="47" t="str">
        <f t="shared" si="0"/>
        <v/>
      </c>
      <c r="K16" s="36" t="str">
        <f t="shared" si="1"/>
        <v>Belum isi</v>
      </c>
      <c r="L16" s="36">
        <f>SUMPRODUCT(MAX((_Bantu!$C$2:$C$2001=$A16&amp;"|2")*ROW(_Bantu!$C$2:$C$2001)))</f>
        <v>0</v>
      </c>
      <c r="M16" s="47" t="str">
        <f>IF($L16=0,"",INDEX(_Bantu!D:D,$L16))</f>
        <v/>
      </c>
      <c r="N16" s="47" t="str">
        <f>IF($L16=0,"",INDEX(_Bantu!E:E,$L16))</f>
        <v/>
      </c>
      <c r="O16" s="47" t="str">
        <f>IF($L16=0,"",INDEX(_Bantu!F:F,$L16))</f>
        <v/>
      </c>
      <c r="P16" s="47" t="str">
        <f>IF($L16=0,"",INDEX(_Bantu!G:G,$L16))</f>
        <v/>
      </c>
      <c r="Q16" s="47" t="str">
        <f>IF($L16=0,"",INDEX(_Bantu!H:H,$L16))</f>
        <v/>
      </c>
      <c r="R16" s="47" t="str">
        <f t="shared" si="2"/>
        <v/>
      </c>
      <c r="S16" s="36" t="str">
        <f t="shared" si="3"/>
        <v>Belum isi</v>
      </c>
      <c r="T16" s="36">
        <f>SUMPRODUCT(MAX((_Bantu!$C$2:$C$2001=$A16&amp;"|3")*ROW(_Bantu!$C$2:$C$2001)))</f>
        <v>0</v>
      </c>
      <c r="U16" s="47" t="str">
        <f>IF($T16=0,"",INDEX(_Bantu!D:D,$T16))</f>
        <v/>
      </c>
      <c r="V16" s="47" t="str">
        <f>IF($T16=0,"",INDEX(_Bantu!E:E,$T16))</f>
        <v/>
      </c>
      <c r="W16" s="47" t="str">
        <f>IF($T16=0,"",INDEX(_Bantu!F:F,$T16))</f>
        <v/>
      </c>
      <c r="X16" s="47" t="str">
        <f>IF($T16=0,"",INDEX(_Bantu!G:G,$T16))</f>
        <v/>
      </c>
      <c r="Y16" s="47" t="str">
        <f>IF($T16=0,"",INDEX(_Bantu!H:H,$T16))</f>
        <v/>
      </c>
      <c r="Z16" s="47" t="str">
        <f t="shared" si="4"/>
        <v/>
      </c>
      <c r="AA16" s="36" t="str">
        <f t="shared" si="5"/>
        <v>Belum isi</v>
      </c>
      <c r="AB16" s="47">
        <f t="shared" si="6"/>
        <v>0</v>
      </c>
      <c r="AC16" s="47">
        <f t="shared" si="7"/>
        <v>0</v>
      </c>
      <c r="AD16" s="47">
        <f t="shared" si="8"/>
        <v>0</v>
      </c>
      <c r="AE16" s="47">
        <f t="shared" si="9"/>
        <v>0</v>
      </c>
      <c r="AF16" s="47">
        <f t="shared" si="10"/>
        <v>0</v>
      </c>
      <c r="AG16" s="47">
        <f t="shared" si="11"/>
        <v>0</v>
      </c>
      <c r="AH16" s="47">
        <f t="shared" si="12"/>
        <v>0</v>
      </c>
      <c r="AI16" s="47">
        <f t="shared" si="13"/>
        <v>0</v>
      </c>
      <c r="AJ16" s="47">
        <f t="shared" si="14"/>
        <v>0</v>
      </c>
      <c r="AK16" s="47">
        <f t="shared" si="15"/>
        <v>0</v>
      </c>
      <c r="AL16" s="47">
        <f t="shared" si="16"/>
        <v>0</v>
      </c>
      <c r="AM16" s="47">
        <f t="shared" si="17"/>
        <v>0</v>
      </c>
      <c r="AN16" s="47">
        <f t="shared" si="18"/>
        <v>0</v>
      </c>
      <c r="AO16" s="47">
        <f t="shared" si="19"/>
        <v>0</v>
      </c>
      <c r="AP16" s="47">
        <f t="shared" si="20"/>
        <v>0</v>
      </c>
      <c r="AQ16" s="36" t="b">
        <f t="shared" si="21"/>
        <v>0</v>
      </c>
      <c r="AR16" s="48" t="str">
        <f t="shared" si="22"/>
        <v/>
      </c>
      <c r="AS16" s="48" t="str">
        <f>IF(OR(NOT($AQ16),Log_Putaran!$C$6=""),"",$AR16*SUMPRODUCT($AB16:$AF16,Log_Putaran!$L$6:$P$6))</f>
        <v/>
      </c>
      <c r="AT16" s="48" t="str">
        <f>IF(OR(NOT($AQ16),Log_Putaran!$C$7=""),"",$AR16*SUMPRODUCT($AB16:$AF16,Log_Putaran!$L$7:$P$7))</f>
        <v/>
      </c>
      <c r="AU16" s="48" t="str">
        <f>IF(OR(NOT($AQ16),Log_Putaran!$C$8=""),"",$AR16*SUMPRODUCT($AB16:$AF16,Log_Putaran!$L$8:$P$8))</f>
        <v/>
      </c>
      <c r="AV16" s="48" t="str">
        <f>IF(OR(NOT($AQ16),Log_Putaran!$C$9=""),"",$AR16*SUMPRODUCT($AB16:$AF16,Log_Putaran!$L$9:$P$9))</f>
        <v/>
      </c>
      <c r="AW16" s="48" t="str">
        <f>IF(OR(NOT($AQ16),Log_Putaran!$C$10=""),"",$AR16*SUMPRODUCT($AB16:$AF16,Log_Putaran!$L$10:$P$10))</f>
        <v/>
      </c>
      <c r="AX16" s="48" t="str">
        <f>IF(OR(NOT($AQ16),Log_Putaran!$C$11=""),"",$AR16*SUMPRODUCT($AB16:$AF16,Log_Putaran!$L$11:$P$11))</f>
        <v/>
      </c>
      <c r="AY16" s="48" t="str">
        <f>IF(OR(NOT($AQ16),Log_Putaran!$C$12=""),"",$AR16*SUMPRODUCT($AB16:$AF16,Log_Putaran!$L$12:$P$12))</f>
        <v/>
      </c>
      <c r="AZ16" s="48" t="str">
        <f>IF(OR(NOT($AQ16),Log_Putaran!$C$13=""),"",$AR16*SUMPRODUCT($AB16:$AF16,Log_Putaran!$L$13:$P$13))</f>
        <v/>
      </c>
      <c r="BA16" s="48" t="str">
        <f>IF(OR(NOT($AQ16),Log_Putaran!$C$14=""),"",$AR16*SUMPRODUCT($AB16:$AF16,Log_Putaran!$L$14:$P$14))</f>
        <v/>
      </c>
      <c r="BB16" s="48" t="str">
        <f>IF(OR(NOT($AQ16),Log_Putaran!$C$15=""),"",$AR16*SUMPRODUCT($AB16:$AF16,Log_Putaran!$L$15:$P$15))</f>
        <v/>
      </c>
      <c r="BC16" s="48" t="str">
        <f>IF(OR(NOT($AQ16),Log_Putaran!$C$16=""),"",$BB16*SUMPRODUCT($AG16:$AK16,Log_Putaran!$L$16:$P$16))</f>
        <v/>
      </c>
      <c r="BD16" s="48" t="str">
        <f>IF(OR(NOT($AQ16),Log_Putaran!$C$17=""),"",$BB16*SUMPRODUCT($AG16:$AK16,Log_Putaran!$L$17:$P$17))</f>
        <v/>
      </c>
      <c r="BE16" s="48" t="str">
        <f>IF(OR(NOT($AQ16),Log_Putaran!$C$18=""),"",$BB16*SUMPRODUCT($AG16:$AK16,Log_Putaran!$L$18:$P$18))</f>
        <v/>
      </c>
      <c r="BF16" s="48" t="str">
        <f>IF(OR(NOT($AQ16),Log_Putaran!$C$19=""),"",$BB16*SUMPRODUCT($AG16:$AK16,Log_Putaran!$L$19:$P$19))</f>
        <v/>
      </c>
      <c r="BG16" s="48" t="str">
        <f>IF(OR(NOT($AQ16),Log_Putaran!$C$20=""),"",$BB16*SUMPRODUCT($AG16:$AK16,Log_Putaran!$L$20:$P$20))</f>
        <v/>
      </c>
      <c r="BH16" s="48" t="str">
        <f>IF(OR(NOT($AQ16),Log_Putaran!$C$21=""),"",$BB16*SUMPRODUCT($AG16:$AK16,Log_Putaran!$L$21:$P$21))</f>
        <v/>
      </c>
      <c r="BI16" s="48" t="str">
        <f>IF(OR(NOT($AQ16),Log_Putaran!$C$22=""),"",$BB16*SUMPRODUCT($AG16:$AK16,Log_Putaran!$L$22:$P$22))</f>
        <v/>
      </c>
      <c r="BJ16" s="48" t="str">
        <f>IF(OR(NOT($AQ16),Log_Putaran!$C$23=""),"",$BB16*SUMPRODUCT($AG16:$AK16,Log_Putaran!$L$23:$P$23))</f>
        <v/>
      </c>
      <c r="BK16" s="48" t="str">
        <f>IF(OR(NOT($AQ16),Log_Putaran!$C$24=""),"",$BB16*SUMPRODUCT($AG16:$AK16,Log_Putaran!$L$24:$P$24))</f>
        <v/>
      </c>
      <c r="BL16" s="48" t="str">
        <f>IF(OR(NOT($AQ16),Log_Putaran!$C$25=""),"",$BB16*SUMPRODUCT($AG16:$AK16,Log_Putaran!$L$25:$P$25))</f>
        <v/>
      </c>
      <c r="BM16" s="48" t="str">
        <f>IF(OR(NOT($AQ16),Log_Putaran!$C$26=""),"",$BL16*SUMPRODUCT($AL16:$AP16,Log_Putaran!$L$26:$P$26))</f>
        <v/>
      </c>
      <c r="BN16" s="48" t="str">
        <f>IF(OR(NOT($AQ16),Log_Putaran!$C$27=""),"",$BL16*SUMPRODUCT($AL16:$AP16,Log_Putaran!$L$27:$P$27))</f>
        <v/>
      </c>
      <c r="BO16" s="48" t="str">
        <f>IF(OR(NOT($AQ16),Log_Putaran!$C$28=""),"",$BL16*SUMPRODUCT($AL16:$AP16,Log_Putaran!$L$28:$P$28))</f>
        <v/>
      </c>
      <c r="BP16" s="48" t="str">
        <f>IF(OR(NOT($AQ16),Log_Putaran!$C$29=""),"",$BL16*SUMPRODUCT($AL16:$AP16,Log_Putaran!$L$29:$P$29))</f>
        <v/>
      </c>
      <c r="BQ16" s="48" t="str">
        <f>IF(OR(NOT($AQ16),Log_Putaran!$C$30=""),"",$BL16*SUMPRODUCT($AL16:$AP16,Log_Putaran!$L$30:$P$30))</f>
        <v/>
      </c>
      <c r="BR16" s="48" t="str">
        <f>IF(OR(NOT($AQ16),Log_Putaran!$C$31=""),"",$BL16*SUMPRODUCT($AL16:$AP16,Log_Putaran!$L$31:$P$31))</f>
        <v/>
      </c>
      <c r="BS16" s="48" t="str">
        <f>IF(OR(NOT($AQ16),Log_Putaran!$C$32=""),"",$BL16*SUMPRODUCT($AL16:$AP16,Log_Putaran!$L$32:$P$32))</f>
        <v/>
      </c>
      <c r="BT16" s="48" t="str">
        <f>IF(OR(NOT($AQ16),Log_Putaran!$C$33=""),"",$BL16*SUMPRODUCT($AL16:$AP16,Log_Putaran!$L$33:$P$33))</f>
        <v/>
      </c>
      <c r="BU16" s="48" t="str">
        <f>IF(OR(NOT($AQ16),Log_Putaran!$C$34=""),"",$BL16*SUMPRODUCT($AL16:$AP16,Log_Putaran!$L$34:$P$34))</f>
        <v/>
      </c>
      <c r="BV16" s="48" t="str">
        <f>IF(OR(NOT($AQ16),Log_Putaran!$C$35=""),"",$BL16*SUMPRODUCT($AL16:$AP16,Log_Putaran!$L$35:$P$35))</f>
        <v/>
      </c>
      <c r="BW16" s="48" t="str">
        <f t="shared" si="23"/>
        <v/>
      </c>
      <c r="BX16" s="48" t="str">
        <f t="shared" si="24"/>
        <v/>
      </c>
      <c r="BY16" s="38" t="str">
        <f t="shared" si="25"/>
        <v/>
      </c>
      <c r="BZ16" s="49" t="str">
        <f>IF($AQ16,MAX(_DD!$B16:$AE16),"")</f>
        <v/>
      </c>
      <c r="CA16" s="36">
        <f t="shared" si="26"/>
        <v>-9.9999999999999997E+98</v>
      </c>
      <c r="CB16" s="36" t="str">
        <f t="shared" si="27"/>
        <v/>
      </c>
      <c r="CC16" s="36">
        <f t="shared" si="28"/>
        <v>-9.9999999999999997E+98</v>
      </c>
      <c r="CD16" s="36" t="str">
        <f t="shared" si="29"/>
        <v/>
      </c>
      <c r="CE16" s="36" t="str">
        <f t="shared" si="30"/>
        <v/>
      </c>
      <c r="CF16" s="36">
        <f t="shared" si="31"/>
        <v>-9.9999999999999997E+98</v>
      </c>
    </row>
    <row r="17" spans="1:84">
      <c r="A17" s="36" t="str">
        <f>Peserta!A17</f>
        <v>P12</v>
      </c>
      <c r="B17" s="36" t="str">
        <f>IF($C17&gt;0,INDEX(Input!$C:$C,$C17)&amp;"",IF(Peserta!B17="",$A17,Peserta!B17))</f>
        <v>P12</v>
      </c>
      <c r="C17" s="36">
        <f>SUMPRODUCT(MAX((_Bantu!$A$2:$A$2001=$A17)*ROW(_Bantu!$A$2:$A$2001)))</f>
        <v>0</v>
      </c>
      <c r="D17" s="36">
        <f>SUMPRODUCT(MAX((_Bantu!$C$2:$C$2001=$A17&amp;"|1")*ROW(_Bantu!$C$2:$C$2001)))</f>
        <v>0</v>
      </c>
      <c r="E17" s="47" t="str">
        <f>IF($D17=0,"",INDEX(_Bantu!D:D,$D17))</f>
        <v/>
      </c>
      <c r="F17" s="47" t="str">
        <f>IF($D17=0,"",INDEX(_Bantu!E:E,$D17))</f>
        <v/>
      </c>
      <c r="G17" s="47" t="str">
        <f>IF($D17=0,"",INDEX(_Bantu!F:F,$D17))</f>
        <v/>
      </c>
      <c r="H17" s="47" t="str">
        <f>IF($D17=0,"",INDEX(_Bantu!G:G,$D17))</f>
        <v/>
      </c>
      <c r="I17" s="47" t="str">
        <f>IF($D17=0,"",INDEX(_Bantu!H:H,$D17))</f>
        <v/>
      </c>
      <c r="J17" s="47" t="str">
        <f t="shared" si="0"/>
        <v/>
      </c>
      <c r="K17" s="36" t="str">
        <f t="shared" si="1"/>
        <v>Belum isi</v>
      </c>
      <c r="L17" s="36">
        <f>SUMPRODUCT(MAX((_Bantu!$C$2:$C$2001=$A17&amp;"|2")*ROW(_Bantu!$C$2:$C$2001)))</f>
        <v>0</v>
      </c>
      <c r="M17" s="47" t="str">
        <f>IF($L17=0,"",INDEX(_Bantu!D:D,$L17))</f>
        <v/>
      </c>
      <c r="N17" s="47" t="str">
        <f>IF($L17=0,"",INDEX(_Bantu!E:E,$L17))</f>
        <v/>
      </c>
      <c r="O17" s="47" t="str">
        <f>IF($L17=0,"",INDEX(_Bantu!F:F,$L17))</f>
        <v/>
      </c>
      <c r="P17" s="47" t="str">
        <f>IF($L17=0,"",INDEX(_Bantu!G:G,$L17))</f>
        <v/>
      </c>
      <c r="Q17" s="47" t="str">
        <f>IF($L17=0,"",INDEX(_Bantu!H:H,$L17))</f>
        <v/>
      </c>
      <c r="R17" s="47" t="str">
        <f t="shared" si="2"/>
        <v/>
      </c>
      <c r="S17" s="36" t="str">
        <f t="shared" si="3"/>
        <v>Belum isi</v>
      </c>
      <c r="T17" s="36">
        <f>SUMPRODUCT(MAX((_Bantu!$C$2:$C$2001=$A17&amp;"|3")*ROW(_Bantu!$C$2:$C$2001)))</f>
        <v>0</v>
      </c>
      <c r="U17" s="47" t="str">
        <f>IF($T17=0,"",INDEX(_Bantu!D:D,$T17))</f>
        <v/>
      </c>
      <c r="V17" s="47" t="str">
        <f>IF($T17=0,"",INDEX(_Bantu!E:E,$T17))</f>
        <v/>
      </c>
      <c r="W17" s="47" t="str">
        <f>IF($T17=0,"",INDEX(_Bantu!F:F,$T17))</f>
        <v/>
      </c>
      <c r="X17" s="47" t="str">
        <f>IF($T17=0,"",INDEX(_Bantu!G:G,$T17))</f>
        <v/>
      </c>
      <c r="Y17" s="47" t="str">
        <f>IF($T17=0,"",INDEX(_Bantu!H:H,$T17))</f>
        <v/>
      </c>
      <c r="Z17" s="47" t="str">
        <f t="shared" si="4"/>
        <v/>
      </c>
      <c r="AA17" s="36" t="str">
        <f t="shared" si="5"/>
        <v>Belum isi</v>
      </c>
      <c r="AB17" s="47">
        <f t="shared" si="6"/>
        <v>0</v>
      </c>
      <c r="AC17" s="47">
        <f t="shared" si="7"/>
        <v>0</v>
      </c>
      <c r="AD17" s="47">
        <f t="shared" si="8"/>
        <v>0</v>
      </c>
      <c r="AE17" s="47">
        <f t="shared" si="9"/>
        <v>0</v>
      </c>
      <c r="AF17" s="47">
        <f t="shared" si="10"/>
        <v>0</v>
      </c>
      <c r="AG17" s="47">
        <f t="shared" si="11"/>
        <v>0</v>
      </c>
      <c r="AH17" s="47">
        <f t="shared" si="12"/>
        <v>0</v>
      </c>
      <c r="AI17" s="47">
        <f t="shared" si="13"/>
        <v>0</v>
      </c>
      <c r="AJ17" s="47">
        <f t="shared" si="14"/>
        <v>0</v>
      </c>
      <c r="AK17" s="47">
        <f t="shared" si="15"/>
        <v>0</v>
      </c>
      <c r="AL17" s="47">
        <f t="shared" si="16"/>
        <v>0</v>
      </c>
      <c r="AM17" s="47">
        <f t="shared" si="17"/>
        <v>0</v>
      </c>
      <c r="AN17" s="47">
        <f t="shared" si="18"/>
        <v>0</v>
      </c>
      <c r="AO17" s="47">
        <f t="shared" si="19"/>
        <v>0</v>
      </c>
      <c r="AP17" s="47">
        <f t="shared" si="20"/>
        <v>0</v>
      </c>
      <c r="AQ17" s="36" t="b">
        <f t="shared" si="21"/>
        <v>0</v>
      </c>
      <c r="AR17" s="48" t="str">
        <f t="shared" si="22"/>
        <v/>
      </c>
      <c r="AS17" s="48" t="str">
        <f>IF(OR(NOT($AQ17),Log_Putaran!$C$6=""),"",$AR17*SUMPRODUCT($AB17:$AF17,Log_Putaran!$L$6:$P$6))</f>
        <v/>
      </c>
      <c r="AT17" s="48" t="str">
        <f>IF(OR(NOT($AQ17),Log_Putaran!$C$7=""),"",$AR17*SUMPRODUCT($AB17:$AF17,Log_Putaran!$L$7:$P$7))</f>
        <v/>
      </c>
      <c r="AU17" s="48" t="str">
        <f>IF(OR(NOT($AQ17),Log_Putaran!$C$8=""),"",$AR17*SUMPRODUCT($AB17:$AF17,Log_Putaran!$L$8:$P$8))</f>
        <v/>
      </c>
      <c r="AV17" s="48" t="str">
        <f>IF(OR(NOT($AQ17),Log_Putaran!$C$9=""),"",$AR17*SUMPRODUCT($AB17:$AF17,Log_Putaran!$L$9:$P$9))</f>
        <v/>
      </c>
      <c r="AW17" s="48" t="str">
        <f>IF(OR(NOT($AQ17),Log_Putaran!$C$10=""),"",$AR17*SUMPRODUCT($AB17:$AF17,Log_Putaran!$L$10:$P$10))</f>
        <v/>
      </c>
      <c r="AX17" s="48" t="str">
        <f>IF(OR(NOT($AQ17),Log_Putaran!$C$11=""),"",$AR17*SUMPRODUCT($AB17:$AF17,Log_Putaran!$L$11:$P$11))</f>
        <v/>
      </c>
      <c r="AY17" s="48" t="str">
        <f>IF(OR(NOT($AQ17),Log_Putaran!$C$12=""),"",$AR17*SUMPRODUCT($AB17:$AF17,Log_Putaran!$L$12:$P$12))</f>
        <v/>
      </c>
      <c r="AZ17" s="48" t="str">
        <f>IF(OR(NOT($AQ17),Log_Putaran!$C$13=""),"",$AR17*SUMPRODUCT($AB17:$AF17,Log_Putaran!$L$13:$P$13))</f>
        <v/>
      </c>
      <c r="BA17" s="48" t="str">
        <f>IF(OR(NOT($AQ17),Log_Putaran!$C$14=""),"",$AR17*SUMPRODUCT($AB17:$AF17,Log_Putaran!$L$14:$P$14))</f>
        <v/>
      </c>
      <c r="BB17" s="48" t="str">
        <f>IF(OR(NOT($AQ17),Log_Putaran!$C$15=""),"",$AR17*SUMPRODUCT($AB17:$AF17,Log_Putaran!$L$15:$P$15))</f>
        <v/>
      </c>
      <c r="BC17" s="48" t="str">
        <f>IF(OR(NOT($AQ17),Log_Putaran!$C$16=""),"",$BB17*SUMPRODUCT($AG17:$AK17,Log_Putaran!$L$16:$P$16))</f>
        <v/>
      </c>
      <c r="BD17" s="48" t="str">
        <f>IF(OR(NOT($AQ17),Log_Putaran!$C$17=""),"",$BB17*SUMPRODUCT($AG17:$AK17,Log_Putaran!$L$17:$P$17))</f>
        <v/>
      </c>
      <c r="BE17" s="48" t="str">
        <f>IF(OR(NOT($AQ17),Log_Putaran!$C$18=""),"",$BB17*SUMPRODUCT($AG17:$AK17,Log_Putaran!$L$18:$P$18))</f>
        <v/>
      </c>
      <c r="BF17" s="48" t="str">
        <f>IF(OR(NOT($AQ17),Log_Putaran!$C$19=""),"",$BB17*SUMPRODUCT($AG17:$AK17,Log_Putaran!$L$19:$P$19))</f>
        <v/>
      </c>
      <c r="BG17" s="48" t="str">
        <f>IF(OR(NOT($AQ17),Log_Putaran!$C$20=""),"",$BB17*SUMPRODUCT($AG17:$AK17,Log_Putaran!$L$20:$P$20))</f>
        <v/>
      </c>
      <c r="BH17" s="48" t="str">
        <f>IF(OR(NOT($AQ17),Log_Putaran!$C$21=""),"",$BB17*SUMPRODUCT($AG17:$AK17,Log_Putaran!$L$21:$P$21))</f>
        <v/>
      </c>
      <c r="BI17" s="48" t="str">
        <f>IF(OR(NOT($AQ17),Log_Putaran!$C$22=""),"",$BB17*SUMPRODUCT($AG17:$AK17,Log_Putaran!$L$22:$P$22))</f>
        <v/>
      </c>
      <c r="BJ17" s="48" t="str">
        <f>IF(OR(NOT($AQ17),Log_Putaran!$C$23=""),"",$BB17*SUMPRODUCT($AG17:$AK17,Log_Putaran!$L$23:$P$23))</f>
        <v/>
      </c>
      <c r="BK17" s="48" t="str">
        <f>IF(OR(NOT($AQ17),Log_Putaran!$C$24=""),"",$BB17*SUMPRODUCT($AG17:$AK17,Log_Putaran!$L$24:$P$24))</f>
        <v/>
      </c>
      <c r="BL17" s="48" t="str">
        <f>IF(OR(NOT($AQ17),Log_Putaran!$C$25=""),"",$BB17*SUMPRODUCT($AG17:$AK17,Log_Putaran!$L$25:$P$25))</f>
        <v/>
      </c>
      <c r="BM17" s="48" t="str">
        <f>IF(OR(NOT($AQ17),Log_Putaran!$C$26=""),"",$BL17*SUMPRODUCT($AL17:$AP17,Log_Putaran!$L$26:$P$26))</f>
        <v/>
      </c>
      <c r="BN17" s="48" t="str">
        <f>IF(OR(NOT($AQ17),Log_Putaran!$C$27=""),"",$BL17*SUMPRODUCT($AL17:$AP17,Log_Putaran!$L$27:$P$27))</f>
        <v/>
      </c>
      <c r="BO17" s="48" t="str">
        <f>IF(OR(NOT($AQ17),Log_Putaran!$C$28=""),"",$BL17*SUMPRODUCT($AL17:$AP17,Log_Putaran!$L$28:$P$28))</f>
        <v/>
      </c>
      <c r="BP17" s="48" t="str">
        <f>IF(OR(NOT($AQ17),Log_Putaran!$C$29=""),"",$BL17*SUMPRODUCT($AL17:$AP17,Log_Putaran!$L$29:$P$29))</f>
        <v/>
      </c>
      <c r="BQ17" s="48" t="str">
        <f>IF(OR(NOT($AQ17),Log_Putaran!$C$30=""),"",$BL17*SUMPRODUCT($AL17:$AP17,Log_Putaran!$L$30:$P$30))</f>
        <v/>
      </c>
      <c r="BR17" s="48" t="str">
        <f>IF(OR(NOT($AQ17),Log_Putaran!$C$31=""),"",$BL17*SUMPRODUCT($AL17:$AP17,Log_Putaran!$L$31:$P$31))</f>
        <v/>
      </c>
      <c r="BS17" s="48" t="str">
        <f>IF(OR(NOT($AQ17),Log_Putaran!$C$32=""),"",$BL17*SUMPRODUCT($AL17:$AP17,Log_Putaran!$L$32:$P$32))</f>
        <v/>
      </c>
      <c r="BT17" s="48" t="str">
        <f>IF(OR(NOT($AQ17),Log_Putaran!$C$33=""),"",$BL17*SUMPRODUCT($AL17:$AP17,Log_Putaran!$L$33:$P$33))</f>
        <v/>
      </c>
      <c r="BU17" s="48" t="str">
        <f>IF(OR(NOT($AQ17),Log_Putaran!$C$34=""),"",$BL17*SUMPRODUCT($AL17:$AP17,Log_Putaran!$L$34:$P$34))</f>
        <v/>
      </c>
      <c r="BV17" s="48" t="str">
        <f>IF(OR(NOT($AQ17),Log_Putaran!$C$35=""),"",$BL17*SUMPRODUCT($AL17:$AP17,Log_Putaran!$L$35:$P$35))</f>
        <v/>
      </c>
      <c r="BW17" s="48" t="str">
        <f t="shared" si="23"/>
        <v/>
      </c>
      <c r="BX17" s="48" t="str">
        <f t="shared" si="24"/>
        <v/>
      </c>
      <c r="BY17" s="38" t="str">
        <f t="shared" si="25"/>
        <v/>
      </c>
      <c r="BZ17" s="49" t="str">
        <f>IF($AQ17,MAX(_DD!$B17:$AE17),"")</f>
        <v/>
      </c>
      <c r="CA17" s="36">
        <f t="shared" si="26"/>
        <v>-9.9999999999999997E+98</v>
      </c>
      <c r="CB17" s="36" t="str">
        <f t="shared" si="27"/>
        <v/>
      </c>
      <c r="CC17" s="36">
        <f t="shared" si="28"/>
        <v>-9.9999999999999997E+98</v>
      </c>
      <c r="CD17" s="36" t="str">
        <f t="shared" si="29"/>
        <v/>
      </c>
      <c r="CE17" s="36" t="str">
        <f t="shared" si="30"/>
        <v/>
      </c>
      <c r="CF17" s="36">
        <f t="shared" si="31"/>
        <v>-9.9999999999999997E+98</v>
      </c>
    </row>
    <row r="18" spans="1:84">
      <c r="A18" s="36" t="str">
        <f>Peserta!A18</f>
        <v>P13</v>
      </c>
      <c r="B18" s="36" t="str">
        <f>IF($C18&gt;0,INDEX(Input!$C:$C,$C18)&amp;"",IF(Peserta!B18="",$A18,Peserta!B18))</f>
        <v>P13</v>
      </c>
      <c r="C18" s="36">
        <f>SUMPRODUCT(MAX((_Bantu!$A$2:$A$2001=$A18)*ROW(_Bantu!$A$2:$A$2001)))</f>
        <v>0</v>
      </c>
      <c r="D18" s="36">
        <f>SUMPRODUCT(MAX((_Bantu!$C$2:$C$2001=$A18&amp;"|1")*ROW(_Bantu!$C$2:$C$2001)))</f>
        <v>0</v>
      </c>
      <c r="E18" s="47" t="str">
        <f>IF($D18=0,"",INDEX(_Bantu!D:D,$D18))</f>
        <v/>
      </c>
      <c r="F18" s="47" t="str">
        <f>IF($D18=0,"",INDEX(_Bantu!E:E,$D18))</f>
        <v/>
      </c>
      <c r="G18" s="47" t="str">
        <f>IF($D18=0,"",INDEX(_Bantu!F:F,$D18))</f>
        <v/>
      </c>
      <c r="H18" s="47" t="str">
        <f>IF($D18=0,"",INDEX(_Bantu!G:G,$D18))</f>
        <v/>
      </c>
      <c r="I18" s="47" t="str">
        <f>IF($D18=0,"",INDEX(_Bantu!H:H,$D18))</f>
        <v/>
      </c>
      <c r="J18" s="47" t="str">
        <f t="shared" si="0"/>
        <v/>
      </c>
      <c r="K18" s="36" t="str">
        <f t="shared" si="1"/>
        <v>Belum isi</v>
      </c>
      <c r="L18" s="36">
        <f>SUMPRODUCT(MAX((_Bantu!$C$2:$C$2001=$A18&amp;"|2")*ROW(_Bantu!$C$2:$C$2001)))</f>
        <v>0</v>
      </c>
      <c r="M18" s="47" t="str">
        <f>IF($L18=0,"",INDEX(_Bantu!D:D,$L18))</f>
        <v/>
      </c>
      <c r="N18" s="47" t="str">
        <f>IF($L18=0,"",INDEX(_Bantu!E:E,$L18))</f>
        <v/>
      </c>
      <c r="O18" s="47" t="str">
        <f>IF($L18=0,"",INDEX(_Bantu!F:F,$L18))</f>
        <v/>
      </c>
      <c r="P18" s="47" t="str">
        <f>IF($L18=0,"",INDEX(_Bantu!G:G,$L18))</f>
        <v/>
      </c>
      <c r="Q18" s="47" t="str">
        <f>IF($L18=0,"",INDEX(_Bantu!H:H,$L18))</f>
        <v/>
      </c>
      <c r="R18" s="47" t="str">
        <f t="shared" si="2"/>
        <v/>
      </c>
      <c r="S18" s="36" t="str">
        <f t="shared" si="3"/>
        <v>Belum isi</v>
      </c>
      <c r="T18" s="36">
        <f>SUMPRODUCT(MAX((_Bantu!$C$2:$C$2001=$A18&amp;"|3")*ROW(_Bantu!$C$2:$C$2001)))</f>
        <v>0</v>
      </c>
      <c r="U18" s="47" t="str">
        <f>IF($T18=0,"",INDEX(_Bantu!D:D,$T18))</f>
        <v/>
      </c>
      <c r="V18" s="47" t="str">
        <f>IF($T18=0,"",INDEX(_Bantu!E:E,$T18))</f>
        <v/>
      </c>
      <c r="W18" s="47" t="str">
        <f>IF($T18=0,"",INDEX(_Bantu!F:F,$T18))</f>
        <v/>
      </c>
      <c r="X18" s="47" t="str">
        <f>IF($T18=0,"",INDEX(_Bantu!G:G,$T18))</f>
        <v/>
      </c>
      <c r="Y18" s="47" t="str">
        <f>IF($T18=0,"",INDEX(_Bantu!H:H,$T18))</f>
        <v/>
      </c>
      <c r="Z18" s="47" t="str">
        <f t="shared" si="4"/>
        <v/>
      </c>
      <c r="AA18" s="36" t="str">
        <f t="shared" si="5"/>
        <v>Belum isi</v>
      </c>
      <c r="AB18" s="47">
        <f t="shared" si="6"/>
        <v>0</v>
      </c>
      <c r="AC18" s="47">
        <f t="shared" si="7"/>
        <v>0</v>
      </c>
      <c r="AD18" s="47">
        <f t="shared" si="8"/>
        <v>0</v>
      </c>
      <c r="AE18" s="47">
        <f t="shared" si="9"/>
        <v>0</v>
      </c>
      <c r="AF18" s="47">
        <f t="shared" si="10"/>
        <v>0</v>
      </c>
      <c r="AG18" s="47">
        <f t="shared" si="11"/>
        <v>0</v>
      </c>
      <c r="AH18" s="47">
        <f t="shared" si="12"/>
        <v>0</v>
      </c>
      <c r="AI18" s="47">
        <f t="shared" si="13"/>
        <v>0</v>
      </c>
      <c r="AJ18" s="47">
        <f t="shared" si="14"/>
        <v>0</v>
      </c>
      <c r="AK18" s="47">
        <f t="shared" si="15"/>
        <v>0</v>
      </c>
      <c r="AL18" s="47">
        <f t="shared" si="16"/>
        <v>0</v>
      </c>
      <c r="AM18" s="47">
        <f t="shared" si="17"/>
        <v>0</v>
      </c>
      <c r="AN18" s="47">
        <f t="shared" si="18"/>
        <v>0</v>
      </c>
      <c r="AO18" s="47">
        <f t="shared" si="19"/>
        <v>0</v>
      </c>
      <c r="AP18" s="47">
        <f t="shared" si="20"/>
        <v>0</v>
      </c>
      <c r="AQ18" s="36" t="b">
        <f t="shared" si="21"/>
        <v>0</v>
      </c>
      <c r="AR18" s="48" t="str">
        <f t="shared" si="22"/>
        <v/>
      </c>
      <c r="AS18" s="48" t="str">
        <f>IF(OR(NOT($AQ18),Log_Putaran!$C$6=""),"",$AR18*SUMPRODUCT($AB18:$AF18,Log_Putaran!$L$6:$P$6))</f>
        <v/>
      </c>
      <c r="AT18" s="48" t="str">
        <f>IF(OR(NOT($AQ18),Log_Putaran!$C$7=""),"",$AR18*SUMPRODUCT($AB18:$AF18,Log_Putaran!$L$7:$P$7))</f>
        <v/>
      </c>
      <c r="AU18" s="48" t="str">
        <f>IF(OR(NOT($AQ18),Log_Putaran!$C$8=""),"",$AR18*SUMPRODUCT($AB18:$AF18,Log_Putaran!$L$8:$P$8))</f>
        <v/>
      </c>
      <c r="AV18" s="48" t="str">
        <f>IF(OR(NOT($AQ18),Log_Putaran!$C$9=""),"",$AR18*SUMPRODUCT($AB18:$AF18,Log_Putaran!$L$9:$P$9))</f>
        <v/>
      </c>
      <c r="AW18" s="48" t="str">
        <f>IF(OR(NOT($AQ18),Log_Putaran!$C$10=""),"",$AR18*SUMPRODUCT($AB18:$AF18,Log_Putaran!$L$10:$P$10))</f>
        <v/>
      </c>
      <c r="AX18" s="48" t="str">
        <f>IF(OR(NOT($AQ18),Log_Putaran!$C$11=""),"",$AR18*SUMPRODUCT($AB18:$AF18,Log_Putaran!$L$11:$P$11))</f>
        <v/>
      </c>
      <c r="AY18" s="48" t="str">
        <f>IF(OR(NOT($AQ18),Log_Putaran!$C$12=""),"",$AR18*SUMPRODUCT($AB18:$AF18,Log_Putaran!$L$12:$P$12))</f>
        <v/>
      </c>
      <c r="AZ18" s="48" t="str">
        <f>IF(OR(NOT($AQ18),Log_Putaran!$C$13=""),"",$AR18*SUMPRODUCT($AB18:$AF18,Log_Putaran!$L$13:$P$13))</f>
        <v/>
      </c>
      <c r="BA18" s="48" t="str">
        <f>IF(OR(NOT($AQ18),Log_Putaran!$C$14=""),"",$AR18*SUMPRODUCT($AB18:$AF18,Log_Putaran!$L$14:$P$14))</f>
        <v/>
      </c>
      <c r="BB18" s="48" t="str">
        <f>IF(OR(NOT($AQ18),Log_Putaran!$C$15=""),"",$AR18*SUMPRODUCT($AB18:$AF18,Log_Putaran!$L$15:$P$15))</f>
        <v/>
      </c>
      <c r="BC18" s="48" t="str">
        <f>IF(OR(NOT($AQ18),Log_Putaran!$C$16=""),"",$BB18*SUMPRODUCT($AG18:$AK18,Log_Putaran!$L$16:$P$16))</f>
        <v/>
      </c>
      <c r="BD18" s="48" t="str">
        <f>IF(OR(NOT($AQ18),Log_Putaran!$C$17=""),"",$BB18*SUMPRODUCT($AG18:$AK18,Log_Putaran!$L$17:$P$17))</f>
        <v/>
      </c>
      <c r="BE18" s="48" t="str">
        <f>IF(OR(NOT($AQ18),Log_Putaran!$C$18=""),"",$BB18*SUMPRODUCT($AG18:$AK18,Log_Putaran!$L$18:$P$18))</f>
        <v/>
      </c>
      <c r="BF18" s="48" t="str">
        <f>IF(OR(NOT($AQ18),Log_Putaran!$C$19=""),"",$BB18*SUMPRODUCT($AG18:$AK18,Log_Putaran!$L$19:$P$19))</f>
        <v/>
      </c>
      <c r="BG18" s="48" t="str">
        <f>IF(OR(NOT($AQ18),Log_Putaran!$C$20=""),"",$BB18*SUMPRODUCT($AG18:$AK18,Log_Putaran!$L$20:$P$20))</f>
        <v/>
      </c>
      <c r="BH18" s="48" t="str">
        <f>IF(OR(NOT($AQ18),Log_Putaran!$C$21=""),"",$BB18*SUMPRODUCT($AG18:$AK18,Log_Putaran!$L$21:$P$21))</f>
        <v/>
      </c>
      <c r="BI18" s="48" t="str">
        <f>IF(OR(NOT($AQ18),Log_Putaran!$C$22=""),"",$BB18*SUMPRODUCT($AG18:$AK18,Log_Putaran!$L$22:$P$22))</f>
        <v/>
      </c>
      <c r="BJ18" s="48" t="str">
        <f>IF(OR(NOT($AQ18),Log_Putaran!$C$23=""),"",$BB18*SUMPRODUCT($AG18:$AK18,Log_Putaran!$L$23:$P$23))</f>
        <v/>
      </c>
      <c r="BK18" s="48" t="str">
        <f>IF(OR(NOT($AQ18),Log_Putaran!$C$24=""),"",$BB18*SUMPRODUCT($AG18:$AK18,Log_Putaran!$L$24:$P$24))</f>
        <v/>
      </c>
      <c r="BL18" s="48" t="str">
        <f>IF(OR(NOT($AQ18),Log_Putaran!$C$25=""),"",$BB18*SUMPRODUCT($AG18:$AK18,Log_Putaran!$L$25:$P$25))</f>
        <v/>
      </c>
      <c r="BM18" s="48" t="str">
        <f>IF(OR(NOT($AQ18),Log_Putaran!$C$26=""),"",$BL18*SUMPRODUCT($AL18:$AP18,Log_Putaran!$L$26:$P$26))</f>
        <v/>
      </c>
      <c r="BN18" s="48" t="str">
        <f>IF(OR(NOT($AQ18),Log_Putaran!$C$27=""),"",$BL18*SUMPRODUCT($AL18:$AP18,Log_Putaran!$L$27:$P$27))</f>
        <v/>
      </c>
      <c r="BO18" s="48" t="str">
        <f>IF(OR(NOT($AQ18),Log_Putaran!$C$28=""),"",$BL18*SUMPRODUCT($AL18:$AP18,Log_Putaran!$L$28:$P$28))</f>
        <v/>
      </c>
      <c r="BP18" s="48" t="str">
        <f>IF(OR(NOT($AQ18),Log_Putaran!$C$29=""),"",$BL18*SUMPRODUCT($AL18:$AP18,Log_Putaran!$L$29:$P$29))</f>
        <v/>
      </c>
      <c r="BQ18" s="48" t="str">
        <f>IF(OR(NOT($AQ18),Log_Putaran!$C$30=""),"",$BL18*SUMPRODUCT($AL18:$AP18,Log_Putaran!$L$30:$P$30))</f>
        <v/>
      </c>
      <c r="BR18" s="48" t="str">
        <f>IF(OR(NOT($AQ18),Log_Putaran!$C$31=""),"",$BL18*SUMPRODUCT($AL18:$AP18,Log_Putaran!$L$31:$P$31))</f>
        <v/>
      </c>
      <c r="BS18" s="48" t="str">
        <f>IF(OR(NOT($AQ18),Log_Putaran!$C$32=""),"",$BL18*SUMPRODUCT($AL18:$AP18,Log_Putaran!$L$32:$P$32))</f>
        <v/>
      </c>
      <c r="BT18" s="48" t="str">
        <f>IF(OR(NOT($AQ18),Log_Putaran!$C$33=""),"",$BL18*SUMPRODUCT($AL18:$AP18,Log_Putaran!$L$33:$P$33))</f>
        <v/>
      </c>
      <c r="BU18" s="48" t="str">
        <f>IF(OR(NOT($AQ18),Log_Putaran!$C$34=""),"",$BL18*SUMPRODUCT($AL18:$AP18,Log_Putaran!$L$34:$P$34))</f>
        <v/>
      </c>
      <c r="BV18" s="48" t="str">
        <f>IF(OR(NOT($AQ18),Log_Putaran!$C$35=""),"",$BL18*SUMPRODUCT($AL18:$AP18,Log_Putaran!$L$35:$P$35))</f>
        <v/>
      </c>
      <c r="BW18" s="48" t="str">
        <f t="shared" si="23"/>
        <v/>
      </c>
      <c r="BX18" s="48" t="str">
        <f t="shared" si="24"/>
        <v/>
      </c>
      <c r="BY18" s="38" t="str">
        <f t="shared" si="25"/>
        <v/>
      </c>
      <c r="BZ18" s="49" t="str">
        <f>IF($AQ18,MAX(_DD!$B18:$AE18),"")</f>
        <v/>
      </c>
      <c r="CA18" s="36">
        <f t="shared" si="26"/>
        <v>-9.9999999999999997E+98</v>
      </c>
      <c r="CB18" s="36" t="str">
        <f t="shared" si="27"/>
        <v/>
      </c>
      <c r="CC18" s="36">
        <f t="shared" si="28"/>
        <v>-9.9999999999999997E+98</v>
      </c>
      <c r="CD18" s="36" t="str">
        <f t="shared" si="29"/>
        <v/>
      </c>
      <c r="CE18" s="36" t="str">
        <f t="shared" si="30"/>
        <v/>
      </c>
      <c r="CF18" s="36">
        <f t="shared" si="31"/>
        <v>-9.9999999999999997E+98</v>
      </c>
    </row>
    <row r="19" spans="1:84">
      <c r="A19" s="36" t="str">
        <f>Peserta!A19</f>
        <v>P14</v>
      </c>
      <c r="B19" s="36" t="str">
        <f>IF($C19&gt;0,INDEX(Input!$C:$C,$C19)&amp;"",IF(Peserta!B19="",$A19,Peserta!B19))</f>
        <v>P14</v>
      </c>
      <c r="C19" s="36">
        <f>SUMPRODUCT(MAX((_Bantu!$A$2:$A$2001=$A19)*ROW(_Bantu!$A$2:$A$2001)))</f>
        <v>0</v>
      </c>
      <c r="D19" s="36">
        <f>SUMPRODUCT(MAX((_Bantu!$C$2:$C$2001=$A19&amp;"|1")*ROW(_Bantu!$C$2:$C$2001)))</f>
        <v>0</v>
      </c>
      <c r="E19" s="47" t="str">
        <f>IF($D19=0,"",INDEX(_Bantu!D:D,$D19))</f>
        <v/>
      </c>
      <c r="F19" s="47" t="str">
        <f>IF($D19=0,"",INDEX(_Bantu!E:E,$D19))</f>
        <v/>
      </c>
      <c r="G19" s="47" t="str">
        <f>IF($D19=0,"",INDEX(_Bantu!F:F,$D19))</f>
        <v/>
      </c>
      <c r="H19" s="47" t="str">
        <f>IF($D19=0,"",INDEX(_Bantu!G:G,$D19))</f>
        <v/>
      </c>
      <c r="I19" s="47" t="str">
        <f>IF($D19=0,"",INDEX(_Bantu!H:H,$D19))</f>
        <v/>
      </c>
      <c r="J19" s="47" t="str">
        <f t="shared" si="0"/>
        <v/>
      </c>
      <c r="K19" s="36" t="str">
        <f t="shared" si="1"/>
        <v>Belum isi</v>
      </c>
      <c r="L19" s="36">
        <f>SUMPRODUCT(MAX((_Bantu!$C$2:$C$2001=$A19&amp;"|2")*ROW(_Bantu!$C$2:$C$2001)))</f>
        <v>0</v>
      </c>
      <c r="M19" s="47" t="str">
        <f>IF($L19=0,"",INDEX(_Bantu!D:D,$L19))</f>
        <v/>
      </c>
      <c r="N19" s="47" t="str">
        <f>IF($L19=0,"",INDEX(_Bantu!E:E,$L19))</f>
        <v/>
      </c>
      <c r="O19" s="47" t="str">
        <f>IF($L19=0,"",INDEX(_Bantu!F:F,$L19))</f>
        <v/>
      </c>
      <c r="P19" s="47" t="str">
        <f>IF($L19=0,"",INDEX(_Bantu!G:G,$L19))</f>
        <v/>
      </c>
      <c r="Q19" s="47" t="str">
        <f>IF($L19=0,"",INDEX(_Bantu!H:H,$L19))</f>
        <v/>
      </c>
      <c r="R19" s="47" t="str">
        <f t="shared" si="2"/>
        <v/>
      </c>
      <c r="S19" s="36" t="str">
        <f t="shared" si="3"/>
        <v>Belum isi</v>
      </c>
      <c r="T19" s="36">
        <f>SUMPRODUCT(MAX((_Bantu!$C$2:$C$2001=$A19&amp;"|3")*ROW(_Bantu!$C$2:$C$2001)))</f>
        <v>0</v>
      </c>
      <c r="U19" s="47" t="str">
        <f>IF($T19=0,"",INDEX(_Bantu!D:D,$T19))</f>
        <v/>
      </c>
      <c r="V19" s="47" t="str">
        <f>IF($T19=0,"",INDEX(_Bantu!E:E,$T19))</f>
        <v/>
      </c>
      <c r="W19" s="47" t="str">
        <f>IF($T19=0,"",INDEX(_Bantu!F:F,$T19))</f>
        <v/>
      </c>
      <c r="X19" s="47" t="str">
        <f>IF($T19=0,"",INDEX(_Bantu!G:G,$T19))</f>
        <v/>
      </c>
      <c r="Y19" s="47" t="str">
        <f>IF($T19=0,"",INDEX(_Bantu!H:H,$T19))</f>
        <v/>
      </c>
      <c r="Z19" s="47" t="str">
        <f t="shared" si="4"/>
        <v/>
      </c>
      <c r="AA19" s="36" t="str">
        <f t="shared" si="5"/>
        <v>Belum isi</v>
      </c>
      <c r="AB19" s="47">
        <f t="shared" si="6"/>
        <v>0</v>
      </c>
      <c r="AC19" s="47">
        <f t="shared" si="7"/>
        <v>0</v>
      </c>
      <c r="AD19" s="47">
        <f t="shared" si="8"/>
        <v>0</v>
      </c>
      <c r="AE19" s="47">
        <f t="shared" si="9"/>
        <v>0</v>
      </c>
      <c r="AF19" s="47">
        <f t="shared" si="10"/>
        <v>0</v>
      </c>
      <c r="AG19" s="47">
        <f t="shared" si="11"/>
        <v>0</v>
      </c>
      <c r="AH19" s="47">
        <f t="shared" si="12"/>
        <v>0</v>
      </c>
      <c r="AI19" s="47">
        <f t="shared" si="13"/>
        <v>0</v>
      </c>
      <c r="AJ19" s="47">
        <f t="shared" si="14"/>
        <v>0</v>
      </c>
      <c r="AK19" s="47">
        <f t="shared" si="15"/>
        <v>0</v>
      </c>
      <c r="AL19" s="47">
        <f t="shared" si="16"/>
        <v>0</v>
      </c>
      <c r="AM19" s="47">
        <f t="shared" si="17"/>
        <v>0</v>
      </c>
      <c r="AN19" s="47">
        <f t="shared" si="18"/>
        <v>0</v>
      </c>
      <c r="AO19" s="47">
        <f t="shared" si="19"/>
        <v>0</v>
      </c>
      <c r="AP19" s="47">
        <f t="shared" si="20"/>
        <v>0</v>
      </c>
      <c r="AQ19" s="36" t="b">
        <f t="shared" si="21"/>
        <v>0</v>
      </c>
      <c r="AR19" s="48" t="str">
        <f t="shared" si="22"/>
        <v/>
      </c>
      <c r="AS19" s="48" t="str">
        <f>IF(OR(NOT($AQ19),Log_Putaran!$C$6=""),"",$AR19*SUMPRODUCT($AB19:$AF19,Log_Putaran!$L$6:$P$6))</f>
        <v/>
      </c>
      <c r="AT19" s="48" t="str">
        <f>IF(OR(NOT($AQ19),Log_Putaran!$C$7=""),"",$AR19*SUMPRODUCT($AB19:$AF19,Log_Putaran!$L$7:$P$7))</f>
        <v/>
      </c>
      <c r="AU19" s="48" t="str">
        <f>IF(OR(NOT($AQ19),Log_Putaran!$C$8=""),"",$AR19*SUMPRODUCT($AB19:$AF19,Log_Putaran!$L$8:$P$8))</f>
        <v/>
      </c>
      <c r="AV19" s="48" t="str">
        <f>IF(OR(NOT($AQ19),Log_Putaran!$C$9=""),"",$AR19*SUMPRODUCT($AB19:$AF19,Log_Putaran!$L$9:$P$9))</f>
        <v/>
      </c>
      <c r="AW19" s="48" t="str">
        <f>IF(OR(NOT($AQ19),Log_Putaran!$C$10=""),"",$AR19*SUMPRODUCT($AB19:$AF19,Log_Putaran!$L$10:$P$10))</f>
        <v/>
      </c>
      <c r="AX19" s="48" t="str">
        <f>IF(OR(NOT($AQ19),Log_Putaran!$C$11=""),"",$AR19*SUMPRODUCT($AB19:$AF19,Log_Putaran!$L$11:$P$11))</f>
        <v/>
      </c>
      <c r="AY19" s="48" t="str">
        <f>IF(OR(NOT($AQ19),Log_Putaran!$C$12=""),"",$AR19*SUMPRODUCT($AB19:$AF19,Log_Putaran!$L$12:$P$12))</f>
        <v/>
      </c>
      <c r="AZ19" s="48" t="str">
        <f>IF(OR(NOT($AQ19),Log_Putaran!$C$13=""),"",$AR19*SUMPRODUCT($AB19:$AF19,Log_Putaran!$L$13:$P$13))</f>
        <v/>
      </c>
      <c r="BA19" s="48" t="str">
        <f>IF(OR(NOT($AQ19),Log_Putaran!$C$14=""),"",$AR19*SUMPRODUCT($AB19:$AF19,Log_Putaran!$L$14:$P$14))</f>
        <v/>
      </c>
      <c r="BB19" s="48" t="str">
        <f>IF(OR(NOT($AQ19),Log_Putaran!$C$15=""),"",$AR19*SUMPRODUCT($AB19:$AF19,Log_Putaran!$L$15:$P$15))</f>
        <v/>
      </c>
      <c r="BC19" s="48" t="str">
        <f>IF(OR(NOT($AQ19),Log_Putaran!$C$16=""),"",$BB19*SUMPRODUCT($AG19:$AK19,Log_Putaran!$L$16:$P$16))</f>
        <v/>
      </c>
      <c r="BD19" s="48" t="str">
        <f>IF(OR(NOT($AQ19),Log_Putaran!$C$17=""),"",$BB19*SUMPRODUCT($AG19:$AK19,Log_Putaran!$L$17:$P$17))</f>
        <v/>
      </c>
      <c r="BE19" s="48" t="str">
        <f>IF(OR(NOT($AQ19),Log_Putaran!$C$18=""),"",$BB19*SUMPRODUCT($AG19:$AK19,Log_Putaran!$L$18:$P$18))</f>
        <v/>
      </c>
      <c r="BF19" s="48" t="str">
        <f>IF(OR(NOT($AQ19),Log_Putaran!$C$19=""),"",$BB19*SUMPRODUCT($AG19:$AK19,Log_Putaran!$L$19:$P$19))</f>
        <v/>
      </c>
      <c r="BG19" s="48" t="str">
        <f>IF(OR(NOT($AQ19),Log_Putaran!$C$20=""),"",$BB19*SUMPRODUCT($AG19:$AK19,Log_Putaran!$L$20:$P$20))</f>
        <v/>
      </c>
      <c r="BH19" s="48" t="str">
        <f>IF(OR(NOT($AQ19),Log_Putaran!$C$21=""),"",$BB19*SUMPRODUCT($AG19:$AK19,Log_Putaran!$L$21:$P$21))</f>
        <v/>
      </c>
      <c r="BI19" s="48" t="str">
        <f>IF(OR(NOT($AQ19),Log_Putaran!$C$22=""),"",$BB19*SUMPRODUCT($AG19:$AK19,Log_Putaran!$L$22:$P$22))</f>
        <v/>
      </c>
      <c r="BJ19" s="48" t="str">
        <f>IF(OR(NOT($AQ19),Log_Putaran!$C$23=""),"",$BB19*SUMPRODUCT($AG19:$AK19,Log_Putaran!$L$23:$P$23))</f>
        <v/>
      </c>
      <c r="BK19" s="48" t="str">
        <f>IF(OR(NOT($AQ19),Log_Putaran!$C$24=""),"",$BB19*SUMPRODUCT($AG19:$AK19,Log_Putaran!$L$24:$P$24))</f>
        <v/>
      </c>
      <c r="BL19" s="48" t="str">
        <f>IF(OR(NOT($AQ19),Log_Putaran!$C$25=""),"",$BB19*SUMPRODUCT($AG19:$AK19,Log_Putaran!$L$25:$P$25))</f>
        <v/>
      </c>
      <c r="BM19" s="48" t="str">
        <f>IF(OR(NOT($AQ19),Log_Putaran!$C$26=""),"",$BL19*SUMPRODUCT($AL19:$AP19,Log_Putaran!$L$26:$P$26))</f>
        <v/>
      </c>
      <c r="BN19" s="48" t="str">
        <f>IF(OR(NOT($AQ19),Log_Putaran!$C$27=""),"",$BL19*SUMPRODUCT($AL19:$AP19,Log_Putaran!$L$27:$P$27))</f>
        <v/>
      </c>
      <c r="BO19" s="48" t="str">
        <f>IF(OR(NOT($AQ19),Log_Putaran!$C$28=""),"",$BL19*SUMPRODUCT($AL19:$AP19,Log_Putaran!$L$28:$P$28))</f>
        <v/>
      </c>
      <c r="BP19" s="48" t="str">
        <f>IF(OR(NOT($AQ19),Log_Putaran!$C$29=""),"",$BL19*SUMPRODUCT($AL19:$AP19,Log_Putaran!$L$29:$P$29))</f>
        <v/>
      </c>
      <c r="BQ19" s="48" t="str">
        <f>IF(OR(NOT($AQ19),Log_Putaran!$C$30=""),"",$BL19*SUMPRODUCT($AL19:$AP19,Log_Putaran!$L$30:$P$30))</f>
        <v/>
      </c>
      <c r="BR19" s="48" t="str">
        <f>IF(OR(NOT($AQ19),Log_Putaran!$C$31=""),"",$BL19*SUMPRODUCT($AL19:$AP19,Log_Putaran!$L$31:$P$31))</f>
        <v/>
      </c>
      <c r="BS19" s="48" t="str">
        <f>IF(OR(NOT($AQ19),Log_Putaran!$C$32=""),"",$BL19*SUMPRODUCT($AL19:$AP19,Log_Putaran!$L$32:$P$32))</f>
        <v/>
      </c>
      <c r="BT19" s="48" t="str">
        <f>IF(OR(NOT($AQ19),Log_Putaran!$C$33=""),"",$BL19*SUMPRODUCT($AL19:$AP19,Log_Putaran!$L$33:$P$33))</f>
        <v/>
      </c>
      <c r="BU19" s="48" t="str">
        <f>IF(OR(NOT($AQ19),Log_Putaran!$C$34=""),"",$BL19*SUMPRODUCT($AL19:$AP19,Log_Putaran!$L$34:$P$34))</f>
        <v/>
      </c>
      <c r="BV19" s="48" t="str">
        <f>IF(OR(NOT($AQ19),Log_Putaran!$C$35=""),"",$BL19*SUMPRODUCT($AL19:$AP19,Log_Putaran!$L$35:$P$35))</f>
        <v/>
      </c>
      <c r="BW19" s="48" t="str">
        <f t="shared" si="23"/>
        <v/>
      </c>
      <c r="BX19" s="48" t="str">
        <f t="shared" si="24"/>
        <v/>
      </c>
      <c r="BY19" s="38" t="str">
        <f t="shared" si="25"/>
        <v/>
      </c>
      <c r="BZ19" s="49" t="str">
        <f>IF($AQ19,MAX(_DD!$B19:$AE19),"")</f>
        <v/>
      </c>
      <c r="CA19" s="36">
        <f t="shared" si="26"/>
        <v>-9.9999999999999997E+98</v>
      </c>
      <c r="CB19" s="36" t="str">
        <f t="shared" si="27"/>
        <v/>
      </c>
      <c r="CC19" s="36">
        <f t="shared" si="28"/>
        <v>-9.9999999999999997E+98</v>
      </c>
      <c r="CD19" s="36" t="str">
        <f t="shared" si="29"/>
        <v/>
      </c>
      <c r="CE19" s="36" t="str">
        <f t="shared" si="30"/>
        <v/>
      </c>
      <c r="CF19" s="36">
        <f t="shared" si="31"/>
        <v>-9.9999999999999997E+98</v>
      </c>
    </row>
    <row r="20" spans="1:84">
      <c r="A20" s="36" t="str">
        <f>Peserta!A20</f>
        <v>P15</v>
      </c>
      <c r="B20" s="36" t="str">
        <f>IF($C20&gt;0,INDEX(Input!$C:$C,$C20)&amp;"",IF(Peserta!B20="",$A20,Peserta!B20))</f>
        <v>P15</v>
      </c>
      <c r="C20" s="36">
        <f>SUMPRODUCT(MAX((_Bantu!$A$2:$A$2001=$A20)*ROW(_Bantu!$A$2:$A$2001)))</f>
        <v>0</v>
      </c>
      <c r="D20" s="36">
        <f>SUMPRODUCT(MAX((_Bantu!$C$2:$C$2001=$A20&amp;"|1")*ROW(_Bantu!$C$2:$C$2001)))</f>
        <v>0</v>
      </c>
      <c r="E20" s="47" t="str">
        <f>IF($D20=0,"",INDEX(_Bantu!D:D,$D20))</f>
        <v/>
      </c>
      <c r="F20" s="47" t="str">
        <f>IF($D20=0,"",INDEX(_Bantu!E:E,$D20))</f>
        <v/>
      </c>
      <c r="G20" s="47" t="str">
        <f>IF($D20=0,"",INDEX(_Bantu!F:F,$D20))</f>
        <v/>
      </c>
      <c r="H20" s="47" t="str">
        <f>IF($D20=0,"",INDEX(_Bantu!G:G,$D20))</f>
        <v/>
      </c>
      <c r="I20" s="47" t="str">
        <f>IF($D20=0,"",INDEX(_Bantu!H:H,$D20))</f>
        <v/>
      </c>
      <c r="J20" s="47" t="str">
        <f t="shared" si="0"/>
        <v/>
      </c>
      <c r="K20" s="36" t="str">
        <f t="shared" si="1"/>
        <v>Belum isi</v>
      </c>
      <c r="L20" s="36">
        <f>SUMPRODUCT(MAX((_Bantu!$C$2:$C$2001=$A20&amp;"|2")*ROW(_Bantu!$C$2:$C$2001)))</f>
        <v>0</v>
      </c>
      <c r="M20" s="47" t="str">
        <f>IF($L20=0,"",INDEX(_Bantu!D:D,$L20))</f>
        <v/>
      </c>
      <c r="N20" s="47" t="str">
        <f>IF($L20=0,"",INDEX(_Bantu!E:E,$L20))</f>
        <v/>
      </c>
      <c r="O20" s="47" t="str">
        <f>IF($L20=0,"",INDEX(_Bantu!F:F,$L20))</f>
        <v/>
      </c>
      <c r="P20" s="47" t="str">
        <f>IF($L20=0,"",INDEX(_Bantu!G:G,$L20))</f>
        <v/>
      </c>
      <c r="Q20" s="47" t="str">
        <f>IF($L20=0,"",INDEX(_Bantu!H:H,$L20))</f>
        <v/>
      </c>
      <c r="R20" s="47" t="str">
        <f t="shared" si="2"/>
        <v/>
      </c>
      <c r="S20" s="36" t="str">
        <f t="shared" si="3"/>
        <v>Belum isi</v>
      </c>
      <c r="T20" s="36">
        <f>SUMPRODUCT(MAX((_Bantu!$C$2:$C$2001=$A20&amp;"|3")*ROW(_Bantu!$C$2:$C$2001)))</f>
        <v>0</v>
      </c>
      <c r="U20" s="47" t="str">
        <f>IF($T20=0,"",INDEX(_Bantu!D:D,$T20))</f>
        <v/>
      </c>
      <c r="V20" s="47" t="str">
        <f>IF($T20=0,"",INDEX(_Bantu!E:E,$T20))</f>
        <v/>
      </c>
      <c r="W20" s="47" t="str">
        <f>IF($T20=0,"",INDEX(_Bantu!F:F,$T20))</f>
        <v/>
      </c>
      <c r="X20" s="47" t="str">
        <f>IF($T20=0,"",INDEX(_Bantu!G:G,$T20))</f>
        <v/>
      </c>
      <c r="Y20" s="47" t="str">
        <f>IF($T20=0,"",INDEX(_Bantu!H:H,$T20))</f>
        <v/>
      </c>
      <c r="Z20" s="47" t="str">
        <f t="shared" si="4"/>
        <v/>
      </c>
      <c r="AA20" s="36" t="str">
        <f t="shared" si="5"/>
        <v>Belum isi</v>
      </c>
      <c r="AB20" s="47">
        <f t="shared" si="6"/>
        <v>0</v>
      </c>
      <c r="AC20" s="47">
        <f t="shared" si="7"/>
        <v>0</v>
      </c>
      <c r="AD20" s="47">
        <f t="shared" si="8"/>
        <v>0</v>
      </c>
      <c r="AE20" s="47">
        <f t="shared" si="9"/>
        <v>0</v>
      </c>
      <c r="AF20" s="47">
        <f t="shared" si="10"/>
        <v>0</v>
      </c>
      <c r="AG20" s="47">
        <f t="shared" si="11"/>
        <v>0</v>
      </c>
      <c r="AH20" s="47">
        <f t="shared" si="12"/>
        <v>0</v>
      </c>
      <c r="AI20" s="47">
        <f t="shared" si="13"/>
        <v>0</v>
      </c>
      <c r="AJ20" s="47">
        <f t="shared" si="14"/>
        <v>0</v>
      </c>
      <c r="AK20" s="47">
        <f t="shared" si="15"/>
        <v>0</v>
      </c>
      <c r="AL20" s="47">
        <f t="shared" si="16"/>
        <v>0</v>
      </c>
      <c r="AM20" s="47">
        <f t="shared" si="17"/>
        <v>0</v>
      </c>
      <c r="AN20" s="47">
        <f t="shared" si="18"/>
        <v>0</v>
      </c>
      <c r="AO20" s="47">
        <f t="shared" si="19"/>
        <v>0</v>
      </c>
      <c r="AP20" s="47">
        <f t="shared" si="20"/>
        <v>0</v>
      </c>
      <c r="AQ20" s="36" t="b">
        <f t="shared" si="21"/>
        <v>0</v>
      </c>
      <c r="AR20" s="48" t="str">
        <f t="shared" si="22"/>
        <v/>
      </c>
      <c r="AS20" s="48" t="str">
        <f>IF(OR(NOT($AQ20),Log_Putaran!$C$6=""),"",$AR20*SUMPRODUCT($AB20:$AF20,Log_Putaran!$L$6:$P$6))</f>
        <v/>
      </c>
      <c r="AT20" s="48" t="str">
        <f>IF(OR(NOT($AQ20),Log_Putaran!$C$7=""),"",$AR20*SUMPRODUCT($AB20:$AF20,Log_Putaran!$L$7:$P$7))</f>
        <v/>
      </c>
      <c r="AU20" s="48" t="str">
        <f>IF(OR(NOT($AQ20),Log_Putaran!$C$8=""),"",$AR20*SUMPRODUCT($AB20:$AF20,Log_Putaran!$L$8:$P$8))</f>
        <v/>
      </c>
      <c r="AV20" s="48" t="str">
        <f>IF(OR(NOT($AQ20),Log_Putaran!$C$9=""),"",$AR20*SUMPRODUCT($AB20:$AF20,Log_Putaran!$L$9:$P$9))</f>
        <v/>
      </c>
      <c r="AW20" s="48" t="str">
        <f>IF(OR(NOT($AQ20),Log_Putaran!$C$10=""),"",$AR20*SUMPRODUCT($AB20:$AF20,Log_Putaran!$L$10:$P$10))</f>
        <v/>
      </c>
      <c r="AX20" s="48" t="str">
        <f>IF(OR(NOT($AQ20),Log_Putaran!$C$11=""),"",$AR20*SUMPRODUCT($AB20:$AF20,Log_Putaran!$L$11:$P$11))</f>
        <v/>
      </c>
      <c r="AY20" s="48" t="str">
        <f>IF(OR(NOT($AQ20),Log_Putaran!$C$12=""),"",$AR20*SUMPRODUCT($AB20:$AF20,Log_Putaran!$L$12:$P$12))</f>
        <v/>
      </c>
      <c r="AZ20" s="48" t="str">
        <f>IF(OR(NOT($AQ20),Log_Putaran!$C$13=""),"",$AR20*SUMPRODUCT($AB20:$AF20,Log_Putaran!$L$13:$P$13))</f>
        <v/>
      </c>
      <c r="BA20" s="48" t="str">
        <f>IF(OR(NOT($AQ20),Log_Putaran!$C$14=""),"",$AR20*SUMPRODUCT($AB20:$AF20,Log_Putaran!$L$14:$P$14))</f>
        <v/>
      </c>
      <c r="BB20" s="48" t="str">
        <f>IF(OR(NOT($AQ20),Log_Putaran!$C$15=""),"",$AR20*SUMPRODUCT($AB20:$AF20,Log_Putaran!$L$15:$P$15))</f>
        <v/>
      </c>
      <c r="BC20" s="48" t="str">
        <f>IF(OR(NOT($AQ20),Log_Putaran!$C$16=""),"",$BB20*SUMPRODUCT($AG20:$AK20,Log_Putaran!$L$16:$P$16))</f>
        <v/>
      </c>
      <c r="BD20" s="48" t="str">
        <f>IF(OR(NOT($AQ20),Log_Putaran!$C$17=""),"",$BB20*SUMPRODUCT($AG20:$AK20,Log_Putaran!$L$17:$P$17))</f>
        <v/>
      </c>
      <c r="BE20" s="48" t="str">
        <f>IF(OR(NOT($AQ20),Log_Putaran!$C$18=""),"",$BB20*SUMPRODUCT($AG20:$AK20,Log_Putaran!$L$18:$P$18))</f>
        <v/>
      </c>
      <c r="BF20" s="48" t="str">
        <f>IF(OR(NOT($AQ20),Log_Putaran!$C$19=""),"",$BB20*SUMPRODUCT($AG20:$AK20,Log_Putaran!$L$19:$P$19))</f>
        <v/>
      </c>
      <c r="BG20" s="48" t="str">
        <f>IF(OR(NOT($AQ20),Log_Putaran!$C$20=""),"",$BB20*SUMPRODUCT($AG20:$AK20,Log_Putaran!$L$20:$P$20))</f>
        <v/>
      </c>
      <c r="BH20" s="48" t="str">
        <f>IF(OR(NOT($AQ20),Log_Putaran!$C$21=""),"",$BB20*SUMPRODUCT($AG20:$AK20,Log_Putaran!$L$21:$P$21))</f>
        <v/>
      </c>
      <c r="BI20" s="48" t="str">
        <f>IF(OR(NOT($AQ20),Log_Putaran!$C$22=""),"",$BB20*SUMPRODUCT($AG20:$AK20,Log_Putaran!$L$22:$P$22))</f>
        <v/>
      </c>
      <c r="BJ20" s="48" t="str">
        <f>IF(OR(NOT($AQ20),Log_Putaran!$C$23=""),"",$BB20*SUMPRODUCT($AG20:$AK20,Log_Putaran!$L$23:$P$23))</f>
        <v/>
      </c>
      <c r="BK20" s="48" t="str">
        <f>IF(OR(NOT($AQ20),Log_Putaran!$C$24=""),"",$BB20*SUMPRODUCT($AG20:$AK20,Log_Putaran!$L$24:$P$24))</f>
        <v/>
      </c>
      <c r="BL20" s="48" t="str">
        <f>IF(OR(NOT($AQ20),Log_Putaran!$C$25=""),"",$BB20*SUMPRODUCT($AG20:$AK20,Log_Putaran!$L$25:$P$25))</f>
        <v/>
      </c>
      <c r="BM20" s="48" t="str">
        <f>IF(OR(NOT($AQ20),Log_Putaran!$C$26=""),"",$BL20*SUMPRODUCT($AL20:$AP20,Log_Putaran!$L$26:$P$26))</f>
        <v/>
      </c>
      <c r="BN20" s="48" t="str">
        <f>IF(OR(NOT($AQ20),Log_Putaran!$C$27=""),"",$BL20*SUMPRODUCT($AL20:$AP20,Log_Putaran!$L$27:$P$27))</f>
        <v/>
      </c>
      <c r="BO20" s="48" t="str">
        <f>IF(OR(NOT($AQ20),Log_Putaran!$C$28=""),"",$BL20*SUMPRODUCT($AL20:$AP20,Log_Putaran!$L$28:$P$28))</f>
        <v/>
      </c>
      <c r="BP20" s="48" t="str">
        <f>IF(OR(NOT($AQ20),Log_Putaran!$C$29=""),"",$BL20*SUMPRODUCT($AL20:$AP20,Log_Putaran!$L$29:$P$29))</f>
        <v/>
      </c>
      <c r="BQ20" s="48" t="str">
        <f>IF(OR(NOT($AQ20),Log_Putaran!$C$30=""),"",$BL20*SUMPRODUCT($AL20:$AP20,Log_Putaran!$L$30:$P$30))</f>
        <v/>
      </c>
      <c r="BR20" s="48" t="str">
        <f>IF(OR(NOT($AQ20),Log_Putaran!$C$31=""),"",$BL20*SUMPRODUCT($AL20:$AP20,Log_Putaran!$L$31:$P$31))</f>
        <v/>
      </c>
      <c r="BS20" s="48" t="str">
        <f>IF(OR(NOT($AQ20),Log_Putaran!$C$32=""),"",$BL20*SUMPRODUCT($AL20:$AP20,Log_Putaran!$L$32:$P$32))</f>
        <v/>
      </c>
      <c r="BT20" s="48" t="str">
        <f>IF(OR(NOT($AQ20),Log_Putaran!$C$33=""),"",$BL20*SUMPRODUCT($AL20:$AP20,Log_Putaran!$L$33:$P$33))</f>
        <v/>
      </c>
      <c r="BU20" s="48" t="str">
        <f>IF(OR(NOT($AQ20),Log_Putaran!$C$34=""),"",$BL20*SUMPRODUCT($AL20:$AP20,Log_Putaran!$L$34:$P$34))</f>
        <v/>
      </c>
      <c r="BV20" s="48" t="str">
        <f>IF(OR(NOT($AQ20),Log_Putaran!$C$35=""),"",$BL20*SUMPRODUCT($AL20:$AP20,Log_Putaran!$L$35:$P$35))</f>
        <v/>
      </c>
      <c r="BW20" s="48" t="str">
        <f t="shared" si="23"/>
        <v/>
      </c>
      <c r="BX20" s="48" t="str">
        <f t="shared" si="24"/>
        <v/>
      </c>
      <c r="BY20" s="38" t="str">
        <f t="shared" si="25"/>
        <v/>
      </c>
      <c r="BZ20" s="49" t="str">
        <f>IF($AQ20,MAX(_DD!$B20:$AE20),"")</f>
        <v/>
      </c>
      <c r="CA20" s="36">
        <f t="shared" si="26"/>
        <v>-9.9999999999999997E+98</v>
      </c>
      <c r="CB20" s="36" t="str">
        <f t="shared" si="27"/>
        <v/>
      </c>
      <c r="CC20" s="36">
        <f t="shared" si="28"/>
        <v>-9.9999999999999997E+98</v>
      </c>
      <c r="CD20" s="36" t="str">
        <f t="shared" si="29"/>
        <v/>
      </c>
      <c r="CE20" s="36" t="str">
        <f t="shared" si="30"/>
        <v/>
      </c>
      <c r="CF20" s="36">
        <f t="shared" si="31"/>
        <v>-9.9999999999999997E+98</v>
      </c>
    </row>
    <row r="21" spans="1:84">
      <c r="A21" s="36" t="str">
        <f>Peserta!A21</f>
        <v>P16</v>
      </c>
      <c r="B21" s="36" t="str">
        <f>IF($C21&gt;0,INDEX(Input!$C:$C,$C21)&amp;"",IF(Peserta!B21="",$A21,Peserta!B21))</f>
        <v>P16</v>
      </c>
      <c r="C21" s="36">
        <f>SUMPRODUCT(MAX((_Bantu!$A$2:$A$2001=$A21)*ROW(_Bantu!$A$2:$A$2001)))</f>
        <v>0</v>
      </c>
      <c r="D21" s="36">
        <f>SUMPRODUCT(MAX((_Bantu!$C$2:$C$2001=$A21&amp;"|1")*ROW(_Bantu!$C$2:$C$2001)))</f>
        <v>0</v>
      </c>
      <c r="E21" s="47" t="str">
        <f>IF($D21=0,"",INDEX(_Bantu!D:D,$D21))</f>
        <v/>
      </c>
      <c r="F21" s="47" t="str">
        <f>IF($D21=0,"",INDEX(_Bantu!E:E,$D21))</f>
        <v/>
      </c>
      <c r="G21" s="47" t="str">
        <f>IF($D21=0,"",INDEX(_Bantu!F:F,$D21))</f>
        <v/>
      </c>
      <c r="H21" s="47" t="str">
        <f>IF($D21=0,"",INDEX(_Bantu!G:G,$D21))</f>
        <v/>
      </c>
      <c r="I21" s="47" t="str">
        <f>IF($D21=0,"",INDEX(_Bantu!H:H,$D21))</f>
        <v/>
      </c>
      <c r="J21" s="47" t="str">
        <f t="shared" si="0"/>
        <v/>
      </c>
      <c r="K21" s="36" t="str">
        <f t="shared" si="1"/>
        <v>Belum isi</v>
      </c>
      <c r="L21" s="36">
        <f>SUMPRODUCT(MAX((_Bantu!$C$2:$C$2001=$A21&amp;"|2")*ROW(_Bantu!$C$2:$C$2001)))</f>
        <v>0</v>
      </c>
      <c r="M21" s="47" t="str">
        <f>IF($L21=0,"",INDEX(_Bantu!D:D,$L21))</f>
        <v/>
      </c>
      <c r="N21" s="47" t="str">
        <f>IF($L21=0,"",INDEX(_Bantu!E:E,$L21))</f>
        <v/>
      </c>
      <c r="O21" s="47" t="str">
        <f>IF($L21=0,"",INDEX(_Bantu!F:F,$L21))</f>
        <v/>
      </c>
      <c r="P21" s="47" t="str">
        <f>IF($L21=0,"",INDEX(_Bantu!G:G,$L21))</f>
        <v/>
      </c>
      <c r="Q21" s="47" t="str">
        <f>IF($L21=0,"",INDEX(_Bantu!H:H,$L21))</f>
        <v/>
      </c>
      <c r="R21" s="47" t="str">
        <f t="shared" si="2"/>
        <v/>
      </c>
      <c r="S21" s="36" t="str">
        <f t="shared" si="3"/>
        <v>Belum isi</v>
      </c>
      <c r="T21" s="36">
        <f>SUMPRODUCT(MAX((_Bantu!$C$2:$C$2001=$A21&amp;"|3")*ROW(_Bantu!$C$2:$C$2001)))</f>
        <v>0</v>
      </c>
      <c r="U21" s="47" t="str">
        <f>IF($T21=0,"",INDEX(_Bantu!D:D,$T21))</f>
        <v/>
      </c>
      <c r="V21" s="47" t="str">
        <f>IF($T21=0,"",INDEX(_Bantu!E:E,$T21))</f>
        <v/>
      </c>
      <c r="W21" s="47" t="str">
        <f>IF($T21=0,"",INDEX(_Bantu!F:F,$T21))</f>
        <v/>
      </c>
      <c r="X21" s="47" t="str">
        <f>IF($T21=0,"",INDEX(_Bantu!G:G,$T21))</f>
        <v/>
      </c>
      <c r="Y21" s="47" t="str">
        <f>IF($T21=0,"",INDEX(_Bantu!H:H,$T21))</f>
        <v/>
      </c>
      <c r="Z21" s="47" t="str">
        <f t="shared" si="4"/>
        <v/>
      </c>
      <c r="AA21" s="36" t="str">
        <f t="shared" si="5"/>
        <v>Belum isi</v>
      </c>
      <c r="AB21" s="47">
        <f t="shared" si="6"/>
        <v>0</v>
      </c>
      <c r="AC21" s="47">
        <f t="shared" si="7"/>
        <v>0</v>
      </c>
      <c r="AD21" s="47">
        <f t="shared" si="8"/>
        <v>0</v>
      </c>
      <c r="AE21" s="47">
        <f t="shared" si="9"/>
        <v>0</v>
      </c>
      <c r="AF21" s="47">
        <f t="shared" si="10"/>
        <v>0</v>
      </c>
      <c r="AG21" s="47">
        <f t="shared" si="11"/>
        <v>0</v>
      </c>
      <c r="AH21" s="47">
        <f t="shared" si="12"/>
        <v>0</v>
      </c>
      <c r="AI21" s="47">
        <f t="shared" si="13"/>
        <v>0</v>
      </c>
      <c r="AJ21" s="47">
        <f t="shared" si="14"/>
        <v>0</v>
      </c>
      <c r="AK21" s="47">
        <f t="shared" si="15"/>
        <v>0</v>
      </c>
      <c r="AL21" s="47">
        <f t="shared" si="16"/>
        <v>0</v>
      </c>
      <c r="AM21" s="47">
        <f t="shared" si="17"/>
        <v>0</v>
      </c>
      <c r="AN21" s="47">
        <f t="shared" si="18"/>
        <v>0</v>
      </c>
      <c r="AO21" s="47">
        <f t="shared" si="19"/>
        <v>0</v>
      </c>
      <c r="AP21" s="47">
        <f t="shared" si="20"/>
        <v>0</v>
      </c>
      <c r="AQ21" s="36" t="b">
        <f t="shared" si="21"/>
        <v>0</v>
      </c>
      <c r="AR21" s="48" t="str">
        <f t="shared" si="22"/>
        <v/>
      </c>
      <c r="AS21" s="48" t="str">
        <f>IF(OR(NOT($AQ21),Log_Putaran!$C$6=""),"",$AR21*SUMPRODUCT($AB21:$AF21,Log_Putaran!$L$6:$P$6))</f>
        <v/>
      </c>
      <c r="AT21" s="48" t="str">
        <f>IF(OR(NOT($AQ21),Log_Putaran!$C$7=""),"",$AR21*SUMPRODUCT($AB21:$AF21,Log_Putaran!$L$7:$P$7))</f>
        <v/>
      </c>
      <c r="AU21" s="48" t="str">
        <f>IF(OR(NOT($AQ21),Log_Putaran!$C$8=""),"",$AR21*SUMPRODUCT($AB21:$AF21,Log_Putaran!$L$8:$P$8))</f>
        <v/>
      </c>
      <c r="AV21" s="48" t="str">
        <f>IF(OR(NOT($AQ21),Log_Putaran!$C$9=""),"",$AR21*SUMPRODUCT($AB21:$AF21,Log_Putaran!$L$9:$P$9))</f>
        <v/>
      </c>
      <c r="AW21" s="48" t="str">
        <f>IF(OR(NOT($AQ21),Log_Putaran!$C$10=""),"",$AR21*SUMPRODUCT($AB21:$AF21,Log_Putaran!$L$10:$P$10))</f>
        <v/>
      </c>
      <c r="AX21" s="48" t="str">
        <f>IF(OR(NOT($AQ21),Log_Putaran!$C$11=""),"",$AR21*SUMPRODUCT($AB21:$AF21,Log_Putaran!$L$11:$P$11))</f>
        <v/>
      </c>
      <c r="AY21" s="48" t="str">
        <f>IF(OR(NOT($AQ21),Log_Putaran!$C$12=""),"",$AR21*SUMPRODUCT($AB21:$AF21,Log_Putaran!$L$12:$P$12))</f>
        <v/>
      </c>
      <c r="AZ21" s="48" t="str">
        <f>IF(OR(NOT($AQ21),Log_Putaran!$C$13=""),"",$AR21*SUMPRODUCT($AB21:$AF21,Log_Putaran!$L$13:$P$13))</f>
        <v/>
      </c>
      <c r="BA21" s="48" t="str">
        <f>IF(OR(NOT($AQ21),Log_Putaran!$C$14=""),"",$AR21*SUMPRODUCT($AB21:$AF21,Log_Putaran!$L$14:$P$14))</f>
        <v/>
      </c>
      <c r="BB21" s="48" t="str">
        <f>IF(OR(NOT($AQ21),Log_Putaran!$C$15=""),"",$AR21*SUMPRODUCT($AB21:$AF21,Log_Putaran!$L$15:$P$15))</f>
        <v/>
      </c>
      <c r="BC21" s="48" t="str">
        <f>IF(OR(NOT($AQ21),Log_Putaran!$C$16=""),"",$BB21*SUMPRODUCT($AG21:$AK21,Log_Putaran!$L$16:$P$16))</f>
        <v/>
      </c>
      <c r="BD21" s="48" t="str">
        <f>IF(OR(NOT($AQ21),Log_Putaran!$C$17=""),"",$BB21*SUMPRODUCT($AG21:$AK21,Log_Putaran!$L$17:$P$17))</f>
        <v/>
      </c>
      <c r="BE21" s="48" t="str">
        <f>IF(OR(NOT($AQ21),Log_Putaran!$C$18=""),"",$BB21*SUMPRODUCT($AG21:$AK21,Log_Putaran!$L$18:$P$18))</f>
        <v/>
      </c>
      <c r="BF21" s="48" t="str">
        <f>IF(OR(NOT($AQ21),Log_Putaran!$C$19=""),"",$BB21*SUMPRODUCT($AG21:$AK21,Log_Putaran!$L$19:$P$19))</f>
        <v/>
      </c>
      <c r="BG21" s="48" t="str">
        <f>IF(OR(NOT($AQ21),Log_Putaran!$C$20=""),"",$BB21*SUMPRODUCT($AG21:$AK21,Log_Putaran!$L$20:$P$20))</f>
        <v/>
      </c>
      <c r="BH21" s="48" t="str">
        <f>IF(OR(NOT($AQ21),Log_Putaran!$C$21=""),"",$BB21*SUMPRODUCT($AG21:$AK21,Log_Putaran!$L$21:$P$21))</f>
        <v/>
      </c>
      <c r="BI21" s="48" t="str">
        <f>IF(OR(NOT($AQ21),Log_Putaran!$C$22=""),"",$BB21*SUMPRODUCT($AG21:$AK21,Log_Putaran!$L$22:$P$22))</f>
        <v/>
      </c>
      <c r="BJ21" s="48" t="str">
        <f>IF(OR(NOT($AQ21),Log_Putaran!$C$23=""),"",$BB21*SUMPRODUCT($AG21:$AK21,Log_Putaran!$L$23:$P$23))</f>
        <v/>
      </c>
      <c r="BK21" s="48" t="str">
        <f>IF(OR(NOT($AQ21),Log_Putaran!$C$24=""),"",$BB21*SUMPRODUCT($AG21:$AK21,Log_Putaran!$L$24:$P$24))</f>
        <v/>
      </c>
      <c r="BL21" s="48" t="str">
        <f>IF(OR(NOT($AQ21),Log_Putaran!$C$25=""),"",$BB21*SUMPRODUCT($AG21:$AK21,Log_Putaran!$L$25:$P$25))</f>
        <v/>
      </c>
      <c r="BM21" s="48" t="str">
        <f>IF(OR(NOT($AQ21),Log_Putaran!$C$26=""),"",$BL21*SUMPRODUCT($AL21:$AP21,Log_Putaran!$L$26:$P$26))</f>
        <v/>
      </c>
      <c r="BN21" s="48" t="str">
        <f>IF(OR(NOT($AQ21),Log_Putaran!$C$27=""),"",$BL21*SUMPRODUCT($AL21:$AP21,Log_Putaran!$L$27:$P$27))</f>
        <v/>
      </c>
      <c r="BO21" s="48" t="str">
        <f>IF(OR(NOT($AQ21),Log_Putaran!$C$28=""),"",$BL21*SUMPRODUCT($AL21:$AP21,Log_Putaran!$L$28:$P$28))</f>
        <v/>
      </c>
      <c r="BP21" s="48" t="str">
        <f>IF(OR(NOT($AQ21),Log_Putaran!$C$29=""),"",$BL21*SUMPRODUCT($AL21:$AP21,Log_Putaran!$L$29:$P$29))</f>
        <v/>
      </c>
      <c r="BQ21" s="48" t="str">
        <f>IF(OR(NOT($AQ21),Log_Putaran!$C$30=""),"",$BL21*SUMPRODUCT($AL21:$AP21,Log_Putaran!$L$30:$P$30))</f>
        <v/>
      </c>
      <c r="BR21" s="48" t="str">
        <f>IF(OR(NOT($AQ21),Log_Putaran!$C$31=""),"",$BL21*SUMPRODUCT($AL21:$AP21,Log_Putaran!$L$31:$P$31))</f>
        <v/>
      </c>
      <c r="BS21" s="48" t="str">
        <f>IF(OR(NOT($AQ21),Log_Putaran!$C$32=""),"",$BL21*SUMPRODUCT($AL21:$AP21,Log_Putaran!$L$32:$P$32))</f>
        <v/>
      </c>
      <c r="BT21" s="48" t="str">
        <f>IF(OR(NOT($AQ21),Log_Putaran!$C$33=""),"",$BL21*SUMPRODUCT($AL21:$AP21,Log_Putaran!$L$33:$P$33))</f>
        <v/>
      </c>
      <c r="BU21" s="48" t="str">
        <f>IF(OR(NOT($AQ21),Log_Putaran!$C$34=""),"",$BL21*SUMPRODUCT($AL21:$AP21,Log_Putaran!$L$34:$P$34))</f>
        <v/>
      </c>
      <c r="BV21" s="48" t="str">
        <f>IF(OR(NOT($AQ21),Log_Putaran!$C$35=""),"",$BL21*SUMPRODUCT($AL21:$AP21,Log_Putaran!$L$35:$P$35))</f>
        <v/>
      </c>
      <c r="BW21" s="48" t="str">
        <f t="shared" si="23"/>
        <v/>
      </c>
      <c r="BX21" s="48" t="str">
        <f t="shared" si="24"/>
        <v/>
      </c>
      <c r="BY21" s="38" t="str">
        <f t="shared" si="25"/>
        <v/>
      </c>
      <c r="BZ21" s="49" t="str">
        <f>IF($AQ21,MAX(_DD!$B21:$AE21),"")</f>
        <v/>
      </c>
      <c r="CA21" s="36">
        <f t="shared" si="26"/>
        <v>-9.9999999999999997E+98</v>
      </c>
      <c r="CB21" s="36" t="str">
        <f t="shared" si="27"/>
        <v/>
      </c>
      <c r="CC21" s="36">
        <f t="shared" si="28"/>
        <v>-9.9999999999999997E+98</v>
      </c>
      <c r="CD21" s="36" t="str">
        <f t="shared" si="29"/>
        <v/>
      </c>
      <c r="CE21" s="36" t="str">
        <f t="shared" si="30"/>
        <v/>
      </c>
      <c r="CF21" s="36">
        <f t="shared" si="31"/>
        <v>-9.9999999999999997E+98</v>
      </c>
    </row>
    <row r="22" spans="1:84">
      <c r="A22" s="36" t="str">
        <f>Peserta!A22</f>
        <v>P17</v>
      </c>
      <c r="B22" s="36" t="str">
        <f>IF($C22&gt;0,INDEX(Input!$C:$C,$C22)&amp;"",IF(Peserta!B22="",$A22,Peserta!B22))</f>
        <v>P17</v>
      </c>
      <c r="C22" s="36">
        <f>SUMPRODUCT(MAX((_Bantu!$A$2:$A$2001=$A22)*ROW(_Bantu!$A$2:$A$2001)))</f>
        <v>0</v>
      </c>
      <c r="D22" s="36">
        <f>SUMPRODUCT(MAX((_Bantu!$C$2:$C$2001=$A22&amp;"|1")*ROW(_Bantu!$C$2:$C$2001)))</f>
        <v>0</v>
      </c>
      <c r="E22" s="47" t="str">
        <f>IF($D22=0,"",INDEX(_Bantu!D:D,$D22))</f>
        <v/>
      </c>
      <c r="F22" s="47" t="str">
        <f>IF($D22=0,"",INDEX(_Bantu!E:E,$D22))</f>
        <v/>
      </c>
      <c r="G22" s="47" t="str">
        <f>IF($D22=0,"",INDEX(_Bantu!F:F,$D22))</f>
        <v/>
      </c>
      <c r="H22" s="47" t="str">
        <f>IF($D22=0,"",INDEX(_Bantu!G:G,$D22))</f>
        <v/>
      </c>
      <c r="I22" s="47" t="str">
        <f>IF($D22=0,"",INDEX(_Bantu!H:H,$D22))</f>
        <v/>
      </c>
      <c r="J22" s="47" t="str">
        <f t="shared" si="0"/>
        <v/>
      </c>
      <c r="K22" s="36" t="str">
        <f t="shared" si="1"/>
        <v>Belum isi</v>
      </c>
      <c r="L22" s="36">
        <f>SUMPRODUCT(MAX((_Bantu!$C$2:$C$2001=$A22&amp;"|2")*ROW(_Bantu!$C$2:$C$2001)))</f>
        <v>0</v>
      </c>
      <c r="M22" s="47" t="str">
        <f>IF($L22=0,"",INDEX(_Bantu!D:D,$L22))</f>
        <v/>
      </c>
      <c r="N22" s="47" t="str">
        <f>IF($L22=0,"",INDEX(_Bantu!E:E,$L22))</f>
        <v/>
      </c>
      <c r="O22" s="47" t="str">
        <f>IF($L22=0,"",INDEX(_Bantu!F:F,$L22))</f>
        <v/>
      </c>
      <c r="P22" s="47" t="str">
        <f>IF($L22=0,"",INDEX(_Bantu!G:G,$L22))</f>
        <v/>
      </c>
      <c r="Q22" s="47" t="str">
        <f>IF($L22=0,"",INDEX(_Bantu!H:H,$L22))</f>
        <v/>
      </c>
      <c r="R22" s="47" t="str">
        <f t="shared" si="2"/>
        <v/>
      </c>
      <c r="S22" s="36" t="str">
        <f t="shared" si="3"/>
        <v>Belum isi</v>
      </c>
      <c r="T22" s="36">
        <f>SUMPRODUCT(MAX((_Bantu!$C$2:$C$2001=$A22&amp;"|3")*ROW(_Bantu!$C$2:$C$2001)))</f>
        <v>0</v>
      </c>
      <c r="U22" s="47" t="str">
        <f>IF($T22=0,"",INDEX(_Bantu!D:D,$T22))</f>
        <v/>
      </c>
      <c r="V22" s="47" t="str">
        <f>IF($T22=0,"",INDEX(_Bantu!E:E,$T22))</f>
        <v/>
      </c>
      <c r="W22" s="47" t="str">
        <f>IF($T22=0,"",INDEX(_Bantu!F:F,$T22))</f>
        <v/>
      </c>
      <c r="X22" s="47" t="str">
        <f>IF($T22=0,"",INDEX(_Bantu!G:G,$T22))</f>
        <v/>
      </c>
      <c r="Y22" s="47" t="str">
        <f>IF($T22=0,"",INDEX(_Bantu!H:H,$T22))</f>
        <v/>
      </c>
      <c r="Z22" s="47" t="str">
        <f t="shared" si="4"/>
        <v/>
      </c>
      <c r="AA22" s="36" t="str">
        <f t="shared" si="5"/>
        <v>Belum isi</v>
      </c>
      <c r="AB22" s="47">
        <f t="shared" si="6"/>
        <v>0</v>
      </c>
      <c r="AC22" s="47">
        <f t="shared" si="7"/>
        <v>0</v>
      </c>
      <c r="AD22" s="47">
        <f t="shared" si="8"/>
        <v>0</v>
      </c>
      <c r="AE22" s="47">
        <f t="shared" si="9"/>
        <v>0</v>
      </c>
      <c r="AF22" s="47">
        <f t="shared" si="10"/>
        <v>0</v>
      </c>
      <c r="AG22" s="47">
        <f t="shared" si="11"/>
        <v>0</v>
      </c>
      <c r="AH22" s="47">
        <f t="shared" si="12"/>
        <v>0</v>
      </c>
      <c r="AI22" s="47">
        <f t="shared" si="13"/>
        <v>0</v>
      </c>
      <c r="AJ22" s="47">
        <f t="shared" si="14"/>
        <v>0</v>
      </c>
      <c r="AK22" s="47">
        <f t="shared" si="15"/>
        <v>0</v>
      </c>
      <c r="AL22" s="47">
        <f t="shared" si="16"/>
        <v>0</v>
      </c>
      <c r="AM22" s="47">
        <f t="shared" si="17"/>
        <v>0</v>
      </c>
      <c r="AN22" s="47">
        <f t="shared" si="18"/>
        <v>0</v>
      </c>
      <c r="AO22" s="47">
        <f t="shared" si="19"/>
        <v>0</v>
      </c>
      <c r="AP22" s="47">
        <f t="shared" si="20"/>
        <v>0</v>
      </c>
      <c r="AQ22" s="36" t="b">
        <f t="shared" si="21"/>
        <v>0</v>
      </c>
      <c r="AR22" s="48" t="str">
        <f t="shared" si="22"/>
        <v/>
      </c>
      <c r="AS22" s="48" t="str">
        <f>IF(OR(NOT($AQ22),Log_Putaran!$C$6=""),"",$AR22*SUMPRODUCT($AB22:$AF22,Log_Putaran!$L$6:$P$6))</f>
        <v/>
      </c>
      <c r="AT22" s="48" t="str">
        <f>IF(OR(NOT($AQ22),Log_Putaran!$C$7=""),"",$AR22*SUMPRODUCT($AB22:$AF22,Log_Putaran!$L$7:$P$7))</f>
        <v/>
      </c>
      <c r="AU22" s="48" t="str">
        <f>IF(OR(NOT($AQ22),Log_Putaran!$C$8=""),"",$AR22*SUMPRODUCT($AB22:$AF22,Log_Putaran!$L$8:$P$8))</f>
        <v/>
      </c>
      <c r="AV22" s="48" t="str">
        <f>IF(OR(NOT($AQ22),Log_Putaran!$C$9=""),"",$AR22*SUMPRODUCT($AB22:$AF22,Log_Putaran!$L$9:$P$9))</f>
        <v/>
      </c>
      <c r="AW22" s="48" t="str">
        <f>IF(OR(NOT($AQ22),Log_Putaran!$C$10=""),"",$AR22*SUMPRODUCT($AB22:$AF22,Log_Putaran!$L$10:$P$10))</f>
        <v/>
      </c>
      <c r="AX22" s="48" t="str">
        <f>IF(OR(NOT($AQ22),Log_Putaran!$C$11=""),"",$AR22*SUMPRODUCT($AB22:$AF22,Log_Putaran!$L$11:$P$11))</f>
        <v/>
      </c>
      <c r="AY22" s="48" t="str">
        <f>IF(OR(NOT($AQ22),Log_Putaran!$C$12=""),"",$AR22*SUMPRODUCT($AB22:$AF22,Log_Putaran!$L$12:$P$12))</f>
        <v/>
      </c>
      <c r="AZ22" s="48" t="str">
        <f>IF(OR(NOT($AQ22),Log_Putaran!$C$13=""),"",$AR22*SUMPRODUCT($AB22:$AF22,Log_Putaran!$L$13:$P$13))</f>
        <v/>
      </c>
      <c r="BA22" s="48" t="str">
        <f>IF(OR(NOT($AQ22),Log_Putaran!$C$14=""),"",$AR22*SUMPRODUCT($AB22:$AF22,Log_Putaran!$L$14:$P$14))</f>
        <v/>
      </c>
      <c r="BB22" s="48" t="str">
        <f>IF(OR(NOT($AQ22),Log_Putaran!$C$15=""),"",$AR22*SUMPRODUCT($AB22:$AF22,Log_Putaran!$L$15:$P$15))</f>
        <v/>
      </c>
      <c r="BC22" s="48" t="str">
        <f>IF(OR(NOT($AQ22),Log_Putaran!$C$16=""),"",$BB22*SUMPRODUCT($AG22:$AK22,Log_Putaran!$L$16:$P$16))</f>
        <v/>
      </c>
      <c r="BD22" s="48" t="str">
        <f>IF(OR(NOT($AQ22),Log_Putaran!$C$17=""),"",$BB22*SUMPRODUCT($AG22:$AK22,Log_Putaran!$L$17:$P$17))</f>
        <v/>
      </c>
      <c r="BE22" s="48" t="str">
        <f>IF(OR(NOT($AQ22),Log_Putaran!$C$18=""),"",$BB22*SUMPRODUCT($AG22:$AK22,Log_Putaran!$L$18:$P$18))</f>
        <v/>
      </c>
      <c r="BF22" s="48" t="str">
        <f>IF(OR(NOT($AQ22),Log_Putaran!$C$19=""),"",$BB22*SUMPRODUCT($AG22:$AK22,Log_Putaran!$L$19:$P$19))</f>
        <v/>
      </c>
      <c r="BG22" s="48" t="str">
        <f>IF(OR(NOT($AQ22),Log_Putaran!$C$20=""),"",$BB22*SUMPRODUCT($AG22:$AK22,Log_Putaran!$L$20:$P$20))</f>
        <v/>
      </c>
      <c r="BH22" s="48" t="str">
        <f>IF(OR(NOT($AQ22),Log_Putaran!$C$21=""),"",$BB22*SUMPRODUCT($AG22:$AK22,Log_Putaran!$L$21:$P$21))</f>
        <v/>
      </c>
      <c r="BI22" s="48" t="str">
        <f>IF(OR(NOT($AQ22),Log_Putaran!$C$22=""),"",$BB22*SUMPRODUCT($AG22:$AK22,Log_Putaran!$L$22:$P$22))</f>
        <v/>
      </c>
      <c r="BJ22" s="48" t="str">
        <f>IF(OR(NOT($AQ22),Log_Putaran!$C$23=""),"",$BB22*SUMPRODUCT($AG22:$AK22,Log_Putaran!$L$23:$P$23))</f>
        <v/>
      </c>
      <c r="BK22" s="48" t="str">
        <f>IF(OR(NOT($AQ22),Log_Putaran!$C$24=""),"",$BB22*SUMPRODUCT($AG22:$AK22,Log_Putaran!$L$24:$P$24))</f>
        <v/>
      </c>
      <c r="BL22" s="48" t="str">
        <f>IF(OR(NOT($AQ22),Log_Putaran!$C$25=""),"",$BB22*SUMPRODUCT($AG22:$AK22,Log_Putaran!$L$25:$P$25))</f>
        <v/>
      </c>
      <c r="BM22" s="48" t="str">
        <f>IF(OR(NOT($AQ22),Log_Putaran!$C$26=""),"",$BL22*SUMPRODUCT($AL22:$AP22,Log_Putaran!$L$26:$P$26))</f>
        <v/>
      </c>
      <c r="BN22" s="48" t="str">
        <f>IF(OR(NOT($AQ22),Log_Putaran!$C$27=""),"",$BL22*SUMPRODUCT($AL22:$AP22,Log_Putaran!$L$27:$P$27))</f>
        <v/>
      </c>
      <c r="BO22" s="48" t="str">
        <f>IF(OR(NOT($AQ22),Log_Putaran!$C$28=""),"",$BL22*SUMPRODUCT($AL22:$AP22,Log_Putaran!$L$28:$P$28))</f>
        <v/>
      </c>
      <c r="BP22" s="48" t="str">
        <f>IF(OR(NOT($AQ22),Log_Putaran!$C$29=""),"",$BL22*SUMPRODUCT($AL22:$AP22,Log_Putaran!$L$29:$P$29))</f>
        <v/>
      </c>
      <c r="BQ22" s="48" t="str">
        <f>IF(OR(NOT($AQ22),Log_Putaran!$C$30=""),"",$BL22*SUMPRODUCT($AL22:$AP22,Log_Putaran!$L$30:$P$30))</f>
        <v/>
      </c>
      <c r="BR22" s="48" t="str">
        <f>IF(OR(NOT($AQ22),Log_Putaran!$C$31=""),"",$BL22*SUMPRODUCT($AL22:$AP22,Log_Putaran!$L$31:$P$31))</f>
        <v/>
      </c>
      <c r="BS22" s="48" t="str">
        <f>IF(OR(NOT($AQ22),Log_Putaran!$C$32=""),"",$BL22*SUMPRODUCT($AL22:$AP22,Log_Putaran!$L$32:$P$32))</f>
        <v/>
      </c>
      <c r="BT22" s="48" t="str">
        <f>IF(OR(NOT($AQ22),Log_Putaran!$C$33=""),"",$BL22*SUMPRODUCT($AL22:$AP22,Log_Putaran!$L$33:$P$33))</f>
        <v/>
      </c>
      <c r="BU22" s="48" t="str">
        <f>IF(OR(NOT($AQ22),Log_Putaran!$C$34=""),"",$BL22*SUMPRODUCT($AL22:$AP22,Log_Putaran!$L$34:$P$34))</f>
        <v/>
      </c>
      <c r="BV22" s="48" t="str">
        <f>IF(OR(NOT($AQ22),Log_Putaran!$C$35=""),"",$BL22*SUMPRODUCT($AL22:$AP22,Log_Putaran!$L$35:$P$35))</f>
        <v/>
      </c>
      <c r="BW22" s="48" t="str">
        <f t="shared" si="23"/>
        <v/>
      </c>
      <c r="BX22" s="48" t="str">
        <f t="shared" si="24"/>
        <v/>
      </c>
      <c r="BY22" s="38" t="str">
        <f t="shared" si="25"/>
        <v/>
      </c>
      <c r="BZ22" s="49" t="str">
        <f>IF($AQ22,MAX(_DD!$B22:$AE22),"")</f>
        <v/>
      </c>
      <c r="CA22" s="36">
        <f t="shared" si="26"/>
        <v>-9.9999999999999997E+98</v>
      </c>
      <c r="CB22" s="36" t="str">
        <f t="shared" si="27"/>
        <v/>
      </c>
      <c r="CC22" s="36">
        <f t="shared" si="28"/>
        <v>-9.9999999999999997E+98</v>
      </c>
      <c r="CD22" s="36" t="str">
        <f t="shared" si="29"/>
        <v/>
      </c>
      <c r="CE22" s="36" t="str">
        <f t="shared" si="30"/>
        <v/>
      </c>
      <c r="CF22" s="36">
        <f t="shared" si="31"/>
        <v>-9.9999999999999997E+98</v>
      </c>
    </row>
    <row r="23" spans="1:84">
      <c r="A23" s="36" t="str">
        <f>Peserta!A23</f>
        <v>P18</v>
      </c>
      <c r="B23" s="36" t="str">
        <f>IF($C23&gt;0,INDEX(Input!$C:$C,$C23)&amp;"",IF(Peserta!B23="",$A23,Peserta!B23))</f>
        <v>P18</v>
      </c>
      <c r="C23" s="36">
        <f>SUMPRODUCT(MAX((_Bantu!$A$2:$A$2001=$A23)*ROW(_Bantu!$A$2:$A$2001)))</f>
        <v>0</v>
      </c>
      <c r="D23" s="36">
        <f>SUMPRODUCT(MAX((_Bantu!$C$2:$C$2001=$A23&amp;"|1")*ROW(_Bantu!$C$2:$C$2001)))</f>
        <v>0</v>
      </c>
      <c r="E23" s="47" t="str">
        <f>IF($D23=0,"",INDEX(_Bantu!D:D,$D23))</f>
        <v/>
      </c>
      <c r="F23" s="47" t="str">
        <f>IF($D23=0,"",INDEX(_Bantu!E:E,$D23))</f>
        <v/>
      </c>
      <c r="G23" s="47" t="str">
        <f>IF($D23=0,"",INDEX(_Bantu!F:F,$D23))</f>
        <v/>
      </c>
      <c r="H23" s="47" t="str">
        <f>IF($D23=0,"",INDEX(_Bantu!G:G,$D23))</f>
        <v/>
      </c>
      <c r="I23" s="47" t="str">
        <f>IF($D23=0,"",INDEX(_Bantu!H:H,$D23))</f>
        <v/>
      </c>
      <c r="J23" s="47" t="str">
        <f t="shared" si="0"/>
        <v/>
      </c>
      <c r="K23" s="36" t="str">
        <f t="shared" si="1"/>
        <v>Belum isi</v>
      </c>
      <c r="L23" s="36">
        <f>SUMPRODUCT(MAX((_Bantu!$C$2:$C$2001=$A23&amp;"|2")*ROW(_Bantu!$C$2:$C$2001)))</f>
        <v>0</v>
      </c>
      <c r="M23" s="47" t="str">
        <f>IF($L23=0,"",INDEX(_Bantu!D:D,$L23))</f>
        <v/>
      </c>
      <c r="N23" s="47" t="str">
        <f>IF($L23=0,"",INDEX(_Bantu!E:E,$L23))</f>
        <v/>
      </c>
      <c r="O23" s="47" t="str">
        <f>IF($L23=0,"",INDEX(_Bantu!F:F,$L23))</f>
        <v/>
      </c>
      <c r="P23" s="47" t="str">
        <f>IF($L23=0,"",INDEX(_Bantu!G:G,$L23))</f>
        <v/>
      </c>
      <c r="Q23" s="47" t="str">
        <f>IF($L23=0,"",INDEX(_Bantu!H:H,$L23))</f>
        <v/>
      </c>
      <c r="R23" s="47" t="str">
        <f t="shared" si="2"/>
        <v/>
      </c>
      <c r="S23" s="36" t="str">
        <f t="shared" si="3"/>
        <v>Belum isi</v>
      </c>
      <c r="T23" s="36">
        <f>SUMPRODUCT(MAX((_Bantu!$C$2:$C$2001=$A23&amp;"|3")*ROW(_Bantu!$C$2:$C$2001)))</f>
        <v>0</v>
      </c>
      <c r="U23" s="47" t="str">
        <f>IF($T23=0,"",INDEX(_Bantu!D:D,$T23))</f>
        <v/>
      </c>
      <c r="V23" s="47" t="str">
        <f>IF($T23=0,"",INDEX(_Bantu!E:E,$T23))</f>
        <v/>
      </c>
      <c r="W23" s="47" t="str">
        <f>IF($T23=0,"",INDEX(_Bantu!F:F,$T23))</f>
        <v/>
      </c>
      <c r="X23" s="47" t="str">
        <f>IF($T23=0,"",INDEX(_Bantu!G:G,$T23))</f>
        <v/>
      </c>
      <c r="Y23" s="47" t="str">
        <f>IF($T23=0,"",INDEX(_Bantu!H:H,$T23))</f>
        <v/>
      </c>
      <c r="Z23" s="47" t="str">
        <f t="shared" si="4"/>
        <v/>
      </c>
      <c r="AA23" s="36" t="str">
        <f t="shared" si="5"/>
        <v>Belum isi</v>
      </c>
      <c r="AB23" s="47">
        <f t="shared" si="6"/>
        <v>0</v>
      </c>
      <c r="AC23" s="47">
        <f t="shared" si="7"/>
        <v>0</v>
      </c>
      <c r="AD23" s="47">
        <f t="shared" si="8"/>
        <v>0</v>
      </c>
      <c r="AE23" s="47">
        <f t="shared" si="9"/>
        <v>0</v>
      </c>
      <c r="AF23" s="47">
        <f t="shared" si="10"/>
        <v>0</v>
      </c>
      <c r="AG23" s="47">
        <f t="shared" si="11"/>
        <v>0</v>
      </c>
      <c r="AH23" s="47">
        <f t="shared" si="12"/>
        <v>0</v>
      </c>
      <c r="AI23" s="47">
        <f t="shared" si="13"/>
        <v>0</v>
      </c>
      <c r="AJ23" s="47">
        <f t="shared" si="14"/>
        <v>0</v>
      </c>
      <c r="AK23" s="47">
        <f t="shared" si="15"/>
        <v>0</v>
      </c>
      <c r="AL23" s="47">
        <f t="shared" si="16"/>
        <v>0</v>
      </c>
      <c r="AM23" s="47">
        <f t="shared" si="17"/>
        <v>0</v>
      </c>
      <c r="AN23" s="47">
        <f t="shared" si="18"/>
        <v>0</v>
      </c>
      <c r="AO23" s="47">
        <f t="shared" si="19"/>
        <v>0</v>
      </c>
      <c r="AP23" s="47">
        <f t="shared" si="20"/>
        <v>0</v>
      </c>
      <c r="AQ23" s="36" t="b">
        <f t="shared" si="21"/>
        <v>0</v>
      </c>
      <c r="AR23" s="48" t="str">
        <f t="shared" si="22"/>
        <v/>
      </c>
      <c r="AS23" s="48" t="str">
        <f>IF(OR(NOT($AQ23),Log_Putaran!$C$6=""),"",$AR23*SUMPRODUCT($AB23:$AF23,Log_Putaran!$L$6:$P$6))</f>
        <v/>
      </c>
      <c r="AT23" s="48" t="str">
        <f>IF(OR(NOT($AQ23),Log_Putaran!$C$7=""),"",$AR23*SUMPRODUCT($AB23:$AF23,Log_Putaran!$L$7:$P$7))</f>
        <v/>
      </c>
      <c r="AU23" s="48" t="str">
        <f>IF(OR(NOT($AQ23),Log_Putaran!$C$8=""),"",$AR23*SUMPRODUCT($AB23:$AF23,Log_Putaran!$L$8:$P$8))</f>
        <v/>
      </c>
      <c r="AV23" s="48" t="str">
        <f>IF(OR(NOT($AQ23),Log_Putaran!$C$9=""),"",$AR23*SUMPRODUCT($AB23:$AF23,Log_Putaran!$L$9:$P$9))</f>
        <v/>
      </c>
      <c r="AW23" s="48" t="str">
        <f>IF(OR(NOT($AQ23),Log_Putaran!$C$10=""),"",$AR23*SUMPRODUCT($AB23:$AF23,Log_Putaran!$L$10:$P$10))</f>
        <v/>
      </c>
      <c r="AX23" s="48" t="str">
        <f>IF(OR(NOT($AQ23),Log_Putaran!$C$11=""),"",$AR23*SUMPRODUCT($AB23:$AF23,Log_Putaran!$L$11:$P$11))</f>
        <v/>
      </c>
      <c r="AY23" s="48" t="str">
        <f>IF(OR(NOT($AQ23),Log_Putaran!$C$12=""),"",$AR23*SUMPRODUCT($AB23:$AF23,Log_Putaran!$L$12:$P$12))</f>
        <v/>
      </c>
      <c r="AZ23" s="48" t="str">
        <f>IF(OR(NOT($AQ23),Log_Putaran!$C$13=""),"",$AR23*SUMPRODUCT($AB23:$AF23,Log_Putaran!$L$13:$P$13))</f>
        <v/>
      </c>
      <c r="BA23" s="48" t="str">
        <f>IF(OR(NOT($AQ23),Log_Putaran!$C$14=""),"",$AR23*SUMPRODUCT($AB23:$AF23,Log_Putaran!$L$14:$P$14))</f>
        <v/>
      </c>
      <c r="BB23" s="48" t="str">
        <f>IF(OR(NOT($AQ23),Log_Putaran!$C$15=""),"",$AR23*SUMPRODUCT($AB23:$AF23,Log_Putaran!$L$15:$P$15))</f>
        <v/>
      </c>
      <c r="BC23" s="48" t="str">
        <f>IF(OR(NOT($AQ23),Log_Putaran!$C$16=""),"",$BB23*SUMPRODUCT($AG23:$AK23,Log_Putaran!$L$16:$P$16))</f>
        <v/>
      </c>
      <c r="BD23" s="48" t="str">
        <f>IF(OR(NOT($AQ23),Log_Putaran!$C$17=""),"",$BB23*SUMPRODUCT($AG23:$AK23,Log_Putaran!$L$17:$P$17))</f>
        <v/>
      </c>
      <c r="BE23" s="48" t="str">
        <f>IF(OR(NOT($AQ23),Log_Putaran!$C$18=""),"",$BB23*SUMPRODUCT($AG23:$AK23,Log_Putaran!$L$18:$P$18))</f>
        <v/>
      </c>
      <c r="BF23" s="48" t="str">
        <f>IF(OR(NOT($AQ23),Log_Putaran!$C$19=""),"",$BB23*SUMPRODUCT($AG23:$AK23,Log_Putaran!$L$19:$P$19))</f>
        <v/>
      </c>
      <c r="BG23" s="48" t="str">
        <f>IF(OR(NOT($AQ23),Log_Putaran!$C$20=""),"",$BB23*SUMPRODUCT($AG23:$AK23,Log_Putaran!$L$20:$P$20))</f>
        <v/>
      </c>
      <c r="BH23" s="48" t="str">
        <f>IF(OR(NOT($AQ23),Log_Putaran!$C$21=""),"",$BB23*SUMPRODUCT($AG23:$AK23,Log_Putaran!$L$21:$P$21))</f>
        <v/>
      </c>
      <c r="BI23" s="48" t="str">
        <f>IF(OR(NOT($AQ23),Log_Putaran!$C$22=""),"",$BB23*SUMPRODUCT($AG23:$AK23,Log_Putaran!$L$22:$P$22))</f>
        <v/>
      </c>
      <c r="BJ23" s="48" t="str">
        <f>IF(OR(NOT($AQ23),Log_Putaran!$C$23=""),"",$BB23*SUMPRODUCT($AG23:$AK23,Log_Putaran!$L$23:$P$23))</f>
        <v/>
      </c>
      <c r="BK23" s="48" t="str">
        <f>IF(OR(NOT($AQ23),Log_Putaran!$C$24=""),"",$BB23*SUMPRODUCT($AG23:$AK23,Log_Putaran!$L$24:$P$24))</f>
        <v/>
      </c>
      <c r="BL23" s="48" t="str">
        <f>IF(OR(NOT($AQ23),Log_Putaran!$C$25=""),"",$BB23*SUMPRODUCT($AG23:$AK23,Log_Putaran!$L$25:$P$25))</f>
        <v/>
      </c>
      <c r="BM23" s="48" t="str">
        <f>IF(OR(NOT($AQ23),Log_Putaran!$C$26=""),"",$BL23*SUMPRODUCT($AL23:$AP23,Log_Putaran!$L$26:$P$26))</f>
        <v/>
      </c>
      <c r="BN23" s="48" t="str">
        <f>IF(OR(NOT($AQ23),Log_Putaran!$C$27=""),"",$BL23*SUMPRODUCT($AL23:$AP23,Log_Putaran!$L$27:$P$27))</f>
        <v/>
      </c>
      <c r="BO23" s="48" t="str">
        <f>IF(OR(NOT($AQ23),Log_Putaran!$C$28=""),"",$BL23*SUMPRODUCT($AL23:$AP23,Log_Putaran!$L$28:$P$28))</f>
        <v/>
      </c>
      <c r="BP23" s="48" t="str">
        <f>IF(OR(NOT($AQ23),Log_Putaran!$C$29=""),"",$BL23*SUMPRODUCT($AL23:$AP23,Log_Putaran!$L$29:$P$29))</f>
        <v/>
      </c>
      <c r="BQ23" s="48" t="str">
        <f>IF(OR(NOT($AQ23),Log_Putaran!$C$30=""),"",$BL23*SUMPRODUCT($AL23:$AP23,Log_Putaran!$L$30:$P$30))</f>
        <v/>
      </c>
      <c r="BR23" s="48" t="str">
        <f>IF(OR(NOT($AQ23),Log_Putaran!$C$31=""),"",$BL23*SUMPRODUCT($AL23:$AP23,Log_Putaran!$L$31:$P$31))</f>
        <v/>
      </c>
      <c r="BS23" s="48" t="str">
        <f>IF(OR(NOT($AQ23),Log_Putaran!$C$32=""),"",$BL23*SUMPRODUCT($AL23:$AP23,Log_Putaran!$L$32:$P$32))</f>
        <v/>
      </c>
      <c r="BT23" s="48" t="str">
        <f>IF(OR(NOT($AQ23),Log_Putaran!$C$33=""),"",$BL23*SUMPRODUCT($AL23:$AP23,Log_Putaran!$L$33:$P$33))</f>
        <v/>
      </c>
      <c r="BU23" s="48" t="str">
        <f>IF(OR(NOT($AQ23),Log_Putaran!$C$34=""),"",$BL23*SUMPRODUCT($AL23:$AP23,Log_Putaran!$L$34:$P$34))</f>
        <v/>
      </c>
      <c r="BV23" s="48" t="str">
        <f>IF(OR(NOT($AQ23),Log_Putaran!$C$35=""),"",$BL23*SUMPRODUCT($AL23:$AP23,Log_Putaran!$L$35:$P$35))</f>
        <v/>
      </c>
      <c r="BW23" s="48" t="str">
        <f t="shared" si="23"/>
        <v/>
      </c>
      <c r="BX23" s="48" t="str">
        <f t="shared" si="24"/>
        <v/>
      </c>
      <c r="BY23" s="38" t="str">
        <f t="shared" si="25"/>
        <v/>
      </c>
      <c r="BZ23" s="49" t="str">
        <f>IF($AQ23,MAX(_DD!$B23:$AE23),"")</f>
        <v/>
      </c>
      <c r="CA23" s="36">
        <f t="shared" si="26"/>
        <v>-9.9999999999999997E+98</v>
      </c>
      <c r="CB23" s="36" t="str">
        <f t="shared" si="27"/>
        <v/>
      </c>
      <c r="CC23" s="36">
        <f t="shared" si="28"/>
        <v>-9.9999999999999997E+98</v>
      </c>
      <c r="CD23" s="36" t="str">
        <f t="shared" si="29"/>
        <v/>
      </c>
      <c r="CE23" s="36" t="str">
        <f t="shared" si="30"/>
        <v/>
      </c>
      <c r="CF23" s="36">
        <f t="shared" si="31"/>
        <v>-9.9999999999999997E+98</v>
      </c>
    </row>
    <row r="24" spans="1:84">
      <c r="A24" s="36" t="str">
        <f>Peserta!A24</f>
        <v>P19</v>
      </c>
      <c r="B24" s="36" t="str">
        <f>IF($C24&gt;0,INDEX(Input!$C:$C,$C24)&amp;"",IF(Peserta!B24="",$A24,Peserta!B24))</f>
        <v>P19</v>
      </c>
      <c r="C24" s="36">
        <f>SUMPRODUCT(MAX((_Bantu!$A$2:$A$2001=$A24)*ROW(_Bantu!$A$2:$A$2001)))</f>
        <v>0</v>
      </c>
      <c r="D24" s="36">
        <f>SUMPRODUCT(MAX((_Bantu!$C$2:$C$2001=$A24&amp;"|1")*ROW(_Bantu!$C$2:$C$2001)))</f>
        <v>0</v>
      </c>
      <c r="E24" s="47" t="str">
        <f>IF($D24=0,"",INDEX(_Bantu!D:D,$D24))</f>
        <v/>
      </c>
      <c r="F24" s="47" t="str">
        <f>IF($D24=0,"",INDEX(_Bantu!E:E,$D24))</f>
        <v/>
      </c>
      <c r="G24" s="47" t="str">
        <f>IF($D24=0,"",INDEX(_Bantu!F:F,$D24))</f>
        <v/>
      </c>
      <c r="H24" s="47" t="str">
        <f>IF($D24=0,"",INDEX(_Bantu!G:G,$D24))</f>
        <v/>
      </c>
      <c r="I24" s="47" t="str">
        <f>IF($D24=0,"",INDEX(_Bantu!H:H,$D24))</f>
        <v/>
      </c>
      <c r="J24" s="47" t="str">
        <f t="shared" si="0"/>
        <v/>
      </c>
      <c r="K24" s="36" t="str">
        <f t="shared" si="1"/>
        <v>Belum isi</v>
      </c>
      <c r="L24" s="36">
        <f>SUMPRODUCT(MAX((_Bantu!$C$2:$C$2001=$A24&amp;"|2")*ROW(_Bantu!$C$2:$C$2001)))</f>
        <v>0</v>
      </c>
      <c r="M24" s="47" t="str">
        <f>IF($L24=0,"",INDEX(_Bantu!D:D,$L24))</f>
        <v/>
      </c>
      <c r="N24" s="47" t="str">
        <f>IF($L24=0,"",INDEX(_Bantu!E:E,$L24))</f>
        <v/>
      </c>
      <c r="O24" s="47" t="str">
        <f>IF($L24=0,"",INDEX(_Bantu!F:F,$L24))</f>
        <v/>
      </c>
      <c r="P24" s="47" t="str">
        <f>IF($L24=0,"",INDEX(_Bantu!G:G,$L24))</f>
        <v/>
      </c>
      <c r="Q24" s="47" t="str">
        <f>IF($L24=0,"",INDEX(_Bantu!H:H,$L24))</f>
        <v/>
      </c>
      <c r="R24" s="47" t="str">
        <f t="shared" si="2"/>
        <v/>
      </c>
      <c r="S24" s="36" t="str">
        <f t="shared" si="3"/>
        <v>Belum isi</v>
      </c>
      <c r="T24" s="36">
        <f>SUMPRODUCT(MAX((_Bantu!$C$2:$C$2001=$A24&amp;"|3")*ROW(_Bantu!$C$2:$C$2001)))</f>
        <v>0</v>
      </c>
      <c r="U24" s="47" t="str">
        <f>IF($T24=0,"",INDEX(_Bantu!D:D,$T24))</f>
        <v/>
      </c>
      <c r="V24" s="47" t="str">
        <f>IF($T24=0,"",INDEX(_Bantu!E:E,$T24))</f>
        <v/>
      </c>
      <c r="W24" s="47" t="str">
        <f>IF($T24=0,"",INDEX(_Bantu!F:F,$T24))</f>
        <v/>
      </c>
      <c r="X24" s="47" t="str">
        <f>IF($T24=0,"",INDEX(_Bantu!G:G,$T24))</f>
        <v/>
      </c>
      <c r="Y24" s="47" t="str">
        <f>IF($T24=0,"",INDEX(_Bantu!H:H,$T24))</f>
        <v/>
      </c>
      <c r="Z24" s="47" t="str">
        <f t="shared" si="4"/>
        <v/>
      </c>
      <c r="AA24" s="36" t="str">
        <f t="shared" si="5"/>
        <v>Belum isi</v>
      </c>
      <c r="AB24" s="47">
        <f t="shared" si="6"/>
        <v>0</v>
      </c>
      <c r="AC24" s="47">
        <f t="shared" si="7"/>
        <v>0</v>
      </c>
      <c r="AD24" s="47">
        <f t="shared" si="8"/>
        <v>0</v>
      </c>
      <c r="AE24" s="47">
        <f t="shared" si="9"/>
        <v>0</v>
      </c>
      <c r="AF24" s="47">
        <f t="shared" si="10"/>
        <v>0</v>
      </c>
      <c r="AG24" s="47">
        <f t="shared" si="11"/>
        <v>0</v>
      </c>
      <c r="AH24" s="47">
        <f t="shared" si="12"/>
        <v>0</v>
      </c>
      <c r="AI24" s="47">
        <f t="shared" si="13"/>
        <v>0</v>
      </c>
      <c r="AJ24" s="47">
        <f t="shared" si="14"/>
        <v>0</v>
      </c>
      <c r="AK24" s="47">
        <f t="shared" si="15"/>
        <v>0</v>
      </c>
      <c r="AL24" s="47">
        <f t="shared" si="16"/>
        <v>0</v>
      </c>
      <c r="AM24" s="47">
        <f t="shared" si="17"/>
        <v>0</v>
      </c>
      <c r="AN24" s="47">
        <f t="shared" si="18"/>
        <v>0</v>
      </c>
      <c r="AO24" s="47">
        <f t="shared" si="19"/>
        <v>0</v>
      </c>
      <c r="AP24" s="47">
        <f t="shared" si="20"/>
        <v>0</v>
      </c>
      <c r="AQ24" s="36" t="b">
        <f t="shared" si="21"/>
        <v>0</v>
      </c>
      <c r="AR24" s="48" t="str">
        <f t="shared" si="22"/>
        <v/>
      </c>
      <c r="AS24" s="48" t="str">
        <f>IF(OR(NOT($AQ24),Log_Putaran!$C$6=""),"",$AR24*SUMPRODUCT($AB24:$AF24,Log_Putaran!$L$6:$P$6))</f>
        <v/>
      </c>
      <c r="AT24" s="48" t="str">
        <f>IF(OR(NOT($AQ24),Log_Putaran!$C$7=""),"",$AR24*SUMPRODUCT($AB24:$AF24,Log_Putaran!$L$7:$P$7))</f>
        <v/>
      </c>
      <c r="AU24" s="48" t="str">
        <f>IF(OR(NOT($AQ24),Log_Putaran!$C$8=""),"",$AR24*SUMPRODUCT($AB24:$AF24,Log_Putaran!$L$8:$P$8))</f>
        <v/>
      </c>
      <c r="AV24" s="48" t="str">
        <f>IF(OR(NOT($AQ24),Log_Putaran!$C$9=""),"",$AR24*SUMPRODUCT($AB24:$AF24,Log_Putaran!$L$9:$P$9))</f>
        <v/>
      </c>
      <c r="AW24" s="48" t="str">
        <f>IF(OR(NOT($AQ24),Log_Putaran!$C$10=""),"",$AR24*SUMPRODUCT($AB24:$AF24,Log_Putaran!$L$10:$P$10))</f>
        <v/>
      </c>
      <c r="AX24" s="48" t="str">
        <f>IF(OR(NOT($AQ24),Log_Putaran!$C$11=""),"",$AR24*SUMPRODUCT($AB24:$AF24,Log_Putaran!$L$11:$P$11))</f>
        <v/>
      </c>
      <c r="AY24" s="48" t="str">
        <f>IF(OR(NOT($AQ24),Log_Putaran!$C$12=""),"",$AR24*SUMPRODUCT($AB24:$AF24,Log_Putaran!$L$12:$P$12))</f>
        <v/>
      </c>
      <c r="AZ24" s="48" t="str">
        <f>IF(OR(NOT($AQ24),Log_Putaran!$C$13=""),"",$AR24*SUMPRODUCT($AB24:$AF24,Log_Putaran!$L$13:$P$13))</f>
        <v/>
      </c>
      <c r="BA24" s="48" t="str">
        <f>IF(OR(NOT($AQ24),Log_Putaran!$C$14=""),"",$AR24*SUMPRODUCT($AB24:$AF24,Log_Putaran!$L$14:$P$14))</f>
        <v/>
      </c>
      <c r="BB24" s="48" t="str">
        <f>IF(OR(NOT($AQ24),Log_Putaran!$C$15=""),"",$AR24*SUMPRODUCT($AB24:$AF24,Log_Putaran!$L$15:$P$15))</f>
        <v/>
      </c>
      <c r="BC24" s="48" t="str">
        <f>IF(OR(NOT($AQ24),Log_Putaran!$C$16=""),"",$BB24*SUMPRODUCT($AG24:$AK24,Log_Putaran!$L$16:$P$16))</f>
        <v/>
      </c>
      <c r="BD24" s="48" t="str">
        <f>IF(OR(NOT($AQ24),Log_Putaran!$C$17=""),"",$BB24*SUMPRODUCT($AG24:$AK24,Log_Putaran!$L$17:$P$17))</f>
        <v/>
      </c>
      <c r="BE24" s="48" t="str">
        <f>IF(OR(NOT($AQ24),Log_Putaran!$C$18=""),"",$BB24*SUMPRODUCT($AG24:$AK24,Log_Putaran!$L$18:$P$18))</f>
        <v/>
      </c>
      <c r="BF24" s="48" t="str">
        <f>IF(OR(NOT($AQ24),Log_Putaran!$C$19=""),"",$BB24*SUMPRODUCT($AG24:$AK24,Log_Putaran!$L$19:$P$19))</f>
        <v/>
      </c>
      <c r="BG24" s="48" t="str">
        <f>IF(OR(NOT($AQ24),Log_Putaran!$C$20=""),"",$BB24*SUMPRODUCT($AG24:$AK24,Log_Putaran!$L$20:$P$20))</f>
        <v/>
      </c>
      <c r="BH24" s="48" t="str">
        <f>IF(OR(NOT($AQ24),Log_Putaran!$C$21=""),"",$BB24*SUMPRODUCT($AG24:$AK24,Log_Putaran!$L$21:$P$21))</f>
        <v/>
      </c>
      <c r="BI24" s="48" t="str">
        <f>IF(OR(NOT($AQ24),Log_Putaran!$C$22=""),"",$BB24*SUMPRODUCT($AG24:$AK24,Log_Putaran!$L$22:$P$22))</f>
        <v/>
      </c>
      <c r="BJ24" s="48" t="str">
        <f>IF(OR(NOT($AQ24),Log_Putaran!$C$23=""),"",$BB24*SUMPRODUCT($AG24:$AK24,Log_Putaran!$L$23:$P$23))</f>
        <v/>
      </c>
      <c r="BK24" s="48" t="str">
        <f>IF(OR(NOT($AQ24),Log_Putaran!$C$24=""),"",$BB24*SUMPRODUCT($AG24:$AK24,Log_Putaran!$L$24:$P$24))</f>
        <v/>
      </c>
      <c r="BL24" s="48" t="str">
        <f>IF(OR(NOT($AQ24),Log_Putaran!$C$25=""),"",$BB24*SUMPRODUCT($AG24:$AK24,Log_Putaran!$L$25:$P$25))</f>
        <v/>
      </c>
      <c r="BM24" s="48" t="str">
        <f>IF(OR(NOT($AQ24),Log_Putaran!$C$26=""),"",$BL24*SUMPRODUCT($AL24:$AP24,Log_Putaran!$L$26:$P$26))</f>
        <v/>
      </c>
      <c r="BN24" s="48" t="str">
        <f>IF(OR(NOT($AQ24),Log_Putaran!$C$27=""),"",$BL24*SUMPRODUCT($AL24:$AP24,Log_Putaran!$L$27:$P$27))</f>
        <v/>
      </c>
      <c r="BO24" s="48" t="str">
        <f>IF(OR(NOT($AQ24),Log_Putaran!$C$28=""),"",$BL24*SUMPRODUCT($AL24:$AP24,Log_Putaran!$L$28:$P$28))</f>
        <v/>
      </c>
      <c r="BP24" s="48" t="str">
        <f>IF(OR(NOT($AQ24),Log_Putaran!$C$29=""),"",$BL24*SUMPRODUCT($AL24:$AP24,Log_Putaran!$L$29:$P$29))</f>
        <v/>
      </c>
      <c r="BQ24" s="48" t="str">
        <f>IF(OR(NOT($AQ24),Log_Putaran!$C$30=""),"",$BL24*SUMPRODUCT($AL24:$AP24,Log_Putaran!$L$30:$P$30))</f>
        <v/>
      </c>
      <c r="BR24" s="48" t="str">
        <f>IF(OR(NOT($AQ24),Log_Putaran!$C$31=""),"",$BL24*SUMPRODUCT($AL24:$AP24,Log_Putaran!$L$31:$P$31))</f>
        <v/>
      </c>
      <c r="BS24" s="48" t="str">
        <f>IF(OR(NOT($AQ24),Log_Putaran!$C$32=""),"",$BL24*SUMPRODUCT($AL24:$AP24,Log_Putaran!$L$32:$P$32))</f>
        <v/>
      </c>
      <c r="BT24" s="48" t="str">
        <f>IF(OR(NOT($AQ24),Log_Putaran!$C$33=""),"",$BL24*SUMPRODUCT($AL24:$AP24,Log_Putaran!$L$33:$P$33))</f>
        <v/>
      </c>
      <c r="BU24" s="48" t="str">
        <f>IF(OR(NOT($AQ24),Log_Putaran!$C$34=""),"",$BL24*SUMPRODUCT($AL24:$AP24,Log_Putaran!$L$34:$P$34))</f>
        <v/>
      </c>
      <c r="BV24" s="48" t="str">
        <f>IF(OR(NOT($AQ24),Log_Putaran!$C$35=""),"",$BL24*SUMPRODUCT($AL24:$AP24,Log_Putaran!$L$35:$P$35))</f>
        <v/>
      </c>
      <c r="BW24" s="48" t="str">
        <f t="shared" si="23"/>
        <v/>
      </c>
      <c r="BX24" s="48" t="str">
        <f t="shared" si="24"/>
        <v/>
      </c>
      <c r="BY24" s="38" t="str">
        <f t="shared" si="25"/>
        <v/>
      </c>
      <c r="BZ24" s="49" t="str">
        <f>IF($AQ24,MAX(_DD!$B24:$AE24),"")</f>
        <v/>
      </c>
      <c r="CA24" s="36">
        <f t="shared" si="26"/>
        <v>-9.9999999999999997E+98</v>
      </c>
      <c r="CB24" s="36" t="str">
        <f t="shared" si="27"/>
        <v/>
      </c>
      <c r="CC24" s="36">
        <f t="shared" si="28"/>
        <v>-9.9999999999999997E+98</v>
      </c>
      <c r="CD24" s="36" t="str">
        <f t="shared" si="29"/>
        <v/>
      </c>
      <c r="CE24" s="36" t="str">
        <f t="shared" si="30"/>
        <v/>
      </c>
      <c r="CF24" s="36">
        <f t="shared" si="31"/>
        <v>-9.9999999999999997E+98</v>
      </c>
    </row>
    <row r="25" spans="1:84">
      <c r="A25" s="36" t="str">
        <f>Peserta!A25</f>
        <v>P20</v>
      </c>
      <c r="B25" s="36" t="str">
        <f>IF($C25&gt;0,INDEX(Input!$C:$C,$C25)&amp;"",IF(Peserta!B25="",$A25,Peserta!B25))</f>
        <v>P20</v>
      </c>
      <c r="C25" s="36">
        <f>SUMPRODUCT(MAX((_Bantu!$A$2:$A$2001=$A25)*ROW(_Bantu!$A$2:$A$2001)))</f>
        <v>0</v>
      </c>
      <c r="D25" s="36">
        <f>SUMPRODUCT(MAX((_Bantu!$C$2:$C$2001=$A25&amp;"|1")*ROW(_Bantu!$C$2:$C$2001)))</f>
        <v>0</v>
      </c>
      <c r="E25" s="47" t="str">
        <f>IF($D25=0,"",INDEX(_Bantu!D:D,$D25))</f>
        <v/>
      </c>
      <c r="F25" s="47" t="str">
        <f>IF($D25=0,"",INDEX(_Bantu!E:E,$D25))</f>
        <v/>
      </c>
      <c r="G25" s="47" t="str">
        <f>IF($D25=0,"",INDEX(_Bantu!F:F,$D25))</f>
        <v/>
      </c>
      <c r="H25" s="47" t="str">
        <f>IF($D25=0,"",INDEX(_Bantu!G:G,$D25))</f>
        <v/>
      </c>
      <c r="I25" s="47" t="str">
        <f>IF($D25=0,"",INDEX(_Bantu!H:H,$D25))</f>
        <v/>
      </c>
      <c r="J25" s="47" t="str">
        <f t="shared" si="0"/>
        <v/>
      </c>
      <c r="K25" s="36" t="str">
        <f t="shared" si="1"/>
        <v>Belum isi</v>
      </c>
      <c r="L25" s="36">
        <f>SUMPRODUCT(MAX((_Bantu!$C$2:$C$2001=$A25&amp;"|2")*ROW(_Bantu!$C$2:$C$2001)))</f>
        <v>0</v>
      </c>
      <c r="M25" s="47" t="str">
        <f>IF($L25=0,"",INDEX(_Bantu!D:D,$L25))</f>
        <v/>
      </c>
      <c r="N25" s="47" t="str">
        <f>IF($L25=0,"",INDEX(_Bantu!E:E,$L25))</f>
        <v/>
      </c>
      <c r="O25" s="47" t="str">
        <f>IF($L25=0,"",INDEX(_Bantu!F:F,$L25))</f>
        <v/>
      </c>
      <c r="P25" s="47" t="str">
        <f>IF($L25=0,"",INDEX(_Bantu!G:G,$L25))</f>
        <v/>
      </c>
      <c r="Q25" s="47" t="str">
        <f>IF($L25=0,"",INDEX(_Bantu!H:H,$L25))</f>
        <v/>
      </c>
      <c r="R25" s="47" t="str">
        <f t="shared" si="2"/>
        <v/>
      </c>
      <c r="S25" s="36" t="str">
        <f t="shared" si="3"/>
        <v>Belum isi</v>
      </c>
      <c r="T25" s="36">
        <f>SUMPRODUCT(MAX((_Bantu!$C$2:$C$2001=$A25&amp;"|3")*ROW(_Bantu!$C$2:$C$2001)))</f>
        <v>0</v>
      </c>
      <c r="U25" s="47" t="str">
        <f>IF($T25=0,"",INDEX(_Bantu!D:D,$T25))</f>
        <v/>
      </c>
      <c r="V25" s="47" t="str">
        <f>IF($T25=0,"",INDEX(_Bantu!E:E,$T25))</f>
        <v/>
      </c>
      <c r="W25" s="47" t="str">
        <f>IF($T25=0,"",INDEX(_Bantu!F:F,$T25))</f>
        <v/>
      </c>
      <c r="X25" s="47" t="str">
        <f>IF($T25=0,"",INDEX(_Bantu!G:G,$T25))</f>
        <v/>
      </c>
      <c r="Y25" s="47" t="str">
        <f>IF($T25=0,"",INDEX(_Bantu!H:H,$T25))</f>
        <v/>
      </c>
      <c r="Z25" s="47" t="str">
        <f t="shared" si="4"/>
        <v/>
      </c>
      <c r="AA25" s="36" t="str">
        <f t="shared" si="5"/>
        <v>Belum isi</v>
      </c>
      <c r="AB25" s="47">
        <f t="shared" si="6"/>
        <v>0</v>
      </c>
      <c r="AC25" s="47">
        <f t="shared" si="7"/>
        <v>0</v>
      </c>
      <c r="AD25" s="47">
        <f t="shared" si="8"/>
        <v>0</v>
      </c>
      <c r="AE25" s="47">
        <f t="shared" si="9"/>
        <v>0</v>
      </c>
      <c r="AF25" s="47">
        <f t="shared" si="10"/>
        <v>0</v>
      </c>
      <c r="AG25" s="47">
        <f t="shared" si="11"/>
        <v>0</v>
      </c>
      <c r="AH25" s="47">
        <f t="shared" si="12"/>
        <v>0</v>
      </c>
      <c r="AI25" s="47">
        <f t="shared" si="13"/>
        <v>0</v>
      </c>
      <c r="AJ25" s="47">
        <f t="shared" si="14"/>
        <v>0</v>
      </c>
      <c r="AK25" s="47">
        <f t="shared" si="15"/>
        <v>0</v>
      </c>
      <c r="AL25" s="47">
        <f t="shared" si="16"/>
        <v>0</v>
      </c>
      <c r="AM25" s="47">
        <f t="shared" si="17"/>
        <v>0</v>
      </c>
      <c r="AN25" s="47">
        <f t="shared" si="18"/>
        <v>0</v>
      </c>
      <c r="AO25" s="47">
        <f t="shared" si="19"/>
        <v>0</v>
      </c>
      <c r="AP25" s="47">
        <f t="shared" si="20"/>
        <v>0</v>
      </c>
      <c r="AQ25" s="36" t="b">
        <f t="shared" si="21"/>
        <v>0</v>
      </c>
      <c r="AR25" s="48" t="str">
        <f t="shared" si="22"/>
        <v/>
      </c>
      <c r="AS25" s="48" t="str">
        <f>IF(OR(NOT($AQ25),Log_Putaran!$C$6=""),"",$AR25*SUMPRODUCT($AB25:$AF25,Log_Putaran!$L$6:$P$6))</f>
        <v/>
      </c>
      <c r="AT25" s="48" t="str">
        <f>IF(OR(NOT($AQ25),Log_Putaran!$C$7=""),"",$AR25*SUMPRODUCT($AB25:$AF25,Log_Putaran!$L$7:$P$7))</f>
        <v/>
      </c>
      <c r="AU25" s="48" t="str">
        <f>IF(OR(NOT($AQ25),Log_Putaran!$C$8=""),"",$AR25*SUMPRODUCT($AB25:$AF25,Log_Putaran!$L$8:$P$8))</f>
        <v/>
      </c>
      <c r="AV25" s="48" t="str">
        <f>IF(OR(NOT($AQ25),Log_Putaran!$C$9=""),"",$AR25*SUMPRODUCT($AB25:$AF25,Log_Putaran!$L$9:$P$9))</f>
        <v/>
      </c>
      <c r="AW25" s="48" t="str">
        <f>IF(OR(NOT($AQ25),Log_Putaran!$C$10=""),"",$AR25*SUMPRODUCT($AB25:$AF25,Log_Putaran!$L$10:$P$10))</f>
        <v/>
      </c>
      <c r="AX25" s="48" t="str">
        <f>IF(OR(NOT($AQ25),Log_Putaran!$C$11=""),"",$AR25*SUMPRODUCT($AB25:$AF25,Log_Putaran!$L$11:$P$11))</f>
        <v/>
      </c>
      <c r="AY25" s="48" t="str">
        <f>IF(OR(NOT($AQ25),Log_Putaran!$C$12=""),"",$AR25*SUMPRODUCT($AB25:$AF25,Log_Putaran!$L$12:$P$12))</f>
        <v/>
      </c>
      <c r="AZ25" s="48" t="str">
        <f>IF(OR(NOT($AQ25),Log_Putaran!$C$13=""),"",$AR25*SUMPRODUCT($AB25:$AF25,Log_Putaran!$L$13:$P$13))</f>
        <v/>
      </c>
      <c r="BA25" s="48" t="str">
        <f>IF(OR(NOT($AQ25),Log_Putaran!$C$14=""),"",$AR25*SUMPRODUCT($AB25:$AF25,Log_Putaran!$L$14:$P$14))</f>
        <v/>
      </c>
      <c r="BB25" s="48" t="str">
        <f>IF(OR(NOT($AQ25),Log_Putaran!$C$15=""),"",$AR25*SUMPRODUCT($AB25:$AF25,Log_Putaran!$L$15:$P$15))</f>
        <v/>
      </c>
      <c r="BC25" s="48" t="str">
        <f>IF(OR(NOT($AQ25),Log_Putaran!$C$16=""),"",$BB25*SUMPRODUCT($AG25:$AK25,Log_Putaran!$L$16:$P$16))</f>
        <v/>
      </c>
      <c r="BD25" s="48" t="str">
        <f>IF(OR(NOT($AQ25),Log_Putaran!$C$17=""),"",$BB25*SUMPRODUCT($AG25:$AK25,Log_Putaran!$L$17:$P$17))</f>
        <v/>
      </c>
      <c r="BE25" s="48" t="str">
        <f>IF(OR(NOT($AQ25),Log_Putaran!$C$18=""),"",$BB25*SUMPRODUCT($AG25:$AK25,Log_Putaran!$L$18:$P$18))</f>
        <v/>
      </c>
      <c r="BF25" s="48" t="str">
        <f>IF(OR(NOT($AQ25),Log_Putaran!$C$19=""),"",$BB25*SUMPRODUCT($AG25:$AK25,Log_Putaran!$L$19:$P$19))</f>
        <v/>
      </c>
      <c r="BG25" s="48" t="str">
        <f>IF(OR(NOT($AQ25),Log_Putaran!$C$20=""),"",$BB25*SUMPRODUCT($AG25:$AK25,Log_Putaran!$L$20:$P$20))</f>
        <v/>
      </c>
      <c r="BH25" s="48" t="str">
        <f>IF(OR(NOT($AQ25),Log_Putaran!$C$21=""),"",$BB25*SUMPRODUCT($AG25:$AK25,Log_Putaran!$L$21:$P$21))</f>
        <v/>
      </c>
      <c r="BI25" s="48" t="str">
        <f>IF(OR(NOT($AQ25),Log_Putaran!$C$22=""),"",$BB25*SUMPRODUCT($AG25:$AK25,Log_Putaran!$L$22:$P$22))</f>
        <v/>
      </c>
      <c r="BJ25" s="48" t="str">
        <f>IF(OR(NOT($AQ25),Log_Putaran!$C$23=""),"",$BB25*SUMPRODUCT($AG25:$AK25,Log_Putaran!$L$23:$P$23))</f>
        <v/>
      </c>
      <c r="BK25" s="48" t="str">
        <f>IF(OR(NOT($AQ25),Log_Putaran!$C$24=""),"",$BB25*SUMPRODUCT($AG25:$AK25,Log_Putaran!$L$24:$P$24))</f>
        <v/>
      </c>
      <c r="BL25" s="48" t="str">
        <f>IF(OR(NOT($AQ25),Log_Putaran!$C$25=""),"",$BB25*SUMPRODUCT($AG25:$AK25,Log_Putaran!$L$25:$P$25))</f>
        <v/>
      </c>
      <c r="BM25" s="48" t="str">
        <f>IF(OR(NOT($AQ25),Log_Putaran!$C$26=""),"",$BL25*SUMPRODUCT($AL25:$AP25,Log_Putaran!$L$26:$P$26))</f>
        <v/>
      </c>
      <c r="BN25" s="48" t="str">
        <f>IF(OR(NOT($AQ25),Log_Putaran!$C$27=""),"",$BL25*SUMPRODUCT($AL25:$AP25,Log_Putaran!$L$27:$P$27))</f>
        <v/>
      </c>
      <c r="BO25" s="48" t="str">
        <f>IF(OR(NOT($AQ25),Log_Putaran!$C$28=""),"",$BL25*SUMPRODUCT($AL25:$AP25,Log_Putaran!$L$28:$P$28))</f>
        <v/>
      </c>
      <c r="BP25" s="48" t="str">
        <f>IF(OR(NOT($AQ25),Log_Putaran!$C$29=""),"",$BL25*SUMPRODUCT($AL25:$AP25,Log_Putaran!$L$29:$P$29))</f>
        <v/>
      </c>
      <c r="BQ25" s="48" t="str">
        <f>IF(OR(NOT($AQ25),Log_Putaran!$C$30=""),"",$BL25*SUMPRODUCT($AL25:$AP25,Log_Putaran!$L$30:$P$30))</f>
        <v/>
      </c>
      <c r="BR25" s="48" t="str">
        <f>IF(OR(NOT($AQ25),Log_Putaran!$C$31=""),"",$BL25*SUMPRODUCT($AL25:$AP25,Log_Putaran!$L$31:$P$31))</f>
        <v/>
      </c>
      <c r="BS25" s="48" t="str">
        <f>IF(OR(NOT($AQ25),Log_Putaran!$C$32=""),"",$BL25*SUMPRODUCT($AL25:$AP25,Log_Putaran!$L$32:$P$32))</f>
        <v/>
      </c>
      <c r="BT25" s="48" t="str">
        <f>IF(OR(NOT($AQ25),Log_Putaran!$C$33=""),"",$BL25*SUMPRODUCT($AL25:$AP25,Log_Putaran!$L$33:$P$33))</f>
        <v/>
      </c>
      <c r="BU25" s="48" t="str">
        <f>IF(OR(NOT($AQ25),Log_Putaran!$C$34=""),"",$BL25*SUMPRODUCT($AL25:$AP25,Log_Putaran!$L$34:$P$34))</f>
        <v/>
      </c>
      <c r="BV25" s="48" t="str">
        <f>IF(OR(NOT($AQ25),Log_Putaran!$C$35=""),"",$BL25*SUMPRODUCT($AL25:$AP25,Log_Putaran!$L$35:$P$35))</f>
        <v/>
      </c>
      <c r="BW25" s="48" t="str">
        <f t="shared" si="23"/>
        <v/>
      </c>
      <c r="BX25" s="48" t="str">
        <f t="shared" si="24"/>
        <v/>
      </c>
      <c r="BY25" s="38" t="str">
        <f t="shared" si="25"/>
        <v/>
      </c>
      <c r="BZ25" s="49" t="str">
        <f>IF($AQ25,MAX(_DD!$B25:$AE25),"")</f>
        <v/>
      </c>
      <c r="CA25" s="36">
        <f t="shared" si="26"/>
        <v>-9.9999999999999997E+98</v>
      </c>
      <c r="CB25" s="36" t="str">
        <f t="shared" si="27"/>
        <v/>
      </c>
      <c r="CC25" s="36">
        <f t="shared" si="28"/>
        <v>-9.9999999999999997E+98</v>
      </c>
      <c r="CD25" s="36" t="str">
        <f t="shared" si="29"/>
        <v/>
      </c>
      <c r="CE25" s="36" t="str">
        <f t="shared" si="30"/>
        <v/>
      </c>
      <c r="CF25" s="36">
        <f t="shared" si="31"/>
        <v>-9.9999999999999997E+98</v>
      </c>
    </row>
    <row r="26" spans="1:84">
      <c r="A26" s="36" t="str">
        <f>Peserta!A26</f>
        <v>P21</v>
      </c>
      <c r="B26" s="36" t="str">
        <f>IF($C26&gt;0,INDEX(Input!$C:$C,$C26)&amp;"",IF(Peserta!B26="",$A26,Peserta!B26))</f>
        <v>P21</v>
      </c>
      <c r="C26" s="36">
        <f>SUMPRODUCT(MAX((_Bantu!$A$2:$A$2001=$A26)*ROW(_Bantu!$A$2:$A$2001)))</f>
        <v>0</v>
      </c>
      <c r="D26" s="36">
        <f>SUMPRODUCT(MAX((_Bantu!$C$2:$C$2001=$A26&amp;"|1")*ROW(_Bantu!$C$2:$C$2001)))</f>
        <v>0</v>
      </c>
      <c r="E26" s="47" t="str">
        <f>IF($D26=0,"",INDEX(_Bantu!D:D,$D26))</f>
        <v/>
      </c>
      <c r="F26" s="47" t="str">
        <f>IF($D26=0,"",INDEX(_Bantu!E:E,$D26))</f>
        <v/>
      </c>
      <c r="G26" s="47" t="str">
        <f>IF($D26=0,"",INDEX(_Bantu!F:F,$D26))</f>
        <v/>
      </c>
      <c r="H26" s="47" t="str">
        <f>IF($D26=0,"",INDEX(_Bantu!G:G,$D26))</f>
        <v/>
      </c>
      <c r="I26" s="47" t="str">
        <f>IF($D26=0,"",INDEX(_Bantu!H:H,$D26))</f>
        <v/>
      </c>
      <c r="J26" s="47" t="str">
        <f t="shared" si="0"/>
        <v/>
      </c>
      <c r="K26" s="36" t="str">
        <f t="shared" si="1"/>
        <v>Belum isi</v>
      </c>
      <c r="L26" s="36">
        <f>SUMPRODUCT(MAX((_Bantu!$C$2:$C$2001=$A26&amp;"|2")*ROW(_Bantu!$C$2:$C$2001)))</f>
        <v>0</v>
      </c>
      <c r="M26" s="47" t="str">
        <f>IF($L26=0,"",INDEX(_Bantu!D:D,$L26))</f>
        <v/>
      </c>
      <c r="N26" s="47" t="str">
        <f>IF($L26=0,"",INDEX(_Bantu!E:E,$L26))</f>
        <v/>
      </c>
      <c r="O26" s="47" t="str">
        <f>IF($L26=0,"",INDEX(_Bantu!F:F,$L26))</f>
        <v/>
      </c>
      <c r="P26" s="47" t="str">
        <f>IF($L26=0,"",INDEX(_Bantu!G:G,$L26))</f>
        <v/>
      </c>
      <c r="Q26" s="47" t="str">
        <f>IF($L26=0,"",INDEX(_Bantu!H:H,$L26))</f>
        <v/>
      </c>
      <c r="R26" s="47" t="str">
        <f t="shared" si="2"/>
        <v/>
      </c>
      <c r="S26" s="36" t="str">
        <f t="shared" si="3"/>
        <v>Belum isi</v>
      </c>
      <c r="T26" s="36">
        <f>SUMPRODUCT(MAX((_Bantu!$C$2:$C$2001=$A26&amp;"|3")*ROW(_Bantu!$C$2:$C$2001)))</f>
        <v>0</v>
      </c>
      <c r="U26" s="47" t="str">
        <f>IF($T26=0,"",INDEX(_Bantu!D:D,$T26))</f>
        <v/>
      </c>
      <c r="V26" s="47" t="str">
        <f>IF($T26=0,"",INDEX(_Bantu!E:E,$T26))</f>
        <v/>
      </c>
      <c r="W26" s="47" t="str">
        <f>IF($T26=0,"",INDEX(_Bantu!F:F,$T26))</f>
        <v/>
      </c>
      <c r="X26" s="47" t="str">
        <f>IF($T26=0,"",INDEX(_Bantu!G:G,$T26))</f>
        <v/>
      </c>
      <c r="Y26" s="47" t="str">
        <f>IF($T26=0,"",INDEX(_Bantu!H:H,$T26))</f>
        <v/>
      </c>
      <c r="Z26" s="47" t="str">
        <f t="shared" si="4"/>
        <v/>
      </c>
      <c r="AA26" s="36" t="str">
        <f t="shared" si="5"/>
        <v>Belum isi</v>
      </c>
      <c r="AB26" s="47">
        <f t="shared" si="6"/>
        <v>0</v>
      </c>
      <c r="AC26" s="47">
        <f t="shared" si="7"/>
        <v>0</v>
      </c>
      <c r="AD26" s="47">
        <f t="shared" si="8"/>
        <v>0</v>
      </c>
      <c r="AE26" s="47">
        <f t="shared" si="9"/>
        <v>0</v>
      </c>
      <c r="AF26" s="47">
        <f t="shared" si="10"/>
        <v>0</v>
      </c>
      <c r="AG26" s="47">
        <f t="shared" si="11"/>
        <v>0</v>
      </c>
      <c r="AH26" s="47">
        <f t="shared" si="12"/>
        <v>0</v>
      </c>
      <c r="AI26" s="47">
        <f t="shared" si="13"/>
        <v>0</v>
      </c>
      <c r="AJ26" s="47">
        <f t="shared" si="14"/>
        <v>0</v>
      </c>
      <c r="AK26" s="47">
        <f t="shared" si="15"/>
        <v>0</v>
      </c>
      <c r="AL26" s="47">
        <f t="shared" si="16"/>
        <v>0</v>
      </c>
      <c r="AM26" s="47">
        <f t="shared" si="17"/>
        <v>0</v>
      </c>
      <c r="AN26" s="47">
        <f t="shared" si="18"/>
        <v>0</v>
      </c>
      <c r="AO26" s="47">
        <f t="shared" si="19"/>
        <v>0</v>
      </c>
      <c r="AP26" s="47">
        <f t="shared" si="20"/>
        <v>0</v>
      </c>
      <c r="AQ26" s="36" t="b">
        <f t="shared" si="21"/>
        <v>0</v>
      </c>
      <c r="AR26" s="48" t="str">
        <f t="shared" si="22"/>
        <v/>
      </c>
      <c r="AS26" s="48" t="str">
        <f>IF(OR(NOT($AQ26),Log_Putaran!$C$6=""),"",$AR26*SUMPRODUCT($AB26:$AF26,Log_Putaran!$L$6:$P$6))</f>
        <v/>
      </c>
      <c r="AT26" s="48" t="str">
        <f>IF(OR(NOT($AQ26),Log_Putaran!$C$7=""),"",$AR26*SUMPRODUCT($AB26:$AF26,Log_Putaran!$L$7:$P$7))</f>
        <v/>
      </c>
      <c r="AU26" s="48" t="str">
        <f>IF(OR(NOT($AQ26),Log_Putaran!$C$8=""),"",$AR26*SUMPRODUCT($AB26:$AF26,Log_Putaran!$L$8:$P$8))</f>
        <v/>
      </c>
      <c r="AV26" s="48" t="str">
        <f>IF(OR(NOT($AQ26),Log_Putaran!$C$9=""),"",$AR26*SUMPRODUCT($AB26:$AF26,Log_Putaran!$L$9:$P$9))</f>
        <v/>
      </c>
      <c r="AW26" s="48" t="str">
        <f>IF(OR(NOT($AQ26),Log_Putaran!$C$10=""),"",$AR26*SUMPRODUCT($AB26:$AF26,Log_Putaran!$L$10:$P$10))</f>
        <v/>
      </c>
      <c r="AX26" s="48" t="str">
        <f>IF(OR(NOT($AQ26),Log_Putaran!$C$11=""),"",$AR26*SUMPRODUCT($AB26:$AF26,Log_Putaran!$L$11:$P$11))</f>
        <v/>
      </c>
      <c r="AY26" s="48" t="str">
        <f>IF(OR(NOT($AQ26),Log_Putaran!$C$12=""),"",$AR26*SUMPRODUCT($AB26:$AF26,Log_Putaran!$L$12:$P$12))</f>
        <v/>
      </c>
      <c r="AZ26" s="48" t="str">
        <f>IF(OR(NOT($AQ26),Log_Putaran!$C$13=""),"",$AR26*SUMPRODUCT($AB26:$AF26,Log_Putaran!$L$13:$P$13))</f>
        <v/>
      </c>
      <c r="BA26" s="48" t="str">
        <f>IF(OR(NOT($AQ26),Log_Putaran!$C$14=""),"",$AR26*SUMPRODUCT($AB26:$AF26,Log_Putaran!$L$14:$P$14))</f>
        <v/>
      </c>
      <c r="BB26" s="48" t="str">
        <f>IF(OR(NOT($AQ26),Log_Putaran!$C$15=""),"",$AR26*SUMPRODUCT($AB26:$AF26,Log_Putaran!$L$15:$P$15))</f>
        <v/>
      </c>
      <c r="BC26" s="48" t="str">
        <f>IF(OR(NOT($AQ26),Log_Putaran!$C$16=""),"",$BB26*SUMPRODUCT($AG26:$AK26,Log_Putaran!$L$16:$P$16))</f>
        <v/>
      </c>
      <c r="BD26" s="48" t="str">
        <f>IF(OR(NOT($AQ26),Log_Putaran!$C$17=""),"",$BB26*SUMPRODUCT($AG26:$AK26,Log_Putaran!$L$17:$P$17))</f>
        <v/>
      </c>
      <c r="BE26" s="48" t="str">
        <f>IF(OR(NOT($AQ26),Log_Putaran!$C$18=""),"",$BB26*SUMPRODUCT($AG26:$AK26,Log_Putaran!$L$18:$P$18))</f>
        <v/>
      </c>
      <c r="BF26" s="48" t="str">
        <f>IF(OR(NOT($AQ26),Log_Putaran!$C$19=""),"",$BB26*SUMPRODUCT($AG26:$AK26,Log_Putaran!$L$19:$P$19))</f>
        <v/>
      </c>
      <c r="BG26" s="48" t="str">
        <f>IF(OR(NOT($AQ26),Log_Putaran!$C$20=""),"",$BB26*SUMPRODUCT($AG26:$AK26,Log_Putaran!$L$20:$P$20))</f>
        <v/>
      </c>
      <c r="BH26" s="48" t="str">
        <f>IF(OR(NOT($AQ26),Log_Putaran!$C$21=""),"",$BB26*SUMPRODUCT($AG26:$AK26,Log_Putaran!$L$21:$P$21))</f>
        <v/>
      </c>
      <c r="BI26" s="48" t="str">
        <f>IF(OR(NOT($AQ26),Log_Putaran!$C$22=""),"",$BB26*SUMPRODUCT($AG26:$AK26,Log_Putaran!$L$22:$P$22))</f>
        <v/>
      </c>
      <c r="BJ26" s="48" t="str">
        <f>IF(OR(NOT($AQ26),Log_Putaran!$C$23=""),"",$BB26*SUMPRODUCT($AG26:$AK26,Log_Putaran!$L$23:$P$23))</f>
        <v/>
      </c>
      <c r="BK26" s="48" t="str">
        <f>IF(OR(NOT($AQ26),Log_Putaran!$C$24=""),"",$BB26*SUMPRODUCT($AG26:$AK26,Log_Putaran!$L$24:$P$24))</f>
        <v/>
      </c>
      <c r="BL26" s="48" t="str">
        <f>IF(OR(NOT($AQ26),Log_Putaran!$C$25=""),"",$BB26*SUMPRODUCT($AG26:$AK26,Log_Putaran!$L$25:$P$25))</f>
        <v/>
      </c>
      <c r="BM26" s="48" t="str">
        <f>IF(OR(NOT($AQ26),Log_Putaran!$C$26=""),"",$BL26*SUMPRODUCT($AL26:$AP26,Log_Putaran!$L$26:$P$26))</f>
        <v/>
      </c>
      <c r="BN26" s="48" t="str">
        <f>IF(OR(NOT($AQ26),Log_Putaran!$C$27=""),"",$BL26*SUMPRODUCT($AL26:$AP26,Log_Putaran!$L$27:$P$27))</f>
        <v/>
      </c>
      <c r="BO26" s="48" t="str">
        <f>IF(OR(NOT($AQ26),Log_Putaran!$C$28=""),"",$BL26*SUMPRODUCT($AL26:$AP26,Log_Putaran!$L$28:$P$28))</f>
        <v/>
      </c>
      <c r="BP26" s="48" t="str">
        <f>IF(OR(NOT($AQ26),Log_Putaran!$C$29=""),"",$BL26*SUMPRODUCT($AL26:$AP26,Log_Putaran!$L$29:$P$29))</f>
        <v/>
      </c>
      <c r="BQ26" s="48" t="str">
        <f>IF(OR(NOT($AQ26),Log_Putaran!$C$30=""),"",$BL26*SUMPRODUCT($AL26:$AP26,Log_Putaran!$L$30:$P$30))</f>
        <v/>
      </c>
      <c r="BR26" s="48" t="str">
        <f>IF(OR(NOT($AQ26),Log_Putaran!$C$31=""),"",$BL26*SUMPRODUCT($AL26:$AP26,Log_Putaran!$L$31:$P$31))</f>
        <v/>
      </c>
      <c r="BS26" s="48" t="str">
        <f>IF(OR(NOT($AQ26),Log_Putaran!$C$32=""),"",$BL26*SUMPRODUCT($AL26:$AP26,Log_Putaran!$L$32:$P$32))</f>
        <v/>
      </c>
      <c r="BT26" s="48" t="str">
        <f>IF(OR(NOT($AQ26),Log_Putaran!$C$33=""),"",$BL26*SUMPRODUCT($AL26:$AP26,Log_Putaran!$L$33:$P$33))</f>
        <v/>
      </c>
      <c r="BU26" s="48" t="str">
        <f>IF(OR(NOT($AQ26),Log_Putaran!$C$34=""),"",$BL26*SUMPRODUCT($AL26:$AP26,Log_Putaran!$L$34:$P$34))</f>
        <v/>
      </c>
      <c r="BV26" s="48" t="str">
        <f>IF(OR(NOT($AQ26),Log_Putaran!$C$35=""),"",$BL26*SUMPRODUCT($AL26:$AP26,Log_Putaran!$L$35:$P$35))</f>
        <v/>
      </c>
      <c r="BW26" s="48" t="str">
        <f t="shared" si="23"/>
        <v/>
      </c>
      <c r="BX26" s="48" t="str">
        <f t="shared" si="24"/>
        <v/>
      </c>
      <c r="BY26" s="38" t="str">
        <f t="shared" si="25"/>
        <v/>
      </c>
      <c r="BZ26" s="49" t="str">
        <f>IF($AQ26,MAX(_DD!$B26:$AE26),"")</f>
        <v/>
      </c>
      <c r="CA26" s="36">
        <f t="shared" si="26"/>
        <v>-9.9999999999999997E+98</v>
      </c>
      <c r="CB26" s="36" t="str">
        <f t="shared" si="27"/>
        <v/>
      </c>
      <c r="CC26" s="36">
        <f t="shared" si="28"/>
        <v>-9.9999999999999997E+98</v>
      </c>
      <c r="CD26" s="36" t="str">
        <f t="shared" si="29"/>
        <v/>
      </c>
      <c r="CE26" s="36" t="str">
        <f t="shared" si="30"/>
        <v/>
      </c>
      <c r="CF26" s="36">
        <f t="shared" si="31"/>
        <v>-9.9999999999999997E+98</v>
      </c>
    </row>
    <row r="27" spans="1:84">
      <c r="A27" s="36" t="str">
        <f>Peserta!A27</f>
        <v>P22</v>
      </c>
      <c r="B27" s="36" t="str">
        <f>IF($C27&gt;0,INDEX(Input!$C:$C,$C27)&amp;"",IF(Peserta!B27="",$A27,Peserta!B27))</f>
        <v>P22</v>
      </c>
      <c r="C27" s="36">
        <f>SUMPRODUCT(MAX((_Bantu!$A$2:$A$2001=$A27)*ROW(_Bantu!$A$2:$A$2001)))</f>
        <v>0</v>
      </c>
      <c r="D27" s="36">
        <f>SUMPRODUCT(MAX((_Bantu!$C$2:$C$2001=$A27&amp;"|1")*ROW(_Bantu!$C$2:$C$2001)))</f>
        <v>0</v>
      </c>
      <c r="E27" s="47" t="str">
        <f>IF($D27=0,"",INDEX(_Bantu!D:D,$D27))</f>
        <v/>
      </c>
      <c r="F27" s="47" t="str">
        <f>IF($D27=0,"",INDEX(_Bantu!E:E,$D27))</f>
        <v/>
      </c>
      <c r="G27" s="47" t="str">
        <f>IF($D27=0,"",INDEX(_Bantu!F:F,$D27))</f>
        <v/>
      </c>
      <c r="H27" s="47" t="str">
        <f>IF($D27=0,"",INDEX(_Bantu!G:G,$D27))</f>
        <v/>
      </c>
      <c r="I27" s="47" t="str">
        <f>IF($D27=0,"",INDEX(_Bantu!H:H,$D27))</f>
        <v/>
      </c>
      <c r="J27" s="47" t="str">
        <f t="shared" si="0"/>
        <v/>
      </c>
      <c r="K27" s="36" t="str">
        <f t="shared" si="1"/>
        <v>Belum isi</v>
      </c>
      <c r="L27" s="36">
        <f>SUMPRODUCT(MAX((_Bantu!$C$2:$C$2001=$A27&amp;"|2")*ROW(_Bantu!$C$2:$C$2001)))</f>
        <v>0</v>
      </c>
      <c r="M27" s="47" t="str">
        <f>IF($L27=0,"",INDEX(_Bantu!D:D,$L27))</f>
        <v/>
      </c>
      <c r="N27" s="47" t="str">
        <f>IF($L27=0,"",INDEX(_Bantu!E:E,$L27))</f>
        <v/>
      </c>
      <c r="O27" s="47" t="str">
        <f>IF($L27=0,"",INDEX(_Bantu!F:F,$L27))</f>
        <v/>
      </c>
      <c r="P27" s="47" t="str">
        <f>IF($L27=0,"",INDEX(_Bantu!G:G,$L27))</f>
        <v/>
      </c>
      <c r="Q27" s="47" t="str">
        <f>IF($L27=0,"",INDEX(_Bantu!H:H,$L27))</f>
        <v/>
      </c>
      <c r="R27" s="47" t="str">
        <f t="shared" si="2"/>
        <v/>
      </c>
      <c r="S27" s="36" t="str">
        <f t="shared" si="3"/>
        <v>Belum isi</v>
      </c>
      <c r="T27" s="36">
        <f>SUMPRODUCT(MAX((_Bantu!$C$2:$C$2001=$A27&amp;"|3")*ROW(_Bantu!$C$2:$C$2001)))</f>
        <v>0</v>
      </c>
      <c r="U27" s="47" t="str">
        <f>IF($T27=0,"",INDEX(_Bantu!D:D,$T27))</f>
        <v/>
      </c>
      <c r="V27" s="47" t="str">
        <f>IF($T27=0,"",INDEX(_Bantu!E:E,$T27))</f>
        <v/>
      </c>
      <c r="W27" s="47" t="str">
        <f>IF($T27=0,"",INDEX(_Bantu!F:F,$T27))</f>
        <v/>
      </c>
      <c r="X27" s="47" t="str">
        <f>IF($T27=0,"",INDEX(_Bantu!G:G,$T27))</f>
        <v/>
      </c>
      <c r="Y27" s="47" t="str">
        <f>IF($T27=0,"",INDEX(_Bantu!H:H,$T27))</f>
        <v/>
      </c>
      <c r="Z27" s="47" t="str">
        <f t="shared" si="4"/>
        <v/>
      </c>
      <c r="AA27" s="36" t="str">
        <f t="shared" si="5"/>
        <v>Belum isi</v>
      </c>
      <c r="AB27" s="47">
        <f t="shared" si="6"/>
        <v>0</v>
      </c>
      <c r="AC27" s="47">
        <f t="shared" si="7"/>
        <v>0</v>
      </c>
      <c r="AD27" s="47">
        <f t="shared" si="8"/>
        <v>0</v>
      </c>
      <c r="AE27" s="47">
        <f t="shared" si="9"/>
        <v>0</v>
      </c>
      <c r="AF27" s="47">
        <f t="shared" si="10"/>
        <v>0</v>
      </c>
      <c r="AG27" s="47">
        <f t="shared" si="11"/>
        <v>0</v>
      </c>
      <c r="AH27" s="47">
        <f t="shared" si="12"/>
        <v>0</v>
      </c>
      <c r="AI27" s="47">
        <f t="shared" si="13"/>
        <v>0</v>
      </c>
      <c r="AJ27" s="47">
        <f t="shared" si="14"/>
        <v>0</v>
      </c>
      <c r="AK27" s="47">
        <f t="shared" si="15"/>
        <v>0</v>
      </c>
      <c r="AL27" s="47">
        <f t="shared" si="16"/>
        <v>0</v>
      </c>
      <c r="AM27" s="47">
        <f t="shared" si="17"/>
        <v>0</v>
      </c>
      <c r="AN27" s="47">
        <f t="shared" si="18"/>
        <v>0</v>
      </c>
      <c r="AO27" s="47">
        <f t="shared" si="19"/>
        <v>0</v>
      </c>
      <c r="AP27" s="47">
        <f t="shared" si="20"/>
        <v>0</v>
      </c>
      <c r="AQ27" s="36" t="b">
        <f t="shared" si="21"/>
        <v>0</v>
      </c>
      <c r="AR27" s="48" t="str">
        <f t="shared" si="22"/>
        <v/>
      </c>
      <c r="AS27" s="48" t="str">
        <f>IF(OR(NOT($AQ27),Log_Putaran!$C$6=""),"",$AR27*SUMPRODUCT($AB27:$AF27,Log_Putaran!$L$6:$P$6))</f>
        <v/>
      </c>
      <c r="AT27" s="48" t="str">
        <f>IF(OR(NOT($AQ27),Log_Putaran!$C$7=""),"",$AR27*SUMPRODUCT($AB27:$AF27,Log_Putaran!$L$7:$P$7))</f>
        <v/>
      </c>
      <c r="AU27" s="48" t="str">
        <f>IF(OR(NOT($AQ27),Log_Putaran!$C$8=""),"",$AR27*SUMPRODUCT($AB27:$AF27,Log_Putaran!$L$8:$P$8))</f>
        <v/>
      </c>
      <c r="AV27" s="48" t="str">
        <f>IF(OR(NOT($AQ27),Log_Putaran!$C$9=""),"",$AR27*SUMPRODUCT($AB27:$AF27,Log_Putaran!$L$9:$P$9))</f>
        <v/>
      </c>
      <c r="AW27" s="48" t="str">
        <f>IF(OR(NOT($AQ27),Log_Putaran!$C$10=""),"",$AR27*SUMPRODUCT($AB27:$AF27,Log_Putaran!$L$10:$P$10))</f>
        <v/>
      </c>
      <c r="AX27" s="48" t="str">
        <f>IF(OR(NOT($AQ27),Log_Putaran!$C$11=""),"",$AR27*SUMPRODUCT($AB27:$AF27,Log_Putaran!$L$11:$P$11))</f>
        <v/>
      </c>
      <c r="AY27" s="48" t="str">
        <f>IF(OR(NOT($AQ27),Log_Putaran!$C$12=""),"",$AR27*SUMPRODUCT($AB27:$AF27,Log_Putaran!$L$12:$P$12))</f>
        <v/>
      </c>
      <c r="AZ27" s="48" t="str">
        <f>IF(OR(NOT($AQ27),Log_Putaran!$C$13=""),"",$AR27*SUMPRODUCT($AB27:$AF27,Log_Putaran!$L$13:$P$13))</f>
        <v/>
      </c>
      <c r="BA27" s="48" t="str">
        <f>IF(OR(NOT($AQ27),Log_Putaran!$C$14=""),"",$AR27*SUMPRODUCT($AB27:$AF27,Log_Putaran!$L$14:$P$14))</f>
        <v/>
      </c>
      <c r="BB27" s="48" t="str">
        <f>IF(OR(NOT($AQ27),Log_Putaran!$C$15=""),"",$AR27*SUMPRODUCT($AB27:$AF27,Log_Putaran!$L$15:$P$15))</f>
        <v/>
      </c>
      <c r="BC27" s="48" t="str">
        <f>IF(OR(NOT($AQ27),Log_Putaran!$C$16=""),"",$BB27*SUMPRODUCT($AG27:$AK27,Log_Putaran!$L$16:$P$16))</f>
        <v/>
      </c>
      <c r="BD27" s="48" t="str">
        <f>IF(OR(NOT($AQ27),Log_Putaran!$C$17=""),"",$BB27*SUMPRODUCT($AG27:$AK27,Log_Putaran!$L$17:$P$17))</f>
        <v/>
      </c>
      <c r="BE27" s="48" t="str">
        <f>IF(OR(NOT($AQ27),Log_Putaran!$C$18=""),"",$BB27*SUMPRODUCT($AG27:$AK27,Log_Putaran!$L$18:$P$18))</f>
        <v/>
      </c>
      <c r="BF27" s="48" t="str">
        <f>IF(OR(NOT($AQ27),Log_Putaran!$C$19=""),"",$BB27*SUMPRODUCT($AG27:$AK27,Log_Putaran!$L$19:$P$19))</f>
        <v/>
      </c>
      <c r="BG27" s="48" t="str">
        <f>IF(OR(NOT($AQ27),Log_Putaran!$C$20=""),"",$BB27*SUMPRODUCT($AG27:$AK27,Log_Putaran!$L$20:$P$20))</f>
        <v/>
      </c>
      <c r="BH27" s="48" t="str">
        <f>IF(OR(NOT($AQ27),Log_Putaran!$C$21=""),"",$BB27*SUMPRODUCT($AG27:$AK27,Log_Putaran!$L$21:$P$21))</f>
        <v/>
      </c>
      <c r="BI27" s="48" t="str">
        <f>IF(OR(NOT($AQ27),Log_Putaran!$C$22=""),"",$BB27*SUMPRODUCT($AG27:$AK27,Log_Putaran!$L$22:$P$22))</f>
        <v/>
      </c>
      <c r="BJ27" s="48" t="str">
        <f>IF(OR(NOT($AQ27),Log_Putaran!$C$23=""),"",$BB27*SUMPRODUCT($AG27:$AK27,Log_Putaran!$L$23:$P$23))</f>
        <v/>
      </c>
      <c r="BK27" s="48" t="str">
        <f>IF(OR(NOT($AQ27),Log_Putaran!$C$24=""),"",$BB27*SUMPRODUCT($AG27:$AK27,Log_Putaran!$L$24:$P$24))</f>
        <v/>
      </c>
      <c r="BL27" s="48" t="str">
        <f>IF(OR(NOT($AQ27),Log_Putaran!$C$25=""),"",$BB27*SUMPRODUCT($AG27:$AK27,Log_Putaran!$L$25:$P$25))</f>
        <v/>
      </c>
      <c r="BM27" s="48" t="str">
        <f>IF(OR(NOT($AQ27),Log_Putaran!$C$26=""),"",$BL27*SUMPRODUCT($AL27:$AP27,Log_Putaran!$L$26:$P$26))</f>
        <v/>
      </c>
      <c r="BN27" s="48" t="str">
        <f>IF(OR(NOT($AQ27),Log_Putaran!$C$27=""),"",$BL27*SUMPRODUCT($AL27:$AP27,Log_Putaran!$L$27:$P$27))</f>
        <v/>
      </c>
      <c r="BO27" s="48" t="str">
        <f>IF(OR(NOT($AQ27),Log_Putaran!$C$28=""),"",$BL27*SUMPRODUCT($AL27:$AP27,Log_Putaran!$L$28:$P$28))</f>
        <v/>
      </c>
      <c r="BP27" s="48" t="str">
        <f>IF(OR(NOT($AQ27),Log_Putaran!$C$29=""),"",$BL27*SUMPRODUCT($AL27:$AP27,Log_Putaran!$L$29:$P$29))</f>
        <v/>
      </c>
      <c r="BQ27" s="48" t="str">
        <f>IF(OR(NOT($AQ27),Log_Putaran!$C$30=""),"",$BL27*SUMPRODUCT($AL27:$AP27,Log_Putaran!$L$30:$P$30))</f>
        <v/>
      </c>
      <c r="BR27" s="48" t="str">
        <f>IF(OR(NOT($AQ27),Log_Putaran!$C$31=""),"",$BL27*SUMPRODUCT($AL27:$AP27,Log_Putaran!$L$31:$P$31))</f>
        <v/>
      </c>
      <c r="BS27" s="48" t="str">
        <f>IF(OR(NOT($AQ27),Log_Putaran!$C$32=""),"",$BL27*SUMPRODUCT($AL27:$AP27,Log_Putaran!$L$32:$P$32))</f>
        <v/>
      </c>
      <c r="BT27" s="48" t="str">
        <f>IF(OR(NOT($AQ27),Log_Putaran!$C$33=""),"",$BL27*SUMPRODUCT($AL27:$AP27,Log_Putaran!$L$33:$P$33))</f>
        <v/>
      </c>
      <c r="BU27" s="48" t="str">
        <f>IF(OR(NOT($AQ27),Log_Putaran!$C$34=""),"",$BL27*SUMPRODUCT($AL27:$AP27,Log_Putaran!$L$34:$P$34))</f>
        <v/>
      </c>
      <c r="BV27" s="48" t="str">
        <f>IF(OR(NOT($AQ27),Log_Putaran!$C$35=""),"",$BL27*SUMPRODUCT($AL27:$AP27,Log_Putaran!$L$35:$P$35))</f>
        <v/>
      </c>
      <c r="BW27" s="48" t="str">
        <f t="shared" si="23"/>
        <v/>
      </c>
      <c r="BX27" s="48" t="str">
        <f t="shared" si="24"/>
        <v/>
      </c>
      <c r="BY27" s="38" t="str">
        <f t="shared" si="25"/>
        <v/>
      </c>
      <c r="BZ27" s="49" t="str">
        <f>IF($AQ27,MAX(_DD!$B27:$AE27),"")</f>
        <v/>
      </c>
      <c r="CA27" s="36">
        <f t="shared" si="26"/>
        <v>-9.9999999999999997E+98</v>
      </c>
      <c r="CB27" s="36" t="str">
        <f t="shared" si="27"/>
        <v/>
      </c>
      <c r="CC27" s="36">
        <f t="shared" si="28"/>
        <v>-9.9999999999999997E+98</v>
      </c>
      <c r="CD27" s="36" t="str">
        <f t="shared" si="29"/>
        <v/>
      </c>
      <c r="CE27" s="36" t="str">
        <f t="shared" si="30"/>
        <v/>
      </c>
      <c r="CF27" s="36">
        <f t="shared" si="31"/>
        <v>-9.9999999999999997E+98</v>
      </c>
    </row>
    <row r="28" spans="1:84">
      <c r="A28" s="36" t="str">
        <f>Peserta!A28</f>
        <v>P23</v>
      </c>
      <c r="B28" s="36" t="str">
        <f>IF($C28&gt;0,INDEX(Input!$C:$C,$C28)&amp;"",IF(Peserta!B28="",$A28,Peserta!B28))</f>
        <v>P23</v>
      </c>
      <c r="C28" s="36">
        <f>SUMPRODUCT(MAX((_Bantu!$A$2:$A$2001=$A28)*ROW(_Bantu!$A$2:$A$2001)))</f>
        <v>0</v>
      </c>
      <c r="D28" s="36">
        <f>SUMPRODUCT(MAX((_Bantu!$C$2:$C$2001=$A28&amp;"|1")*ROW(_Bantu!$C$2:$C$2001)))</f>
        <v>0</v>
      </c>
      <c r="E28" s="47" t="str">
        <f>IF($D28=0,"",INDEX(_Bantu!D:D,$D28))</f>
        <v/>
      </c>
      <c r="F28" s="47" t="str">
        <f>IF($D28=0,"",INDEX(_Bantu!E:E,$D28))</f>
        <v/>
      </c>
      <c r="G28" s="47" t="str">
        <f>IF($D28=0,"",INDEX(_Bantu!F:F,$D28))</f>
        <v/>
      </c>
      <c r="H28" s="47" t="str">
        <f>IF($D28=0,"",INDEX(_Bantu!G:G,$D28))</f>
        <v/>
      </c>
      <c r="I28" s="47" t="str">
        <f>IF($D28=0,"",INDEX(_Bantu!H:H,$D28))</f>
        <v/>
      </c>
      <c r="J28" s="47" t="str">
        <f t="shared" si="0"/>
        <v/>
      </c>
      <c r="K28" s="36" t="str">
        <f t="shared" si="1"/>
        <v>Belum isi</v>
      </c>
      <c r="L28" s="36">
        <f>SUMPRODUCT(MAX((_Bantu!$C$2:$C$2001=$A28&amp;"|2")*ROW(_Bantu!$C$2:$C$2001)))</f>
        <v>0</v>
      </c>
      <c r="M28" s="47" t="str">
        <f>IF($L28=0,"",INDEX(_Bantu!D:D,$L28))</f>
        <v/>
      </c>
      <c r="N28" s="47" t="str">
        <f>IF($L28=0,"",INDEX(_Bantu!E:E,$L28))</f>
        <v/>
      </c>
      <c r="O28" s="47" t="str">
        <f>IF($L28=0,"",INDEX(_Bantu!F:F,$L28))</f>
        <v/>
      </c>
      <c r="P28" s="47" t="str">
        <f>IF($L28=0,"",INDEX(_Bantu!G:G,$L28))</f>
        <v/>
      </c>
      <c r="Q28" s="47" t="str">
        <f>IF($L28=0,"",INDEX(_Bantu!H:H,$L28))</f>
        <v/>
      </c>
      <c r="R28" s="47" t="str">
        <f t="shared" si="2"/>
        <v/>
      </c>
      <c r="S28" s="36" t="str">
        <f t="shared" si="3"/>
        <v>Belum isi</v>
      </c>
      <c r="T28" s="36">
        <f>SUMPRODUCT(MAX((_Bantu!$C$2:$C$2001=$A28&amp;"|3")*ROW(_Bantu!$C$2:$C$2001)))</f>
        <v>0</v>
      </c>
      <c r="U28" s="47" t="str">
        <f>IF($T28=0,"",INDEX(_Bantu!D:D,$T28))</f>
        <v/>
      </c>
      <c r="V28" s="47" t="str">
        <f>IF($T28=0,"",INDEX(_Bantu!E:E,$T28))</f>
        <v/>
      </c>
      <c r="W28" s="47" t="str">
        <f>IF($T28=0,"",INDEX(_Bantu!F:F,$T28))</f>
        <v/>
      </c>
      <c r="X28" s="47" t="str">
        <f>IF($T28=0,"",INDEX(_Bantu!G:G,$T28))</f>
        <v/>
      </c>
      <c r="Y28" s="47" t="str">
        <f>IF($T28=0,"",INDEX(_Bantu!H:H,$T28))</f>
        <v/>
      </c>
      <c r="Z28" s="47" t="str">
        <f t="shared" si="4"/>
        <v/>
      </c>
      <c r="AA28" s="36" t="str">
        <f t="shared" si="5"/>
        <v>Belum isi</v>
      </c>
      <c r="AB28" s="47">
        <f t="shared" si="6"/>
        <v>0</v>
      </c>
      <c r="AC28" s="47">
        <f t="shared" si="7"/>
        <v>0</v>
      </c>
      <c r="AD28" s="47">
        <f t="shared" si="8"/>
        <v>0</v>
      </c>
      <c r="AE28" s="47">
        <f t="shared" si="9"/>
        <v>0</v>
      </c>
      <c r="AF28" s="47">
        <f t="shared" si="10"/>
        <v>0</v>
      </c>
      <c r="AG28" s="47">
        <f t="shared" si="11"/>
        <v>0</v>
      </c>
      <c r="AH28" s="47">
        <f t="shared" si="12"/>
        <v>0</v>
      </c>
      <c r="AI28" s="47">
        <f t="shared" si="13"/>
        <v>0</v>
      </c>
      <c r="AJ28" s="47">
        <f t="shared" si="14"/>
        <v>0</v>
      </c>
      <c r="AK28" s="47">
        <f t="shared" si="15"/>
        <v>0</v>
      </c>
      <c r="AL28" s="47">
        <f t="shared" si="16"/>
        <v>0</v>
      </c>
      <c r="AM28" s="47">
        <f t="shared" si="17"/>
        <v>0</v>
      </c>
      <c r="AN28" s="47">
        <f t="shared" si="18"/>
        <v>0</v>
      </c>
      <c r="AO28" s="47">
        <f t="shared" si="19"/>
        <v>0</v>
      </c>
      <c r="AP28" s="47">
        <f t="shared" si="20"/>
        <v>0</v>
      </c>
      <c r="AQ28" s="36" t="b">
        <f t="shared" si="21"/>
        <v>0</v>
      </c>
      <c r="AR28" s="48" t="str">
        <f t="shared" si="22"/>
        <v/>
      </c>
      <c r="AS28" s="48" t="str">
        <f>IF(OR(NOT($AQ28),Log_Putaran!$C$6=""),"",$AR28*SUMPRODUCT($AB28:$AF28,Log_Putaran!$L$6:$P$6))</f>
        <v/>
      </c>
      <c r="AT28" s="48" t="str">
        <f>IF(OR(NOT($AQ28),Log_Putaran!$C$7=""),"",$AR28*SUMPRODUCT($AB28:$AF28,Log_Putaran!$L$7:$P$7))</f>
        <v/>
      </c>
      <c r="AU28" s="48" t="str">
        <f>IF(OR(NOT($AQ28),Log_Putaran!$C$8=""),"",$AR28*SUMPRODUCT($AB28:$AF28,Log_Putaran!$L$8:$P$8))</f>
        <v/>
      </c>
      <c r="AV28" s="48" t="str">
        <f>IF(OR(NOT($AQ28),Log_Putaran!$C$9=""),"",$AR28*SUMPRODUCT($AB28:$AF28,Log_Putaran!$L$9:$P$9))</f>
        <v/>
      </c>
      <c r="AW28" s="48" t="str">
        <f>IF(OR(NOT($AQ28),Log_Putaran!$C$10=""),"",$AR28*SUMPRODUCT($AB28:$AF28,Log_Putaran!$L$10:$P$10))</f>
        <v/>
      </c>
      <c r="AX28" s="48" t="str">
        <f>IF(OR(NOT($AQ28),Log_Putaran!$C$11=""),"",$AR28*SUMPRODUCT($AB28:$AF28,Log_Putaran!$L$11:$P$11))</f>
        <v/>
      </c>
      <c r="AY28" s="48" t="str">
        <f>IF(OR(NOT($AQ28),Log_Putaran!$C$12=""),"",$AR28*SUMPRODUCT($AB28:$AF28,Log_Putaran!$L$12:$P$12))</f>
        <v/>
      </c>
      <c r="AZ28" s="48" t="str">
        <f>IF(OR(NOT($AQ28),Log_Putaran!$C$13=""),"",$AR28*SUMPRODUCT($AB28:$AF28,Log_Putaran!$L$13:$P$13))</f>
        <v/>
      </c>
      <c r="BA28" s="48" t="str">
        <f>IF(OR(NOT($AQ28),Log_Putaran!$C$14=""),"",$AR28*SUMPRODUCT($AB28:$AF28,Log_Putaran!$L$14:$P$14))</f>
        <v/>
      </c>
      <c r="BB28" s="48" t="str">
        <f>IF(OR(NOT($AQ28),Log_Putaran!$C$15=""),"",$AR28*SUMPRODUCT($AB28:$AF28,Log_Putaran!$L$15:$P$15))</f>
        <v/>
      </c>
      <c r="BC28" s="48" t="str">
        <f>IF(OR(NOT($AQ28),Log_Putaran!$C$16=""),"",$BB28*SUMPRODUCT($AG28:$AK28,Log_Putaran!$L$16:$P$16))</f>
        <v/>
      </c>
      <c r="BD28" s="48" t="str">
        <f>IF(OR(NOT($AQ28),Log_Putaran!$C$17=""),"",$BB28*SUMPRODUCT($AG28:$AK28,Log_Putaran!$L$17:$P$17))</f>
        <v/>
      </c>
      <c r="BE28" s="48" t="str">
        <f>IF(OR(NOT($AQ28),Log_Putaran!$C$18=""),"",$BB28*SUMPRODUCT($AG28:$AK28,Log_Putaran!$L$18:$P$18))</f>
        <v/>
      </c>
      <c r="BF28" s="48" t="str">
        <f>IF(OR(NOT($AQ28),Log_Putaran!$C$19=""),"",$BB28*SUMPRODUCT($AG28:$AK28,Log_Putaran!$L$19:$P$19))</f>
        <v/>
      </c>
      <c r="BG28" s="48" t="str">
        <f>IF(OR(NOT($AQ28),Log_Putaran!$C$20=""),"",$BB28*SUMPRODUCT($AG28:$AK28,Log_Putaran!$L$20:$P$20))</f>
        <v/>
      </c>
      <c r="BH28" s="48" t="str">
        <f>IF(OR(NOT($AQ28),Log_Putaran!$C$21=""),"",$BB28*SUMPRODUCT($AG28:$AK28,Log_Putaran!$L$21:$P$21))</f>
        <v/>
      </c>
      <c r="BI28" s="48" t="str">
        <f>IF(OR(NOT($AQ28),Log_Putaran!$C$22=""),"",$BB28*SUMPRODUCT($AG28:$AK28,Log_Putaran!$L$22:$P$22))</f>
        <v/>
      </c>
      <c r="BJ28" s="48" t="str">
        <f>IF(OR(NOT($AQ28),Log_Putaran!$C$23=""),"",$BB28*SUMPRODUCT($AG28:$AK28,Log_Putaran!$L$23:$P$23))</f>
        <v/>
      </c>
      <c r="BK28" s="48" t="str">
        <f>IF(OR(NOT($AQ28),Log_Putaran!$C$24=""),"",$BB28*SUMPRODUCT($AG28:$AK28,Log_Putaran!$L$24:$P$24))</f>
        <v/>
      </c>
      <c r="BL28" s="48" t="str">
        <f>IF(OR(NOT($AQ28),Log_Putaran!$C$25=""),"",$BB28*SUMPRODUCT($AG28:$AK28,Log_Putaran!$L$25:$P$25))</f>
        <v/>
      </c>
      <c r="BM28" s="48" t="str">
        <f>IF(OR(NOT($AQ28),Log_Putaran!$C$26=""),"",$BL28*SUMPRODUCT($AL28:$AP28,Log_Putaran!$L$26:$P$26))</f>
        <v/>
      </c>
      <c r="BN28" s="48" t="str">
        <f>IF(OR(NOT($AQ28),Log_Putaran!$C$27=""),"",$BL28*SUMPRODUCT($AL28:$AP28,Log_Putaran!$L$27:$P$27))</f>
        <v/>
      </c>
      <c r="BO28" s="48" t="str">
        <f>IF(OR(NOT($AQ28),Log_Putaran!$C$28=""),"",$BL28*SUMPRODUCT($AL28:$AP28,Log_Putaran!$L$28:$P$28))</f>
        <v/>
      </c>
      <c r="BP28" s="48" t="str">
        <f>IF(OR(NOT($AQ28),Log_Putaran!$C$29=""),"",$BL28*SUMPRODUCT($AL28:$AP28,Log_Putaran!$L$29:$P$29))</f>
        <v/>
      </c>
      <c r="BQ28" s="48" t="str">
        <f>IF(OR(NOT($AQ28),Log_Putaran!$C$30=""),"",$BL28*SUMPRODUCT($AL28:$AP28,Log_Putaran!$L$30:$P$30))</f>
        <v/>
      </c>
      <c r="BR28" s="48" t="str">
        <f>IF(OR(NOT($AQ28),Log_Putaran!$C$31=""),"",$BL28*SUMPRODUCT($AL28:$AP28,Log_Putaran!$L$31:$P$31))</f>
        <v/>
      </c>
      <c r="BS28" s="48" t="str">
        <f>IF(OR(NOT($AQ28),Log_Putaran!$C$32=""),"",$BL28*SUMPRODUCT($AL28:$AP28,Log_Putaran!$L$32:$P$32))</f>
        <v/>
      </c>
      <c r="BT28" s="48" t="str">
        <f>IF(OR(NOT($AQ28),Log_Putaran!$C$33=""),"",$BL28*SUMPRODUCT($AL28:$AP28,Log_Putaran!$L$33:$P$33))</f>
        <v/>
      </c>
      <c r="BU28" s="48" t="str">
        <f>IF(OR(NOT($AQ28),Log_Putaran!$C$34=""),"",$BL28*SUMPRODUCT($AL28:$AP28,Log_Putaran!$L$34:$P$34))</f>
        <v/>
      </c>
      <c r="BV28" s="48" t="str">
        <f>IF(OR(NOT($AQ28),Log_Putaran!$C$35=""),"",$BL28*SUMPRODUCT($AL28:$AP28,Log_Putaran!$L$35:$P$35))</f>
        <v/>
      </c>
      <c r="BW28" s="48" t="str">
        <f t="shared" si="23"/>
        <v/>
      </c>
      <c r="BX28" s="48" t="str">
        <f t="shared" si="24"/>
        <v/>
      </c>
      <c r="BY28" s="38" t="str">
        <f t="shared" si="25"/>
        <v/>
      </c>
      <c r="BZ28" s="49" t="str">
        <f>IF($AQ28,MAX(_DD!$B28:$AE28),"")</f>
        <v/>
      </c>
      <c r="CA28" s="36">
        <f t="shared" si="26"/>
        <v>-9.9999999999999997E+98</v>
      </c>
      <c r="CB28" s="36" t="str">
        <f t="shared" si="27"/>
        <v/>
      </c>
      <c r="CC28" s="36">
        <f t="shared" si="28"/>
        <v>-9.9999999999999997E+98</v>
      </c>
      <c r="CD28" s="36" t="str">
        <f t="shared" si="29"/>
        <v/>
      </c>
      <c r="CE28" s="36" t="str">
        <f t="shared" si="30"/>
        <v/>
      </c>
      <c r="CF28" s="36">
        <f t="shared" si="31"/>
        <v>-9.9999999999999997E+98</v>
      </c>
    </row>
    <row r="29" spans="1:84">
      <c r="A29" s="36" t="str">
        <f>Peserta!A29</f>
        <v>P24</v>
      </c>
      <c r="B29" s="36" t="str">
        <f>IF($C29&gt;0,INDEX(Input!$C:$C,$C29)&amp;"",IF(Peserta!B29="",$A29,Peserta!B29))</f>
        <v>P24</v>
      </c>
      <c r="C29" s="36">
        <f>SUMPRODUCT(MAX((_Bantu!$A$2:$A$2001=$A29)*ROW(_Bantu!$A$2:$A$2001)))</f>
        <v>0</v>
      </c>
      <c r="D29" s="36">
        <f>SUMPRODUCT(MAX((_Bantu!$C$2:$C$2001=$A29&amp;"|1")*ROW(_Bantu!$C$2:$C$2001)))</f>
        <v>0</v>
      </c>
      <c r="E29" s="47" t="str">
        <f>IF($D29=0,"",INDEX(_Bantu!D:D,$D29))</f>
        <v/>
      </c>
      <c r="F29" s="47" t="str">
        <f>IF($D29=0,"",INDEX(_Bantu!E:E,$D29))</f>
        <v/>
      </c>
      <c r="G29" s="47" t="str">
        <f>IF($D29=0,"",INDEX(_Bantu!F:F,$D29))</f>
        <v/>
      </c>
      <c r="H29" s="47" t="str">
        <f>IF($D29=0,"",INDEX(_Bantu!G:G,$D29))</f>
        <v/>
      </c>
      <c r="I29" s="47" t="str">
        <f>IF($D29=0,"",INDEX(_Bantu!H:H,$D29))</f>
        <v/>
      </c>
      <c r="J29" s="47" t="str">
        <f t="shared" si="0"/>
        <v/>
      </c>
      <c r="K29" s="36" t="str">
        <f t="shared" si="1"/>
        <v>Belum isi</v>
      </c>
      <c r="L29" s="36">
        <f>SUMPRODUCT(MAX((_Bantu!$C$2:$C$2001=$A29&amp;"|2")*ROW(_Bantu!$C$2:$C$2001)))</f>
        <v>0</v>
      </c>
      <c r="M29" s="47" t="str">
        <f>IF($L29=0,"",INDEX(_Bantu!D:D,$L29))</f>
        <v/>
      </c>
      <c r="N29" s="47" t="str">
        <f>IF($L29=0,"",INDEX(_Bantu!E:E,$L29))</f>
        <v/>
      </c>
      <c r="O29" s="47" t="str">
        <f>IF($L29=0,"",INDEX(_Bantu!F:F,$L29))</f>
        <v/>
      </c>
      <c r="P29" s="47" t="str">
        <f>IF($L29=0,"",INDEX(_Bantu!G:G,$L29))</f>
        <v/>
      </c>
      <c r="Q29" s="47" t="str">
        <f>IF($L29=0,"",INDEX(_Bantu!H:H,$L29))</f>
        <v/>
      </c>
      <c r="R29" s="47" t="str">
        <f t="shared" si="2"/>
        <v/>
      </c>
      <c r="S29" s="36" t="str">
        <f t="shared" si="3"/>
        <v>Belum isi</v>
      </c>
      <c r="T29" s="36">
        <f>SUMPRODUCT(MAX((_Bantu!$C$2:$C$2001=$A29&amp;"|3")*ROW(_Bantu!$C$2:$C$2001)))</f>
        <v>0</v>
      </c>
      <c r="U29" s="47" t="str">
        <f>IF($T29=0,"",INDEX(_Bantu!D:D,$T29))</f>
        <v/>
      </c>
      <c r="V29" s="47" t="str">
        <f>IF($T29=0,"",INDEX(_Bantu!E:E,$T29))</f>
        <v/>
      </c>
      <c r="W29" s="47" t="str">
        <f>IF($T29=0,"",INDEX(_Bantu!F:F,$T29))</f>
        <v/>
      </c>
      <c r="X29" s="47" t="str">
        <f>IF($T29=0,"",INDEX(_Bantu!G:G,$T29))</f>
        <v/>
      </c>
      <c r="Y29" s="47" t="str">
        <f>IF($T29=0,"",INDEX(_Bantu!H:H,$T29))</f>
        <v/>
      </c>
      <c r="Z29" s="47" t="str">
        <f t="shared" si="4"/>
        <v/>
      </c>
      <c r="AA29" s="36" t="str">
        <f t="shared" si="5"/>
        <v>Belum isi</v>
      </c>
      <c r="AB29" s="47">
        <f t="shared" si="6"/>
        <v>0</v>
      </c>
      <c r="AC29" s="47">
        <f t="shared" si="7"/>
        <v>0</v>
      </c>
      <c r="AD29" s="47">
        <f t="shared" si="8"/>
        <v>0</v>
      </c>
      <c r="AE29" s="47">
        <f t="shared" si="9"/>
        <v>0</v>
      </c>
      <c r="AF29" s="47">
        <f t="shared" si="10"/>
        <v>0</v>
      </c>
      <c r="AG29" s="47">
        <f t="shared" si="11"/>
        <v>0</v>
      </c>
      <c r="AH29" s="47">
        <f t="shared" si="12"/>
        <v>0</v>
      </c>
      <c r="AI29" s="47">
        <f t="shared" si="13"/>
        <v>0</v>
      </c>
      <c r="AJ29" s="47">
        <f t="shared" si="14"/>
        <v>0</v>
      </c>
      <c r="AK29" s="47">
        <f t="shared" si="15"/>
        <v>0</v>
      </c>
      <c r="AL29" s="47">
        <f t="shared" si="16"/>
        <v>0</v>
      </c>
      <c r="AM29" s="47">
        <f t="shared" si="17"/>
        <v>0</v>
      </c>
      <c r="AN29" s="47">
        <f t="shared" si="18"/>
        <v>0</v>
      </c>
      <c r="AO29" s="47">
        <f t="shared" si="19"/>
        <v>0</v>
      </c>
      <c r="AP29" s="47">
        <f t="shared" si="20"/>
        <v>0</v>
      </c>
      <c r="AQ29" s="36" t="b">
        <f t="shared" si="21"/>
        <v>0</v>
      </c>
      <c r="AR29" s="48" t="str">
        <f t="shared" si="22"/>
        <v/>
      </c>
      <c r="AS29" s="48" t="str">
        <f>IF(OR(NOT($AQ29),Log_Putaran!$C$6=""),"",$AR29*SUMPRODUCT($AB29:$AF29,Log_Putaran!$L$6:$P$6))</f>
        <v/>
      </c>
      <c r="AT29" s="48" t="str">
        <f>IF(OR(NOT($AQ29),Log_Putaran!$C$7=""),"",$AR29*SUMPRODUCT($AB29:$AF29,Log_Putaran!$L$7:$P$7))</f>
        <v/>
      </c>
      <c r="AU29" s="48" t="str">
        <f>IF(OR(NOT($AQ29),Log_Putaran!$C$8=""),"",$AR29*SUMPRODUCT($AB29:$AF29,Log_Putaran!$L$8:$P$8))</f>
        <v/>
      </c>
      <c r="AV29" s="48" t="str">
        <f>IF(OR(NOT($AQ29),Log_Putaran!$C$9=""),"",$AR29*SUMPRODUCT($AB29:$AF29,Log_Putaran!$L$9:$P$9))</f>
        <v/>
      </c>
      <c r="AW29" s="48" t="str">
        <f>IF(OR(NOT($AQ29),Log_Putaran!$C$10=""),"",$AR29*SUMPRODUCT($AB29:$AF29,Log_Putaran!$L$10:$P$10))</f>
        <v/>
      </c>
      <c r="AX29" s="48" t="str">
        <f>IF(OR(NOT($AQ29),Log_Putaran!$C$11=""),"",$AR29*SUMPRODUCT($AB29:$AF29,Log_Putaran!$L$11:$P$11))</f>
        <v/>
      </c>
      <c r="AY29" s="48" t="str">
        <f>IF(OR(NOT($AQ29),Log_Putaran!$C$12=""),"",$AR29*SUMPRODUCT($AB29:$AF29,Log_Putaran!$L$12:$P$12))</f>
        <v/>
      </c>
      <c r="AZ29" s="48" t="str">
        <f>IF(OR(NOT($AQ29),Log_Putaran!$C$13=""),"",$AR29*SUMPRODUCT($AB29:$AF29,Log_Putaran!$L$13:$P$13))</f>
        <v/>
      </c>
      <c r="BA29" s="48" t="str">
        <f>IF(OR(NOT($AQ29),Log_Putaran!$C$14=""),"",$AR29*SUMPRODUCT($AB29:$AF29,Log_Putaran!$L$14:$P$14))</f>
        <v/>
      </c>
      <c r="BB29" s="48" t="str">
        <f>IF(OR(NOT($AQ29),Log_Putaran!$C$15=""),"",$AR29*SUMPRODUCT($AB29:$AF29,Log_Putaran!$L$15:$P$15))</f>
        <v/>
      </c>
      <c r="BC29" s="48" t="str">
        <f>IF(OR(NOT($AQ29),Log_Putaran!$C$16=""),"",$BB29*SUMPRODUCT($AG29:$AK29,Log_Putaran!$L$16:$P$16))</f>
        <v/>
      </c>
      <c r="BD29" s="48" t="str">
        <f>IF(OR(NOT($AQ29),Log_Putaran!$C$17=""),"",$BB29*SUMPRODUCT($AG29:$AK29,Log_Putaran!$L$17:$P$17))</f>
        <v/>
      </c>
      <c r="BE29" s="48" t="str">
        <f>IF(OR(NOT($AQ29),Log_Putaran!$C$18=""),"",$BB29*SUMPRODUCT($AG29:$AK29,Log_Putaran!$L$18:$P$18))</f>
        <v/>
      </c>
      <c r="BF29" s="48" t="str">
        <f>IF(OR(NOT($AQ29),Log_Putaran!$C$19=""),"",$BB29*SUMPRODUCT($AG29:$AK29,Log_Putaran!$L$19:$P$19))</f>
        <v/>
      </c>
      <c r="BG29" s="48" t="str">
        <f>IF(OR(NOT($AQ29),Log_Putaran!$C$20=""),"",$BB29*SUMPRODUCT($AG29:$AK29,Log_Putaran!$L$20:$P$20))</f>
        <v/>
      </c>
      <c r="BH29" s="48" t="str">
        <f>IF(OR(NOT($AQ29),Log_Putaran!$C$21=""),"",$BB29*SUMPRODUCT($AG29:$AK29,Log_Putaran!$L$21:$P$21))</f>
        <v/>
      </c>
      <c r="BI29" s="48" t="str">
        <f>IF(OR(NOT($AQ29),Log_Putaran!$C$22=""),"",$BB29*SUMPRODUCT($AG29:$AK29,Log_Putaran!$L$22:$P$22))</f>
        <v/>
      </c>
      <c r="BJ29" s="48" t="str">
        <f>IF(OR(NOT($AQ29),Log_Putaran!$C$23=""),"",$BB29*SUMPRODUCT($AG29:$AK29,Log_Putaran!$L$23:$P$23))</f>
        <v/>
      </c>
      <c r="BK29" s="48" t="str">
        <f>IF(OR(NOT($AQ29),Log_Putaran!$C$24=""),"",$BB29*SUMPRODUCT($AG29:$AK29,Log_Putaran!$L$24:$P$24))</f>
        <v/>
      </c>
      <c r="BL29" s="48" t="str">
        <f>IF(OR(NOT($AQ29),Log_Putaran!$C$25=""),"",$BB29*SUMPRODUCT($AG29:$AK29,Log_Putaran!$L$25:$P$25))</f>
        <v/>
      </c>
      <c r="BM29" s="48" t="str">
        <f>IF(OR(NOT($AQ29),Log_Putaran!$C$26=""),"",$BL29*SUMPRODUCT($AL29:$AP29,Log_Putaran!$L$26:$P$26))</f>
        <v/>
      </c>
      <c r="BN29" s="48" t="str">
        <f>IF(OR(NOT($AQ29),Log_Putaran!$C$27=""),"",$BL29*SUMPRODUCT($AL29:$AP29,Log_Putaran!$L$27:$P$27))</f>
        <v/>
      </c>
      <c r="BO29" s="48" t="str">
        <f>IF(OR(NOT($AQ29),Log_Putaran!$C$28=""),"",$BL29*SUMPRODUCT($AL29:$AP29,Log_Putaran!$L$28:$P$28))</f>
        <v/>
      </c>
      <c r="BP29" s="48" t="str">
        <f>IF(OR(NOT($AQ29),Log_Putaran!$C$29=""),"",$BL29*SUMPRODUCT($AL29:$AP29,Log_Putaran!$L$29:$P$29))</f>
        <v/>
      </c>
      <c r="BQ29" s="48" t="str">
        <f>IF(OR(NOT($AQ29),Log_Putaran!$C$30=""),"",$BL29*SUMPRODUCT($AL29:$AP29,Log_Putaran!$L$30:$P$30))</f>
        <v/>
      </c>
      <c r="BR29" s="48" t="str">
        <f>IF(OR(NOT($AQ29),Log_Putaran!$C$31=""),"",$BL29*SUMPRODUCT($AL29:$AP29,Log_Putaran!$L$31:$P$31))</f>
        <v/>
      </c>
      <c r="BS29" s="48" t="str">
        <f>IF(OR(NOT($AQ29),Log_Putaran!$C$32=""),"",$BL29*SUMPRODUCT($AL29:$AP29,Log_Putaran!$L$32:$P$32))</f>
        <v/>
      </c>
      <c r="BT29" s="48" t="str">
        <f>IF(OR(NOT($AQ29),Log_Putaran!$C$33=""),"",$BL29*SUMPRODUCT($AL29:$AP29,Log_Putaran!$L$33:$P$33))</f>
        <v/>
      </c>
      <c r="BU29" s="48" t="str">
        <f>IF(OR(NOT($AQ29),Log_Putaran!$C$34=""),"",$BL29*SUMPRODUCT($AL29:$AP29,Log_Putaran!$L$34:$P$34))</f>
        <v/>
      </c>
      <c r="BV29" s="48" t="str">
        <f>IF(OR(NOT($AQ29),Log_Putaran!$C$35=""),"",$BL29*SUMPRODUCT($AL29:$AP29,Log_Putaran!$L$35:$P$35))</f>
        <v/>
      </c>
      <c r="BW29" s="48" t="str">
        <f t="shared" si="23"/>
        <v/>
      </c>
      <c r="BX29" s="48" t="str">
        <f t="shared" si="24"/>
        <v/>
      </c>
      <c r="BY29" s="38" t="str">
        <f t="shared" si="25"/>
        <v/>
      </c>
      <c r="BZ29" s="49" t="str">
        <f>IF($AQ29,MAX(_DD!$B29:$AE29),"")</f>
        <v/>
      </c>
      <c r="CA29" s="36">
        <f t="shared" si="26"/>
        <v>-9.9999999999999997E+98</v>
      </c>
      <c r="CB29" s="36" t="str">
        <f t="shared" si="27"/>
        <v/>
      </c>
      <c r="CC29" s="36">
        <f t="shared" si="28"/>
        <v>-9.9999999999999997E+98</v>
      </c>
      <c r="CD29" s="36" t="str">
        <f t="shared" si="29"/>
        <v/>
      </c>
      <c r="CE29" s="36" t="str">
        <f t="shared" si="30"/>
        <v/>
      </c>
      <c r="CF29" s="36">
        <f t="shared" si="31"/>
        <v>-9.9999999999999997E+98</v>
      </c>
    </row>
    <row r="30" spans="1:84">
      <c r="A30" s="36" t="str">
        <f>Peserta!A30</f>
        <v>P25</v>
      </c>
      <c r="B30" s="36" t="str">
        <f>IF($C30&gt;0,INDEX(Input!$C:$C,$C30)&amp;"",IF(Peserta!B30="",$A30,Peserta!B30))</f>
        <v>P25</v>
      </c>
      <c r="C30" s="36">
        <f>SUMPRODUCT(MAX((_Bantu!$A$2:$A$2001=$A30)*ROW(_Bantu!$A$2:$A$2001)))</f>
        <v>0</v>
      </c>
      <c r="D30" s="36">
        <f>SUMPRODUCT(MAX((_Bantu!$C$2:$C$2001=$A30&amp;"|1")*ROW(_Bantu!$C$2:$C$2001)))</f>
        <v>0</v>
      </c>
      <c r="E30" s="47" t="str">
        <f>IF($D30=0,"",INDEX(_Bantu!D:D,$D30))</f>
        <v/>
      </c>
      <c r="F30" s="47" t="str">
        <f>IF($D30=0,"",INDEX(_Bantu!E:E,$D30))</f>
        <v/>
      </c>
      <c r="G30" s="47" t="str">
        <f>IF($D30=0,"",INDEX(_Bantu!F:F,$D30))</f>
        <v/>
      </c>
      <c r="H30" s="47" t="str">
        <f>IF($D30=0,"",INDEX(_Bantu!G:G,$D30))</f>
        <v/>
      </c>
      <c r="I30" s="47" t="str">
        <f>IF($D30=0,"",INDEX(_Bantu!H:H,$D30))</f>
        <v/>
      </c>
      <c r="J30" s="47" t="str">
        <f t="shared" si="0"/>
        <v/>
      </c>
      <c r="K30" s="36" t="str">
        <f t="shared" si="1"/>
        <v>Belum isi</v>
      </c>
      <c r="L30" s="36">
        <f>SUMPRODUCT(MAX((_Bantu!$C$2:$C$2001=$A30&amp;"|2")*ROW(_Bantu!$C$2:$C$2001)))</f>
        <v>0</v>
      </c>
      <c r="M30" s="47" t="str">
        <f>IF($L30=0,"",INDEX(_Bantu!D:D,$L30))</f>
        <v/>
      </c>
      <c r="N30" s="47" t="str">
        <f>IF($L30=0,"",INDEX(_Bantu!E:E,$L30))</f>
        <v/>
      </c>
      <c r="O30" s="47" t="str">
        <f>IF($L30=0,"",INDEX(_Bantu!F:F,$L30))</f>
        <v/>
      </c>
      <c r="P30" s="47" t="str">
        <f>IF($L30=0,"",INDEX(_Bantu!G:G,$L30))</f>
        <v/>
      </c>
      <c r="Q30" s="47" t="str">
        <f>IF($L30=0,"",INDEX(_Bantu!H:H,$L30))</f>
        <v/>
      </c>
      <c r="R30" s="47" t="str">
        <f t="shared" si="2"/>
        <v/>
      </c>
      <c r="S30" s="36" t="str">
        <f t="shared" si="3"/>
        <v>Belum isi</v>
      </c>
      <c r="T30" s="36">
        <f>SUMPRODUCT(MAX((_Bantu!$C$2:$C$2001=$A30&amp;"|3")*ROW(_Bantu!$C$2:$C$2001)))</f>
        <v>0</v>
      </c>
      <c r="U30" s="47" t="str">
        <f>IF($T30=0,"",INDEX(_Bantu!D:D,$T30))</f>
        <v/>
      </c>
      <c r="V30" s="47" t="str">
        <f>IF($T30=0,"",INDEX(_Bantu!E:E,$T30))</f>
        <v/>
      </c>
      <c r="W30" s="47" t="str">
        <f>IF($T30=0,"",INDEX(_Bantu!F:F,$T30))</f>
        <v/>
      </c>
      <c r="X30" s="47" t="str">
        <f>IF($T30=0,"",INDEX(_Bantu!G:G,$T30))</f>
        <v/>
      </c>
      <c r="Y30" s="47" t="str">
        <f>IF($T30=0,"",INDEX(_Bantu!H:H,$T30))</f>
        <v/>
      </c>
      <c r="Z30" s="47" t="str">
        <f t="shared" si="4"/>
        <v/>
      </c>
      <c r="AA30" s="36" t="str">
        <f t="shared" si="5"/>
        <v>Belum isi</v>
      </c>
      <c r="AB30" s="47">
        <f t="shared" si="6"/>
        <v>0</v>
      </c>
      <c r="AC30" s="47">
        <f t="shared" si="7"/>
        <v>0</v>
      </c>
      <c r="AD30" s="47">
        <f t="shared" si="8"/>
        <v>0</v>
      </c>
      <c r="AE30" s="47">
        <f t="shared" si="9"/>
        <v>0</v>
      </c>
      <c r="AF30" s="47">
        <f t="shared" si="10"/>
        <v>0</v>
      </c>
      <c r="AG30" s="47">
        <f t="shared" si="11"/>
        <v>0</v>
      </c>
      <c r="AH30" s="47">
        <f t="shared" si="12"/>
        <v>0</v>
      </c>
      <c r="AI30" s="47">
        <f t="shared" si="13"/>
        <v>0</v>
      </c>
      <c r="AJ30" s="47">
        <f t="shared" si="14"/>
        <v>0</v>
      </c>
      <c r="AK30" s="47">
        <f t="shared" si="15"/>
        <v>0</v>
      </c>
      <c r="AL30" s="47">
        <f t="shared" si="16"/>
        <v>0</v>
      </c>
      <c r="AM30" s="47">
        <f t="shared" si="17"/>
        <v>0</v>
      </c>
      <c r="AN30" s="47">
        <f t="shared" si="18"/>
        <v>0</v>
      </c>
      <c r="AO30" s="47">
        <f t="shared" si="19"/>
        <v>0</v>
      </c>
      <c r="AP30" s="47">
        <f t="shared" si="20"/>
        <v>0</v>
      </c>
      <c r="AQ30" s="36" t="b">
        <f t="shared" si="21"/>
        <v>0</v>
      </c>
      <c r="AR30" s="48" t="str">
        <f t="shared" si="22"/>
        <v/>
      </c>
      <c r="AS30" s="48" t="str">
        <f>IF(OR(NOT($AQ30),Log_Putaran!$C$6=""),"",$AR30*SUMPRODUCT($AB30:$AF30,Log_Putaran!$L$6:$P$6))</f>
        <v/>
      </c>
      <c r="AT30" s="48" t="str">
        <f>IF(OR(NOT($AQ30),Log_Putaran!$C$7=""),"",$AR30*SUMPRODUCT($AB30:$AF30,Log_Putaran!$L$7:$P$7))</f>
        <v/>
      </c>
      <c r="AU30" s="48" t="str">
        <f>IF(OR(NOT($AQ30),Log_Putaran!$C$8=""),"",$AR30*SUMPRODUCT($AB30:$AF30,Log_Putaran!$L$8:$P$8))</f>
        <v/>
      </c>
      <c r="AV30" s="48" t="str">
        <f>IF(OR(NOT($AQ30),Log_Putaran!$C$9=""),"",$AR30*SUMPRODUCT($AB30:$AF30,Log_Putaran!$L$9:$P$9))</f>
        <v/>
      </c>
      <c r="AW30" s="48" t="str">
        <f>IF(OR(NOT($AQ30),Log_Putaran!$C$10=""),"",$AR30*SUMPRODUCT($AB30:$AF30,Log_Putaran!$L$10:$P$10))</f>
        <v/>
      </c>
      <c r="AX30" s="48" t="str">
        <f>IF(OR(NOT($AQ30),Log_Putaran!$C$11=""),"",$AR30*SUMPRODUCT($AB30:$AF30,Log_Putaran!$L$11:$P$11))</f>
        <v/>
      </c>
      <c r="AY30" s="48" t="str">
        <f>IF(OR(NOT($AQ30),Log_Putaran!$C$12=""),"",$AR30*SUMPRODUCT($AB30:$AF30,Log_Putaran!$L$12:$P$12))</f>
        <v/>
      </c>
      <c r="AZ30" s="48" t="str">
        <f>IF(OR(NOT($AQ30),Log_Putaran!$C$13=""),"",$AR30*SUMPRODUCT($AB30:$AF30,Log_Putaran!$L$13:$P$13))</f>
        <v/>
      </c>
      <c r="BA30" s="48" t="str">
        <f>IF(OR(NOT($AQ30),Log_Putaran!$C$14=""),"",$AR30*SUMPRODUCT($AB30:$AF30,Log_Putaran!$L$14:$P$14))</f>
        <v/>
      </c>
      <c r="BB30" s="48" t="str">
        <f>IF(OR(NOT($AQ30),Log_Putaran!$C$15=""),"",$AR30*SUMPRODUCT($AB30:$AF30,Log_Putaran!$L$15:$P$15))</f>
        <v/>
      </c>
      <c r="BC30" s="48" t="str">
        <f>IF(OR(NOT($AQ30),Log_Putaran!$C$16=""),"",$BB30*SUMPRODUCT($AG30:$AK30,Log_Putaran!$L$16:$P$16))</f>
        <v/>
      </c>
      <c r="BD30" s="48" t="str">
        <f>IF(OR(NOT($AQ30),Log_Putaran!$C$17=""),"",$BB30*SUMPRODUCT($AG30:$AK30,Log_Putaran!$L$17:$P$17))</f>
        <v/>
      </c>
      <c r="BE30" s="48" t="str">
        <f>IF(OR(NOT($AQ30),Log_Putaran!$C$18=""),"",$BB30*SUMPRODUCT($AG30:$AK30,Log_Putaran!$L$18:$P$18))</f>
        <v/>
      </c>
      <c r="BF30" s="48" t="str">
        <f>IF(OR(NOT($AQ30),Log_Putaran!$C$19=""),"",$BB30*SUMPRODUCT($AG30:$AK30,Log_Putaran!$L$19:$P$19))</f>
        <v/>
      </c>
      <c r="BG30" s="48" t="str">
        <f>IF(OR(NOT($AQ30),Log_Putaran!$C$20=""),"",$BB30*SUMPRODUCT($AG30:$AK30,Log_Putaran!$L$20:$P$20))</f>
        <v/>
      </c>
      <c r="BH30" s="48" t="str">
        <f>IF(OR(NOT($AQ30),Log_Putaran!$C$21=""),"",$BB30*SUMPRODUCT($AG30:$AK30,Log_Putaran!$L$21:$P$21))</f>
        <v/>
      </c>
      <c r="BI30" s="48" t="str">
        <f>IF(OR(NOT($AQ30),Log_Putaran!$C$22=""),"",$BB30*SUMPRODUCT($AG30:$AK30,Log_Putaran!$L$22:$P$22))</f>
        <v/>
      </c>
      <c r="BJ30" s="48" t="str">
        <f>IF(OR(NOT($AQ30),Log_Putaran!$C$23=""),"",$BB30*SUMPRODUCT($AG30:$AK30,Log_Putaran!$L$23:$P$23))</f>
        <v/>
      </c>
      <c r="BK30" s="48" t="str">
        <f>IF(OR(NOT($AQ30),Log_Putaran!$C$24=""),"",$BB30*SUMPRODUCT($AG30:$AK30,Log_Putaran!$L$24:$P$24))</f>
        <v/>
      </c>
      <c r="BL30" s="48" t="str">
        <f>IF(OR(NOT($AQ30),Log_Putaran!$C$25=""),"",$BB30*SUMPRODUCT($AG30:$AK30,Log_Putaran!$L$25:$P$25))</f>
        <v/>
      </c>
      <c r="BM30" s="48" t="str">
        <f>IF(OR(NOT($AQ30),Log_Putaran!$C$26=""),"",$BL30*SUMPRODUCT($AL30:$AP30,Log_Putaran!$L$26:$P$26))</f>
        <v/>
      </c>
      <c r="BN30" s="48" t="str">
        <f>IF(OR(NOT($AQ30),Log_Putaran!$C$27=""),"",$BL30*SUMPRODUCT($AL30:$AP30,Log_Putaran!$L$27:$P$27))</f>
        <v/>
      </c>
      <c r="BO30" s="48" t="str">
        <f>IF(OR(NOT($AQ30),Log_Putaran!$C$28=""),"",$BL30*SUMPRODUCT($AL30:$AP30,Log_Putaran!$L$28:$P$28))</f>
        <v/>
      </c>
      <c r="BP30" s="48" t="str">
        <f>IF(OR(NOT($AQ30),Log_Putaran!$C$29=""),"",$BL30*SUMPRODUCT($AL30:$AP30,Log_Putaran!$L$29:$P$29))</f>
        <v/>
      </c>
      <c r="BQ30" s="48" t="str">
        <f>IF(OR(NOT($AQ30),Log_Putaran!$C$30=""),"",$BL30*SUMPRODUCT($AL30:$AP30,Log_Putaran!$L$30:$P$30))</f>
        <v/>
      </c>
      <c r="BR30" s="48" t="str">
        <f>IF(OR(NOT($AQ30),Log_Putaran!$C$31=""),"",$BL30*SUMPRODUCT($AL30:$AP30,Log_Putaran!$L$31:$P$31))</f>
        <v/>
      </c>
      <c r="BS30" s="48" t="str">
        <f>IF(OR(NOT($AQ30),Log_Putaran!$C$32=""),"",$BL30*SUMPRODUCT($AL30:$AP30,Log_Putaran!$L$32:$P$32))</f>
        <v/>
      </c>
      <c r="BT30" s="48" t="str">
        <f>IF(OR(NOT($AQ30),Log_Putaran!$C$33=""),"",$BL30*SUMPRODUCT($AL30:$AP30,Log_Putaran!$L$33:$P$33))</f>
        <v/>
      </c>
      <c r="BU30" s="48" t="str">
        <f>IF(OR(NOT($AQ30),Log_Putaran!$C$34=""),"",$BL30*SUMPRODUCT($AL30:$AP30,Log_Putaran!$L$34:$P$34))</f>
        <v/>
      </c>
      <c r="BV30" s="48" t="str">
        <f>IF(OR(NOT($AQ30),Log_Putaran!$C$35=""),"",$BL30*SUMPRODUCT($AL30:$AP30,Log_Putaran!$L$35:$P$35))</f>
        <v/>
      </c>
      <c r="BW30" s="48" t="str">
        <f t="shared" si="23"/>
        <v/>
      </c>
      <c r="BX30" s="48" t="str">
        <f t="shared" si="24"/>
        <v/>
      </c>
      <c r="BY30" s="38" t="str">
        <f t="shared" si="25"/>
        <v/>
      </c>
      <c r="BZ30" s="49" t="str">
        <f>IF($AQ30,MAX(_DD!$B30:$AE30),"")</f>
        <v/>
      </c>
      <c r="CA30" s="36">
        <f t="shared" si="26"/>
        <v>-9.9999999999999997E+98</v>
      </c>
      <c r="CB30" s="36" t="str">
        <f t="shared" si="27"/>
        <v/>
      </c>
      <c r="CC30" s="36">
        <f t="shared" si="28"/>
        <v>-9.9999999999999997E+98</v>
      </c>
      <c r="CD30" s="36" t="str">
        <f t="shared" si="29"/>
        <v/>
      </c>
      <c r="CE30" s="36" t="str">
        <f t="shared" si="30"/>
        <v/>
      </c>
      <c r="CF30" s="36">
        <f t="shared" si="31"/>
        <v>-9.9999999999999997E+98</v>
      </c>
    </row>
    <row r="31" spans="1:84">
      <c r="A31" s="36" t="str">
        <f>Peserta!A31</f>
        <v>P26</v>
      </c>
      <c r="B31" s="36" t="str">
        <f>IF($C31&gt;0,INDEX(Input!$C:$C,$C31)&amp;"",IF(Peserta!B31="",$A31,Peserta!B31))</f>
        <v>P26</v>
      </c>
      <c r="C31" s="36">
        <f>SUMPRODUCT(MAX((_Bantu!$A$2:$A$2001=$A31)*ROW(_Bantu!$A$2:$A$2001)))</f>
        <v>0</v>
      </c>
      <c r="D31" s="36">
        <f>SUMPRODUCT(MAX((_Bantu!$C$2:$C$2001=$A31&amp;"|1")*ROW(_Bantu!$C$2:$C$2001)))</f>
        <v>0</v>
      </c>
      <c r="E31" s="47" t="str">
        <f>IF($D31=0,"",INDEX(_Bantu!D:D,$D31))</f>
        <v/>
      </c>
      <c r="F31" s="47" t="str">
        <f>IF($D31=0,"",INDEX(_Bantu!E:E,$D31))</f>
        <v/>
      </c>
      <c r="G31" s="47" t="str">
        <f>IF($D31=0,"",INDEX(_Bantu!F:F,$D31))</f>
        <v/>
      </c>
      <c r="H31" s="47" t="str">
        <f>IF($D31=0,"",INDEX(_Bantu!G:G,$D31))</f>
        <v/>
      </c>
      <c r="I31" s="47" t="str">
        <f>IF($D31=0,"",INDEX(_Bantu!H:H,$D31))</f>
        <v/>
      </c>
      <c r="J31" s="47" t="str">
        <f t="shared" si="0"/>
        <v/>
      </c>
      <c r="K31" s="36" t="str">
        <f t="shared" si="1"/>
        <v>Belum isi</v>
      </c>
      <c r="L31" s="36">
        <f>SUMPRODUCT(MAX((_Bantu!$C$2:$C$2001=$A31&amp;"|2")*ROW(_Bantu!$C$2:$C$2001)))</f>
        <v>0</v>
      </c>
      <c r="M31" s="47" t="str">
        <f>IF($L31=0,"",INDEX(_Bantu!D:D,$L31))</f>
        <v/>
      </c>
      <c r="N31" s="47" t="str">
        <f>IF($L31=0,"",INDEX(_Bantu!E:E,$L31))</f>
        <v/>
      </c>
      <c r="O31" s="47" t="str">
        <f>IF($L31=0,"",INDEX(_Bantu!F:F,$L31))</f>
        <v/>
      </c>
      <c r="P31" s="47" t="str">
        <f>IF($L31=0,"",INDEX(_Bantu!G:G,$L31))</f>
        <v/>
      </c>
      <c r="Q31" s="47" t="str">
        <f>IF($L31=0,"",INDEX(_Bantu!H:H,$L31))</f>
        <v/>
      </c>
      <c r="R31" s="47" t="str">
        <f t="shared" si="2"/>
        <v/>
      </c>
      <c r="S31" s="36" t="str">
        <f t="shared" si="3"/>
        <v>Belum isi</v>
      </c>
      <c r="T31" s="36">
        <f>SUMPRODUCT(MAX((_Bantu!$C$2:$C$2001=$A31&amp;"|3")*ROW(_Bantu!$C$2:$C$2001)))</f>
        <v>0</v>
      </c>
      <c r="U31" s="47" t="str">
        <f>IF($T31=0,"",INDEX(_Bantu!D:D,$T31))</f>
        <v/>
      </c>
      <c r="V31" s="47" t="str">
        <f>IF($T31=0,"",INDEX(_Bantu!E:E,$T31))</f>
        <v/>
      </c>
      <c r="W31" s="47" t="str">
        <f>IF($T31=0,"",INDEX(_Bantu!F:F,$T31))</f>
        <v/>
      </c>
      <c r="X31" s="47" t="str">
        <f>IF($T31=0,"",INDEX(_Bantu!G:G,$T31))</f>
        <v/>
      </c>
      <c r="Y31" s="47" t="str">
        <f>IF($T31=0,"",INDEX(_Bantu!H:H,$T31))</f>
        <v/>
      </c>
      <c r="Z31" s="47" t="str">
        <f t="shared" si="4"/>
        <v/>
      </c>
      <c r="AA31" s="36" t="str">
        <f t="shared" si="5"/>
        <v>Belum isi</v>
      </c>
      <c r="AB31" s="47">
        <f t="shared" si="6"/>
        <v>0</v>
      </c>
      <c r="AC31" s="47">
        <f t="shared" si="7"/>
        <v>0</v>
      </c>
      <c r="AD31" s="47">
        <f t="shared" si="8"/>
        <v>0</v>
      </c>
      <c r="AE31" s="47">
        <f t="shared" si="9"/>
        <v>0</v>
      </c>
      <c r="AF31" s="47">
        <f t="shared" si="10"/>
        <v>0</v>
      </c>
      <c r="AG31" s="47">
        <f t="shared" si="11"/>
        <v>0</v>
      </c>
      <c r="AH31" s="47">
        <f t="shared" si="12"/>
        <v>0</v>
      </c>
      <c r="AI31" s="47">
        <f t="shared" si="13"/>
        <v>0</v>
      </c>
      <c r="AJ31" s="47">
        <f t="shared" si="14"/>
        <v>0</v>
      </c>
      <c r="AK31" s="47">
        <f t="shared" si="15"/>
        <v>0</v>
      </c>
      <c r="AL31" s="47">
        <f t="shared" si="16"/>
        <v>0</v>
      </c>
      <c r="AM31" s="47">
        <f t="shared" si="17"/>
        <v>0</v>
      </c>
      <c r="AN31" s="47">
        <f t="shared" si="18"/>
        <v>0</v>
      </c>
      <c r="AO31" s="47">
        <f t="shared" si="19"/>
        <v>0</v>
      </c>
      <c r="AP31" s="47">
        <f t="shared" si="20"/>
        <v>0</v>
      </c>
      <c r="AQ31" s="36" t="b">
        <f t="shared" si="21"/>
        <v>0</v>
      </c>
      <c r="AR31" s="48" t="str">
        <f t="shared" si="22"/>
        <v/>
      </c>
      <c r="AS31" s="48" t="str">
        <f>IF(OR(NOT($AQ31),Log_Putaran!$C$6=""),"",$AR31*SUMPRODUCT($AB31:$AF31,Log_Putaran!$L$6:$P$6))</f>
        <v/>
      </c>
      <c r="AT31" s="48" t="str">
        <f>IF(OR(NOT($AQ31),Log_Putaran!$C$7=""),"",$AR31*SUMPRODUCT($AB31:$AF31,Log_Putaran!$L$7:$P$7))</f>
        <v/>
      </c>
      <c r="AU31" s="48" t="str">
        <f>IF(OR(NOT($AQ31),Log_Putaran!$C$8=""),"",$AR31*SUMPRODUCT($AB31:$AF31,Log_Putaran!$L$8:$P$8))</f>
        <v/>
      </c>
      <c r="AV31" s="48" t="str">
        <f>IF(OR(NOT($AQ31),Log_Putaran!$C$9=""),"",$AR31*SUMPRODUCT($AB31:$AF31,Log_Putaran!$L$9:$P$9))</f>
        <v/>
      </c>
      <c r="AW31" s="48" t="str">
        <f>IF(OR(NOT($AQ31),Log_Putaran!$C$10=""),"",$AR31*SUMPRODUCT($AB31:$AF31,Log_Putaran!$L$10:$P$10))</f>
        <v/>
      </c>
      <c r="AX31" s="48" t="str">
        <f>IF(OR(NOT($AQ31),Log_Putaran!$C$11=""),"",$AR31*SUMPRODUCT($AB31:$AF31,Log_Putaran!$L$11:$P$11))</f>
        <v/>
      </c>
      <c r="AY31" s="48" t="str">
        <f>IF(OR(NOT($AQ31),Log_Putaran!$C$12=""),"",$AR31*SUMPRODUCT($AB31:$AF31,Log_Putaran!$L$12:$P$12))</f>
        <v/>
      </c>
      <c r="AZ31" s="48" t="str">
        <f>IF(OR(NOT($AQ31),Log_Putaran!$C$13=""),"",$AR31*SUMPRODUCT($AB31:$AF31,Log_Putaran!$L$13:$P$13))</f>
        <v/>
      </c>
      <c r="BA31" s="48" t="str">
        <f>IF(OR(NOT($AQ31),Log_Putaran!$C$14=""),"",$AR31*SUMPRODUCT($AB31:$AF31,Log_Putaran!$L$14:$P$14))</f>
        <v/>
      </c>
      <c r="BB31" s="48" t="str">
        <f>IF(OR(NOT($AQ31),Log_Putaran!$C$15=""),"",$AR31*SUMPRODUCT($AB31:$AF31,Log_Putaran!$L$15:$P$15))</f>
        <v/>
      </c>
      <c r="BC31" s="48" t="str">
        <f>IF(OR(NOT($AQ31),Log_Putaran!$C$16=""),"",$BB31*SUMPRODUCT($AG31:$AK31,Log_Putaran!$L$16:$P$16))</f>
        <v/>
      </c>
      <c r="BD31" s="48" t="str">
        <f>IF(OR(NOT($AQ31),Log_Putaran!$C$17=""),"",$BB31*SUMPRODUCT($AG31:$AK31,Log_Putaran!$L$17:$P$17))</f>
        <v/>
      </c>
      <c r="BE31" s="48" t="str">
        <f>IF(OR(NOT($AQ31),Log_Putaran!$C$18=""),"",$BB31*SUMPRODUCT($AG31:$AK31,Log_Putaran!$L$18:$P$18))</f>
        <v/>
      </c>
      <c r="BF31" s="48" t="str">
        <f>IF(OR(NOT($AQ31),Log_Putaran!$C$19=""),"",$BB31*SUMPRODUCT($AG31:$AK31,Log_Putaran!$L$19:$P$19))</f>
        <v/>
      </c>
      <c r="BG31" s="48" t="str">
        <f>IF(OR(NOT($AQ31),Log_Putaran!$C$20=""),"",$BB31*SUMPRODUCT($AG31:$AK31,Log_Putaran!$L$20:$P$20))</f>
        <v/>
      </c>
      <c r="BH31" s="48" t="str">
        <f>IF(OR(NOT($AQ31),Log_Putaran!$C$21=""),"",$BB31*SUMPRODUCT($AG31:$AK31,Log_Putaran!$L$21:$P$21))</f>
        <v/>
      </c>
      <c r="BI31" s="48" t="str">
        <f>IF(OR(NOT($AQ31),Log_Putaran!$C$22=""),"",$BB31*SUMPRODUCT($AG31:$AK31,Log_Putaran!$L$22:$P$22))</f>
        <v/>
      </c>
      <c r="BJ31" s="48" t="str">
        <f>IF(OR(NOT($AQ31),Log_Putaran!$C$23=""),"",$BB31*SUMPRODUCT($AG31:$AK31,Log_Putaran!$L$23:$P$23))</f>
        <v/>
      </c>
      <c r="BK31" s="48" t="str">
        <f>IF(OR(NOT($AQ31),Log_Putaran!$C$24=""),"",$BB31*SUMPRODUCT($AG31:$AK31,Log_Putaran!$L$24:$P$24))</f>
        <v/>
      </c>
      <c r="BL31" s="48" t="str">
        <f>IF(OR(NOT($AQ31),Log_Putaran!$C$25=""),"",$BB31*SUMPRODUCT($AG31:$AK31,Log_Putaran!$L$25:$P$25))</f>
        <v/>
      </c>
      <c r="BM31" s="48" t="str">
        <f>IF(OR(NOT($AQ31),Log_Putaran!$C$26=""),"",$BL31*SUMPRODUCT($AL31:$AP31,Log_Putaran!$L$26:$P$26))</f>
        <v/>
      </c>
      <c r="BN31" s="48" t="str">
        <f>IF(OR(NOT($AQ31),Log_Putaran!$C$27=""),"",$BL31*SUMPRODUCT($AL31:$AP31,Log_Putaran!$L$27:$P$27))</f>
        <v/>
      </c>
      <c r="BO31" s="48" t="str">
        <f>IF(OR(NOT($AQ31),Log_Putaran!$C$28=""),"",$BL31*SUMPRODUCT($AL31:$AP31,Log_Putaran!$L$28:$P$28))</f>
        <v/>
      </c>
      <c r="BP31" s="48" t="str">
        <f>IF(OR(NOT($AQ31),Log_Putaran!$C$29=""),"",$BL31*SUMPRODUCT($AL31:$AP31,Log_Putaran!$L$29:$P$29))</f>
        <v/>
      </c>
      <c r="BQ31" s="48" t="str">
        <f>IF(OR(NOT($AQ31),Log_Putaran!$C$30=""),"",$BL31*SUMPRODUCT($AL31:$AP31,Log_Putaran!$L$30:$P$30))</f>
        <v/>
      </c>
      <c r="BR31" s="48" t="str">
        <f>IF(OR(NOT($AQ31),Log_Putaran!$C$31=""),"",$BL31*SUMPRODUCT($AL31:$AP31,Log_Putaran!$L$31:$P$31))</f>
        <v/>
      </c>
      <c r="BS31" s="48" t="str">
        <f>IF(OR(NOT($AQ31),Log_Putaran!$C$32=""),"",$BL31*SUMPRODUCT($AL31:$AP31,Log_Putaran!$L$32:$P$32))</f>
        <v/>
      </c>
      <c r="BT31" s="48" t="str">
        <f>IF(OR(NOT($AQ31),Log_Putaran!$C$33=""),"",$BL31*SUMPRODUCT($AL31:$AP31,Log_Putaran!$L$33:$P$33))</f>
        <v/>
      </c>
      <c r="BU31" s="48" t="str">
        <f>IF(OR(NOT($AQ31),Log_Putaran!$C$34=""),"",$BL31*SUMPRODUCT($AL31:$AP31,Log_Putaran!$L$34:$P$34))</f>
        <v/>
      </c>
      <c r="BV31" s="48" t="str">
        <f>IF(OR(NOT($AQ31),Log_Putaran!$C$35=""),"",$BL31*SUMPRODUCT($AL31:$AP31,Log_Putaran!$L$35:$P$35))</f>
        <v/>
      </c>
      <c r="BW31" s="48" t="str">
        <f t="shared" si="23"/>
        <v/>
      </c>
      <c r="BX31" s="48" t="str">
        <f t="shared" si="24"/>
        <v/>
      </c>
      <c r="BY31" s="38" t="str">
        <f t="shared" si="25"/>
        <v/>
      </c>
      <c r="BZ31" s="49" t="str">
        <f>IF($AQ31,MAX(_DD!$B31:$AE31),"")</f>
        <v/>
      </c>
      <c r="CA31" s="36">
        <f t="shared" si="26"/>
        <v>-9.9999999999999997E+98</v>
      </c>
      <c r="CB31" s="36" t="str">
        <f t="shared" si="27"/>
        <v/>
      </c>
      <c r="CC31" s="36">
        <f t="shared" si="28"/>
        <v>-9.9999999999999997E+98</v>
      </c>
      <c r="CD31" s="36" t="str">
        <f t="shared" si="29"/>
        <v/>
      </c>
      <c r="CE31" s="36" t="str">
        <f t="shared" si="30"/>
        <v/>
      </c>
      <c r="CF31" s="36">
        <f t="shared" si="31"/>
        <v>-9.9999999999999997E+98</v>
      </c>
    </row>
    <row r="32" spans="1:84">
      <c r="A32" s="36" t="str">
        <f>Peserta!A32</f>
        <v>P27</v>
      </c>
      <c r="B32" s="36" t="str">
        <f>IF($C32&gt;0,INDEX(Input!$C:$C,$C32)&amp;"",IF(Peserta!B32="",$A32,Peserta!B32))</f>
        <v>P27</v>
      </c>
      <c r="C32" s="36">
        <f>SUMPRODUCT(MAX((_Bantu!$A$2:$A$2001=$A32)*ROW(_Bantu!$A$2:$A$2001)))</f>
        <v>0</v>
      </c>
      <c r="D32" s="36">
        <f>SUMPRODUCT(MAX((_Bantu!$C$2:$C$2001=$A32&amp;"|1")*ROW(_Bantu!$C$2:$C$2001)))</f>
        <v>0</v>
      </c>
      <c r="E32" s="47" t="str">
        <f>IF($D32=0,"",INDEX(_Bantu!D:D,$D32))</f>
        <v/>
      </c>
      <c r="F32" s="47" t="str">
        <f>IF($D32=0,"",INDEX(_Bantu!E:E,$D32))</f>
        <v/>
      </c>
      <c r="G32" s="47" t="str">
        <f>IF($D32=0,"",INDEX(_Bantu!F:F,$D32))</f>
        <v/>
      </c>
      <c r="H32" s="47" t="str">
        <f>IF($D32=0,"",INDEX(_Bantu!G:G,$D32))</f>
        <v/>
      </c>
      <c r="I32" s="47" t="str">
        <f>IF($D32=0,"",INDEX(_Bantu!H:H,$D32))</f>
        <v/>
      </c>
      <c r="J32" s="47" t="str">
        <f t="shared" si="0"/>
        <v/>
      </c>
      <c r="K32" s="36" t="str">
        <f t="shared" si="1"/>
        <v>Belum isi</v>
      </c>
      <c r="L32" s="36">
        <f>SUMPRODUCT(MAX((_Bantu!$C$2:$C$2001=$A32&amp;"|2")*ROW(_Bantu!$C$2:$C$2001)))</f>
        <v>0</v>
      </c>
      <c r="M32" s="47" t="str">
        <f>IF($L32=0,"",INDEX(_Bantu!D:D,$L32))</f>
        <v/>
      </c>
      <c r="N32" s="47" t="str">
        <f>IF($L32=0,"",INDEX(_Bantu!E:E,$L32))</f>
        <v/>
      </c>
      <c r="O32" s="47" t="str">
        <f>IF($L32=0,"",INDEX(_Bantu!F:F,$L32))</f>
        <v/>
      </c>
      <c r="P32" s="47" t="str">
        <f>IF($L32=0,"",INDEX(_Bantu!G:G,$L32))</f>
        <v/>
      </c>
      <c r="Q32" s="47" t="str">
        <f>IF($L32=0,"",INDEX(_Bantu!H:H,$L32))</f>
        <v/>
      </c>
      <c r="R32" s="47" t="str">
        <f t="shared" si="2"/>
        <v/>
      </c>
      <c r="S32" s="36" t="str">
        <f t="shared" si="3"/>
        <v>Belum isi</v>
      </c>
      <c r="T32" s="36">
        <f>SUMPRODUCT(MAX((_Bantu!$C$2:$C$2001=$A32&amp;"|3")*ROW(_Bantu!$C$2:$C$2001)))</f>
        <v>0</v>
      </c>
      <c r="U32" s="47" t="str">
        <f>IF($T32=0,"",INDEX(_Bantu!D:D,$T32))</f>
        <v/>
      </c>
      <c r="V32" s="47" t="str">
        <f>IF($T32=0,"",INDEX(_Bantu!E:E,$T32))</f>
        <v/>
      </c>
      <c r="W32" s="47" t="str">
        <f>IF($T32=0,"",INDEX(_Bantu!F:F,$T32))</f>
        <v/>
      </c>
      <c r="X32" s="47" t="str">
        <f>IF($T32=0,"",INDEX(_Bantu!G:G,$T32))</f>
        <v/>
      </c>
      <c r="Y32" s="47" t="str">
        <f>IF($T32=0,"",INDEX(_Bantu!H:H,$T32))</f>
        <v/>
      </c>
      <c r="Z32" s="47" t="str">
        <f t="shared" si="4"/>
        <v/>
      </c>
      <c r="AA32" s="36" t="str">
        <f t="shared" si="5"/>
        <v>Belum isi</v>
      </c>
      <c r="AB32" s="47">
        <f t="shared" si="6"/>
        <v>0</v>
      </c>
      <c r="AC32" s="47">
        <f t="shared" si="7"/>
        <v>0</v>
      </c>
      <c r="AD32" s="47">
        <f t="shared" si="8"/>
        <v>0</v>
      </c>
      <c r="AE32" s="47">
        <f t="shared" si="9"/>
        <v>0</v>
      </c>
      <c r="AF32" s="47">
        <f t="shared" si="10"/>
        <v>0</v>
      </c>
      <c r="AG32" s="47">
        <f t="shared" si="11"/>
        <v>0</v>
      </c>
      <c r="AH32" s="47">
        <f t="shared" si="12"/>
        <v>0</v>
      </c>
      <c r="AI32" s="47">
        <f t="shared" si="13"/>
        <v>0</v>
      </c>
      <c r="AJ32" s="47">
        <f t="shared" si="14"/>
        <v>0</v>
      </c>
      <c r="AK32" s="47">
        <f t="shared" si="15"/>
        <v>0</v>
      </c>
      <c r="AL32" s="47">
        <f t="shared" si="16"/>
        <v>0</v>
      </c>
      <c r="AM32" s="47">
        <f t="shared" si="17"/>
        <v>0</v>
      </c>
      <c r="AN32" s="47">
        <f t="shared" si="18"/>
        <v>0</v>
      </c>
      <c r="AO32" s="47">
        <f t="shared" si="19"/>
        <v>0</v>
      </c>
      <c r="AP32" s="47">
        <f t="shared" si="20"/>
        <v>0</v>
      </c>
      <c r="AQ32" s="36" t="b">
        <f t="shared" si="21"/>
        <v>0</v>
      </c>
      <c r="AR32" s="48" t="str">
        <f t="shared" si="22"/>
        <v/>
      </c>
      <c r="AS32" s="48" t="str">
        <f>IF(OR(NOT($AQ32),Log_Putaran!$C$6=""),"",$AR32*SUMPRODUCT($AB32:$AF32,Log_Putaran!$L$6:$P$6))</f>
        <v/>
      </c>
      <c r="AT32" s="48" t="str">
        <f>IF(OR(NOT($AQ32),Log_Putaran!$C$7=""),"",$AR32*SUMPRODUCT($AB32:$AF32,Log_Putaran!$L$7:$P$7))</f>
        <v/>
      </c>
      <c r="AU32" s="48" t="str">
        <f>IF(OR(NOT($AQ32),Log_Putaran!$C$8=""),"",$AR32*SUMPRODUCT($AB32:$AF32,Log_Putaran!$L$8:$P$8))</f>
        <v/>
      </c>
      <c r="AV32" s="48" t="str">
        <f>IF(OR(NOT($AQ32),Log_Putaran!$C$9=""),"",$AR32*SUMPRODUCT($AB32:$AF32,Log_Putaran!$L$9:$P$9))</f>
        <v/>
      </c>
      <c r="AW32" s="48" t="str">
        <f>IF(OR(NOT($AQ32),Log_Putaran!$C$10=""),"",$AR32*SUMPRODUCT($AB32:$AF32,Log_Putaran!$L$10:$P$10))</f>
        <v/>
      </c>
      <c r="AX32" s="48" t="str">
        <f>IF(OR(NOT($AQ32),Log_Putaran!$C$11=""),"",$AR32*SUMPRODUCT($AB32:$AF32,Log_Putaran!$L$11:$P$11))</f>
        <v/>
      </c>
      <c r="AY32" s="48" t="str">
        <f>IF(OR(NOT($AQ32),Log_Putaran!$C$12=""),"",$AR32*SUMPRODUCT($AB32:$AF32,Log_Putaran!$L$12:$P$12))</f>
        <v/>
      </c>
      <c r="AZ32" s="48" t="str">
        <f>IF(OR(NOT($AQ32),Log_Putaran!$C$13=""),"",$AR32*SUMPRODUCT($AB32:$AF32,Log_Putaran!$L$13:$P$13))</f>
        <v/>
      </c>
      <c r="BA32" s="48" t="str">
        <f>IF(OR(NOT($AQ32),Log_Putaran!$C$14=""),"",$AR32*SUMPRODUCT($AB32:$AF32,Log_Putaran!$L$14:$P$14))</f>
        <v/>
      </c>
      <c r="BB32" s="48" t="str">
        <f>IF(OR(NOT($AQ32),Log_Putaran!$C$15=""),"",$AR32*SUMPRODUCT($AB32:$AF32,Log_Putaran!$L$15:$P$15))</f>
        <v/>
      </c>
      <c r="BC32" s="48" t="str">
        <f>IF(OR(NOT($AQ32),Log_Putaran!$C$16=""),"",$BB32*SUMPRODUCT($AG32:$AK32,Log_Putaran!$L$16:$P$16))</f>
        <v/>
      </c>
      <c r="BD32" s="48" t="str">
        <f>IF(OR(NOT($AQ32),Log_Putaran!$C$17=""),"",$BB32*SUMPRODUCT($AG32:$AK32,Log_Putaran!$L$17:$P$17))</f>
        <v/>
      </c>
      <c r="BE32" s="48" t="str">
        <f>IF(OR(NOT($AQ32),Log_Putaran!$C$18=""),"",$BB32*SUMPRODUCT($AG32:$AK32,Log_Putaran!$L$18:$P$18))</f>
        <v/>
      </c>
      <c r="BF32" s="48" t="str">
        <f>IF(OR(NOT($AQ32),Log_Putaran!$C$19=""),"",$BB32*SUMPRODUCT($AG32:$AK32,Log_Putaran!$L$19:$P$19))</f>
        <v/>
      </c>
      <c r="BG32" s="48" t="str">
        <f>IF(OR(NOT($AQ32),Log_Putaran!$C$20=""),"",$BB32*SUMPRODUCT($AG32:$AK32,Log_Putaran!$L$20:$P$20))</f>
        <v/>
      </c>
      <c r="BH32" s="48" t="str">
        <f>IF(OR(NOT($AQ32),Log_Putaran!$C$21=""),"",$BB32*SUMPRODUCT($AG32:$AK32,Log_Putaran!$L$21:$P$21))</f>
        <v/>
      </c>
      <c r="BI32" s="48" t="str">
        <f>IF(OR(NOT($AQ32),Log_Putaran!$C$22=""),"",$BB32*SUMPRODUCT($AG32:$AK32,Log_Putaran!$L$22:$P$22))</f>
        <v/>
      </c>
      <c r="BJ32" s="48" t="str">
        <f>IF(OR(NOT($AQ32),Log_Putaran!$C$23=""),"",$BB32*SUMPRODUCT($AG32:$AK32,Log_Putaran!$L$23:$P$23))</f>
        <v/>
      </c>
      <c r="BK32" s="48" t="str">
        <f>IF(OR(NOT($AQ32),Log_Putaran!$C$24=""),"",$BB32*SUMPRODUCT($AG32:$AK32,Log_Putaran!$L$24:$P$24))</f>
        <v/>
      </c>
      <c r="BL32" s="48" t="str">
        <f>IF(OR(NOT($AQ32),Log_Putaran!$C$25=""),"",$BB32*SUMPRODUCT($AG32:$AK32,Log_Putaran!$L$25:$P$25))</f>
        <v/>
      </c>
      <c r="BM32" s="48" t="str">
        <f>IF(OR(NOT($AQ32),Log_Putaran!$C$26=""),"",$BL32*SUMPRODUCT($AL32:$AP32,Log_Putaran!$L$26:$P$26))</f>
        <v/>
      </c>
      <c r="BN32" s="48" t="str">
        <f>IF(OR(NOT($AQ32),Log_Putaran!$C$27=""),"",$BL32*SUMPRODUCT($AL32:$AP32,Log_Putaran!$L$27:$P$27))</f>
        <v/>
      </c>
      <c r="BO32" s="48" t="str">
        <f>IF(OR(NOT($AQ32),Log_Putaran!$C$28=""),"",$BL32*SUMPRODUCT($AL32:$AP32,Log_Putaran!$L$28:$P$28))</f>
        <v/>
      </c>
      <c r="BP32" s="48" t="str">
        <f>IF(OR(NOT($AQ32),Log_Putaran!$C$29=""),"",$BL32*SUMPRODUCT($AL32:$AP32,Log_Putaran!$L$29:$P$29))</f>
        <v/>
      </c>
      <c r="BQ32" s="48" t="str">
        <f>IF(OR(NOT($AQ32),Log_Putaran!$C$30=""),"",$BL32*SUMPRODUCT($AL32:$AP32,Log_Putaran!$L$30:$P$30))</f>
        <v/>
      </c>
      <c r="BR32" s="48" t="str">
        <f>IF(OR(NOT($AQ32),Log_Putaran!$C$31=""),"",$BL32*SUMPRODUCT($AL32:$AP32,Log_Putaran!$L$31:$P$31))</f>
        <v/>
      </c>
      <c r="BS32" s="48" t="str">
        <f>IF(OR(NOT($AQ32),Log_Putaran!$C$32=""),"",$BL32*SUMPRODUCT($AL32:$AP32,Log_Putaran!$L$32:$P$32))</f>
        <v/>
      </c>
      <c r="BT32" s="48" t="str">
        <f>IF(OR(NOT($AQ32),Log_Putaran!$C$33=""),"",$BL32*SUMPRODUCT($AL32:$AP32,Log_Putaran!$L$33:$P$33))</f>
        <v/>
      </c>
      <c r="BU32" s="48" t="str">
        <f>IF(OR(NOT($AQ32),Log_Putaran!$C$34=""),"",$BL32*SUMPRODUCT($AL32:$AP32,Log_Putaran!$L$34:$P$34))</f>
        <v/>
      </c>
      <c r="BV32" s="48" t="str">
        <f>IF(OR(NOT($AQ32),Log_Putaran!$C$35=""),"",$BL32*SUMPRODUCT($AL32:$AP32,Log_Putaran!$L$35:$P$35))</f>
        <v/>
      </c>
      <c r="BW32" s="48" t="str">
        <f t="shared" si="23"/>
        <v/>
      </c>
      <c r="BX32" s="48" t="str">
        <f t="shared" si="24"/>
        <v/>
      </c>
      <c r="BY32" s="38" t="str">
        <f t="shared" si="25"/>
        <v/>
      </c>
      <c r="BZ32" s="49" t="str">
        <f>IF($AQ32,MAX(_DD!$B32:$AE32),"")</f>
        <v/>
      </c>
      <c r="CA32" s="36">
        <f t="shared" si="26"/>
        <v>-9.9999999999999997E+98</v>
      </c>
      <c r="CB32" s="36" t="str">
        <f t="shared" si="27"/>
        <v/>
      </c>
      <c r="CC32" s="36">
        <f t="shared" si="28"/>
        <v>-9.9999999999999997E+98</v>
      </c>
      <c r="CD32" s="36" t="str">
        <f t="shared" si="29"/>
        <v/>
      </c>
      <c r="CE32" s="36" t="str">
        <f t="shared" si="30"/>
        <v/>
      </c>
      <c r="CF32" s="36">
        <f t="shared" si="31"/>
        <v>-9.9999999999999997E+98</v>
      </c>
    </row>
    <row r="33" spans="1:84">
      <c r="A33" s="36" t="str">
        <f>Peserta!A33</f>
        <v>P28</v>
      </c>
      <c r="B33" s="36" t="str">
        <f>IF($C33&gt;0,INDEX(Input!$C:$C,$C33)&amp;"",IF(Peserta!B33="",$A33,Peserta!B33))</f>
        <v>P28</v>
      </c>
      <c r="C33" s="36">
        <f>SUMPRODUCT(MAX((_Bantu!$A$2:$A$2001=$A33)*ROW(_Bantu!$A$2:$A$2001)))</f>
        <v>0</v>
      </c>
      <c r="D33" s="36">
        <f>SUMPRODUCT(MAX((_Bantu!$C$2:$C$2001=$A33&amp;"|1")*ROW(_Bantu!$C$2:$C$2001)))</f>
        <v>0</v>
      </c>
      <c r="E33" s="47" t="str">
        <f>IF($D33=0,"",INDEX(_Bantu!D:D,$D33))</f>
        <v/>
      </c>
      <c r="F33" s="47" t="str">
        <f>IF($D33=0,"",INDEX(_Bantu!E:E,$D33))</f>
        <v/>
      </c>
      <c r="G33" s="47" t="str">
        <f>IF($D33=0,"",INDEX(_Bantu!F:F,$D33))</f>
        <v/>
      </c>
      <c r="H33" s="47" t="str">
        <f>IF($D33=0,"",INDEX(_Bantu!G:G,$D33))</f>
        <v/>
      </c>
      <c r="I33" s="47" t="str">
        <f>IF($D33=0,"",INDEX(_Bantu!H:H,$D33))</f>
        <v/>
      </c>
      <c r="J33" s="47" t="str">
        <f t="shared" si="0"/>
        <v/>
      </c>
      <c r="K33" s="36" t="str">
        <f t="shared" si="1"/>
        <v>Belum isi</v>
      </c>
      <c r="L33" s="36">
        <f>SUMPRODUCT(MAX((_Bantu!$C$2:$C$2001=$A33&amp;"|2")*ROW(_Bantu!$C$2:$C$2001)))</f>
        <v>0</v>
      </c>
      <c r="M33" s="47" t="str">
        <f>IF($L33=0,"",INDEX(_Bantu!D:D,$L33))</f>
        <v/>
      </c>
      <c r="N33" s="47" t="str">
        <f>IF($L33=0,"",INDEX(_Bantu!E:E,$L33))</f>
        <v/>
      </c>
      <c r="O33" s="47" t="str">
        <f>IF($L33=0,"",INDEX(_Bantu!F:F,$L33))</f>
        <v/>
      </c>
      <c r="P33" s="47" t="str">
        <f>IF($L33=0,"",INDEX(_Bantu!G:G,$L33))</f>
        <v/>
      </c>
      <c r="Q33" s="47" t="str">
        <f>IF($L33=0,"",INDEX(_Bantu!H:H,$L33))</f>
        <v/>
      </c>
      <c r="R33" s="47" t="str">
        <f t="shared" si="2"/>
        <v/>
      </c>
      <c r="S33" s="36" t="str">
        <f t="shared" si="3"/>
        <v>Belum isi</v>
      </c>
      <c r="T33" s="36">
        <f>SUMPRODUCT(MAX((_Bantu!$C$2:$C$2001=$A33&amp;"|3")*ROW(_Bantu!$C$2:$C$2001)))</f>
        <v>0</v>
      </c>
      <c r="U33" s="47" t="str">
        <f>IF($T33=0,"",INDEX(_Bantu!D:D,$T33))</f>
        <v/>
      </c>
      <c r="V33" s="47" t="str">
        <f>IF($T33=0,"",INDEX(_Bantu!E:E,$T33))</f>
        <v/>
      </c>
      <c r="W33" s="47" t="str">
        <f>IF($T33=0,"",INDEX(_Bantu!F:F,$T33))</f>
        <v/>
      </c>
      <c r="X33" s="47" t="str">
        <f>IF($T33=0,"",INDEX(_Bantu!G:G,$T33))</f>
        <v/>
      </c>
      <c r="Y33" s="47" t="str">
        <f>IF($T33=0,"",INDEX(_Bantu!H:H,$T33))</f>
        <v/>
      </c>
      <c r="Z33" s="47" t="str">
        <f t="shared" si="4"/>
        <v/>
      </c>
      <c r="AA33" s="36" t="str">
        <f t="shared" si="5"/>
        <v>Belum isi</v>
      </c>
      <c r="AB33" s="47">
        <f t="shared" si="6"/>
        <v>0</v>
      </c>
      <c r="AC33" s="47">
        <f t="shared" si="7"/>
        <v>0</v>
      </c>
      <c r="AD33" s="47">
        <f t="shared" si="8"/>
        <v>0</v>
      </c>
      <c r="AE33" s="47">
        <f t="shared" si="9"/>
        <v>0</v>
      </c>
      <c r="AF33" s="47">
        <f t="shared" si="10"/>
        <v>0</v>
      </c>
      <c r="AG33" s="47">
        <f t="shared" si="11"/>
        <v>0</v>
      </c>
      <c r="AH33" s="47">
        <f t="shared" si="12"/>
        <v>0</v>
      </c>
      <c r="AI33" s="47">
        <f t="shared" si="13"/>
        <v>0</v>
      </c>
      <c r="AJ33" s="47">
        <f t="shared" si="14"/>
        <v>0</v>
      </c>
      <c r="AK33" s="47">
        <f t="shared" si="15"/>
        <v>0</v>
      </c>
      <c r="AL33" s="47">
        <f t="shared" si="16"/>
        <v>0</v>
      </c>
      <c r="AM33" s="47">
        <f t="shared" si="17"/>
        <v>0</v>
      </c>
      <c r="AN33" s="47">
        <f t="shared" si="18"/>
        <v>0</v>
      </c>
      <c r="AO33" s="47">
        <f t="shared" si="19"/>
        <v>0</v>
      </c>
      <c r="AP33" s="47">
        <f t="shared" si="20"/>
        <v>0</v>
      </c>
      <c r="AQ33" s="36" t="b">
        <f t="shared" si="21"/>
        <v>0</v>
      </c>
      <c r="AR33" s="48" t="str">
        <f t="shared" si="22"/>
        <v/>
      </c>
      <c r="AS33" s="48" t="str">
        <f>IF(OR(NOT($AQ33),Log_Putaran!$C$6=""),"",$AR33*SUMPRODUCT($AB33:$AF33,Log_Putaran!$L$6:$P$6))</f>
        <v/>
      </c>
      <c r="AT33" s="48" t="str">
        <f>IF(OR(NOT($AQ33),Log_Putaran!$C$7=""),"",$AR33*SUMPRODUCT($AB33:$AF33,Log_Putaran!$L$7:$P$7))</f>
        <v/>
      </c>
      <c r="AU33" s="48" t="str">
        <f>IF(OR(NOT($AQ33),Log_Putaran!$C$8=""),"",$AR33*SUMPRODUCT($AB33:$AF33,Log_Putaran!$L$8:$P$8))</f>
        <v/>
      </c>
      <c r="AV33" s="48" t="str">
        <f>IF(OR(NOT($AQ33),Log_Putaran!$C$9=""),"",$AR33*SUMPRODUCT($AB33:$AF33,Log_Putaran!$L$9:$P$9))</f>
        <v/>
      </c>
      <c r="AW33" s="48" t="str">
        <f>IF(OR(NOT($AQ33),Log_Putaran!$C$10=""),"",$AR33*SUMPRODUCT($AB33:$AF33,Log_Putaran!$L$10:$P$10))</f>
        <v/>
      </c>
      <c r="AX33" s="48" t="str">
        <f>IF(OR(NOT($AQ33),Log_Putaran!$C$11=""),"",$AR33*SUMPRODUCT($AB33:$AF33,Log_Putaran!$L$11:$P$11))</f>
        <v/>
      </c>
      <c r="AY33" s="48" t="str">
        <f>IF(OR(NOT($AQ33),Log_Putaran!$C$12=""),"",$AR33*SUMPRODUCT($AB33:$AF33,Log_Putaran!$L$12:$P$12))</f>
        <v/>
      </c>
      <c r="AZ33" s="48" t="str">
        <f>IF(OR(NOT($AQ33),Log_Putaran!$C$13=""),"",$AR33*SUMPRODUCT($AB33:$AF33,Log_Putaran!$L$13:$P$13))</f>
        <v/>
      </c>
      <c r="BA33" s="48" t="str">
        <f>IF(OR(NOT($AQ33),Log_Putaran!$C$14=""),"",$AR33*SUMPRODUCT($AB33:$AF33,Log_Putaran!$L$14:$P$14))</f>
        <v/>
      </c>
      <c r="BB33" s="48" t="str">
        <f>IF(OR(NOT($AQ33),Log_Putaran!$C$15=""),"",$AR33*SUMPRODUCT($AB33:$AF33,Log_Putaran!$L$15:$P$15))</f>
        <v/>
      </c>
      <c r="BC33" s="48" t="str">
        <f>IF(OR(NOT($AQ33),Log_Putaran!$C$16=""),"",$BB33*SUMPRODUCT($AG33:$AK33,Log_Putaran!$L$16:$P$16))</f>
        <v/>
      </c>
      <c r="BD33" s="48" t="str">
        <f>IF(OR(NOT($AQ33),Log_Putaran!$C$17=""),"",$BB33*SUMPRODUCT($AG33:$AK33,Log_Putaran!$L$17:$P$17))</f>
        <v/>
      </c>
      <c r="BE33" s="48" t="str">
        <f>IF(OR(NOT($AQ33),Log_Putaran!$C$18=""),"",$BB33*SUMPRODUCT($AG33:$AK33,Log_Putaran!$L$18:$P$18))</f>
        <v/>
      </c>
      <c r="BF33" s="48" t="str">
        <f>IF(OR(NOT($AQ33),Log_Putaran!$C$19=""),"",$BB33*SUMPRODUCT($AG33:$AK33,Log_Putaran!$L$19:$P$19))</f>
        <v/>
      </c>
      <c r="BG33" s="48" t="str">
        <f>IF(OR(NOT($AQ33),Log_Putaran!$C$20=""),"",$BB33*SUMPRODUCT($AG33:$AK33,Log_Putaran!$L$20:$P$20))</f>
        <v/>
      </c>
      <c r="BH33" s="48" t="str">
        <f>IF(OR(NOT($AQ33),Log_Putaran!$C$21=""),"",$BB33*SUMPRODUCT($AG33:$AK33,Log_Putaran!$L$21:$P$21))</f>
        <v/>
      </c>
      <c r="BI33" s="48" t="str">
        <f>IF(OR(NOT($AQ33),Log_Putaran!$C$22=""),"",$BB33*SUMPRODUCT($AG33:$AK33,Log_Putaran!$L$22:$P$22))</f>
        <v/>
      </c>
      <c r="BJ33" s="48" t="str">
        <f>IF(OR(NOT($AQ33),Log_Putaran!$C$23=""),"",$BB33*SUMPRODUCT($AG33:$AK33,Log_Putaran!$L$23:$P$23))</f>
        <v/>
      </c>
      <c r="BK33" s="48" t="str">
        <f>IF(OR(NOT($AQ33),Log_Putaran!$C$24=""),"",$BB33*SUMPRODUCT($AG33:$AK33,Log_Putaran!$L$24:$P$24))</f>
        <v/>
      </c>
      <c r="BL33" s="48" t="str">
        <f>IF(OR(NOT($AQ33),Log_Putaran!$C$25=""),"",$BB33*SUMPRODUCT($AG33:$AK33,Log_Putaran!$L$25:$P$25))</f>
        <v/>
      </c>
      <c r="BM33" s="48" t="str">
        <f>IF(OR(NOT($AQ33),Log_Putaran!$C$26=""),"",$BL33*SUMPRODUCT($AL33:$AP33,Log_Putaran!$L$26:$P$26))</f>
        <v/>
      </c>
      <c r="BN33" s="48" t="str">
        <f>IF(OR(NOT($AQ33),Log_Putaran!$C$27=""),"",$BL33*SUMPRODUCT($AL33:$AP33,Log_Putaran!$L$27:$P$27))</f>
        <v/>
      </c>
      <c r="BO33" s="48" t="str">
        <f>IF(OR(NOT($AQ33),Log_Putaran!$C$28=""),"",$BL33*SUMPRODUCT($AL33:$AP33,Log_Putaran!$L$28:$P$28))</f>
        <v/>
      </c>
      <c r="BP33" s="48" t="str">
        <f>IF(OR(NOT($AQ33),Log_Putaran!$C$29=""),"",$BL33*SUMPRODUCT($AL33:$AP33,Log_Putaran!$L$29:$P$29))</f>
        <v/>
      </c>
      <c r="BQ33" s="48" t="str">
        <f>IF(OR(NOT($AQ33),Log_Putaran!$C$30=""),"",$BL33*SUMPRODUCT($AL33:$AP33,Log_Putaran!$L$30:$P$30))</f>
        <v/>
      </c>
      <c r="BR33" s="48" t="str">
        <f>IF(OR(NOT($AQ33),Log_Putaran!$C$31=""),"",$BL33*SUMPRODUCT($AL33:$AP33,Log_Putaran!$L$31:$P$31))</f>
        <v/>
      </c>
      <c r="BS33" s="48" t="str">
        <f>IF(OR(NOT($AQ33),Log_Putaran!$C$32=""),"",$BL33*SUMPRODUCT($AL33:$AP33,Log_Putaran!$L$32:$P$32))</f>
        <v/>
      </c>
      <c r="BT33" s="48" t="str">
        <f>IF(OR(NOT($AQ33),Log_Putaran!$C$33=""),"",$BL33*SUMPRODUCT($AL33:$AP33,Log_Putaran!$L$33:$P$33))</f>
        <v/>
      </c>
      <c r="BU33" s="48" t="str">
        <f>IF(OR(NOT($AQ33),Log_Putaran!$C$34=""),"",$BL33*SUMPRODUCT($AL33:$AP33,Log_Putaran!$L$34:$P$34))</f>
        <v/>
      </c>
      <c r="BV33" s="48" t="str">
        <f>IF(OR(NOT($AQ33),Log_Putaran!$C$35=""),"",$BL33*SUMPRODUCT($AL33:$AP33,Log_Putaran!$L$35:$P$35))</f>
        <v/>
      </c>
      <c r="BW33" s="48" t="str">
        <f t="shared" si="23"/>
        <v/>
      </c>
      <c r="BX33" s="48" t="str">
        <f t="shared" si="24"/>
        <v/>
      </c>
      <c r="BY33" s="38" t="str">
        <f t="shared" si="25"/>
        <v/>
      </c>
      <c r="BZ33" s="49" t="str">
        <f>IF($AQ33,MAX(_DD!$B33:$AE33),"")</f>
        <v/>
      </c>
      <c r="CA33" s="36">
        <f t="shared" si="26"/>
        <v>-9.9999999999999997E+98</v>
      </c>
      <c r="CB33" s="36" t="str">
        <f t="shared" si="27"/>
        <v/>
      </c>
      <c r="CC33" s="36">
        <f t="shared" si="28"/>
        <v>-9.9999999999999997E+98</v>
      </c>
      <c r="CD33" s="36" t="str">
        <f t="shared" si="29"/>
        <v/>
      </c>
      <c r="CE33" s="36" t="str">
        <f t="shared" si="30"/>
        <v/>
      </c>
      <c r="CF33" s="36">
        <f t="shared" si="31"/>
        <v>-9.9999999999999997E+98</v>
      </c>
    </row>
    <row r="34" spans="1:84">
      <c r="A34" s="36" t="str">
        <f>Peserta!A34</f>
        <v>P29</v>
      </c>
      <c r="B34" s="36" t="str">
        <f>IF($C34&gt;0,INDEX(Input!$C:$C,$C34)&amp;"",IF(Peserta!B34="",$A34,Peserta!B34))</f>
        <v>P29</v>
      </c>
      <c r="C34" s="36">
        <f>SUMPRODUCT(MAX((_Bantu!$A$2:$A$2001=$A34)*ROW(_Bantu!$A$2:$A$2001)))</f>
        <v>0</v>
      </c>
      <c r="D34" s="36">
        <f>SUMPRODUCT(MAX((_Bantu!$C$2:$C$2001=$A34&amp;"|1")*ROW(_Bantu!$C$2:$C$2001)))</f>
        <v>0</v>
      </c>
      <c r="E34" s="47" t="str">
        <f>IF($D34=0,"",INDEX(_Bantu!D:D,$D34))</f>
        <v/>
      </c>
      <c r="F34" s="47" t="str">
        <f>IF($D34=0,"",INDEX(_Bantu!E:E,$D34))</f>
        <v/>
      </c>
      <c r="G34" s="47" t="str">
        <f>IF($D34=0,"",INDEX(_Bantu!F:F,$D34))</f>
        <v/>
      </c>
      <c r="H34" s="47" t="str">
        <f>IF($D34=0,"",INDEX(_Bantu!G:G,$D34))</f>
        <v/>
      </c>
      <c r="I34" s="47" t="str">
        <f>IF($D34=0,"",INDEX(_Bantu!H:H,$D34))</f>
        <v/>
      </c>
      <c r="J34" s="47" t="str">
        <f t="shared" si="0"/>
        <v/>
      </c>
      <c r="K34" s="36" t="str">
        <f t="shared" si="1"/>
        <v>Belum isi</v>
      </c>
      <c r="L34" s="36">
        <f>SUMPRODUCT(MAX((_Bantu!$C$2:$C$2001=$A34&amp;"|2")*ROW(_Bantu!$C$2:$C$2001)))</f>
        <v>0</v>
      </c>
      <c r="M34" s="47" t="str">
        <f>IF($L34=0,"",INDEX(_Bantu!D:D,$L34))</f>
        <v/>
      </c>
      <c r="N34" s="47" t="str">
        <f>IF($L34=0,"",INDEX(_Bantu!E:E,$L34))</f>
        <v/>
      </c>
      <c r="O34" s="47" t="str">
        <f>IF($L34=0,"",INDEX(_Bantu!F:F,$L34))</f>
        <v/>
      </c>
      <c r="P34" s="47" t="str">
        <f>IF($L34=0,"",INDEX(_Bantu!G:G,$L34))</f>
        <v/>
      </c>
      <c r="Q34" s="47" t="str">
        <f>IF($L34=0,"",INDEX(_Bantu!H:H,$L34))</f>
        <v/>
      </c>
      <c r="R34" s="47" t="str">
        <f t="shared" si="2"/>
        <v/>
      </c>
      <c r="S34" s="36" t="str">
        <f t="shared" si="3"/>
        <v>Belum isi</v>
      </c>
      <c r="T34" s="36">
        <f>SUMPRODUCT(MAX((_Bantu!$C$2:$C$2001=$A34&amp;"|3")*ROW(_Bantu!$C$2:$C$2001)))</f>
        <v>0</v>
      </c>
      <c r="U34" s="47" t="str">
        <f>IF($T34=0,"",INDEX(_Bantu!D:D,$T34))</f>
        <v/>
      </c>
      <c r="V34" s="47" t="str">
        <f>IF($T34=0,"",INDEX(_Bantu!E:E,$T34))</f>
        <v/>
      </c>
      <c r="W34" s="47" t="str">
        <f>IF($T34=0,"",INDEX(_Bantu!F:F,$T34))</f>
        <v/>
      </c>
      <c r="X34" s="47" t="str">
        <f>IF($T34=0,"",INDEX(_Bantu!G:G,$T34))</f>
        <v/>
      </c>
      <c r="Y34" s="47" t="str">
        <f>IF($T34=0,"",INDEX(_Bantu!H:H,$T34))</f>
        <v/>
      </c>
      <c r="Z34" s="47" t="str">
        <f t="shared" si="4"/>
        <v/>
      </c>
      <c r="AA34" s="36" t="str">
        <f t="shared" si="5"/>
        <v>Belum isi</v>
      </c>
      <c r="AB34" s="47">
        <f t="shared" si="6"/>
        <v>0</v>
      </c>
      <c r="AC34" s="47">
        <f t="shared" si="7"/>
        <v>0</v>
      </c>
      <c r="AD34" s="47">
        <f t="shared" si="8"/>
        <v>0</v>
      </c>
      <c r="AE34" s="47">
        <f t="shared" si="9"/>
        <v>0</v>
      </c>
      <c r="AF34" s="47">
        <f t="shared" si="10"/>
        <v>0</v>
      </c>
      <c r="AG34" s="47">
        <f t="shared" si="11"/>
        <v>0</v>
      </c>
      <c r="AH34" s="47">
        <f t="shared" si="12"/>
        <v>0</v>
      </c>
      <c r="AI34" s="47">
        <f t="shared" si="13"/>
        <v>0</v>
      </c>
      <c r="AJ34" s="47">
        <f t="shared" si="14"/>
        <v>0</v>
      </c>
      <c r="AK34" s="47">
        <f t="shared" si="15"/>
        <v>0</v>
      </c>
      <c r="AL34" s="47">
        <f t="shared" si="16"/>
        <v>0</v>
      </c>
      <c r="AM34" s="47">
        <f t="shared" si="17"/>
        <v>0</v>
      </c>
      <c r="AN34" s="47">
        <f t="shared" si="18"/>
        <v>0</v>
      </c>
      <c r="AO34" s="47">
        <f t="shared" si="19"/>
        <v>0</v>
      </c>
      <c r="AP34" s="47">
        <f t="shared" si="20"/>
        <v>0</v>
      </c>
      <c r="AQ34" s="36" t="b">
        <f t="shared" si="21"/>
        <v>0</v>
      </c>
      <c r="AR34" s="48" t="str">
        <f t="shared" si="22"/>
        <v/>
      </c>
      <c r="AS34" s="48" t="str">
        <f>IF(OR(NOT($AQ34),Log_Putaran!$C$6=""),"",$AR34*SUMPRODUCT($AB34:$AF34,Log_Putaran!$L$6:$P$6))</f>
        <v/>
      </c>
      <c r="AT34" s="48" t="str">
        <f>IF(OR(NOT($AQ34),Log_Putaran!$C$7=""),"",$AR34*SUMPRODUCT($AB34:$AF34,Log_Putaran!$L$7:$P$7))</f>
        <v/>
      </c>
      <c r="AU34" s="48" t="str">
        <f>IF(OR(NOT($AQ34),Log_Putaran!$C$8=""),"",$AR34*SUMPRODUCT($AB34:$AF34,Log_Putaran!$L$8:$P$8))</f>
        <v/>
      </c>
      <c r="AV34" s="48" t="str">
        <f>IF(OR(NOT($AQ34),Log_Putaran!$C$9=""),"",$AR34*SUMPRODUCT($AB34:$AF34,Log_Putaran!$L$9:$P$9))</f>
        <v/>
      </c>
      <c r="AW34" s="48" t="str">
        <f>IF(OR(NOT($AQ34),Log_Putaran!$C$10=""),"",$AR34*SUMPRODUCT($AB34:$AF34,Log_Putaran!$L$10:$P$10))</f>
        <v/>
      </c>
      <c r="AX34" s="48" t="str">
        <f>IF(OR(NOT($AQ34),Log_Putaran!$C$11=""),"",$AR34*SUMPRODUCT($AB34:$AF34,Log_Putaran!$L$11:$P$11))</f>
        <v/>
      </c>
      <c r="AY34" s="48" t="str">
        <f>IF(OR(NOT($AQ34),Log_Putaran!$C$12=""),"",$AR34*SUMPRODUCT($AB34:$AF34,Log_Putaran!$L$12:$P$12))</f>
        <v/>
      </c>
      <c r="AZ34" s="48" t="str">
        <f>IF(OR(NOT($AQ34),Log_Putaran!$C$13=""),"",$AR34*SUMPRODUCT($AB34:$AF34,Log_Putaran!$L$13:$P$13))</f>
        <v/>
      </c>
      <c r="BA34" s="48" t="str">
        <f>IF(OR(NOT($AQ34),Log_Putaran!$C$14=""),"",$AR34*SUMPRODUCT($AB34:$AF34,Log_Putaran!$L$14:$P$14))</f>
        <v/>
      </c>
      <c r="BB34" s="48" t="str">
        <f>IF(OR(NOT($AQ34),Log_Putaran!$C$15=""),"",$AR34*SUMPRODUCT($AB34:$AF34,Log_Putaran!$L$15:$P$15))</f>
        <v/>
      </c>
      <c r="BC34" s="48" t="str">
        <f>IF(OR(NOT($AQ34),Log_Putaran!$C$16=""),"",$BB34*SUMPRODUCT($AG34:$AK34,Log_Putaran!$L$16:$P$16))</f>
        <v/>
      </c>
      <c r="BD34" s="48" t="str">
        <f>IF(OR(NOT($AQ34),Log_Putaran!$C$17=""),"",$BB34*SUMPRODUCT($AG34:$AK34,Log_Putaran!$L$17:$P$17))</f>
        <v/>
      </c>
      <c r="BE34" s="48" t="str">
        <f>IF(OR(NOT($AQ34),Log_Putaran!$C$18=""),"",$BB34*SUMPRODUCT($AG34:$AK34,Log_Putaran!$L$18:$P$18))</f>
        <v/>
      </c>
      <c r="BF34" s="48" t="str">
        <f>IF(OR(NOT($AQ34),Log_Putaran!$C$19=""),"",$BB34*SUMPRODUCT($AG34:$AK34,Log_Putaran!$L$19:$P$19))</f>
        <v/>
      </c>
      <c r="BG34" s="48" t="str">
        <f>IF(OR(NOT($AQ34),Log_Putaran!$C$20=""),"",$BB34*SUMPRODUCT($AG34:$AK34,Log_Putaran!$L$20:$P$20))</f>
        <v/>
      </c>
      <c r="BH34" s="48" t="str">
        <f>IF(OR(NOT($AQ34),Log_Putaran!$C$21=""),"",$BB34*SUMPRODUCT($AG34:$AK34,Log_Putaran!$L$21:$P$21))</f>
        <v/>
      </c>
      <c r="BI34" s="48" t="str">
        <f>IF(OR(NOT($AQ34),Log_Putaran!$C$22=""),"",$BB34*SUMPRODUCT($AG34:$AK34,Log_Putaran!$L$22:$P$22))</f>
        <v/>
      </c>
      <c r="BJ34" s="48" t="str">
        <f>IF(OR(NOT($AQ34),Log_Putaran!$C$23=""),"",$BB34*SUMPRODUCT($AG34:$AK34,Log_Putaran!$L$23:$P$23))</f>
        <v/>
      </c>
      <c r="BK34" s="48" t="str">
        <f>IF(OR(NOT($AQ34),Log_Putaran!$C$24=""),"",$BB34*SUMPRODUCT($AG34:$AK34,Log_Putaran!$L$24:$P$24))</f>
        <v/>
      </c>
      <c r="BL34" s="48" t="str">
        <f>IF(OR(NOT($AQ34),Log_Putaran!$C$25=""),"",$BB34*SUMPRODUCT($AG34:$AK34,Log_Putaran!$L$25:$P$25))</f>
        <v/>
      </c>
      <c r="BM34" s="48" t="str">
        <f>IF(OR(NOT($AQ34),Log_Putaran!$C$26=""),"",$BL34*SUMPRODUCT($AL34:$AP34,Log_Putaran!$L$26:$P$26))</f>
        <v/>
      </c>
      <c r="BN34" s="48" t="str">
        <f>IF(OR(NOT($AQ34),Log_Putaran!$C$27=""),"",$BL34*SUMPRODUCT($AL34:$AP34,Log_Putaran!$L$27:$P$27))</f>
        <v/>
      </c>
      <c r="BO34" s="48" t="str">
        <f>IF(OR(NOT($AQ34),Log_Putaran!$C$28=""),"",$BL34*SUMPRODUCT($AL34:$AP34,Log_Putaran!$L$28:$P$28))</f>
        <v/>
      </c>
      <c r="BP34" s="48" t="str">
        <f>IF(OR(NOT($AQ34),Log_Putaran!$C$29=""),"",$BL34*SUMPRODUCT($AL34:$AP34,Log_Putaran!$L$29:$P$29))</f>
        <v/>
      </c>
      <c r="BQ34" s="48" t="str">
        <f>IF(OR(NOT($AQ34),Log_Putaran!$C$30=""),"",$BL34*SUMPRODUCT($AL34:$AP34,Log_Putaran!$L$30:$P$30))</f>
        <v/>
      </c>
      <c r="BR34" s="48" t="str">
        <f>IF(OR(NOT($AQ34),Log_Putaran!$C$31=""),"",$BL34*SUMPRODUCT($AL34:$AP34,Log_Putaran!$L$31:$P$31))</f>
        <v/>
      </c>
      <c r="BS34" s="48" t="str">
        <f>IF(OR(NOT($AQ34),Log_Putaran!$C$32=""),"",$BL34*SUMPRODUCT($AL34:$AP34,Log_Putaran!$L$32:$P$32))</f>
        <v/>
      </c>
      <c r="BT34" s="48" t="str">
        <f>IF(OR(NOT($AQ34),Log_Putaran!$C$33=""),"",$BL34*SUMPRODUCT($AL34:$AP34,Log_Putaran!$L$33:$P$33))</f>
        <v/>
      </c>
      <c r="BU34" s="48" t="str">
        <f>IF(OR(NOT($AQ34),Log_Putaran!$C$34=""),"",$BL34*SUMPRODUCT($AL34:$AP34,Log_Putaran!$L$34:$P$34))</f>
        <v/>
      </c>
      <c r="BV34" s="48" t="str">
        <f>IF(OR(NOT($AQ34),Log_Putaran!$C$35=""),"",$BL34*SUMPRODUCT($AL34:$AP34,Log_Putaran!$L$35:$P$35))</f>
        <v/>
      </c>
      <c r="BW34" s="48" t="str">
        <f t="shared" si="23"/>
        <v/>
      </c>
      <c r="BX34" s="48" t="str">
        <f t="shared" si="24"/>
        <v/>
      </c>
      <c r="BY34" s="38" t="str">
        <f t="shared" si="25"/>
        <v/>
      </c>
      <c r="BZ34" s="49" t="str">
        <f>IF($AQ34,MAX(_DD!$B34:$AE34),"")</f>
        <v/>
      </c>
      <c r="CA34" s="36">
        <f t="shared" si="26"/>
        <v>-9.9999999999999997E+98</v>
      </c>
      <c r="CB34" s="36" t="str">
        <f t="shared" si="27"/>
        <v/>
      </c>
      <c r="CC34" s="36">
        <f t="shared" si="28"/>
        <v>-9.9999999999999997E+98</v>
      </c>
      <c r="CD34" s="36" t="str">
        <f t="shared" si="29"/>
        <v/>
      </c>
      <c r="CE34" s="36" t="str">
        <f t="shared" si="30"/>
        <v/>
      </c>
      <c r="CF34" s="36">
        <f t="shared" si="31"/>
        <v>-9.9999999999999997E+98</v>
      </c>
    </row>
    <row r="35" spans="1:84">
      <c r="A35" s="36" t="str">
        <f>Peserta!A35</f>
        <v>P30</v>
      </c>
      <c r="B35" s="36" t="str">
        <f>IF($C35&gt;0,INDEX(Input!$C:$C,$C35)&amp;"",IF(Peserta!B35="",$A35,Peserta!B35))</f>
        <v>P30</v>
      </c>
      <c r="C35" s="36">
        <f>SUMPRODUCT(MAX((_Bantu!$A$2:$A$2001=$A35)*ROW(_Bantu!$A$2:$A$2001)))</f>
        <v>0</v>
      </c>
      <c r="D35" s="36">
        <f>SUMPRODUCT(MAX((_Bantu!$C$2:$C$2001=$A35&amp;"|1")*ROW(_Bantu!$C$2:$C$2001)))</f>
        <v>0</v>
      </c>
      <c r="E35" s="47" t="str">
        <f>IF($D35=0,"",INDEX(_Bantu!D:D,$D35))</f>
        <v/>
      </c>
      <c r="F35" s="47" t="str">
        <f>IF($D35=0,"",INDEX(_Bantu!E:E,$D35))</f>
        <v/>
      </c>
      <c r="G35" s="47" t="str">
        <f>IF($D35=0,"",INDEX(_Bantu!F:F,$D35))</f>
        <v/>
      </c>
      <c r="H35" s="47" t="str">
        <f>IF($D35=0,"",INDEX(_Bantu!G:G,$D35))</f>
        <v/>
      </c>
      <c r="I35" s="47" t="str">
        <f>IF($D35=0,"",INDEX(_Bantu!H:H,$D35))</f>
        <v/>
      </c>
      <c r="J35" s="47" t="str">
        <f t="shared" si="0"/>
        <v/>
      </c>
      <c r="K35" s="36" t="str">
        <f t="shared" si="1"/>
        <v>Belum isi</v>
      </c>
      <c r="L35" s="36">
        <f>SUMPRODUCT(MAX((_Bantu!$C$2:$C$2001=$A35&amp;"|2")*ROW(_Bantu!$C$2:$C$2001)))</f>
        <v>0</v>
      </c>
      <c r="M35" s="47" t="str">
        <f>IF($L35=0,"",INDEX(_Bantu!D:D,$L35))</f>
        <v/>
      </c>
      <c r="N35" s="47" t="str">
        <f>IF($L35=0,"",INDEX(_Bantu!E:E,$L35))</f>
        <v/>
      </c>
      <c r="O35" s="47" t="str">
        <f>IF($L35=0,"",INDEX(_Bantu!F:F,$L35))</f>
        <v/>
      </c>
      <c r="P35" s="47" t="str">
        <f>IF($L35=0,"",INDEX(_Bantu!G:G,$L35))</f>
        <v/>
      </c>
      <c r="Q35" s="47" t="str">
        <f>IF($L35=0,"",INDEX(_Bantu!H:H,$L35))</f>
        <v/>
      </c>
      <c r="R35" s="47" t="str">
        <f t="shared" si="2"/>
        <v/>
      </c>
      <c r="S35" s="36" t="str">
        <f t="shared" si="3"/>
        <v>Belum isi</v>
      </c>
      <c r="T35" s="36">
        <f>SUMPRODUCT(MAX((_Bantu!$C$2:$C$2001=$A35&amp;"|3")*ROW(_Bantu!$C$2:$C$2001)))</f>
        <v>0</v>
      </c>
      <c r="U35" s="47" t="str">
        <f>IF($T35=0,"",INDEX(_Bantu!D:D,$T35))</f>
        <v/>
      </c>
      <c r="V35" s="47" t="str">
        <f>IF($T35=0,"",INDEX(_Bantu!E:E,$T35))</f>
        <v/>
      </c>
      <c r="W35" s="47" t="str">
        <f>IF($T35=0,"",INDEX(_Bantu!F:F,$T35))</f>
        <v/>
      </c>
      <c r="X35" s="47" t="str">
        <f>IF($T35=0,"",INDEX(_Bantu!G:G,$T35))</f>
        <v/>
      </c>
      <c r="Y35" s="47" t="str">
        <f>IF($T35=0,"",INDEX(_Bantu!H:H,$T35))</f>
        <v/>
      </c>
      <c r="Z35" s="47" t="str">
        <f t="shared" si="4"/>
        <v/>
      </c>
      <c r="AA35" s="36" t="str">
        <f t="shared" si="5"/>
        <v>Belum isi</v>
      </c>
      <c r="AB35" s="47">
        <f t="shared" si="6"/>
        <v>0</v>
      </c>
      <c r="AC35" s="47">
        <f t="shared" si="7"/>
        <v>0</v>
      </c>
      <c r="AD35" s="47">
        <f t="shared" si="8"/>
        <v>0</v>
      </c>
      <c r="AE35" s="47">
        <f t="shared" si="9"/>
        <v>0</v>
      </c>
      <c r="AF35" s="47">
        <f t="shared" si="10"/>
        <v>0</v>
      </c>
      <c r="AG35" s="47">
        <f t="shared" si="11"/>
        <v>0</v>
      </c>
      <c r="AH35" s="47">
        <f t="shared" si="12"/>
        <v>0</v>
      </c>
      <c r="AI35" s="47">
        <f t="shared" si="13"/>
        <v>0</v>
      </c>
      <c r="AJ35" s="47">
        <f t="shared" si="14"/>
        <v>0</v>
      </c>
      <c r="AK35" s="47">
        <f t="shared" si="15"/>
        <v>0</v>
      </c>
      <c r="AL35" s="47">
        <f t="shared" si="16"/>
        <v>0</v>
      </c>
      <c r="AM35" s="47">
        <f t="shared" si="17"/>
        <v>0</v>
      </c>
      <c r="AN35" s="47">
        <f t="shared" si="18"/>
        <v>0</v>
      </c>
      <c r="AO35" s="47">
        <f t="shared" si="19"/>
        <v>0</v>
      </c>
      <c r="AP35" s="47">
        <f t="shared" si="20"/>
        <v>0</v>
      </c>
      <c r="AQ35" s="36" t="b">
        <f t="shared" si="21"/>
        <v>0</v>
      </c>
      <c r="AR35" s="48" t="str">
        <f t="shared" si="22"/>
        <v/>
      </c>
      <c r="AS35" s="48" t="str">
        <f>IF(OR(NOT($AQ35),Log_Putaran!$C$6=""),"",$AR35*SUMPRODUCT($AB35:$AF35,Log_Putaran!$L$6:$P$6))</f>
        <v/>
      </c>
      <c r="AT35" s="48" t="str">
        <f>IF(OR(NOT($AQ35),Log_Putaran!$C$7=""),"",$AR35*SUMPRODUCT($AB35:$AF35,Log_Putaran!$L$7:$P$7))</f>
        <v/>
      </c>
      <c r="AU35" s="48" t="str">
        <f>IF(OR(NOT($AQ35),Log_Putaran!$C$8=""),"",$AR35*SUMPRODUCT($AB35:$AF35,Log_Putaran!$L$8:$P$8))</f>
        <v/>
      </c>
      <c r="AV35" s="48" t="str">
        <f>IF(OR(NOT($AQ35),Log_Putaran!$C$9=""),"",$AR35*SUMPRODUCT($AB35:$AF35,Log_Putaran!$L$9:$P$9))</f>
        <v/>
      </c>
      <c r="AW35" s="48" t="str">
        <f>IF(OR(NOT($AQ35),Log_Putaran!$C$10=""),"",$AR35*SUMPRODUCT($AB35:$AF35,Log_Putaran!$L$10:$P$10))</f>
        <v/>
      </c>
      <c r="AX35" s="48" t="str">
        <f>IF(OR(NOT($AQ35),Log_Putaran!$C$11=""),"",$AR35*SUMPRODUCT($AB35:$AF35,Log_Putaran!$L$11:$P$11))</f>
        <v/>
      </c>
      <c r="AY35" s="48" t="str">
        <f>IF(OR(NOT($AQ35),Log_Putaran!$C$12=""),"",$AR35*SUMPRODUCT($AB35:$AF35,Log_Putaran!$L$12:$P$12))</f>
        <v/>
      </c>
      <c r="AZ35" s="48" t="str">
        <f>IF(OR(NOT($AQ35),Log_Putaran!$C$13=""),"",$AR35*SUMPRODUCT($AB35:$AF35,Log_Putaran!$L$13:$P$13))</f>
        <v/>
      </c>
      <c r="BA35" s="48" t="str">
        <f>IF(OR(NOT($AQ35),Log_Putaran!$C$14=""),"",$AR35*SUMPRODUCT($AB35:$AF35,Log_Putaran!$L$14:$P$14))</f>
        <v/>
      </c>
      <c r="BB35" s="48" t="str">
        <f>IF(OR(NOT($AQ35),Log_Putaran!$C$15=""),"",$AR35*SUMPRODUCT($AB35:$AF35,Log_Putaran!$L$15:$P$15))</f>
        <v/>
      </c>
      <c r="BC35" s="48" t="str">
        <f>IF(OR(NOT($AQ35),Log_Putaran!$C$16=""),"",$BB35*SUMPRODUCT($AG35:$AK35,Log_Putaran!$L$16:$P$16))</f>
        <v/>
      </c>
      <c r="BD35" s="48" t="str">
        <f>IF(OR(NOT($AQ35),Log_Putaran!$C$17=""),"",$BB35*SUMPRODUCT($AG35:$AK35,Log_Putaran!$L$17:$P$17))</f>
        <v/>
      </c>
      <c r="BE35" s="48" t="str">
        <f>IF(OR(NOT($AQ35),Log_Putaran!$C$18=""),"",$BB35*SUMPRODUCT($AG35:$AK35,Log_Putaran!$L$18:$P$18))</f>
        <v/>
      </c>
      <c r="BF35" s="48" t="str">
        <f>IF(OR(NOT($AQ35),Log_Putaran!$C$19=""),"",$BB35*SUMPRODUCT($AG35:$AK35,Log_Putaran!$L$19:$P$19))</f>
        <v/>
      </c>
      <c r="BG35" s="48" t="str">
        <f>IF(OR(NOT($AQ35),Log_Putaran!$C$20=""),"",$BB35*SUMPRODUCT($AG35:$AK35,Log_Putaran!$L$20:$P$20))</f>
        <v/>
      </c>
      <c r="BH35" s="48" t="str">
        <f>IF(OR(NOT($AQ35),Log_Putaran!$C$21=""),"",$BB35*SUMPRODUCT($AG35:$AK35,Log_Putaran!$L$21:$P$21))</f>
        <v/>
      </c>
      <c r="BI35" s="48" t="str">
        <f>IF(OR(NOT($AQ35),Log_Putaran!$C$22=""),"",$BB35*SUMPRODUCT($AG35:$AK35,Log_Putaran!$L$22:$P$22))</f>
        <v/>
      </c>
      <c r="BJ35" s="48" t="str">
        <f>IF(OR(NOT($AQ35),Log_Putaran!$C$23=""),"",$BB35*SUMPRODUCT($AG35:$AK35,Log_Putaran!$L$23:$P$23))</f>
        <v/>
      </c>
      <c r="BK35" s="48" t="str">
        <f>IF(OR(NOT($AQ35),Log_Putaran!$C$24=""),"",$BB35*SUMPRODUCT($AG35:$AK35,Log_Putaran!$L$24:$P$24))</f>
        <v/>
      </c>
      <c r="BL35" s="48" t="str">
        <f>IF(OR(NOT($AQ35),Log_Putaran!$C$25=""),"",$BB35*SUMPRODUCT($AG35:$AK35,Log_Putaran!$L$25:$P$25))</f>
        <v/>
      </c>
      <c r="BM35" s="48" t="str">
        <f>IF(OR(NOT($AQ35),Log_Putaran!$C$26=""),"",$BL35*SUMPRODUCT($AL35:$AP35,Log_Putaran!$L$26:$P$26))</f>
        <v/>
      </c>
      <c r="BN35" s="48" t="str">
        <f>IF(OR(NOT($AQ35),Log_Putaran!$C$27=""),"",$BL35*SUMPRODUCT($AL35:$AP35,Log_Putaran!$L$27:$P$27))</f>
        <v/>
      </c>
      <c r="BO35" s="48" t="str">
        <f>IF(OR(NOT($AQ35),Log_Putaran!$C$28=""),"",$BL35*SUMPRODUCT($AL35:$AP35,Log_Putaran!$L$28:$P$28))</f>
        <v/>
      </c>
      <c r="BP35" s="48" t="str">
        <f>IF(OR(NOT($AQ35),Log_Putaran!$C$29=""),"",$BL35*SUMPRODUCT($AL35:$AP35,Log_Putaran!$L$29:$P$29))</f>
        <v/>
      </c>
      <c r="BQ35" s="48" t="str">
        <f>IF(OR(NOT($AQ35),Log_Putaran!$C$30=""),"",$BL35*SUMPRODUCT($AL35:$AP35,Log_Putaran!$L$30:$P$30))</f>
        <v/>
      </c>
      <c r="BR35" s="48" t="str">
        <f>IF(OR(NOT($AQ35),Log_Putaran!$C$31=""),"",$BL35*SUMPRODUCT($AL35:$AP35,Log_Putaran!$L$31:$P$31))</f>
        <v/>
      </c>
      <c r="BS35" s="48" t="str">
        <f>IF(OR(NOT($AQ35),Log_Putaran!$C$32=""),"",$BL35*SUMPRODUCT($AL35:$AP35,Log_Putaran!$L$32:$P$32))</f>
        <v/>
      </c>
      <c r="BT35" s="48" t="str">
        <f>IF(OR(NOT($AQ35),Log_Putaran!$C$33=""),"",$BL35*SUMPRODUCT($AL35:$AP35,Log_Putaran!$L$33:$P$33))</f>
        <v/>
      </c>
      <c r="BU35" s="48" t="str">
        <f>IF(OR(NOT($AQ35),Log_Putaran!$C$34=""),"",$BL35*SUMPRODUCT($AL35:$AP35,Log_Putaran!$L$34:$P$34))</f>
        <v/>
      </c>
      <c r="BV35" s="48" t="str">
        <f>IF(OR(NOT($AQ35),Log_Putaran!$C$35=""),"",$BL35*SUMPRODUCT($AL35:$AP35,Log_Putaran!$L$35:$P$35))</f>
        <v/>
      </c>
      <c r="BW35" s="48" t="str">
        <f t="shared" si="23"/>
        <v/>
      </c>
      <c r="BX35" s="48" t="str">
        <f t="shared" si="24"/>
        <v/>
      </c>
      <c r="BY35" s="38" t="str">
        <f t="shared" si="25"/>
        <v/>
      </c>
      <c r="BZ35" s="49" t="str">
        <f>IF($AQ35,MAX(_DD!$B35:$AE35),"")</f>
        <v/>
      </c>
      <c r="CA35" s="36">
        <f t="shared" si="26"/>
        <v>-9.9999999999999997E+98</v>
      </c>
      <c r="CB35" s="36" t="str">
        <f t="shared" si="27"/>
        <v/>
      </c>
      <c r="CC35" s="36">
        <f t="shared" si="28"/>
        <v>-9.9999999999999997E+98</v>
      </c>
      <c r="CD35" s="36" t="str">
        <f t="shared" si="29"/>
        <v/>
      </c>
      <c r="CE35" s="36" t="str">
        <f t="shared" si="30"/>
        <v/>
      </c>
      <c r="CF35" s="36">
        <f t="shared" si="31"/>
        <v>-9.9999999999999997E+98</v>
      </c>
    </row>
    <row r="36" spans="1:84">
      <c r="A36" s="36" t="str">
        <f>Peserta!A36</f>
        <v>P31</v>
      </c>
      <c r="B36" s="36" t="str">
        <f>IF($C36&gt;0,INDEX(Input!$C:$C,$C36)&amp;"",IF(Peserta!B36="",$A36,Peserta!B36))</f>
        <v>P31</v>
      </c>
      <c r="C36" s="36">
        <f>SUMPRODUCT(MAX((_Bantu!$A$2:$A$2001=$A36)*ROW(_Bantu!$A$2:$A$2001)))</f>
        <v>0</v>
      </c>
      <c r="D36" s="36">
        <f>SUMPRODUCT(MAX((_Bantu!$C$2:$C$2001=$A36&amp;"|1")*ROW(_Bantu!$C$2:$C$2001)))</f>
        <v>0</v>
      </c>
      <c r="E36" s="47" t="str">
        <f>IF($D36=0,"",INDEX(_Bantu!D:D,$D36))</f>
        <v/>
      </c>
      <c r="F36" s="47" t="str">
        <f>IF($D36=0,"",INDEX(_Bantu!E:E,$D36))</f>
        <v/>
      </c>
      <c r="G36" s="47" t="str">
        <f>IF($D36=0,"",INDEX(_Bantu!F:F,$D36))</f>
        <v/>
      </c>
      <c r="H36" s="47" t="str">
        <f>IF($D36=0,"",INDEX(_Bantu!G:G,$D36))</f>
        <v/>
      </c>
      <c r="I36" s="47" t="str">
        <f>IF($D36=0,"",INDEX(_Bantu!H:H,$D36))</f>
        <v/>
      </c>
      <c r="J36" s="47" t="str">
        <f t="shared" si="0"/>
        <v/>
      </c>
      <c r="K36" s="36" t="str">
        <f t="shared" si="1"/>
        <v>Belum isi</v>
      </c>
      <c r="L36" s="36">
        <f>SUMPRODUCT(MAX((_Bantu!$C$2:$C$2001=$A36&amp;"|2")*ROW(_Bantu!$C$2:$C$2001)))</f>
        <v>0</v>
      </c>
      <c r="M36" s="47" t="str">
        <f>IF($L36=0,"",INDEX(_Bantu!D:D,$L36))</f>
        <v/>
      </c>
      <c r="N36" s="47" t="str">
        <f>IF($L36=0,"",INDEX(_Bantu!E:E,$L36))</f>
        <v/>
      </c>
      <c r="O36" s="47" t="str">
        <f>IF($L36=0,"",INDEX(_Bantu!F:F,$L36))</f>
        <v/>
      </c>
      <c r="P36" s="47" t="str">
        <f>IF($L36=0,"",INDEX(_Bantu!G:G,$L36))</f>
        <v/>
      </c>
      <c r="Q36" s="47" t="str">
        <f>IF($L36=0,"",INDEX(_Bantu!H:H,$L36))</f>
        <v/>
      </c>
      <c r="R36" s="47" t="str">
        <f t="shared" si="2"/>
        <v/>
      </c>
      <c r="S36" s="36" t="str">
        <f t="shared" si="3"/>
        <v>Belum isi</v>
      </c>
      <c r="T36" s="36">
        <f>SUMPRODUCT(MAX((_Bantu!$C$2:$C$2001=$A36&amp;"|3")*ROW(_Bantu!$C$2:$C$2001)))</f>
        <v>0</v>
      </c>
      <c r="U36" s="47" t="str">
        <f>IF($T36=0,"",INDEX(_Bantu!D:D,$T36))</f>
        <v/>
      </c>
      <c r="V36" s="47" t="str">
        <f>IF($T36=0,"",INDEX(_Bantu!E:E,$T36))</f>
        <v/>
      </c>
      <c r="W36" s="47" t="str">
        <f>IF($T36=0,"",INDEX(_Bantu!F:F,$T36))</f>
        <v/>
      </c>
      <c r="X36" s="47" t="str">
        <f>IF($T36=0,"",INDEX(_Bantu!G:G,$T36))</f>
        <v/>
      </c>
      <c r="Y36" s="47" t="str">
        <f>IF($T36=0,"",INDEX(_Bantu!H:H,$T36))</f>
        <v/>
      </c>
      <c r="Z36" s="47" t="str">
        <f t="shared" si="4"/>
        <v/>
      </c>
      <c r="AA36" s="36" t="str">
        <f t="shared" si="5"/>
        <v>Belum isi</v>
      </c>
      <c r="AB36" s="47">
        <f t="shared" si="6"/>
        <v>0</v>
      </c>
      <c r="AC36" s="47">
        <f t="shared" si="7"/>
        <v>0</v>
      </c>
      <c r="AD36" s="47">
        <f t="shared" si="8"/>
        <v>0</v>
      </c>
      <c r="AE36" s="47">
        <f t="shared" si="9"/>
        <v>0</v>
      </c>
      <c r="AF36" s="47">
        <f t="shared" si="10"/>
        <v>0</v>
      </c>
      <c r="AG36" s="47">
        <f t="shared" si="11"/>
        <v>0</v>
      </c>
      <c r="AH36" s="47">
        <f t="shared" si="12"/>
        <v>0</v>
      </c>
      <c r="AI36" s="47">
        <f t="shared" si="13"/>
        <v>0</v>
      </c>
      <c r="AJ36" s="47">
        <f t="shared" si="14"/>
        <v>0</v>
      </c>
      <c r="AK36" s="47">
        <f t="shared" si="15"/>
        <v>0</v>
      </c>
      <c r="AL36" s="47">
        <f t="shared" si="16"/>
        <v>0</v>
      </c>
      <c r="AM36" s="47">
        <f t="shared" si="17"/>
        <v>0</v>
      </c>
      <c r="AN36" s="47">
        <f t="shared" si="18"/>
        <v>0</v>
      </c>
      <c r="AO36" s="47">
        <f t="shared" si="19"/>
        <v>0</v>
      </c>
      <c r="AP36" s="47">
        <f t="shared" si="20"/>
        <v>0</v>
      </c>
      <c r="AQ36" s="36" t="b">
        <f t="shared" si="21"/>
        <v>0</v>
      </c>
      <c r="AR36" s="48" t="str">
        <f t="shared" si="22"/>
        <v/>
      </c>
      <c r="AS36" s="48" t="str">
        <f>IF(OR(NOT($AQ36),Log_Putaran!$C$6=""),"",$AR36*SUMPRODUCT($AB36:$AF36,Log_Putaran!$L$6:$P$6))</f>
        <v/>
      </c>
      <c r="AT36" s="48" t="str">
        <f>IF(OR(NOT($AQ36),Log_Putaran!$C$7=""),"",$AR36*SUMPRODUCT($AB36:$AF36,Log_Putaran!$L$7:$P$7))</f>
        <v/>
      </c>
      <c r="AU36" s="48" t="str">
        <f>IF(OR(NOT($AQ36),Log_Putaran!$C$8=""),"",$AR36*SUMPRODUCT($AB36:$AF36,Log_Putaran!$L$8:$P$8))</f>
        <v/>
      </c>
      <c r="AV36" s="48" t="str">
        <f>IF(OR(NOT($AQ36),Log_Putaran!$C$9=""),"",$AR36*SUMPRODUCT($AB36:$AF36,Log_Putaran!$L$9:$P$9))</f>
        <v/>
      </c>
      <c r="AW36" s="48" t="str">
        <f>IF(OR(NOT($AQ36),Log_Putaran!$C$10=""),"",$AR36*SUMPRODUCT($AB36:$AF36,Log_Putaran!$L$10:$P$10))</f>
        <v/>
      </c>
      <c r="AX36" s="48" t="str">
        <f>IF(OR(NOT($AQ36),Log_Putaran!$C$11=""),"",$AR36*SUMPRODUCT($AB36:$AF36,Log_Putaran!$L$11:$P$11))</f>
        <v/>
      </c>
      <c r="AY36" s="48" t="str">
        <f>IF(OR(NOT($AQ36),Log_Putaran!$C$12=""),"",$AR36*SUMPRODUCT($AB36:$AF36,Log_Putaran!$L$12:$P$12))</f>
        <v/>
      </c>
      <c r="AZ36" s="48" t="str">
        <f>IF(OR(NOT($AQ36),Log_Putaran!$C$13=""),"",$AR36*SUMPRODUCT($AB36:$AF36,Log_Putaran!$L$13:$P$13))</f>
        <v/>
      </c>
      <c r="BA36" s="48" t="str">
        <f>IF(OR(NOT($AQ36),Log_Putaran!$C$14=""),"",$AR36*SUMPRODUCT($AB36:$AF36,Log_Putaran!$L$14:$P$14))</f>
        <v/>
      </c>
      <c r="BB36" s="48" t="str">
        <f>IF(OR(NOT($AQ36),Log_Putaran!$C$15=""),"",$AR36*SUMPRODUCT($AB36:$AF36,Log_Putaran!$L$15:$P$15))</f>
        <v/>
      </c>
      <c r="BC36" s="48" t="str">
        <f>IF(OR(NOT($AQ36),Log_Putaran!$C$16=""),"",$BB36*SUMPRODUCT($AG36:$AK36,Log_Putaran!$L$16:$P$16))</f>
        <v/>
      </c>
      <c r="BD36" s="48" t="str">
        <f>IF(OR(NOT($AQ36),Log_Putaran!$C$17=""),"",$BB36*SUMPRODUCT($AG36:$AK36,Log_Putaran!$L$17:$P$17))</f>
        <v/>
      </c>
      <c r="BE36" s="48" t="str">
        <f>IF(OR(NOT($AQ36),Log_Putaran!$C$18=""),"",$BB36*SUMPRODUCT($AG36:$AK36,Log_Putaran!$L$18:$P$18))</f>
        <v/>
      </c>
      <c r="BF36" s="48" t="str">
        <f>IF(OR(NOT($AQ36),Log_Putaran!$C$19=""),"",$BB36*SUMPRODUCT($AG36:$AK36,Log_Putaran!$L$19:$P$19))</f>
        <v/>
      </c>
      <c r="BG36" s="48" t="str">
        <f>IF(OR(NOT($AQ36),Log_Putaran!$C$20=""),"",$BB36*SUMPRODUCT($AG36:$AK36,Log_Putaran!$L$20:$P$20))</f>
        <v/>
      </c>
      <c r="BH36" s="48" t="str">
        <f>IF(OR(NOT($AQ36),Log_Putaran!$C$21=""),"",$BB36*SUMPRODUCT($AG36:$AK36,Log_Putaran!$L$21:$P$21))</f>
        <v/>
      </c>
      <c r="BI36" s="48" t="str">
        <f>IF(OR(NOT($AQ36),Log_Putaran!$C$22=""),"",$BB36*SUMPRODUCT($AG36:$AK36,Log_Putaran!$L$22:$P$22))</f>
        <v/>
      </c>
      <c r="BJ36" s="48" t="str">
        <f>IF(OR(NOT($AQ36),Log_Putaran!$C$23=""),"",$BB36*SUMPRODUCT($AG36:$AK36,Log_Putaran!$L$23:$P$23))</f>
        <v/>
      </c>
      <c r="BK36" s="48" t="str">
        <f>IF(OR(NOT($AQ36),Log_Putaran!$C$24=""),"",$BB36*SUMPRODUCT($AG36:$AK36,Log_Putaran!$L$24:$P$24))</f>
        <v/>
      </c>
      <c r="BL36" s="48" t="str">
        <f>IF(OR(NOT($AQ36),Log_Putaran!$C$25=""),"",$BB36*SUMPRODUCT($AG36:$AK36,Log_Putaran!$L$25:$P$25))</f>
        <v/>
      </c>
      <c r="BM36" s="48" t="str">
        <f>IF(OR(NOT($AQ36),Log_Putaran!$C$26=""),"",$BL36*SUMPRODUCT($AL36:$AP36,Log_Putaran!$L$26:$P$26))</f>
        <v/>
      </c>
      <c r="BN36" s="48" t="str">
        <f>IF(OR(NOT($AQ36),Log_Putaran!$C$27=""),"",$BL36*SUMPRODUCT($AL36:$AP36,Log_Putaran!$L$27:$P$27))</f>
        <v/>
      </c>
      <c r="BO36" s="48" t="str">
        <f>IF(OR(NOT($AQ36),Log_Putaran!$C$28=""),"",$BL36*SUMPRODUCT($AL36:$AP36,Log_Putaran!$L$28:$P$28))</f>
        <v/>
      </c>
      <c r="BP36" s="48" t="str">
        <f>IF(OR(NOT($AQ36),Log_Putaran!$C$29=""),"",$BL36*SUMPRODUCT($AL36:$AP36,Log_Putaran!$L$29:$P$29))</f>
        <v/>
      </c>
      <c r="BQ36" s="48" t="str">
        <f>IF(OR(NOT($AQ36),Log_Putaran!$C$30=""),"",$BL36*SUMPRODUCT($AL36:$AP36,Log_Putaran!$L$30:$P$30))</f>
        <v/>
      </c>
      <c r="BR36" s="48" t="str">
        <f>IF(OR(NOT($AQ36),Log_Putaran!$C$31=""),"",$BL36*SUMPRODUCT($AL36:$AP36,Log_Putaran!$L$31:$P$31))</f>
        <v/>
      </c>
      <c r="BS36" s="48" t="str">
        <f>IF(OR(NOT($AQ36),Log_Putaran!$C$32=""),"",$BL36*SUMPRODUCT($AL36:$AP36,Log_Putaran!$L$32:$P$32))</f>
        <v/>
      </c>
      <c r="BT36" s="48" t="str">
        <f>IF(OR(NOT($AQ36),Log_Putaran!$C$33=""),"",$BL36*SUMPRODUCT($AL36:$AP36,Log_Putaran!$L$33:$P$33))</f>
        <v/>
      </c>
      <c r="BU36" s="48" t="str">
        <f>IF(OR(NOT($AQ36),Log_Putaran!$C$34=""),"",$BL36*SUMPRODUCT($AL36:$AP36,Log_Putaran!$L$34:$P$34))</f>
        <v/>
      </c>
      <c r="BV36" s="48" t="str">
        <f>IF(OR(NOT($AQ36),Log_Putaran!$C$35=""),"",$BL36*SUMPRODUCT($AL36:$AP36,Log_Putaran!$L$35:$P$35))</f>
        <v/>
      </c>
      <c r="BW36" s="48" t="str">
        <f t="shared" si="23"/>
        <v/>
      </c>
      <c r="BX36" s="48" t="str">
        <f t="shared" si="24"/>
        <v/>
      </c>
      <c r="BY36" s="38" t="str">
        <f t="shared" si="25"/>
        <v/>
      </c>
      <c r="BZ36" s="49" t="str">
        <f>IF($AQ36,MAX(_DD!$B36:$AE36),"")</f>
        <v/>
      </c>
      <c r="CA36" s="36">
        <f t="shared" si="26"/>
        <v>-9.9999999999999997E+98</v>
      </c>
      <c r="CB36" s="36" t="str">
        <f t="shared" si="27"/>
        <v/>
      </c>
      <c r="CC36" s="36">
        <f t="shared" si="28"/>
        <v>-9.9999999999999997E+98</v>
      </c>
      <c r="CD36" s="36" t="str">
        <f t="shared" si="29"/>
        <v/>
      </c>
      <c r="CE36" s="36" t="str">
        <f t="shared" si="30"/>
        <v/>
      </c>
      <c r="CF36" s="36">
        <f t="shared" si="31"/>
        <v>-9.9999999999999997E+98</v>
      </c>
    </row>
    <row r="37" spans="1:84">
      <c r="A37" s="36" t="str">
        <f>Peserta!A37</f>
        <v>P32</v>
      </c>
      <c r="B37" s="36" t="str">
        <f>IF($C37&gt;0,INDEX(Input!$C:$C,$C37)&amp;"",IF(Peserta!B37="",$A37,Peserta!B37))</f>
        <v>P32</v>
      </c>
      <c r="C37" s="36">
        <f>SUMPRODUCT(MAX((_Bantu!$A$2:$A$2001=$A37)*ROW(_Bantu!$A$2:$A$2001)))</f>
        <v>0</v>
      </c>
      <c r="D37" s="36">
        <f>SUMPRODUCT(MAX((_Bantu!$C$2:$C$2001=$A37&amp;"|1")*ROW(_Bantu!$C$2:$C$2001)))</f>
        <v>0</v>
      </c>
      <c r="E37" s="47" t="str">
        <f>IF($D37=0,"",INDEX(_Bantu!D:D,$D37))</f>
        <v/>
      </c>
      <c r="F37" s="47" t="str">
        <f>IF($D37=0,"",INDEX(_Bantu!E:E,$D37))</f>
        <v/>
      </c>
      <c r="G37" s="47" t="str">
        <f>IF($D37=0,"",INDEX(_Bantu!F:F,$D37))</f>
        <v/>
      </c>
      <c r="H37" s="47" t="str">
        <f>IF($D37=0,"",INDEX(_Bantu!G:G,$D37))</f>
        <v/>
      </c>
      <c r="I37" s="47" t="str">
        <f>IF($D37=0,"",INDEX(_Bantu!H:H,$D37))</f>
        <v/>
      </c>
      <c r="J37" s="47" t="str">
        <f t="shared" si="0"/>
        <v/>
      </c>
      <c r="K37" s="36" t="str">
        <f t="shared" si="1"/>
        <v>Belum isi</v>
      </c>
      <c r="L37" s="36">
        <f>SUMPRODUCT(MAX((_Bantu!$C$2:$C$2001=$A37&amp;"|2")*ROW(_Bantu!$C$2:$C$2001)))</f>
        <v>0</v>
      </c>
      <c r="M37" s="47" t="str">
        <f>IF($L37=0,"",INDEX(_Bantu!D:D,$L37))</f>
        <v/>
      </c>
      <c r="N37" s="47" t="str">
        <f>IF($L37=0,"",INDEX(_Bantu!E:E,$L37))</f>
        <v/>
      </c>
      <c r="O37" s="47" t="str">
        <f>IF($L37=0,"",INDEX(_Bantu!F:F,$L37))</f>
        <v/>
      </c>
      <c r="P37" s="47" t="str">
        <f>IF($L37=0,"",INDEX(_Bantu!G:G,$L37))</f>
        <v/>
      </c>
      <c r="Q37" s="47" t="str">
        <f>IF($L37=0,"",INDEX(_Bantu!H:H,$L37))</f>
        <v/>
      </c>
      <c r="R37" s="47" t="str">
        <f t="shared" si="2"/>
        <v/>
      </c>
      <c r="S37" s="36" t="str">
        <f t="shared" si="3"/>
        <v>Belum isi</v>
      </c>
      <c r="T37" s="36">
        <f>SUMPRODUCT(MAX((_Bantu!$C$2:$C$2001=$A37&amp;"|3")*ROW(_Bantu!$C$2:$C$2001)))</f>
        <v>0</v>
      </c>
      <c r="U37" s="47" t="str">
        <f>IF($T37=0,"",INDEX(_Bantu!D:D,$T37))</f>
        <v/>
      </c>
      <c r="V37" s="47" t="str">
        <f>IF($T37=0,"",INDEX(_Bantu!E:E,$T37))</f>
        <v/>
      </c>
      <c r="W37" s="47" t="str">
        <f>IF($T37=0,"",INDEX(_Bantu!F:F,$T37))</f>
        <v/>
      </c>
      <c r="X37" s="47" t="str">
        <f>IF($T37=0,"",INDEX(_Bantu!G:G,$T37))</f>
        <v/>
      </c>
      <c r="Y37" s="47" t="str">
        <f>IF($T37=0,"",INDEX(_Bantu!H:H,$T37))</f>
        <v/>
      </c>
      <c r="Z37" s="47" t="str">
        <f t="shared" si="4"/>
        <v/>
      </c>
      <c r="AA37" s="36" t="str">
        <f t="shared" si="5"/>
        <v>Belum isi</v>
      </c>
      <c r="AB37" s="47">
        <f t="shared" si="6"/>
        <v>0</v>
      </c>
      <c r="AC37" s="47">
        <f t="shared" si="7"/>
        <v>0</v>
      </c>
      <c r="AD37" s="47">
        <f t="shared" si="8"/>
        <v>0</v>
      </c>
      <c r="AE37" s="47">
        <f t="shared" si="9"/>
        <v>0</v>
      </c>
      <c r="AF37" s="47">
        <f t="shared" si="10"/>
        <v>0</v>
      </c>
      <c r="AG37" s="47">
        <f t="shared" si="11"/>
        <v>0</v>
      </c>
      <c r="AH37" s="47">
        <f t="shared" si="12"/>
        <v>0</v>
      </c>
      <c r="AI37" s="47">
        <f t="shared" si="13"/>
        <v>0</v>
      </c>
      <c r="AJ37" s="47">
        <f t="shared" si="14"/>
        <v>0</v>
      </c>
      <c r="AK37" s="47">
        <f t="shared" si="15"/>
        <v>0</v>
      </c>
      <c r="AL37" s="47">
        <f t="shared" si="16"/>
        <v>0</v>
      </c>
      <c r="AM37" s="47">
        <f t="shared" si="17"/>
        <v>0</v>
      </c>
      <c r="AN37" s="47">
        <f t="shared" si="18"/>
        <v>0</v>
      </c>
      <c r="AO37" s="47">
        <f t="shared" si="19"/>
        <v>0</v>
      </c>
      <c r="AP37" s="47">
        <f t="shared" si="20"/>
        <v>0</v>
      </c>
      <c r="AQ37" s="36" t="b">
        <f t="shared" si="21"/>
        <v>0</v>
      </c>
      <c r="AR37" s="48" t="str">
        <f t="shared" si="22"/>
        <v/>
      </c>
      <c r="AS37" s="48" t="str">
        <f>IF(OR(NOT($AQ37),Log_Putaran!$C$6=""),"",$AR37*SUMPRODUCT($AB37:$AF37,Log_Putaran!$L$6:$P$6))</f>
        <v/>
      </c>
      <c r="AT37" s="48" t="str">
        <f>IF(OR(NOT($AQ37),Log_Putaran!$C$7=""),"",$AR37*SUMPRODUCT($AB37:$AF37,Log_Putaran!$L$7:$P$7))</f>
        <v/>
      </c>
      <c r="AU37" s="48" t="str">
        <f>IF(OR(NOT($AQ37),Log_Putaran!$C$8=""),"",$AR37*SUMPRODUCT($AB37:$AF37,Log_Putaran!$L$8:$P$8))</f>
        <v/>
      </c>
      <c r="AV37" s="48" t="str">
        <f>IF(OR(NOT($AQ37),Log_Putaran!$C$9=""),"",$AR37*SUMPRODUCT($AB37:$AF37,Log_Putaran!$L$9:$P$9))</f>
        <v/>
      </c>
      <c r="AW37" s="48" t="str">
        <f>IF(OR(NOT($AQ37),Log_Putaran!$C$10=""),"",$AR37*SUMPRODUCT($AB37:$AF37,Log_Putaran!$L$10:$P$10))</f>
        <v/>
      </c>
      <c r="AX37" s="48" t="str">
        <f>IF(OR(NOT($AQ37),Log_Putaran!$C$11=""),"",$AR37*SUMPRODUCT($AB37:$AF37,Log_Putaran!$L$11:$P$11))</f>
        <v/>
      </c>
      <c r="AY37" s="48" t="str">
        <f>IF(OR(NOT($AQ37),Log_Putaran!$C$12=""),"",$AR37*SUMPRODUCT($AB37:$AF37,Log_Putaran!$L$12:$P$12))</f>
        <v/>
      </c>
      <c r="AZ37" s="48" t="str">
        <f>IF(OR(NOT($AQ37),Log_Putaran!$C$13=""),"",$AR37*SUMPRODUCT($AB37:$AF37,Log_Putaran!$L$13:$P$13))</f>
        <v/>
      </c>
      <c r="BA37" s="48" t="str">
        <f>IF(OR(NOT($AQ37),Log_Putaran!$C$14=""),"",$AR37*SUMPRODUCT($AB37:$AF37,Log_Putaran!$L$14:$P$14))</f>
        <v/>
      </c>
      <c r="BB37" s="48" t="str">
        <f>IF(OR(NOT($AQ37),Log_Putaran!$C$15=""),"",$AR37*SUMPRODUCT($AB37:$AF37,Log_Putaran!$L$15:$P$15))</f>
        <v/>
      </c>
      <c r="BC37" s="48" t="str">
        <f>IF(OR(NOT($AQ37),Log_Putaran!$C$16=""),"",$BB37*SUMPRODUCT($AG37:$AK37,Log_Putaran!$L$16:$P$16))</f>
        <v/>
      </c>
      <c r="BD37" s="48" t="str">
        <f>IF(OR(NOT($AQ37),Log_Putaran!$C$17=""),"",$BB37*SUMPRODUCT($AG37:$AK37,Log_Putaran!$L$17:$P$17))</f>
        <v/>
      </c>
      <c r="BE37" s="48" t="str">
        <f>IF(OR(NOT($AQ37),Log_Putaran!$C$18=""),"",$BB37*SUMPRODUCT($AG37:$AK37,Log_Putaran!$L$18:$P$18))</f>
        <v/>
      </c>
      <c r="BF37" s="48" t="str">
        <f>IF(OR(NOT($AQ37),Log_Putaran!$C$19=""),"",$BB37*SUMPRODUCT($AG37:$AK37,Log_Putaran!$L$19:$P$19))</f>
        <v/>
      </c>
      <c r="BG37" s="48" t="str">
        <f>IF(OR(NOT($AQ37),Log_Putaran!$C$20=""),"",$BB37*SUMPRODUCT($AG37:$AK37,Log_Putaran!$L$20:$P$20))</f>
        <v/>
      </c>
      <c r="BH37" s="48" t="str">
        <f>IF(OR(NOT($AQ37),Log_Putaran!$C$21=""),"",$BB37*SUMPRODUCT($AG37:$AK37,Log_Putaran!$L$21:$P$21))</f>
        <v/>
      </c>
      <c r="BI37" s="48" t="str">
        <f>IF(OR(NOT($AQ37),Log_Putaran!$C$22=""),"",$BB37*SUMPRODUCT($AG37:$AK37,Log_Putaran!$L$22:$P$22))</f>
        <v/>
      </c>
      <c r="BJ37" s="48" t="str">
        <f>IF(OR(NOT($AQ37),Log_Putaran!$C$23=""),"",$BB37*SUMPRODUCT($AG37:$AK37,Log_Putaran!$L$23:$P$23))</f>
        <v/>
      </c>
      <c r="BK37" s="48" t="str">
        <f>IF(OR(NOT($AQ37),Log_Putaran!$C$24=""),"",$BB37*SUMPRODUCT($AG37:$AK37,Log_Putaran!$L$24:$P$24))</f>
        <v/>
      </c>
      <c r="BL37" s="48" t="str">
        <f>IF(OR(NOT($AQ37),Log_Putaran!$C$25=""),"",$BB37*SUMPRODUCT($AG37:$AK37,Log_Putaran!$L$25:$P$25))</f>
        <v/>
      </c>
      <c r="BM37" s="48" t="str">
        <f>IF(OR(NOT($AQ37),Log_Putaran!$C$26=""),"",$BL37*SUMPRODUCT($AL37:$AP37,Log_Putaran!$L$26:$P$26))</f>
        <v/>
      </c>
      <c r="BN37" s="48" t="str">
        <f>IF(OR(NOT($AQ37),Log_Putaran!$C$27=""),"",$BL37*SUMPRODUCT($AL37:$AP37,Log_Putaran!$L$27:$P$27))</f>
        <v/>
      </c>
      <c r="BO37" s="48" t="str">
        <f>IF(OR(NOT($AQ37),Log_Putaran!$C$28=""),"",$BL37*SUMPRODUCT($AL37:$AP37,Log_Putaran!$L$28:$P$28))</f>
        <v/>
      </c>
      <c r="BP37" s="48" t="str">
        <f>IF(OR(NOT($AQ37),Log_Putaran!$C$29=""),"",$BL37*SUMPRODUCT($AL37:$AP37,Log_Putaran!$L$29:$P$29))</f>
        <v/>
      </c>
      <c r="BQ37" s="48" t="str">
        <f>IF(OR(NOT($AQ37),Log_Putaran!$C$30=""),"",$BL37*SUMPRODUCT($AL37:$AP37,Log_Putaran!$L$30:$P$30))</f>
        <v/>
      </c>
      <c r="BR37" s="48" t="str">
        <f>IF(OR(NOT($AQ37),Log_Putaran!$C$31=""),"",$BL37*SUMPRODUCT($AL37:$AP37,Log_Putaran!$L$31:$P$31))</f>
        <v/>
      </c>
      <c r="BS37" s="48" t="str">
        <f>IF(OR(NOT($AQ37),Log_Putaran!$C$32=""),"",$BL37*SUMPRODUCT($AL37:$AP37,Log_Putaran!$L$32:$P$32))</f>
        <v/>
      </c>
      <c r="BT37" s="48" t="str">
        <f>IF(OR(NOT($AQ37),Log_Putaran!$C$33=""),"",$BL37*SUMPRODUCT($AL37:$AP37,Log_Putaran!$L$33:$P$33))</f>
        <v/>
      </c>
      <c r="BU37" s="48" t="str">
        <f>IF(OR(NOT($AQ37),Log_Putaran!$C$34=""),"",$BL37*SUMPRODUCT($AL37:$AP37,Log_Putaran!$L$34:$P$34))</f>
        <v/>
      </c>
      <c r="BV37" s="48" t="str">
        <f>IF(OR(NOT($AQ37),Log_Putaran!$C$35=""),"",$BL37*SUMPRODUCT($AL37:$AP37,Log_Putaran!$L$35:$P$35))</f>
        <v/>
      </c>
      <c r="BW37" s="48" t="str">
        <f t="shared" si="23"/>
        <v/>
      </c>
      <c r="BX37" s="48" t="str">
        <f t="shared" si="24"/>
        <v/>
      </c>
      <c r="BY37" s="38" t="str">
        <f t="shared" si="25"/>
        <v/>
      </c>
      <c r="BZ37" s="49" t="str">
        <f>IF($AQ37,MAX(_DD!$B37:$AE37),"")</f>
        <v/>
      </c>
      <c r="CA37" s="36">
        <f t="shared" si="26"/>
        <v>-9.9999999999999997E+98</v>
      </c>
      <c r="CB37" s="36" t="str">
        <f t="shared" si="27"/>
        <v/>
      </c>
      <c r="CC37" s="36">
        <f t="shared" si="28"/>
        <v>-9.9999999999999997E+98</v>
      </c>
      <c r="CD37" s="36" t="str">
        <f t="shared" si="29"/>
        <v/>
      </c>
      <c r="CE37" s="36" t="str">
        <f t="shared" si="30"/>
        <v/>
      </c>
      <c r="CF37" s="36">
        <f t="shared" si="31"/>
        <v>-9.9999999999999997E+98</v>
      </c>
    </row>
    <row r="38" spans="1:84">
      <c r="A38" s="36" t="str">
        <f>Peserta!A38</f>
        <v>P33</v>
      </c>
      <c r="B38" s="36" t="str">
        <f>IF($C38&gt;0,INDEX(Input!$C:$C,$C38)&amp;"",IF(Peserta!B38="",$A38,Peserta!B38))</f>
        <v>P33</v>
      </c>
      <c r="C38" s="36">
        <f>SUMPRODUCT(MAX((_Bantu!$A$2:$A$2001=$A38)*ROW(_Bantu!$A$2:$A$2001)))</f>
        <v>0</v>
      </c>
      <c r="D38" s="36">
        <f>SUMPRODUCT(MAX((_Bantu!$C$2:$C$2001=$A38&amp;"|1")*ROW(_Bantu!$C$2:$C$2001)))</f>
        <v>0</v>
      </c>
      <c r="E38" s="47" t="str">
        <f>IF($D38=0,"",INDEX(_Bantu!D:D,$D38))</f>
        <v/>
      </c>
      <c r="F38" s="47" t="str">
        <f>IF($D38=0,"",INDEX(_Bantu!E:E,$D38))</f>
        <v/>
      </c>
      <c r="G38" s="47" t="str">
        <f>IF($D38=0,"",INDEX(_Bantu!F:F,$D38))</f>
        <v/>
      </c>
      <c r="H38" s="47" t="str">
        <f>IF($D38=0,"",INDEX(_Bantu!G:G,$D38))</f>
        <v/>
      </c>
      <c r="I38" s="47" t="str">
        <f>IF($D38=0,"",INDEX(_Bantu!H:H,$D38))</f>
        <v/>
      </c>
      <c r="J38" s="47" t="str">
        <f t="shared" ref="J38:J69" si="32">IF($D38=0,"",SUM(E38:I38))</f>
        <v/>
      </c>
      <c r="K38" s="36" t="str">
        <f t="shared" ref="K38:K69" si="33">IF($D38=0,"Belum isi",IF(ABS(J38-1)&gt;0.0001,"Total "&amp;ROUND(J38*100,0)&amp;"% (harus 100%)",IF(MAX(E38:I38)&gt;BatasAset+0.0001,"Melebihi batas per aset",IF(MIN(E38:I38)&lt;0,"Ada nilai negatif","OK"))))</f>
        <v>Belum isi</v>
      </c>
      <c r="L38" s="36">
        <f>SUMPRODUCT(MAX((_Bantu!$C$2:$C$2001=$A38&amp;"|2")*ROW(_Bantu!$C$2:$C$2001)))</f>
        <v>0</v>
      </c>
      <c r="M38" s="47" t="str">
        <f>IF($L38=0,"",INDEX(_Bantu!D:D,$L38))</f>
        <v/>
      </c>
      <c r="N38" s="47" t="str">
        <f>IF($L38=0,"",INDEX(_Bantu!E:E,$L38))</f>
        <v/>
      </c>
      <c r="O38" s="47" t="str">
        <f>IF($L38=0,"",INDEX(_Bantu!F:F,$L38))</f>
        <v/>
      </c>
      <c r="P38" s="47" t="str">
        <f>IF($L38=0,"",INDEX(_Bantu!G:G,$L38))</f>
        <v/>
      </c>
      <c r="Q38" s="47" t="str">
        <f>IF($L38=0,"",INDEX(_Bantu!H:H,$L38))</f>
        <v/>
      </c>
      <c r="R38" s="47" t="str">
        <f t="shared" ref="R38:R69" si="34">IF($L38=0,"",SUM(M38:Q38))</f>
        <v/>
      </c>
      <c r="S38" s="36" t="str">
        <f t="shared" ref="S38:S69" si="35">IF($L38=0,"Belum isi",IF(ABS(R38-1)&gt;0.0001,"Total "&amp;ROUND(R38*100,0)&amp;"% (harus 100%)",IF(MAX(M38:Q38)&gt;BatasAset+0.0001,"Melebihi batas per aset",IF(MIN(M38:Q38)&lt;0,"Ada nilai negatif","OK"))))</f>
        <v>Belum isi</v>
      </c>
      <c r="T38" s="36">
        <f>SUMPRODUCT(MAX((_Bantu!$C$2:$C$2001=$A38&amp;"|3")*ROW(_Bantu!$C$2:$C$2001)))</f>
        <v>0</v>
      </c>
      <c r="U38" s="47" t="str">
        <f>IF($T38=0,"",INDEX(_Bantu!D:D,$T38))</f>
        <v/>
      </c>
      <c r="V38" s="47" t="str">
        <f>IF($T38=0,"",INDEX(_Bantu!E:E,$T38))</f>
        <v/>
      </c>
      <c r="W38" s="47" t="str">
        <f>IF($T38=0,"",INDEX(_Bantu!F:F,$T38))</f>
        <v/>
      </c>
      <c r="X38" s="47" t="str">
        <f>IF($T38=0,"",INDEX(_Bantu!G:G,$T38))</f>
        <v/>
      </c>
      <c r="Y38" s="47" t="str">
        <f>IF($T38=0,"",INDEX(_Bantu!H:H,$T38))</f>
        <v/>
      </c>
      <c r="Z38" s="47" t="str">
        <f t="shared" ref="Z38:Z69" si="36">IF($T38=0,"",SUM(U38:Y38))</f>
        <v/>
      </c>
      <c r="AA38" s="36" t="str">
        <f t="shared" ref="AA38:AA69" si="37">IF($T38=0,"Belum isi",IF(ABS(Z38-1)&gt;0.0001,"Total "&amp;ROUND(Z38*100,0)&amp;"% (harus 100%)",IF(MAX(U38:Y38)&gt;BatasAset+0.0001,"Melebihi batas per aset",IF(MIN(U38:Y38)&lt;0,"Ada nilai negatif","OK"))))</f>
        <v>Belum isi</v>
      </c>
      <c r="AB38" s="47">
        <f t="shared" ref="AB38:AB65" si="38">IF($K38="OK",E38,0)</f>
        <v>0</v>
      </c>
      <c r="AC38" s="47">
        <f t="shared" ref="AC38:AC65" si="39">IF($K38="OK",F38,0)</f>
        <v>0</v>
      </c>
      <c r="AD38" s="47">
        <f t="shared" ref="AD38:AD65" si="40">IF($K38="OK",G38,0)</f>
        <v>0</v>
      </c>
      <c r="AE38" s="47">
        <f t="shared" ref="AE38:AE65" si="41">IF($K38="OK",H38,0)</f>
        <v>0</v>
      </c>
      <c r="AF38" s="47">
        <f t="shared" ref="AF38:AF65" si="42">IF($K38="OK",I38,0)</f>
        <v>0</v>
      </c>
      <c r="AG38" s="47">
        <f t="shared" ref="AG38:AG65" si="43">IF($S38="OK",M38,AB38)</f>
        <v>0</v>
      </c>
      <c r="AH38" s="47">
        <f t="shared" ref="AH38:AH65" si="44">IF($S38="OK",N38,AC38)</f>
        <v>0</v>
      </c>
      <c r="AI38" s="47">
        <f t="shared" ref="AI38:AI65" si="45">IF($S38="OK",O38,AD38)</f>
        <v>0</v>
      </c>
      <c r="AJ38" s="47">
        <f t="shared" ref="AJ38:AJ65" si="46">IF($S38="OK",P38,AE38)</f>
        <v>0</v>
      </c>
      <c r="AK38" s="47">
        <f t="shared" ref="AK38:AK65" si="47">IF($S38="OK",Q38,AF38)</f>
        <v>0</v>
      </c>
      <c r="AL38" s="47">
        <f t="shared" ref="AL38:AL65" si="48">IF($AA38="OK",U38,AG38)</f>
        <v>0</v>
      </c>
      <c r="AM38" s="47">
        <f t="shared" ref="AM38:AM65" si="49">IF($AA38="OK",V38,AH38)</f>
        <v>0</v>
      </c>
      <c r="AN38" s="47">
        <f t="shared" ref="AN38:AN65" si="50">IF($AA38="OK",W38,AI38)</f>
        <v>0</v>
      </c>
      <c r="AO38" s="47">
        <f t="shared" ref="AO38:AO65" si="51">IF($AA38="OK",X38,AJ38)</f>
        <v>0</v>
      </c>
      <c r="AP38" s="47">
        <f t="shared" ref="AP38:AP65" si="52">IF($AA38="OK",Y38,AK38)</f>
        <v>0</v>
      </c>
      <c r="AQ38" s="36" t="b">
        <f t="shared" ref="AQ38:AQ65" si="53">$K38="OK"</f>
        <v>0</v>
      </c>
      <c r="AR38" s="48" t="str">
        <f t="shared" ref="AR38:AR65" si="54">IF($AQ38,Modal,"")</f>
        <v/>
      </c>
      <c r="AS38" s="48" t="str">
        <f>IF(OR(NOT($AQ38),Log_Putaran!$C$6=""),"",$AR38*SUMPRODUCT($AB38:$AF38,Log_Putaran!$L$6:$P$6))</f>
        <v/>
      </c>
      <c r="AT38" s="48" t="str">
        <f>IF(OR(NOT($AQ38),Log_Putaran!$C$7=""),"",$AR38*SUMPRODUCT($AB38:$AF38,Log_Putaran!$L$7:$P$7))</f>
        <v/>
      </c>
      <c r="AU38" s="48" t="str">
        <f>IF(OR(NOT($AQ38),Log_Putaran!$C$8=""),"",$AR38*SUMPRODUCT($AB38:$AF38,Log_Putaran!$L$8:$P$8))</f>
        <v/>
      </c>
      <c r="AV38" s="48" t="str">
        <f>IF(OR(NOT($AQ38),Log_Putaran!$C$9=""),"",$AR38*SUMPRODUCT($AB38:$AF38,Log_Putaran!$L$9:$P$9))</f>
        <v/>
      </c>
      <c r="AW38" s="48" t="str">
        <f>IF(OR(NOT($AQ38),Log_Putaran!$C$10=""),"",$AR38*SUMPRODUCT($AB38:$AF38,Log_Putaran!$L$10:$P$10))</f>
        <v/>
      </c>
      <c r="AX38" s="48" t="str">
        <f>IF(OR(NOT($AQ38),Log_Putaran!$C$11=""),"",$AR38*SUMPRODUCT($AB38:$AF38,Log_Putaran!$L$11:$P$11))</f>
        <v/>
      </c>
      <c r="AY38" s="48" t="str">
        <f>IF(OR(NOT($AQ38),Log_Putaran!$C$12=""),"",$AR38*SUMPRODUCT($AB38:$AF38,Log_Putaran!$L$12:$P$12))</f>
        <v/>
      </c>
      <c r="AZ38" s="48" t="str">
        <f>IF(OR(NOT($AQ38),Log_Putaran!$C$13=""),"",$AR38*SUMPRODUCT($AB38:$AF38,Log_Putaran!$L$13:$P$13))</f>
        <v/>
      </c>
      <c r="BA38" s="48" t="str">
        <f>IF(OR(NOT($AQ38),Log_Putaran!$C$14=""),"",$AR38*SUMPRODUCT($AB38:$AF38,Log_Putaran!$L$14:$P$14))</f>
        <v/>
      </c>
      <c r="BB38" s="48" t="str">
        <f>IF(OR(NOT($AQ38),Log_Putaran!$C$15=""),"",$AR38*SUMPRODUCT($AB38:$AF38,Log_Putaran!$L$15:$P$15))</f>
        <v/>
      </c>
      <c r="BC38" s="48" t="str">
        <f>IF(OR(NOT($AQ38),Log_Putaran!$C$16=""),"",$BB38*SUMPRODUCT($AG38:$AK38,Log_Putaran!$L$16:$P$16))</f>
        <v/>
      </c>
      <c r="BD38" s="48" t="str">
        <f>IF(OR(NOT($AQ38),Log_Putaran!$C$17=""),"",$BB38*SUMPRODUCT($AG38:$AK38,Log_Putaran!$L$17:$P$17))</f>
        <v/>
      </c>
      <c r="BE38" s="48" t="str">
        <f>IF(OR(NOT($AQ38),Log_Putaran!$C$18=""),"",$BB38*SUMPRODUCT($AG38:$AK38,Log_Putaran!$L$18:$P$18))</f>
        <v/>
      </c>
      <c r="BF38" s="48" t="str">
        <f>IF(OR(NOT($AQ38),Log_Putaran!$C$19=""),"",$BB38*SUMPRODUCT($AG38:$AK38,Log_Putaran!$L$19:$P$19))</f>
        <v/>
      </c>
      <c r="BG38" s="48" t="str">
        <f>IF(OR(NOT($AQ38),Log_Putaran!$C$20=""),"",$BB38*SUMPRODUCT($AG38:$AK38,Log_Putaran!$L$20:$P$20))</f>
        <v/>
      </c>
      <c r="BH38" s="48" t="str">
        <f>IF(OR(NOT($AQ38),Log_Putaran!$C$21=""),"",$BB38*SUMPRODUCT($AG38:$AK38,Log_Putaran!$L$21:$P$21))</f>
        <v/>
      </c>
      <c r="BI38" s="48" t="str">
        <f>IF(OR(NOT($AQ38),Log_Putaran!$C$22=""),"",$BB38*SUMPRODUCT($AG38:$AK38,Log_Putaran!$L$22:$P$22))</f>
        <v/>
      </c>
      <c r="BJ38" s="48" t="str">
        <f>IF(OR(NOT($AQ38),Log_Putaran!$C$23=""),"",$BB38*SUMPRODUCT($AG38:$AK38,Log_Putaran!$L$23:$P$23))</f>
        <v/>
      </c>
      <c r="BK38" s="48" t="str">
        <f>IF(OR(NOT($AQ38),Log_Putaran!$C$24=""),"",$BB38*SUMPRODUCT($AG38:$AK38,Log_Putaran!$L$24:$P$24))</f>
        <v/>
      </c>
      <c r="BL38" s="48" t="str">
        <f>IF(OR(NOT($AQ38),Log_Putaran!$C$25=""),"",$BB38*SUMPRODUCT($AG38:$AK38,Log_Putaran!$L$25:$P$25))</f>
        <v/>
      </c>
      <c r="BM38" s="48" t="str">
        <f>IF(OR(NOT($AQ38),Log_Putaran!$C$26=""),"",$BL38*SUMPRODUCT($AL38:$AP38,Log_Putaran!$L$26:$P$26))</f>
        <v/>
      </c>
      <c r="BN38" s="48" t="str">
        <f>IF(OR(NOT($AQ38),Log_Putaran!$C$27=""),"",$BL38*SUMPRODUCT($AL38:$AP38,Log_Putaran!$L$27:$P$27))</f>
        <v/>
      </c>
      <c r="BO38" s="48" t="str">
        <f>IF(OR(NOT($AQ38),Log_Putaran!$C$28=""),"",$BL38*SUMPRODUCT($AL38:$AP38,Log_Putaran!$L$28:$P$28))</f>
        <v/>
      </c>
      <c r="BP38" s="48" t="str">
        <f>IF(OR(NOT($AQ38),Log_Putaran!$C$29=""),"",$BL38*SUMPRODUCT($AL38:$AP38,Log_Putaran!$L$29:$P$29))</f>
        <v/>
      </c>
      <c r="BQ38" s="48" t="str">
        <f>IF(OR(NOT($AQ38),Log_Putaran!$C$30=""),"",$BL38*SUMPRODUCT($AL38:$AP38,Log_Putaran!$L$30:$P$30))</f>
        <v/>
      </c>
      <c r="BR38" s="48" t="str">
        <f>IF(OR(NOT($AQ38),Log_Putaran!$C$31=""),"",$BL38*SUMPRODUCT($AL38:$AP38,Log_Putaran!$L$31:$P$31))</f>
        <v/>
      </c>
      <c r="BS38" s="48" t="str">
        <f>IF(OR(NOT($AQ38),Log_Putaran!$C$32=""),"",$BL38*SUMPRODUCT($AL38:$AP38,Log_Putaran!$L$32:$P$32))</f>
        <v/>
      </c>
      <c r="BT38" s="48" t="str">
        <f>IF(OR(NOT($AQ38),Log_Putaran!$C$33=""),"",$BL38*SUMPRODUCT($AL38:$AP38,Log_Putaran!$L$33:$P$33))</f>
        <v/>
      </c>
      <c r="BU38" s="48" t="str">
        <f>IF(OR(NOT($AQ38),Log_Putaran!$C$34=""),"",$BL38*SUMPRODUCT($AL38:$AP38,Log_Putaran!$L$34:$P$34))</f>
        <v/>
      </c>
      <c r="BV38" s="48" t="str">
        <f>IF(OR(NOT($AQ38),Log_Putaran!$C$35=""),"",$BL38*SUMPRODUCT($AL38:$AP38,Log_Putaran!$L$35:$P$35))</f>
        <v/>
      </c>
      <c r="BW38" s="48" t="str">
        <f t="shared" ref="BW38:BW65" si="55">IF($AQ38,INDEX($AR38:$BV38,1,PutaranKini+1),"")</f>
        <v/>
      </c>
      <c r="BX38" s="48" t="str">
        <f t="shared" ref="BX38:BX65" si="56">IF($AQ38,INDEX($AR38:$BV38,1,MAX(PutaranKini,1)),"")</f>
        <v/>
      </c>
      <c r="BY38" s="38" t="str">
        <f t="shared" ref="BY38:BY65" si="57">IF($AQ38,BW38/Modal-1,"")</f>
        <v/>
      </c>
      <c r="BZ38" s="49" t="str">
        <f>IF($AQ38,MAX(_DD!$B38:$AE38),"")</f>
        <v/>
      </c>
      <c r="CA38" s="36">
        <f t="shared" ref="CA38:CA65" si="58">IF($AQ38,BW38-ROW()/10000,-1E+99)</f>
        <v>-9.9999999999999997E+98</v>
      </c>
      <c r="CB38" s="36" t="str">
        <f t="shared" ref="CB38:CB69" si="59">IF($AQ38,SUMPRODUCT(--($CA$6:$CA$65&gt;CA38))+1,"")</f>
        <v/>
      </c>
      <c r="CC38" s="36">
        <f t="shared" ref="CC38:CC65" si="60">IF($AQ38,BX38-ROW()/10000,-1E+99)</f>
        <v>-9.9999999999999997E+98</v>
      </c>
      <c r="CD38" s="36" t="str">
        <f t="shared" ref="CD38:CD69" si="61">IF($AQ38,SUMPRODUCT(--($CC$6:$CC$65&gt;CC38))+1,"")</f>
        <v/>
      </c>
      <c r="CE38" s="36" t="str">
        <f t="shared" ref="CE38:CE69" si="62">IF($AQ38,CD38-CB38,"")</f>
        <v/>
      </c>
      <c r="CF38" s="36">
        <f t="shared" ref="CF38:CF65" si="63">IF(AND($AQ38,N(BZ38)&lt;=BatasDD),BW38-ROW()/10000,-1E+99)</f>
        <v>-9.9999999999999997E+98</v>
      </c>
    </row>
    <row r="39" spans="1:84">
      <c r="A39" s="36" t="str">
        <f>Peserta!A39</f>
        <v>P34</v>
      </c>
      <c r="B39" s="36" t="str">
        <f>IF($C39&gt;0,INDEX(Input!$C:$C,$C39)&amp;"",IF(Peserta!B39="",$A39,Peserta!B39))</f>
        <v>P34</v>
      </c>
      <c r="C39" s="36">
        <f>SUMPRODUCT(MAX((_Bantu!$A$2:$A$2001=$A39)*ROW(_Bantu!$A$2:$A$2001)))</f>
        <v>0</v>
      </c>
      <c r="D39" s="36">
        <f>SUMPRODUCT(MAX((_Bantu!$C$2:$C$2001=$A39&amp;"|1")*ROW(_Bantu!$C$2:$C$2001)))</f>
        <v>0</v>
      </c>
      <c r="E39" s="47" t="str">
        <f>IF($D39=0,"",INDEX(_Bantu!D:D,$D39))</f>
        <v/>
      </c>
      <c r="F39" s="47" t="str">
        <f>IF($D39=0,"",INDEX(_Bantu!E:E,$D39))</f>
        <v/>
      </c>
      <c r="G39" s="47" t="str">
        <f>IF($D39=0,"",INDEX(_Bantu!F:F,$D39))</f>
        <v/>
      </c>
      <c r="H39" s="47" t="str">
        <f>IF($D39=0,"",INDEX(_Bantu!G:G,$D39))</f>
        <v/>
      </c>
      <c r="I39" s="47" t="str">
        <f>IF($D39=0,"",INDEX(_Bantu!H:H,$D39))</f>
        <v/>
      </c>
      <c r="J39" s="47" t="str">
        <f t="shared" si="32"/>
        <v/>
      </c>
      <c r="K39" s="36" t="str">
        <f t="shared" si="33"/>
        <v>Belum isi</v>
      </c>
      <c r="L39" s="36">
        <f>SUMPRODUCT(MAX((_Bantu!$C$2:$C$2001=$A39&amp;"|2")*ROW(_Bantu!$C$2:$C$2001)))</f>
        <v>0</v>
      </c>
      <c r="M39" s="47" t="str">
        <f>IF($L39=0,"",INDEX(_Bantu!D:D,$L39))</f>
        <v/>
      </c>
      <c r="N39" s="47" t="str">
        <f>IF($L39=0,"",INDEX(_Bantu!E:E,$L39))</f>
        <v/>
      </c>
      <c r="O39" s="47" t="str">
        <f>IF($L39=0,"",INDEX(_Bantu!F:F,$L39))</f>
        <v/>
      </c>
      <c r="P39" s="47" t="str">
        <f>IF($L39=0,"",INDEX(_Bantu!G:G,$L39))</f>
        <v/>
      </c>
      <c r="Q39" s="47" t="str">
        <f>IF($L39=0,"",INDEX(_Bantu!H:H,$L39))</f>
        <v/>
      </c>
      <c r="R39" s="47" t="str">
        <f t="shared" si="34"/>
        <v/>
      </c>
      <c r="S39" s="36" t="str">
        <f t="shared" si="35"/>
        <v>Belum isi</v>
      </c>
      <c r="T39" s="36">
        <f>SUMPRODUCT(MAX((_Bantu!$C$2:$C$2001=$A39&amp;"|3")*ROW(_Bantu!$C$2:$C$2001)))</f>
        <v>0</v>
      </c>
      <c r="U39" s="47" t="str">
        <f>IF($T39=0,"",INDEX(_Bantu!D:D,$T39))</f>
        <v/>
      </c>
      <c r="V39" s="47" t="str">
        <f>IF($T39=0,"",INDEX(_Bantu!E:E,$T39))</f>
        <v/>
      </c>
      <c r="W39" s="47" t="str">
        <f>IF($T39=0,"",INDEX(_Bantu!F:F,$T39))</f>
        <v/>
      </c>
      <c r="X39" s="47" t="str">
        <f>IF($T39=0,"",INDEX(_Bantu!G:G,$T39))</f>
        <v/>
      </c>
      <c r="Y39" s="47" t="str">
        <f>IF($T39=0,"",INDEX(_Bantu!H:H,$T39))</f>
        <v/>
      </c>
      <c r="Z39" s="47" t="str">
        <f t="shared" si="36"/>
        <v/>
      </c>
      <c r="AA39" s="36" t="str">
        <f t="shared" si="37"/>
        <v>Belum isi</v>
      </c>
      <c r="AB39" s="47">
        <f t="shared" si="38"/>
        <v>0</v>
      </c>
      <c r="AC39" s="47">
        <f t="shared" si="39"/>
        <v>0</v>
      </c>
      <c r="AD39" s="47">
        <f t="shared" si="40"/>
        <v>0</v>
      </c>
      <c r="AE39" s="47">
        <f t="shared" si="41"/>
        <v>0</v>
      </c>
      <c r="AF39" s="47">
        <f t="shared" si="42"/>
        <v>0</v>
      </c>
      <c r="AG39" s="47">
        <f t="shared" si="43"/>
        <v>0</v>
      </c>
      <c r="AH39" s="47">
        <f t="shared" si="44"/>
        <v>0</v>
      </c>
      <c r="AI39" s="47">
        <f t="shared" si="45"/>
        <v>0</v>
      </c>
      <c r="AJ39" s="47">
        <f t="shared" si="46"/>
        <v>0</v>
      </c>
      <c r="AK39" s="47">
        <f t="shared" si="47"/>
        <v>0</v>
      </c>
      <c r="AL39" s="47">
        <f t="shared" si="48"/>
        <v>0</v>
      </c>
      <c r="AM39" s="47">
        <f t="shared" si="49"/>
        <v>0</v>
      </c>
      <c r="AN39" s="47">
        <f t="shared" si="50"/>
        <v>0</v>
      </c>
      <c r="AO39" s="47">
        <f t="shared" si="51"/>
        <v>0</v>
      </c>
      <c r="AP39" s="47">
        <f t="shared" si="52"/>
        <v>0</v>
      </c>
      <c r="AQ39" s="36" t="b">
        <f t="shared" si="53"/>
        <v>0</v>
      </c>
      <c r="AR39" s="48" t="str">
        <f t="shared" si="54"/>
        <v/>
      </c>
      <c r="AS39" s="48" t="str">
        <f>IF(OR(NOT($AQ39),Log_Putaran!$C$6=""),"",$AR39*SUMPRODUCT($AB39:$AF39,Log_Putaran!$L$6:$P$6))</f>
        <v/>
      </c>
      <c r="AT39" s="48" t="str">
        <f>IF(OR(NOT($AQ39),Log_Putaran!$C$7=""),"",$AR39*SUMPRODUCT($AB39:$AF39,Log_Putaran!$L$7:$P$7))</f>
        <v/>
      </c>
      <c r="AU39" s="48" t="str">
        <f>IF(OR(NOT($AQ39),Log_Putaran!$C$8=""),"",$AR39*SUMPRODUCT($AB39:$AF39,Log_Putaran!$L$8:$P$8))</f>
        <v/>
      </c>
      <c r="AV39" s="48" t="str">
        <f>IF(OR(NOT($AQ39),Log_Putaran!$C$9=""),"",$AR39*SUMPRODUCT($AB39:$AF39,Log_Putaran!$L$9:$P$9))</f>
        <v/>
      </c>
      <c r="AW39" s="48" t="str">
        <f>IF(OR(NOT($AQ39),Log_Putaran!$C$10=""),"",$AR39*SUMPRODUCT($AB39:$AF39,Log_Putaran!$L$10:$P$10))</f>
        <v/>
      </c>
      <c r="AX39" s="48" t="str">
        <f>IF(OR(NOT($AQ39),Log_Putaran!$C$11=""),"",$AR39*SUMPRODUCT($AB39:$AF39,Log_Putaran!$L$11:$P$11))</f>
        <v/>
      </c>
      <c r="AY39" s="48" t="str">
        <f>IF(OR(NOT($AQ39),Log_Putaran!$C$12=""),"",$AR39*SUMPRODUCT($AB39:$AF39,Log_Putaran!$L$12:$P$12))</f>
        <v/>
      </c>
      <c r="AZ39" s="48" t="str">
        <f>IF(OR(NOT($AQ39),Log_Putaran!$C$13=""),"",$AR39*SUMPRODUCT($AB39:$AF39,Log_Putaran!$L$13:$P$13))</f>
        <v/>
      </c>
      <c r="BA39" s="48" t="str">
        <f>IF(OR(NOT($AQ39),Log_Putaran!$C$14=""),"",$AR39*SUMPRODUCT($AB39:$AF39,Log_Putaran!$L$14:$P$14))</f>
        <v/>
      </c>
      <c r="BB39" s="48" t="str">
        <f>IF(OR(NOT($AQ39),Log_Putaran!$C$15=""),"",$AR39*SUMPRODUCT($AB39:$AF39,Log_Putaran!$L$15:$P$15))</f>
        <v/>
      </c>
      <c r="BC39" s="48" t="str">
        <f>IF(OR(NOT($AQ39),Log_Putaran!$C$16=""),"",$BB39*SUMPRODUCT($AG39:$AK39,Log_Putaran!$L$16:$P$16))</f>
        <v/>
      </c>
      <c r="BD39" s="48" t="str">
        <f>IF(OR(NOT($AQ39),Log_Putaran!$C$17=""),"",$BB39*SUMPRODUCT($AG39:$AK39,Log_Putaran!$L$17:$P$17))</f>
        <v/>
      </c>
      <c r="BE39" s="48" t="str">
        <f>IF(OR(NOT($AQ39),Log_Putaran!$C$18=""),"",$BB39*SUMPRODUCT($AG39:$AK39,Log_Putaran!$L$18:$P$18))</f>
        <v/>
      </c>
      <c r="BF39" s="48" t="str">
        <f>IF(OR(NOT($AQ39),Log_Putaran!$C$19=""),"",$BB39*SUMPRODUCT($AG39:$AK39,Log_Putaran!$L$19:$P$19))</f>
        <v/>
      </c>
      <c r="BG39" s="48" t="str">
        <f>IF(OR(NOT($AQ39),Log_Putaran!$C$20=""),"",$BB39*SUMPRODUCT($AG39:$AK39,Log_Putaran!$L$20:$P$20))</f>
        <v/>
      </c>
      <c r="BH39" s="48" t="str">
        <f>IF(OR(NOT($AQ39),Log_Putaran!$C$21=""),"",$BB39*SUMPRODUCT($AG39:$AK39,Log_Putaran!$L$21:$P$21))</f>
        <v/>
      </c>
      <c r="BI39" s="48" t="str">
        <f>IF(OR(NOT($AQ39),Log_Putaran!$C$22=""),"",$BB39*SUMPRODUCT($AG39:$AK39,Log_Putaran!$L$22:$P$22))</f>
        <v/>
      </c>
      <c r="BJ39" s="48" t="str">
        <f>IF(OR(NOT($AQ39),Log_Putaran!$C$23=""),"",$BB39*SUMPRODUCT($AG39:$AK39,Log_Putaran!$L$23:$P$23))</f>
        <v/>
      </c>
      <c r="BK39" s="48" t="str">
        <f>IF(OR(NOT($AQ39),Log_Putaran!$C$24=""),"",$BB39*SUMPRODUCT($AG39:$AK39,Log_Putaran!$L$24:$P$24))</f>
        <v/>
      </c>
      <c r="BL39" s="48" t="str">
        <f>IF(OR(NOT($AQ39),Log_Putaran!$C$25=""),"",$BB39*SUMPRODUCT($AG39:$AK39,Log_Putaran!$L$25:$P$25))</f>
        <v/>
      </c>
      <c r="BM39" s="48" t="str">
        <f>IF(OR(NOT($AQ39),Log_Putaran!$C$26=""),"",$BL39*SUMPRODUCT($AL39:$AP39,Log_Putaran!$L$26:$P$26))</f>
        <v/>
      </c>
      <c r="BN39" s="48" t="str">
        <f>IF(OR(NOT($AQ39),Log_Putaran!$C$27=""),"",$BL39*SUMPRODUCT($AL39:$AP39,Log_Putaran!$L$27:$P$27))</f>
        <v/>
      </c>
      <c r="BO39" s="48" t="str">
        <f>IF(OR(NOT($AQ39),Log_Putaran!$C$28=""),"",$BL39*SUMPRODUCT($AL39:$AP39,Log_Putaran!$L$28:$P$28))</f>
        <v/>
      </c>
      <c r="BP39" s="48" t="str">
        <f>IF(OR(NOT($AQ39),Log_Putaran!$C$29=""),"",$BL39*SUMPRODUCT($AL39:$AP39,Log_Putaran!$L$29:$P$29))</f>
        <v/>
      </c>
      <c r="BQ39" s="48" t="str">
        <f>IF(OR(NOT($AQ39),Log_Putaran!$C$30=""),"",$BL39*SUMPRODUCT($AL39:$AP39,Log_Putaran!$L$30:$P$30))</f>
        <v/>
      </c>
      <c r="BR39" s="48" t="str">
        <f>IF(OR(NOT($AQ39),Log_Putaran!$C$31=""),"",$BL39*SUMPRODUCT($AL39:$AP39,Log_Putaran!$L$31:$P$31))</f>
        <v/>
      </c>
      <c r="BS39" s="48" t="str">
        <f>IF(OR(NOT($AQ39),Log_Putaran!$C$32=""),"",$BL39*SUMPRODUCT($AL39:$AP39,Log_Putaran!$L$32:$P$32))</f>
        <v/>
      </c>
      <c r="BT39" s="48" t="str">
        <f>IF(OR(NOT($AQ39),Log_Putaran!$C$33=""),"",$BL39*SUMPRODUCT($AL39:$AP39,Log_Putaran!$L$33:$P$33))</f>
        <v/>
      </c>
      <c r="BU39" s="48" t="str">
        <f>IF(OR(NOT($AQ39),Log_Putaran!$C$34=""),"",$BL39*SUMPRODUCT($AL39:$AP39,Log_Putaran!$L$34:$P$34))</f>
        <v/>
      </c>
      <c r="BV39" s="48" t="str">
        <f>IF(OR(NOT($AQ39),Log_Putaran!$C$35=""),"",$BL39*SUMPRODUCT($AL39:$AP39,Log_Putaran!$L$35:$P$35))</f>
        <v/>
      </c>
      <c r="BW39" s="48" t="str">
        <f t="shared" si="55"/>
        <v/>
      </c>
      <c r="BX39" s="48" t="str">
        <f t="shared" si="56"/>
        <v/>
      </c>
      <c r="BY39" s="38" t="str">
        <f t="shared" si="57"/>
        <v/>
      </c>
      <c r="BZ39" s="49" t="str">
        <f>IF($AQ39,MAX(_DD!$B39:$AE39),"")</f>
        <v/>
      </c>
      <c r="CA39" s="36">
        <f t="shared" si="58"/>
        <v>-9.9999999999999997E+98</v>
      </c>
      <c r="CB39" s="36" t="str">
        <f t="shared" si="59"/>
        <v/>
      </c>
      <c r="CC39" s="36">
        <f t="shared" si="60"/>
        <v>-9.9999999999999997E+98</v>
      </c>
      <c r="CD39" s="36" t="str">
        <f t="shared" si="61"/>
        <v/>
      </c>
      <c r="CE39" s="36" t="str">
        <f t="shared" si="62"/>
        <v/>
      </c>
      <c r="CF39" s="36">
        <f t="shared" si="63"/>
        <v>-9.9999999999999997E+98</v>
      </c>
    </row>
    <row r="40" spans="1:84">
      <c r="A40" s="36" t="str">
        <f>Peserta!A40</f>
        <v>P35</v>
      </c>
      <c r="B40" s="36" t="str">
        <f>IF($C40&gt;0,INDEX(Input!$C:$C,$C40)&amp;"",IF(Peserta!B40="",$A40,Peserta!B40))</f>
        <v>P35</v>
      </c>
      <c r="C40" s="36">
        <f>SUMPRODUCT(MAX((_Bantu!$A$2:$A$2001=$A40)*ROW(_Bantu!$A$2:$A$2001)))</f>
        <v>0</v>
      </c>
      <c r="D40" s="36">
        <f>SUMPRODUCT(MAX((_Bantu!$C$2:$C$2001=$A40&amp;"|1")*ROW(_Bantu!$C$2:$C$2001)))</f>
        <v>0</v>
      </c>
      <c r="E40" s="47" t="str">
        <f>IF($D40=0,"",INDEX(_Bantu!D:D,$D40))</f>
        <v/>
      </c>
      <c r="F40" s="47" t="str">
        <f>IF($D40=0,"",INDEX(_Bantu!E:E,$D40))</f>
        <v/>
      </c>
      <c r="G40" s="47" t="str">
        <f>IF($D40=0,"",INDEX(_Bantu!F:F,$D40))</f>
        <v/>
      </c>
      <c r="H40" s="47" t="str">
        <f>IF($D40=0,"",INDEX(_Bantu!G:G,$D40))</f>
        <v/>
      </c>
      <c r="I40" s="47" t="str">
        <f>IF($D40=0,"",INDEX(_Bantu!H:H,$D40))</f>
        <v/>
      </c>
      <c r="J40" s="47" t="str">
        <f t="shared" si="32"/>
        <v/>
      </c>
      <c r="K40" s="36" t="str">
        <f t="shared" si="33"/>
        <v>Belum isi</v>
      </c>
      <c r="L40" s="36">
        <f>SUMPRODUCT(MAX((_Bantu!$C$2:$C$2001=$A40&amp;"|2")*ROW(_Bantu!$C$2:$C$2001)))</f>
        <v>0</v>
      </c>
      <c r="M40" s="47" t="str">
        <f>IF($L40=0,"",INDEX(_Bantu!D:D,$L40))</f>
        <v/>
      </c>
      <c r="N40" s="47" t="str">
        <f>IF($L40=0,"",INDEX(_Bantu!E:E,$L40))</f>
        <v/>
      </c>
      <c r="O40" s="47" t="str">
        <f>IF($L40=0,"",INDEX(_Bantu!F:F,$L40))</f>
        <v/>
      </c>
      <c r="P40" s="47" t="str">
        <f>IF($L40=0,"",INDEX(_Bantu!G:G,$L40))</f>
        <v/>
      </c>
      <c r="Q40" s="47" t="str">
        <f>IF($L40=0,"",INDEX(_Bantu!H:H,$L40))</f>
        <v/>
      </c>
      <c r="R40" s="47" t="str">
        <f t="shared" si="34"/>
        <v/>
      </c>
      <c r="S40" s="36" t="str">
        <f t="shared" si="35"/>
        <v>Belum isi</v>
      </c>
      <c r="T40" s="36">
        <f>SUMPRODUCT(MAX((_Bantu!$C$2:$C$2001=$A40&amp;"|3")*ROW(_Bantu!$C$2:$C$2001)))</f>
        <v>0</v>
      </c>
      <c r="U40" s="47" t="str">
        <f>IF($T40=0,"",INDEX(_Bantu!D:D,$T40))</f>
        <v/>
      </c>
      <c r="V40" s="47" t="str">
        <f>IF($T40=0,"",INDEX(_Bantu!E:E,$T40))</f>
        <v/>
      </c>
      <c r="W40" s="47" t="str">
        <f>IF($T40=0,"",INDEX(_Bantu!F:F,$T40))</f>
        <v/>
      </c>
      <c r="X40" s="47" t="str">
        <f>IF($T40=0,"",INDEX(_Bantu!G:G,$T40))</f>
        <v/>
      </c>
      <c r="Y40" s="47" t="str">
        <f>IF($T40=0,"",INDEX(_Bantu!H:H,$T40))</f>
        <v/>
      </c>
      <c r="Z40" s="47" t="str">
        <f t="shared" si="36"/>
        <v/>
      </c>
      <c r="AA40" s="36" t="str">
        <f t="shared" si="37"/>
        <v>Belum isi</v>
      </c>
      <c r="AB40" s="47">
        <f t="shared" si="38"/>
        <v>0</v>
      </c>
      <c r="AC40" s="47">
        <f t="shared" si="39"/>
        <v>0</v>
      </c>
      <c r="AD40" s="47">
        <f t="shared" si="40"/>
        <v>0</v>
      </c>
      <c r="AE40" s="47">
        <f t="shared" si="41"/>
        <v>0</v>
      </c>
      <c r="AF40" s="47">
        <f t="shared" si="42"/>
        <v>0</v>
      </c>
      <c r="AG40" s="47">
        <f t="shared" si="43"/>
        <v>0</v>
      </c>
      <c r="AH40" s="47">
        <f t="shared" si="44"/>
        <v>0</v>
      </c>
      <c r="AI40" s="47">
        <f t="shared" si="45"/>
        <v>0</v>
      </c>
      <c r="AJ40" s="47">
        <f t="shared" si="46"/>
        <v>0</v>
      </c>
      <c r="AK40" s="47">
        <f t="shared" si="47"/>
        <v>0</v>
      </c>
      <c r="AL40" s="47">
        <f t="shared" si="48"/>
        <v>0</v>
      </c>
      <c r="AM40" s="47">
        <f t="shared" si="49"/>
        <v>0</v>
      </c>
      <c r="AN40" s="47">
        <f t="shared" si="50"/>
        <v>0</v>
      </c>
      <c r="AO40" s="47">
        <f t="shared" si="51"/>
        <v>0</v>
      </c>
      <c r="AP40" s="47">
        <f t="shared" si="52"/>
        <v>0</v>
      </c>
      <c r="AQ40" s="36" t="b">
        <f t="shared" si="53"/>
        <v>0</v>
      </c>
      <c r="AR40" s="48" t="str">
        <f t="shared" si="54"/>
        <v/>
      </c>
      <c r="AS40" s="48" t="str">
        <f>IF(OR(NOT($AQ40),Log_Putaran!$C$6=""),"",$AR40*SUMPRODUCT($AB40:$AF40,Log_Putaran!$L$6:$P$6))</f>
        <v/>
      </c>
      <c r="AT40" s="48" t="str">
        <f>IF(OR(NOT($AQ40),Log_Putaran!$C$7=""),"",$AR40*SUMPRODUCT($AB40:$AF40,Log_Putaran!$L$7:$P$7))</f>
        <v/>
      </c>
      <c r="AU40" s="48" t="str">
        <f>IF(OR(NOT($AQ40),Log_Putaran!$C$8=""),"",$AR40*SUMPRODUCT($AB40:$AF40,Log_Putaran!$L$8:$P$8))</f>
        <v/>
      </c>
      <c r="AV40" s="48" t="str">
        <f>IF(OR(NOT($AQ40),Log_Putaran!$C$9=""),"",$AR40*SUMPRODUCT($AB40:$AF40,Log_Putaran!$L$9:$P$9))</f>
        <v/>
      </c>
      <c r="AW40" s="48" t="str">
        <f>IF(OR(NOT($AQ40),Log_Putaran!$C$10=""),"",$AR40*SUMPRODUCT($AB40:$AF40,Log_Putaran!$L$10:$P$10))</f>
        <v/>
      </c>
      <c r="AX40" s="48" t="str">
        <f>IF(OR(NOT($AQ40),Log_Putaran!$C$11=""),"",$AR40*SUMPRODUCT($AB40:$AF40,Log_Putaran!$L$11:$P$11))</f>
        <v/>
      </c>
      <c r="AY40" s="48" t="str">
        <f>IF(OR(NOT($AQ40),Log_Putaran!$C$12=""),"",$AR40*SUMPRODUCT($AB40:$AF40,Log_Putaran!$L$12:$P$12))</f>
        <v/>
      </c>
      <c r="AZ40" s="48" t="str">
        <f>IF(OR(NOT($AQ40),Log_Putaran!$C$13=""),"",$AR40*SUMPRODUCT($AB40:$AF40,Log_Putaran!$L$13:$P$13))</f>
        <v/>
      </c>
      <c r="BA40" s="48" t="str">
        <f>IF(OR(NOT($AQ40),Log_Putaran!$C$14=""),"",$AR40*SUMPRODUCT($AB40:$AF40,Log_Putaran!$L$14:$P$14))</f>
        <v/>
      </c>
      <c r="BB40" s="48" t="str">
        <f>IF(OR(NOT($AQ40),Log_Putaran!$C$15=""),"",$AR40*SUMPRODUCT($AB40:$AF40,Log_Putaran!$L$15:$P$15))</f>
        <v/>
      </c>
      <c r="BC40" s="48" t="str">
        <f>IF(OR(NOT($AQ40),Log_Putaran!$C$16=""),"",$BB40*SUMPRODUCT($AG40:$AK40,Log_Putaran!$L$16:$P$16))</f>
        <v/>
      </c>
      <c r="BD40" s="48" t="str">
        <f>IF(OR(NOT($AQ40),Log_Putaran!$C$17=""),"",$BB40*SUMPRODUCT($AG40:$AK40,Log_Putaran!$L$17:$P$17))</f>
        <v/>
      </c>
      <c r="BE40" s="48" t="str">
        <f>IF(OR(NOT($AQ40),Log_Putaran!$C$18=""),"",$BB40*SUMPRODUCT($AG40:$AK40,Log_Putaran!$L$18:$P$18))</f>
        <v/>
      </c>
      <c r="BF40" s="48" t="str">
        <f>IF(OR(NOT($AQ40),Log_Putaran!$C$19=""),"",$BB40*SUMPRODUCT($AG40:$AK40,Log_Putaran!$L$19:$P$19))</f>
        <v/>
      </c>
      <c r="BG40" s="48" t="str">
        <f>IF(OR(NOT($AQ40),Log_Putaran!$C$20=""),"",$BB40*SUMPRODUCT($AG40:$AK40,Log_Putaran!$L$20:$P$20))</f>
        <v/>
      </c>
      <c r="BH40" s="48" t="str">
        <f>IF(OR(NOT($AQ40),Log_Putaran!$C$21=""),"",$BB40*SUMPRODUCT($AG40:$AK40,Log_Putaran!$L$21:$P$21))</f>
        <v/>
      </c>
      <c r="BI40" s="48" t="str">
        <f>IF(OR(NOT($AQ40),Log_Putaran!$C$22=""),"",$BB40*SUMPRODUCT($AG40:$AK40,Log_Putaran!$L$22:$P$22))</f>
        <v/>
      </c>
      <c r="BJ40" s="48" t="str">
        <f>IF(OR(NOT($AQ40),Log_Putaran!$C$23=""),"",$BB40*SUMPRODUCT($AG40:$AK40,Log_Putaran!$L$23:$P$23))</f>
        <v/>
      </c>
      <c r="BK40" s="48" t="str">
        <f>IF(OR(NOT($AQ40),Log_Putaran!$C$24=""),"",$BB40*SUMPRODUCT($AG40:$AK40,Log_Putaran!$L$24:$P$24))</f>
        <v/>
      </c>
      <c r="BL40" s="48" t="str">
        <f>IF(OR(NOT($AQ40),Log_Putaran!$C$25=""),"",$BB40*SUMPRODUCT($AG40:$AK40,Log_Putaran!$L$25:$P$25))</f>
        <v/>
      </c>
      <c r="BM40" s="48" t="str">
        <f>IF(OR(NOT($AQ40),Log_Putaran!$C$26=""),"",$BL40*SUMPRODUCT($AL40:$AP40,Log_Putaran!$L$26:$P$26))</f>
        <v/>
      </c>
      <c r="BN40" s="48" t="str">
        <f>IF(OR(NOT($AQ40),Log_Putaran!$C$27=""),"",$BL40*SUMPRODUCT($AL40:$AP40,Log_Putaran!$L$27:$P$27))</f>
        <v/>
      </c>
      <c r="BO40" s="48" t="str">
        <f>IF(OR(NOT($AQ40),Log_Putaran!$C$28=""),"",$BL40*SUMPRODUCT($AL40:$AP40,Log_Putaran!$L$28:$P$28))</f>
        <v/>
      </c>
      <c r="BP40" s="48" t="str">
        <f>IF(OR(NOT($AQ40),Log_Putaran!$C$29=""),"",$BL40*SUMPRODUCT($AL40:$AP40,Log_Putaran!$L$29:$P$29))</f>
        <v/>
      </c>
      <c r="BQ40" s="48" t="str">
        <f>IF(OR(NOT($AQ40),Log_Putaran!$C$30=""),"",$BL40*SUMPRODUCT($AL40:$AP40,Log_Putaran!$L$30:$P$30))</f>
        <v/>
      </c>
      <c r="BR40" s="48" t="str">
        <f>IF(OR(NOT($AQ40),Log_Putaran!$C$31=""),"",$BL40*SUMPRODUCT($AL40:$AP40,Log_Putaran!$L$31:$P$31))</f>
        <v/>
      </c>
      <c r="BS40" s="48" t="str">
        <f>IF(OR(NOT($AQ40),Log_Putaran!$C$32=""),"",$BL40*SUMPRODUCT($AL40:$AP40,Log_Putaran!$L$32:$P$32))</f>
        <v/>
      </c>
      <c r="BT40" s="48" t="str">
        <f>IF(OR(NOT($AQ40),Log_Putaran!$C$33=""),"",$BL40*SUMPRODUCT($AL40:$AP40,Log_Putaran!$L$33:$P$33))</f>
        <v/>
      </c>
      <c r="BU40" s="48" t="str">
        <f>IF(OR(NOT($AQ40),Log_Putaran!$C$34=""),"",$BL40*SUMPRODUCT($AL40:$AP40,Log_Putaran!$L$34:$P$34))</f>
        <v/>
      </c>
      <c r="BV40" s="48" t="str">
        <f>IF(OR(NOT($AQ40),Log_Putaran!$C$35=""),"",$BL40*SUMPRODUCT($AL40:$AP40,Log_Putaran!$L$35:$P$35))</f>
        <v/>
      </c>
      <c r="BW40" s="48" t="str">
        <f t="shared" si="55"/>
        <v/>
      </c>
      <c r="BX40" s="48" t="str">
        <f t="shared" si="56"/>
        <v/>
      </c>
      <c r="BY40" s="38" t="str">
        <f t="shared" si="57"/>
        <v/>
      </c>
      <c r="BZ40" s="49" t="str">
        <f>IF($AQ40,MAX(_DD!$B40:$AE40),"")</f>
        <v/>
      </c>
      <c r="CA40" s="36">
        <f t="shared" si="58"/>
        <v>-9.9999999999999997E+98</v>
      </c>
      <c r="CB40" s="36" t="str">
        <f t="shared" si="59"/>
        <v/>
      </c>
      <c r="CC40" s="36">
        <f t="shared" si="60"/>
        <v>-9.9999999999999997E+98</v>
      </c>
      <c r="CD40" s="36" t="str">
        <f t="shared" si="61"/>
        <v/>
      </c>
      <c r="CE40" s="36" t="str">
        <f t="shared" si="62"/>
        <v/>
      </c>
      <c r="CF40" s="36">
        <f t="shared" si="63"/>
        <v>-9.9999999999999997E+98</v>
      </c>
    </row>
    <row r="41" spans="1:84">
      <c r="A41" s="36" t="str">
        <f>Peserta!A41</f>
        <v>P36</v>
      </c>
      <c r="B41" s="36" t="str">
        <f>IF($C41&gt;0,INDEX(Input!$C:$C,$C41)&amp;"",IF(Peserta!B41="",$A41,Peserta!B41))</f>
        <v>P36</v>
      </c>
      <c r="C41" s="36">
        <f>SUMPRODUCT(MAX((_Bantu!$A$2:$A$2001=$A41)*ROW(_Bantu!$A$2:$A$2001)))</f>
        <v>0</v>
      </c>
      <c r="D41" s="36">
        <f>SUMPRODUCT(MAX((_Bantu!$C$2:$C$2001=$A41&amp;"|1")*ROW(_Bantu!$C$2:$C$2001)))</f>
        <v>0</v>
      </c>
      <c r="E41" s="47" t="str">
        <f>IF($D41=0,"",INDEX(_Bantu!D:D,$D41))</f>
        <v/>
      </c>
      <c r="F41" s="47" t="str">
        <f>IF($D41=0,"",INDEX(_Bantu!E:E,$D41))</f>
        <v/>
      </c>
      <c r="G41" s="47" t="str">
        <f>IF($D41=0,"",INDEX(_Bantu!F:F,$D41))</f>
        <v/>
      </c>
      <c r="H41" s="47" t="str">
        <f>IF($D41=0,"",INDEX(_Bantu!G:G,$D41))</f>
        <v/>
      </c>
      <c r="I41" s="47" t="str">
        <f>IF($D41=0,"",INDEX(_Bantu!H:H,$D41))</f>
        <v/>
      </c>
      <c r="J41" s="47" t="str">
        <f t="shared" si="32"/>
        <v/>
      </c>
      <c r="K41" s="36" t="str">
        <f t="shared" si="33"/>
        <v>Belum isi</v>
      </c>
      <c r="L41" s="36">
        <f>SUMPRODUCT(MAX((_Bantu!$C$2:$C$2001=$A41&amp;"|2")*ROW(_Bantu!$C$2:$C$2001)))</f>
        <v>0</v>
      </c>
      <c r="M41" s="47" t="str">
        <f>IF($L41=0,"",INDEX(_Bantu!D:D,$L41))</f>
        <v/>
      </c>
      <c r="N41" s="47" t="str">
        <f>IF($L41=0,"",INDEX(_Bantu!E:E,$L41))</f>
        <v/>
      </c>
      <c r="O41" s="47" t="str">
        <f>IF($L41=0,"",INDEX(_Bantu!F:F,$L41))</f>
        <v/>
      </c>
      <c r="P41" s="47" t="str">
        <f>IF($L41=0,"",INDEX(_Bantu!G:G,$L41))</f>
        <v/>
      </c>
      <c r="Q41" s="47" t="str">
        <f>IF($L41=0,"",INDEX(_Bantu!H:H,$L41))</f>
        <v/>
      </c>
      <c r="R41" s="47" t="str">
        <f t="shared" si="34"/>
        <v/>
      </c>
      <c r="S41" s="36" t="str">
        <f t="shared" si="35"/>
        <v>Belum isi</v>
      </c>
      <c r="T41" s="36">
        <f>SUMPRODUCT(MAX((_Bantu!$C$2:$C$2001=$A41&amp;"|3")*ROW(_Bantu!$C$2:$C$2001)))</f>
        <v>0</v>
      </c>
      <c r="U41" s="47" t="str">
        <f>IF($T41=0,"",INDEX(_Bantu!D:D,$T41))</f>
        <v/>
      </c>
      <c r="V41" s="47" t="str">
        <f>IF($T41=0,"",INDEX(_Bantu!E:E,$T41))</f>
        <v/>
      </c>
      <c r="W41" s="47" t="str">
        <f>IF($T41=0,"",INDEX(_Bantu!F:F,$T41))</f>
        <v/>
      </c>
      <c r="X41" s="47" t="str">
        <f>IF($T41=0,"",INDEX(_Bantu!G:G,$T41))</f>
        <v/>
      </c>
      <c r="Y41" s="47" t="str">
        <f>IF($T41=0,"",INDEX(_Bantu!H:H,$T41))</f>
        <v/>
      </c>
      <c r="Z41" s="47" t="str">
        <f t="shared" si="36"/>
        <v/>
      </c>
      <c r="AA41" s="36" t="str">
        <f t="shared" si="37"/>
        <v>Belum isi</v>
      </c>
      <c r="AB41" s="47">
        <f t="shared" si="38"/>
        <v>0</v>
      </c>
      <c r="AC41" s="47">
        <f t="shared" si="39"/>
        <v>0</v>
      </c>
      <c r="AD41" s="47">
        <f t="shared" si="40"/>
        <v>0</v>
      </c>
      <c r="AE41" s="47">
        <f t="shared" si="41"/>
        <v>0</v>
      </c>
      <c r="AF41" s="47">
        <f t="shared" si="42"/>
        <v>0</v>
      </c>
      <c r="AG41" s="47">
        <f t="shared" si="43"/>
        <v>0</v>
      </c>
      <c r="AH41" s="47">
        <f t="shared" si="44"/>
        <v>0</v>
      </c>
      <c r="AI41" s="47">
        <f t="shared" si="45"/>
        <v>0</v>
      </c>
      <c r="AJ41" s="47">
        <f t="shared" si="46"/>
        <v>0</v>
      </c>
      <c r="AK41" s="47">
        <f t="shared" si="47"/>
        <v>0</v>
      </c>
      <c r="AL41" s="47">
        <f t="shared" si="48"/>
        <v>0</v>
      </c>
      <c r="AM41" s="47">
        <f t="shared" si="49"/>
        <v>0</v>
      </c>
      <c r="AN41" s="47">
        <f t="shared" si="50"/>
        <v>0</v>
      </c>
      <c r="AO41" s="47">
        <f t="shared" si="51"/>
        <v>0</v>
      </c>
      <c r="AP41" s="47">
        <f t="shared" si="52"/>
        <v>0</v>
      </c>
      <c r="AQ41" s="36" t="b">
        <f t="shared" si="53"/>
        <v>0</v>
      </c>
      <c r="AR41" s="48" t="str">
        <f t="shared" si="54"/>
        <v/>
      </c>
      <c r="AS41" s="48" t="str">
        <f>IF(OR(NOT($AQ41),Log_Putaran!$C$6=""),"",$AR41*SUMPRODUCT($AB41:$AF41,Log_Putaran!$L$6:$P$6))</f>
        <v/>
      </c>
      <c r="AT41" s="48" t="str">
        <f>IF(OR(NOT($AQ41),Log_Putaran!$C$7=""),"",$AR41*SUMPRODUCT($AB41:$AF41,Log_Putaran!$L$7:$P$7))</f>
        <v/>
      </c>
      <c r="AU41" s="48" t="str">
        <f>IF(OR(NOT($AQ41),Log_Putaran!$C$8=""),"",$AR41*SUMPRODUCT($AB41:$AF41,Log_Putaran!$L$8:$P$8))</f>
        <v/>
      </c>
      <c r="AV41" s="48" t="str">
        <f>IF(OR(NOT($AQ41),Log_Putaran!$C$9=""),"",$AR41*SUMPRODUCT($AB41:$AF41,Log_Putaran!$L$9:$P$9))</f>
        <v/>
      </c>
      <c r="AW41" s="48" t="str">
        <f>IF(OR(NOT($AQ41),Log_Putaran!$C$10=""),"",$AR41*SUMPRODUCT($AB41:$AF41,Log_Putaran!$L$10:$P$10))</f>
        <v/>
      </c>
      <c r="AX41" s="48" t="str">
        <f>IF(OR(NOT($AQ41),Log_Putaran!$C$11=""),"",$AR41*SUMPRODUCT($AB41:$AF41,Log_Putaran!$L$11:$P$11))</f>
        <v/>
      </c>
      <c r="AY41" s="48" t="str">
        <f>IF(OR(NOT($AQ41),Log_Putaran!$C$12=""),"",$AR41*SUMPRODUCT($AB41:$AF41,Log_Putaran!$L$12:$P$12))</f>
        <v/>
      </c>
      <c r="AZ41" s="48" t="str">
        <f>IF(OR(NOT($AQ41),Log_Putaran!$C$13=""),"",$AR41*SUMPRODUCT($AB41:$AF41,Log_Putaran!$L$13:$P$13))</f>
        <v/>
      </c>
      <c r="BA41" s="48" t="str">
        <f>IF(OR(NOT($AQ41),Log_Putaran!$C$14=""),"",$AR41*SUMPRODUCT($AB41:$AF41,Log_Putaran!$L$14:$P$14))</f>
        <v/>
      </c>
      <c r="BB41" s="48" t="str">
        <f>IF(OR(NOT($AQ41),Log_Putaran!$C$15=""),"",$AR41*SUMPRODUCT($AB41:$AF41,Log_Putaran!$L$15:$P$15))</f>
        <v/>
      </c>
      <c r="BC41" s="48" t="str">
        <f>IF(OR(NOT($AQ41),Log_Putaran!$C$16=""),"",$BB41*SUMPRODUCT($AG41:$AK41,Log_Putaran!$L$16:$P$16))</f>
        <v/>
      </c>
      <c r="BD41" s="48" t="str">
        <f>IF(OR(NOT($AQ41),Log_Putaran!$C$17=""),"",$BB41*SUMPRODUCT($AG41:$AK41,Log_Putaran!$L$17:$P$17))</f>
        <v/>
      </c>
      <c r="BE41" s="48" t="str">
        <f>IF(OR(NOT($AQ41),Log_Putaran!$C$18=""),"",$BB41*SUMPRODUCT($AG41:$AK41,Log_Putaran!$L$18:$P$18))</f>
        <v/>
      </c>
      <c r="BF41" s="48" t="str">
        <f>IF(OR(NOT($AQ41),Log_Putaran!$C$19=""),"",$BB41*SUMPRODUCT($AG41:$AK41,Log_Putaran!$L$19:$P$19))</f>
        <v/>
      </c>
      <c r="BG41" s="48" t="str">
        <f>IF(OR(NOT($AQ41),Log_Putaran!$C$20=""),"",$BB41*SUMPRODUCT($AG41:$AK41,Log_Putaran!$L$20:$P$20))</f>
        <v/>
      </c>
      <c r="BH41" s="48" t="str">
        <f>IF(OR(NOT($AQ41),Log_Putaran!$C$21=""),"",$BB41*SUMPRODUCT($AG41:$AK41,Log_Putaran!$L$21:$P$21))</f>
        <v/>
      </c>
      <c r="BI41" s="48" t="str">
        <f>IF(OR(NOT($AQ41),Log_Putaran!$C$22=""),"",$BB41*SUMPRODUCT($AG41:$AK41,Log_Putaran!$L$22:$P$22))</f>
        <v/>
      </c>
      <c r="BJ41" s="48" t="str">
        <f>IF(OR(NOT($AQ41),Log_Putaran!$C$23=""),"",$BB41*SUMPRODUCT($AG41:$AK41,Log_Putaran!$L$23:$P$23))</f>
        <v/>
      </c>
      <c r="BK41" s="48" t="str">
        <f>IF(OR(NOT($AQ41),Log_Putaran!$C$24=""),"",$BB41*SUMPRODUCT($AG41:$AK41,Log_Putaran!$L$24:$P$24))</f>
        <v/>
      </c>
      <c r="BL41" s="48" t="str">
        <f>IF(OR(NOT($AQ41),Log_Putaran!$C$25=""),"",$BB41*SUMPRODUCT($AG41:$AK41,Log_Putaran!$L$25:$P$25))</f>
        <v/>
      </c>
      <c r="BM41" s="48" t="str">
        <f>IF(OR(NOT($AQ41),Log_Putaran!$C$26=""),"",$BL41*SUMPRODUCT($AL41:$AP41,Log_Putaran!$L$26:$P$26))</f>
        <v/>
      </c>
      <c r="BN41" s="48" t="str">
        <f>IF(OR(NOT($AQ41),Log_Putaran!$C$27=""),"",$BL41*SUMPRODUCT($AL41:$AP41,Log_Putaran!$L$27:$P$27))</f>
        <v/>
      </c>
      <c r="BO41" s="48" t="str">
        <f>IF(OR(NOT($AQ41),Log_Putaran!$C$28=""),"",$BL41*SUMPRODUCT($AL41:$AP41,Log_Putaran!$L$28:$P$28))</f>
        <v/>
      </c>
      <c r="BP41" s="48" t="str">
        <f>IF(OR(NOT($AQ41),Log_Putaran!$C$29=""),"",$BL41*SUMPRODUCT($AL41:$AP41,Log_Putaran!$L$29:$P$29))</f>
        <v/>
      </c>
      <c r="BQ41" s="48" t="str">
        <f>IF(OR(NOT($AQ41),Log_Putaran!$C$30=""),"",$BL41*SUMPRODUCT($AL41:$AP41,Log_Putaran!$L$30:$P$30))</f>
        <v/>
      </c>
      <c r="BR41" s="48" t="str">
        <f>IF(OR(NOT($AQ41),Log_Putaran!$C$31=""),"",$BL41*SUMPRODUCT($AL41:$AP41,Log_Putaran!$L$31:$P$31))</f>
        <v/>
      </c>
      <c r="BS41" s="48" t="str">
        <f>IF(OR(NOT($AQ41),Log_Putaran!$C$32=""),"",$BL41*SUMPRODUCT($AL41:$AP41,Log_Putaran!$L$32:$P$32))</f>
        <v/>
      </c>
      <c r="BT41" s="48" t="str">
        <f>IF(OR(NOT($AQ41),Log_Putaran!$C$33=""),"",$BL41*SUMPRODUCT($AL41:$AP41,Log_Putaran!$L$33:$P$33))</f>
        <v/>
      </c>
      <c r="BU41" s="48" t="str">
        <f>IF(OR(NOT($AQ41),Log_Putaran!$C$34=""),"",$BL41*SUMPRODUCT($AL41:$AP41,Log_Putaran!$L$34:$P$34))</f>
        <v/>
      </c>
      <c r="BV41" s="48" t="str">
        <f>IF(OR(NOT($AQ41),Log_Putaran!$C$35=""),"",$BL41*SUMPRODUCT($AL41:$AP41,Log_Putaran!$L$35:$P$35))</f>
        <v/>
      </c>
      <c r="BW41" s="48" t="str">
        <f t="shared" si="55"/>
        <v/>
      </c>
      <c r="BX41" s="48" t="str">
        <f t="shared" si="56"/>
        <v/>
      </c>
      <c r="BY41" s="38" t="str">
        <f t="shared" si="57"/>
        <v/>
      </c>
      <c r="BZ41" s="49" t="str">
        <f>IF($AQ41,MAX(_DD!$B41:$AE41),"")</f>
        <v/>
      </c>
      <c r="CA41" s="36">
        <f t="shared" si="58"/>
        <v>-9.9999999999999997E+98</v>
      </c>
      <c r="CB41" s="36" t="str">
        <f t="shared" si="59"/>
        <v/>
      </c>
      <c r="CC41" s="36">
        <f t="shared" si="60"/>
        <v>-9.9999999999999997E+98</v>
      </c>
      <c r="CD41" s="36" t="str">
        <f t="shared" si="61"/>
        <v/>
      </c>
      <c r="CE41" s="36" t="str">
        <f t="shared" si="62"/>
        <v/>
      </c>
      <c r="CF41" s="36">
        <f t="shared" si="63"/>
        <v>-9.9999999999999997E+98</v>
      </c>
    </row>
    <row r="42" spans="1:84">
      <c r="A42" s="36" t="str">
        <f>Peserta!A42</f>
        <v>P37</v>
      </c>
      <c r="B42" s="36" t="str">
        <f>IF($C42&gt;0,INDEX(Input!$C:$C,$C42)&amp;"",IF(Peserta!B42="",$A42,Peserta!B42))</f>
        <v>P37</v>
      </c>
      <c r="C42" s="36">
        <f>SUMPRODUCT(MAX((_Bantu!$A$2:$A$2001=$A42)*ROW(_Bantu!$A$2:$A$2001)))</f>
        <v>0</v>
      </c>
      <c r="D42" s="36">
        <f>SUMPRODUCT(MAX((_Bantu!$C$2:$C$2001=$A42&amp;"|1")*ROW(_Bantu!$C$2:$C$2001)))</f>
        <v>0</v>
      </c>
      <c r="E42" s="47" t="str">
        <f>IF($D42=0,"",INDEX(_Bantu!D:D,$D42))</f>
        <v/>
      </c>
      <c r="F42" s="47" t="str">
        <f>IF($D42=0,"",INDEX(_Bantu!E:E,$D42))</f>
        <v/>
      </c>
      <c r="G42" s="47" t="str">
        <f>IF($D42=0,"",INDEX(_Bantu!F:F,$D42))</f>
        <v/>
      </c>
      <c r="H42" s="47" t="str">
        <f>IF($D42=0,"",INDEX(_Bantu!G:G,$D42))</f>
        <v/>
      </c>
      <c r="I42" s="47" t="str">
        <f>IF($D42=0,"",INDEX(_Bantu!H:H,$D42))</f>
        <v/>
      </c>
      <c r="J42" s="47" t="str">
        <f t="shared" si="32"/>
        <v/>
      </c>
      <c r="K42" s="36" t="str">
        <f t="shared" si="33"/>
        <v>Belum isi</v>
      </c>
      <c r="L42" s="36">
        <f>SUMPRODUCT(MAX((_Bantu!$C$2:$C$2001=$A42&amp;"|2")*ROW(_Bantu!$C$2:$C$2001)))</f>
        <v>0</v>
      </c>
      <c r="M42" s="47" t="str">
        <f>IF($L42=0,"",INDEX(_Bantu!D:D,$L42))</f>
        <v/>
      </c>
      <c r="N42" s="47" t="str">
        <f>IF($L42=0,"",INDEX(_Bantu!E:E,$L42))</f>
        <v/>
      </c>
      <c r="O42" s="47" t="str">
        <f>IF($L42=0,"",INDEX(_Bantu!F:F,$L42))</f>
        <v/>
      </c>
      <c r="P42" s="47" t="str">
        <f>IF($L42=0,"",INDEX(_Bantu!G:G,$L42))</f>
        <v/>
      </c>
      <c r="Q42" s="47" t="str">
        <f>IF($L42=0,"",INDEX(_Bantu!H:H,$L42))</f>
        <v/>
      </c>
      <c r="R42" s="47" t="str">
        <f t="shared" si="34"/>
        <v/>
      </c>
      <c r="S42" s="36" t="str">
        <f t="shared" si="35"/>
        <v>Belum isi</v>
      </c>
      <c r="T42" s="36">
        <f>SUMPRODUCT(MAX((_Bantu!$C$2:$C$2001=$A42&amp;"|3")*ROW(_Bantu!$C$2:$C$2001)))</f>
        <v>0</v>
      </c>
      <c r="U42" s="47" t="str">
        <f>IF($T42=0,"",INDEX(_Bantu!D:D,$T42))</f>
        <v/>
      </c>
      <c r="V42" s="47" t="str">
        <f>IF($T42=0,"",INDEX(_Bantu!E:E,$T42))</f>
        <v/>
      </c>
      <c r="W42" s="47" t="str">
        <f>IF($T42=0,"",INDEX(_Bantu!F:F,$T42))</f>
        <v/>
      </c>
      <c r="X42" s="47" t="str">
        <f>IF($T42=0,"",INDEX(_Bantu!G:G,$T42))</f>
        <v/>
      </c>
      <c r="Y42" s="47" t="str">
        <f>IF($T42=0,"",INDEX(_Bantu!H:H,$T42))</f>
        <v/>
      </c>
      <c r="Z42" s="47" t="str">
        <f t="shared" si="36"/>
        <v/>
      </c>
      <c r="AA42" s="36" t="str">
        <f t="shared" si="37"/>
        <v>Belum isi</v>
      </c>
      <c r="AB42" s="47">
        <f t="shared" si="38"/>
        <v>0</v>
      </c>
      <c r="AC42" s="47">
        <f t="shared" si="39"/>
        <v>0</v>
      </c>
      <c r="AD42" s="47">
        <f t="shared" si="40"/>
        <v>0</v>
      </c>
      <c r="AE42" s="47">
        <f t="shared" si="41"/>
        <v>0</v>
      </c>
      <c r="AF42" s="47">
        <f t="shared" si="42"/>
        <v>0</v>
      </c>
      <c r="AG42" s="47">
        <f t="shared" si="43"/>
        <v>0</v>
      </c>
      <c r="AH42" s="47">
        <f t="shared" si="44"/>
        <v>0</v>
      </c>
      <c r="AI42" s="47">
        <f t="shared" si="45"/>
        <v>0</v>
      </c>
      <c r="AJ42" s="47">
        <f t="shared" si="46"/>
        <v>0</v>
      </c>
      <c r="AK42" s="47">
        <f t="shared" si="47"/>
        <v>0</v>
      </c>
      <c r="AL42" s="47">
        <f t="shared" si="48"/>
        <v>0</v>
      </c>
      <c r="AM42" s="47">
        <f t="shared" si="49"/>
        <v>0</v>
      </c>
      <c r="AN42" s="47">
        <f t="shared" si="50"/>
        <v>0</v>
      </c>
      <c r="AO42" s="47">
        <f t="shared" si="51"/>
        <v>0</v>
      </c>
      <c r="AP42" s="47">
        <f t="shared" si="52"/>
        <v>0</v>
      </c>
      <c r="AQ42" s="36" t="b">
        <f t="shared" si="53"/>
        <v>0</v>
      </c>
      <c r="AR42" s="48" t="str">
        <f t="shared" si="54"/>
        <v/>
      </c>
      <c r="AS42" s="48" t="str">
        <f>IF(OR(NOT($AQ42),Log_Putaran!$C$6=""),"",$AR42*SUMPRODUCT($AB42:$AF42,Log_Putaran!$L$6:$P$6))</f>
        <v/>
      </c>
      <c r="AT42" s="48" t="str">
        <f>IF(OR(NOT($AQ42),Log_Putaran!$C$7=""),"",$AR42*SUMPRODUCT($AB42:$AF42,Log_Putaran!$L$7:$P$7))</f>
        <v/>
      </c>
      <c r="AU42" s="48" t="str">
        <f>IF(OR(NOT($AQ42),Log_Putaran!$C$8=""),"",$AR42*SUMPRODUCT($AB42:$AF42,Log_Putaran!$L$8:$P$8))</f>
        <v/>
      </c>
      <c r="AV42" s="48" t="str">
        <f>IF(OR(NOT($AQ42),Log_Putaran!$C$9=""),"",$AR42*SUMPRODUCT($AB42:$AF42,Log_Putaran!$L$9:$P$9))</f>
        <v/>
      </c>
      <c r="AW42" s="48" t="str">
        <f>IF(OR(NOT($AQ42),Log_Putaran!$C$10=""),"",$AR42*SUMPRODUCT($AB42:$AF42,Log_Putaran!$L$10:$P$10))</f>
        <v/>
      </c>
      <c r="AX42" s="48" t="str">
        <f>IF(OR(NOT($AQ42),Log_Putaran!$C$11=""),"",$AR42*SUMPRODUCT($AB42:$AF42,Log_Putaran!$L$11:$P$11))</f>
        <v/>
      </c>
      <c r="AY42" s="48" t="str">
        <f>IF(OR(NOT($AQ42),Log_Putaran!$C$12=""),"",$AR42*SUMPRODUCT($AB42:$AF42,Log_Putaran!$L$12:$P$12))</f>
        <v/>
      </c>
      <c r="AZ42" s="48" t="str">
        <f>IF(OR(NOT($AQ42),Log_Putaran!$C$13=""),"",$AR42*SUMPRODUCT($AB42:$AF42,Log_Putaran!$L$13:$P$13))</f>
        <v/>
      </c>
      <c r="BA42" s="48" t="str">
        <f>IF(OR(NOT($AQ42),Log_Putaran!$C$14=""),"",$AR42*SUMPRODUCT($AB42:$AF42,Log_Putaran!$L$14:$P$14))</f>
        <v/>
      </c>
      <c r="BB42" s="48" t="str">
        <f>IF(OR(NOT($AQ42),Log_Putaran!$C$15=""),"",$AR42*SUMPRODUCT($AB42:$AF42,Log_Putaran!$L$15:$P$15))</f>
        <v/>
      </c>
      <c r="BC42" s="48" t="str">
        <f>IF(OR(NOT($AQ42),Log_Putaran!$C$16=""),"",$BB42*SUMPRODUCT($AG42:$AK42,Log_Putaran!$L$16:$P$16))</f>
        <v/>
      </c>
      <c r="BD42" s="48" t="str">
        <f>IF(OR(NOT($AQ42),Log_Putaran!$C$17=""),"",$BB42*SUMPRODUCT($AG42:$AK42,Log_Putaran!$L$17:$P$17))</f>
        <v/>
      </c>
      <c r="BE42" s="48" t="str">
        <f>IF(OR(NOT($AQ42),Log_Putaran!$C$18=""),"",$BB42*SUMPRODUCT($AG42:$AK42,Log_Putaran!$L$18:$P$18))</f>
        <v/>
      </c>
      <c r="BF42" s="48" t="str">
        <f>IF(OR(NOT($AQ42),Log_Putaran!$C$19=""),"",$BB42*SUMPRODUCT($AG42:$AK42,Log_Putaran!$L$19:$P$19))</f>
        <v/>
      </c>
      <c r="BG42" s="48" t="str">
        <f>IF(OR(NOT($AQ42),Log_Putaran!$C$20=""),"",$BB42*SUMPRODUCT($AG42:$AK42,Log_Putaran!$L$20:$P$20))</f>
        <v/>
      </c>
      <c r="BH42" s="48" t="str">
        <f>IF(OR(NOT($AQ42),Log_Putaran!$C$21=""),"",$BB42*SUMPRODUCT($AG42:$AK42,Log_Putaran!$L$21:$P$21))</f>
        <v/>
      </c>
      <c r="BI42" s="48" t="str">
        <f>IF(OR(NOT($AQ42),Log_Putaran!$C$22=""),"",$BB42*SUMPRODUCT($AG42:$AK42,Log_Putaran!$L$22:$P$22))</f>
        <v/>
      </c>
      <c r="BJ42" s="48" t="str">
        <f>IF(OR(NOT($AQ42),Log_Putaran!$C$23=""),"",$BB42*SUMPRODUCT($AG42:$AK42,Log_Putaran!$L$23:$P$23))</f>
        <v/>
      </c>
      <c r="BK42" s="48" t="str">
        <f>IF(OR(NOT($AQ42),Log_Putaran!$C$24=""),"",$BB42*SUMPRODUCT($AG42:$AK42,Log_Putaran!$L$24:$P$24))</f>
        <v/>
      </c>
      <c r="BL42" s="48" t="str">
        <f>IF(OR(NOT($AQ42),Log_Putaran!$C$25=""),"",$BB42*SUMPRODUCT($AG42:$AK42,Log_Putaran!$L$25:$P$25))</f>
        <v/>
      </c>
      <c r="BM42" s="48" t="str">
        <f>IF(OR(NOT($AQ42),Log_Putaran!$C$26=""),"",$BL42*SUMPRODUCT($AL42:$AP42,Log_Putaran!$L$26:$P$26))</f>
        <v/>
      </c>
      <c r="BN42" s="48" t="str">
        <f>IF(OR(NOT($AQ42),Log_Putaran!$C$27=""),"",$BL42*SUMPRODUCT($AL42:$AP42,Log_Putaran!$L$27:$P$27))</f>
        <v/>
      </c>
      <c r="BO42" s="48" t="str">
        <f>IF(OR(NOT($AQ42),Log_Putaran!$C$28=""),"",$BL42*SUMPRODUCT($AL42:$AP42,Log_Putaran!$L$28:$P$28))</f>
        <v/>
      </c>
      <c r="BP42" s="48" t="str">
        <f>IF(OR(NOT($AQ42),Log_Putaran!$C$29=""),"",$BL42*SUMPRODUCT($AL42:$AP42,Log_Putaran!$L$29:$P$29))</f>
        <v/>
      </c>
      <c r="BQ42" s="48" t="str">
        <f>IF(OR(NOT($AQ42),Log_Putaran!$C$30=""),"",$BL42*SUMPRODUCT($AL42:$AP42,Log_Putaran!$L$30:$P$30))</f>
        <v/>
      </c>
      <c r="BR42" s="48" t="str">
        <f>IF(OR(NOT($AQ42),Log_Putaran!$C$31=""),"",$BL42*SUMPRODUCT($AL42:$AP42,Log_Putaran!$L$31:$P$31))</f>
        <v/>
      </c>
      <c r="BS42" s="48" t="str">
        <f>IF(OR(NOT($AQ42),Log_Putaran!$C$32=""),"",$BL42*SUMPRODUCT($AL42:$AP42,Log_Putaran!$L$32:$P$32))</f>
        <v/>
      </c>
      <c r="BT42" s="48" t="str">
        <f>IF(OR(NOT($AQ42),Log_Putaran!$C$33=""),"",$BL42*SUMPRODUCT($AL42:$AP42,Log_Putaran!$L$33:$P$33))</f>
        <v/>
      </c>
      <c r="BU42" s="48" t="str">
        <f>IF(OR(NOT($AQ42),Log_Putaran!$C$34=""),"",$BL42*SUMPRODUCT($AL42:$AP42,Log_Putaran!$L$34:$P$34))</f>
        <v/>
      </c>
      <c r="BV42" s="48" t="str">
        <f>IF(OR(NOT($AQ42),Log_Putaran!$C$35=""),"",$BL42*SUMPRODUCT($AL42:$AP42,Log_Putaran!$L$35:$P$35))</f>
        <v/>
      </c>
      <c r="BW42" s="48" t="str">
        <f t="shared" si="55"/>
        <v/>
      </c>
      <c r="BX42" s="48" t="str">
        <f t="shared" si="56"/>
        <v/>
      </c>
      <c r="BY42" s="38" t="str">
        <f t="shared" si="57"/>
        <v/>
      </c>
      <c r="BZ42" s="49" t="str">
        <f>IF($AQ42,MAX(_DD!$B42:$AE42),"")</f>
        <v/>
      </c>
      <c r="CA42" s="36">
        <f t="shared" si="58"/>
        <v>-9.9999999999999997E+98</v>
      </c>
      <c r="CB42" s="36" t="str">
        <f t="shared" si="59"/>
        <v/>
      </c>
      <c r="CC42" s="36">
        <f t="shared" si="60"/>
        <v>-9.9999999999999997E+98</v>
      </c>
      <c r="CD42" s="36" t="str">
        <f t="shared" si="61"/>
        <v/>
      </c>
      <c r="CE42" s="36" t="str">
        <f t="shared" si="62"/>
        <v/>
      </c>
      <c r="CF42" s="36">
        <f t="shared" si="63"/>
        <v>-9.9999999999999997E+98</v>
      </c>
    </row>
    <row r="43" spans="1:84">
      <c r="A43" s="36" t="str">
        <f>Peserta!A43</f>
        <v>P38</v>
      </c>
      <c r="B43" s="36" t="str">
        <f>IF($C43&gt;0,INDEX(Input!$C:$C,$C43)&amp;"",IF(Peserta!B43="",$A43,Peserta!B43))</f>
        <v>P38</v>
      </c>
      <c r="C43" s="36">
        <f>SUMPRODUCT(MAX((_Bantu!$A$2:$A$2001=$A43)*ROW(_Bantu!$A$2:$A$2001)))</f>
        <v>0</v>
      </c>
      <c r="D43" s="36">
        <f>SUMPRODUCT(MAX((_Bantu!$C$2:$C$2001=$A43&amp;"|1")*ROW(_Bantu!$C$2:$C$2001)))</f>
        <v>0</v>
      </c>
      <c r="E43" s="47" t="str">
        <f>IF($D43=0,"",INDEX(_Bantu!D:D,$D43))</f>
        <v/>
      </c>
      <c r="F43" s="47" t="str">
        <f>IF($D43=0,"",INDEX(_Bantu!E:E,$D43))</f>
        <v/>
      </c>
      <c r="G43" s="47" t="str">
        <f>IF($D43=0,"",INDEX(_Bantu!F:F,$D43))</f>
        <v/>
      </c>
      <c r="H43" s="47" t="str">
        <f>IF($D43=0,"",INDEX(_Bantu!G:G,$D43))</f>
        <v/>
      </c>
      <c r="I43" s="47" t="str">
        <f>IF($D43=0,"",INDEX(_Bantu!H:H,$D43))</f>
        <v/>
      </c>
      <c r="J43" s="47" t="str">
        <f t="shared" si="32"/>
        <v/>
      </c>
      <c r="K43" s="36" t="str">
        <f t="shared" si="33"/>
        <v>Belum isi</v>
      </c>
      <c r="L43" s="36">
        <f>SUMPRODUCT(MAX((_Bantu!$C$2:$C$2001=$A43&amp;"|2")*ROW(_Bantu!$C$2:$C$2001)))</f>
        <v>0</v>
      </c>
      <c r="M43" s="47" t="str">
        <f>IF($L43=0,"",INDEX(_Bantu!D:D,$L43))</f>
        <v/>
      </c>
      <c r="N43" s="47" t="str">
        <f>IF($L43=0,"",INDEX(_Bantu!E:E,$L43))</f>
        <v/>
      </c>
      <c r="O43" s="47" t="str">
        <f>IF($L43=0,"",INDEX(_Bantu!F:F,$L43))</f>
        <v/>
      </c>
      <c r="P43" s="47" t="str">
        <f>IF($L43=0,"",INDEX(_Bantu!G:G,$L43))</f>
        <v/>
      </c>
      <c r="Q43" s="47" t="str">
        <f>IF($L43=0,"",INDEX(_Bantu!H:H,$L43))</f>
        <v/>
      </c>
      <c r="R43" s="47" t="str">
        <f t="shared" si="34"/>
        <v/>
      </c>
      <c r="S43" s="36" t="str">
        <f t="shared" si="35"/>
        <v>Belum isi</v>
      </c>
      <c r="T43" s="36">
        <f>SUMPRODUCT(MAX((_Bantu!$C$2:$C$2001=$A43&amp;"|3")*ROW(_Bantu!$C$2:$C$2001)))</f>
        <v>0</v>
      </c>
      <c r="U43" s="47" t="str">
        <f>IF($T43=0,"",INDEX(_Bantu!D:D,$T43))</f>
        <v/>
      </c>
      <c r="V43" s="47" t="str">
        <f>IF($T43=0,"",INDEX(_Bantu!E:E,$T43))</f>
        <v/>
      </c>
      <c r="W43" s="47" t="str">
        <f>IF($T43=0,"",INDEX(_Bantu!F:F,$T43))</f>
        <v/>
      </c>
      <c r="X43" s="47" t="str">
        <f>IF($T43=0,"",INDEX(_Bantu!G:G,$T43))</f>
        <v/>
      </c>
      <c r="Y43" s="47" t="str">
        <f>IF($T43=0,"",INDEX(_Bantu!H:H,$T43))</f>
        <v/>
      </c>
      <c r="Z43" s="47" t="str">
        <f t="shared" si="36"/>
        <v/>
      </c>
      <c r="AA43" s="36" t="str">
        <f t="shared" si="37"/>
        <v>Belum isi</v>
      </c>
      <c r="AB43" s="47">
        <f t="shared" si="38"/>
        <v>0</v>
      </c>
      <c r="AC43" s="47">
        <f t="shared" si="39"/>
        <v>0</v>
      </c>
      <c r="AD43" s="47">
        <f t="shared" si="40"/>
        <v>0</v>
      </c>
      <c r="AE43" s="47">
        <f t="shared" si="41"/>
        <v>0</v>
      </c>
      <c r="AF43" s="47">
        <f t="shared" si="42"/>
        <v>0</v>
      </c>
      <c r="AG43" s="47">
        <f t="shared" si="43"/>
        <v>0</v>
      </c>
      <c r="AH43" s="47">
        <f t="shared" si="44"/>
        <v>0</v>
      </c>
      <c r="AI43" s="47">
        <f t="shared" si="45"/>
        <v>0</v>
      </c>
      <c r="AJ43" s="47">
        <f t="shared" si="46"/>
        <v>0</v>
      </c>
      <c r="AK43" s="47">
        <f t="shared" si="47"/>
        <v>0</v>
      </c>
      <c r="AL43" s="47">
        <f t="shared" si="48"/>
        <v>0</v>
      </c>
      <c r="AM43" s="47">
        <f t="shared" si="49"/>
        <v>0</v>
      </c>
      <c r="AN43" s="47">
        <f t="shared" si="50"/>
        <v>0</v>
      </c>
      <c r="AO43" s="47">
        <f t="shared" si="51"/>
        <v>0</v>
      </c>
      <c r="AP43" s="47">
        <f t="shared" si="52"/>
        <v>0</v>
      </c>
      <c r="AQ43" s="36" t="b">
        <f t="shared" si="53"/>
        <v>0</v>
      </c>
      <c r="AR43" s="48" t="str">
        <f t="shared" si="54"/>
        <v/>
      </c>
      <c r="AS43" s="48" t="str">
        <f>IF(OR(NOT($AQ43),Log_Putaran!$C$6=""),"",$AR43*SUMPRODUCT($AB43:$AF43,Log_Putaran!$L$6:$P$6))</f>
        <v/>
      </c>
      <c r="AT43" s="48" t="str">
        <f>IF(OR(NOT($AQ43),Log_Putaran!$C$7=""),"",$AR43*SUMPRODUCT($AB43:$AF43,Log_Putaran!$L$7:$P$7))</f>
        <v/>
      </c>
      <c r="AU43" s="48" t="str">
        <f>IF(OR(NOT($AQ43),Log_Putaran!$C$8=""),"",$AR43*SUMPRODUCT($AB43:$AF43,Log_Putaran!$L$8:$P$8))</f>
        <v/>
      </c>
      <c r="AV43" s="48" t="str">
        <f>IF(OR(NOT($AQ43),Log_Putaran!$C$9=""),"",$AR43*SUMPRODUCT($AB43:$AF43,Log_Putaran!$L$9:$P$9))</f>
        <v/>
      </c>
      <c r="AW43" s="48" t="str">
        <f>IF(OR(NOT($AQ43),Log_Putaran!$C$10=""),"",$AR43*SUMPRODUCT($AB43:$AF43,Log_Putaran!$L$10:$P$10))</f>
        <v/>
      </c>
      <c r="AX43" s="48" t="str">
        <f>IF(OR(NOT($AQ43),Log_Putaran!$C$11=""),"",$AR43*SUMPRODUCT($AB43:$AF43,Log_Putaran!$L$11:$P$11))</f>
        <v/>
      </c>
      <c r="AY43" s="48" t="str">
        <f>IF(OR(NOT($AQ43),Log_Putaran!$C$12=""),"",$AR43*SUMPRODUCT($AB43:$AF43,Log_Putaran!$L$12:$P$12))</f>
        <v/>
      </c>
      <c r="AZ43" s="48" t="str">
        <f>IF(OR(NOT($AQ43),Log_Putaran!$C$13=""),"",$AR43*SUMPRODUCT($AB43:$AF43,Log_Putaran!$L$13:$P$13))</f>
        <v/>
      </c>
      <c r="BA43" s="48" t="str">
        <f>IF(OR(NOT($AQ43),Log_Putaran!$C$14=""),"",$AR43*SUMPRODUCT($AB43:$AF43,Log_Putaran!$L$14:$P$14))</f>
        <v/>
      </c>
      <c r="BB43" s="48" t="str">
        <f>IF(OR(NOT($AQ43),Log_Putaran!$C$15=""),"",$AR43*SUMPRODUCT($AB43:$AF43,Log_Putaran!$L$15:$P$15))</f>
        <v/>
      </c>
      <c r="BC43" s="48" t="str">
        <f>IF(OR(NOT($AQ43),Log_Putaran!$C$16=""),"",$BB43*SUMPRODUCT($AG43:$AK43,Log_Putaran!$L$16:$P$16))</f>
        <v/>
      </c>
      <c r="BD43" s="48" t="str">
        <f>IF(OR(NOT($AQ43),Log_Putaran!$C$17=""),"",$BB43*SUMPRODUCT($AG43:$AK43,Log_Putaran!$L$17:$P$17))</f>
        <v/>
      </c>
      <c r="BE43" s="48" t="str">
        <f>IF(OR(NOT($AQ43),Log_Putaran!$C$18=""),"",$BB43*SUMPRODUCT($AG43:$AK43,Log_Putaran!$L$18:$P$18))</f>
        <v/>
      </c>
      <c r="BF43" s="48" t="str">
        <f>IF(OR(NOT($AQ43),Log_Putaran!$C$19=""),"",$BB43*SUMPRODUCT($AG43:$AK43,Log_Putaran!$L$19:$P$19))</f>
        <v/>
      </c>
      <c r="BG43" s="48" t="str">
        <f>IF(OR(NOT($AQ43),Log_Putaran!$C$20=""),"",$BB43*SUMPRODUCT($AG43:$AK43,Log_Putaran!$L$20:$P$20))</f>
        <v/>
      </c>
      <c r="BH43" s="48" t="str">
        <f>IF(OR(NOT($AQ43),Log_Putaran!$C$21=""),"",$BB43*SUMPRODUCT($AG43:$AK43,Log_Putaran!$L$21:$P$21))</f>
        <v/>
      </c>
      <c r="BI43" s="48" t="str">
        <f>IF(OR(NOT($AQ43),Log_Putaran!$C$22=""),"",$BB43*SUMPRODUCT($AG43:$AK43,Log_Putaran!$L$22:$P$22))</f>
        <v/>
      </c>
      <c r="BJ43" s="48" t="str">
        <f>IF(OR(NOT($AQ43),Log_Putaran!$C$23=""),"",$BB43*SUMPRODUCT($AG43:$AK43,Log_Putaran!$L$23:$P$23))</f>
        <v/>
      </c>
      <c r="BK43" s="48" t="str">
        <f>IF(OR(NOT($AQ43),Log_Putaran!$C$24=""),"",$BB43*SUMPRODUCT($AG43:$AK43,Log_Putaran!$L$24:$P$24))</f>
        <v/>
      </c>
      <c r="BL43" s="48" t="str">
        <f>IF(OR(NOT($AQ43),Log_Putaran!$C$25=""),"",$BB43*SUMPRODUCT($AG43:$AK43,Log_Putaran!$L$25:$P$25))</f>
        <v/>
      </c>
      <c r="BM43" s="48" t="str">
        <f>IF(OR(NOT($AQ43),Log_Putaran!$C$26=""),"",$BL43*SUMPRODUCT($AL43:$AP43,Log_Putaran!$L$26:$P$26))</f>
        <v/>
      </c>
      <c r="BN43" s="48" t="str">
        <f>IF(OR(NOT($AQ43),Log_Putaran!$C$27=""),"",$BL43*SUMPRODUCT($AL43:$AP43,Log_Putaran!$L$27:$P$27))</f>
        <v/>
      </c>
      <c r="BO43" s="48" t="str">
        <f>IF(OR(NOT($AQ43),Log_Putaran!$C$28=""),"",$BL43*SUMPRODUCT($AL43:$AP43,Log_Putaran!$L$28:$P$28))</f>
        <v/>
      </c>
      <c r="BP43" s="48" t="str">
        <f>IF(OR(NOT($AQ43),Log_Putaran!$C$29=""),"",$BL43*SUMPRODUCT($AL43:$AP43,Log_Putaran!$L$29:$P$29))</f>
        <v/>
      </c>
      <c r="BQ43" s="48" t="str">
        <f>IF(OR(NOT($AQ43),Log_Putaran!$C$30=""),"",$BL43*SUMPRODUCT($AL43:$AP43,Log_Putaran!$L$30:$P$30))</f>
        <v/>
      </c>
      <c r="BR43" s="48" t="str">
        <f>IF(OR(NOT($AQ43),Log_Putaran!$C$31=""),"",$BL43*SUMPRODUCT($AL43:$AP43,Log_Putaran!$L$31:$P$31))</f>
        <v/>
      </c>
      <c r="BS43" s="48" t="str">
        <f>IF(OR(NOT($AQ43),Log_Putaran!$C$32=""),"",$BL43*SUMPRODUCT($AL43:$AP43,Log_Putaran!$L$32:$P$32))</f>
        <v/>
      </c>
      <c r="BT43" s="48" t="str">
        <f>IF(OR(NOT($AQ43),Log_Putaran!$C$33=""),"",$BL43*SUMPRODUCT($AL43:$AP43,Log_Putaran!$L$33:$P$33))</f>
        <v/>
      </c>
      <c r="BU43" s="48" t="str">
        <f>IF(OR(NOT($AQ43),Log_Putaran!$C$34=""),"",$BL43*SUMPRODUCT($AL43:$AP43,Log_Putaran!$L$34:$P$34))</f>
        <v/>
      </c>
      <c r="BV43" s="48" t="str">
        <f>IF(OR(NOT($AQ43),Log_Putaran!$C$35=""),"",$BL43*SUMPRODUCT($AL43:$AP43,Log_Putaran!$L$35:$P$35))</f>
        <v/>
      </c>
      <c r="BW43" s="48" t="str">
        <f t="shared" si="55"/>
        <v/>
      </c>
      <c r="BX43" s="48" t="str">
        <f t="shared" si="56"/>
        <v/>
      </c>
      <c r="BY43" s="38" t="str">
        <f t="shared" si="57"/>
        <v/>
      </c>
      <c r="BZ43" s="49" t="str">
        <f>IF($AQ43,MAX(_DD!$B43:$AE43),"")</f>
        <v/>
      </c>
      <c r="CA43" s="36">
        <f t="shared" si="58"/>
        <v>-9.9999999999999997E+98</v>
      </c>
      <c r="CB43" s="36" t="str">
        <f t="shared" si="59"/>
        <v/>
      </c>
      <c r="CC43" s="36">
        <f t="shared" si="60"/>
        <v>-9.9999999999999997E+98</v>
      </c>
      <c r="CD43" s="36" t="str">
        <f t="shared" si="61"/>
        <v/>
      </c>
      <c r="CE43" s="36" t="str">
        <f t="shared" si="62"/>
        <v/>
      </c>
      <c r="CF43" s="36">
        <f t="shared" si="63"/>
        <v>-9.9999999999999997E+98</v>
      </c>
    </row>
    <row r="44" spans="1:84">
      <c r="A44" s="36" t="str">
        <f>Peserta!A44</f>
        <v>P39</v>
      </c>
      <c r="B44" s="36" t="str">
        <f>IF($C44&gt;0,INDEX(Input!$C:$C,$C44)&amp;"",IF(Peserta!B44="",$A44,Peserta!B44))</f>
        <v>P39</v>
      </c>
      <c r="C44" s="36">
        <f>SUMPRODUCT(MAX((_Bantu!$A$2:$A$2001=$A44)*ROW(_Bantu!$A$2:$A$2001)))</f>
        <v>0</v>
      </c>
      <c r="D44" s="36">
        <f>SUMPRODUCT(MAX((_Bantu!$C$2:$C$2001=$A44&amp;"|1")*ROW(_Bantu!$C$2:$C$2001)))</f>
        <v>0</v>
      </c>
      <c r="E44" s="47" t="str">
        <f>IF($D44=0,"",INDEX(_Bantu!D:D,$D44))</f>
        <v/>
      </c>
      <c r="F44" s="47" t="str">
        <f>IF($D44=0,"",INDEX(_Bantu!E:E,$D44))</f>
        <v/>
      </c>
      <c r="G44" s="47" t="str">
        <f>IF($D44=0,"",INDEX(_Bantu!F:F,$D44))</f>
        <v/>
      </c>
      <c r="H44" s="47" t="str">
        <f>IF($D44=0,"",INDEX(_Bantu!G:G,$D44))</f>
        <v/>
      </c>
      <c r="I44" s="47" t="str">
        <f>IF($D44=0,"",INDEX(_Bantu!H:H,$D44))</f>
        <v/>
      </c>
      <c r="J44" s="47" t="str">
        <f t="shared" si="32"/>
        <v/>
      </c>
      <c r="K44" s="36" t="str">
        <f t="shared" si="33"/>
        <v>Belum isi</v>
      </c>
      <c r="L44" s="36">
        <f>SUMPRODUCT(MAX((_Bantu!$C$2:$C$2001=$A44&amp;"|2")*ROW(_Bantu!$C$2:$C$2001)))</f>
        <v>0</v>
      </c>
      <c r="M44" s="47" t="str">
        <f>IF($L44=0,"",INDEX(_Bantu!D:D,$L44))</f>
        <v/>
      </c>
      <c r="N44" s="47" t="str">
        <f>IF($L44=0,"",INDEX(_Bantu!E:E,$L44))</f>
        <v/>
      </c>
      <c r="O44" s="47" t="str">
        <f>IF($L44=0,"",INDEX(_Bantu!F:F,$L44))</f>
        <v/>
      </c>
      <c r="P44" s="47" t="str">
        <f>IF($L44=0,"",INDEX(_Bantu!G:G,$L44))</f>
        <v/>
      </c>
      <c r="Q44" s="47" t="str">
        <f>IF($L44=0,"",INDEX(_Bantu!H:H,$L44))</f>
        <v/>
      </c>
      <c r="R44" s="47" t="str">
        <f t="shared" si="34"/>
        <v/>
      </c>
      <c r="S44" s="36" t="str">
        <f t="shared" si="35"/>
        <v>Belum isi</v>
      </c>
      <c r="T44" s="36">
        <f>SUMPRODUCT(MAX((_Bantu!$C$2:$C$2001=$A44&amp;"|3")*ROW(_Bantu!$C$2:$C$2001)))</f>
        <v>0</v>
      </c>
      <c r="U44" s="47" t="str">
        <f>IF($T44=0,"",INDEX(_Bantu!D:D,$T44))</f>
        <v/>
      </c>
      <c r="V44" s="47" t="str">
        <f>IF($T44=0,"",INDEX(_Bantu!E:E,$T44))</f>
        <v/>
      </c>
      <c r="W44" s="47" t="str">
        <f>IF($T44=0,"",INDEX(_Bantu!F:F,$T44))</f>
        <v/>
      </c>
      <c r="X44" s="47" t="str">
        <f>IF($T44=0,"",INDEX(_Bantu!G:G,$T44))</f>
        <v/>
      </c>
      <c r="Y44" s="47" t="str">
        <f>IF($T44=0,"",INDEX(_Bantu!H:H,$T44))</f>
        <v/>
      </c>
      <c r="Z44" s="47" t="str">
        <f t="shared" si="36"/>
        <v/>
      </c>
      <c r="AA44" s="36" t="str">
        <f t="shared" si="37"/>
        <v>Belum isi</v>
      </c>
      <c r="AB44" s="47">
        <f t="shared" si="38"/>
        <v>0</v>
      </c>
      <c r="AC44" s="47">
        <f t="shared" si="39"/>
        <v>0</v>
      </c>
      <c r="AD44" s="47">
        <f t="shared" si="40"/>
        <v>0</v>
      </c>
      <c r="AE44" s="47">
        <f t="shared" si="41"/>
        <v>0</v>
      </c>
      <c r="AF44" s="47">
        <f t="shared" si="42"/>
        <v>0</v>
      </c>
      <c r="AG44" s="47">
        <f t="shared" si="43"/>
        <v>0</v>
      </c>
      <c r="AH44" s="47">
        <f t="shared" si="44"/>
        <v>0</v>
      </c>
      <c r="AI44" s="47">
        <f t="shared" si="45"/>
        <v>0</v>
      </c>
      <c r="AJ44" s="47">
        <f t="shared" si="46"/>
        <v>0</v>
      </c>
      <c r="AK44" s="47">
        <f t="shared" si="47"/>
        <v>0</v>
      </c>
      <c r="AL44" s="47">
        <f t="shared" si="48"/>
        <v>0</v>
      </c>
      <c r="AM44" s="47">
        <f t="shared" si="49"/>
        <v>0</v>
      </c>
      <c r="AN44" s="47">
        <f t="shared" si="50"/>
        <v>0</v>
      </c>
      <c r="AO44" s="47">
        <f t="shared" si="51"/>
        <v>0</v>
      </c>
      <c r="AP44" s="47">
        <f t="shared" si="52"/>
        <v>0</v>
      </c>
      <c r="AQ44" s="36" t="b">
        <f t="shared" si="53"/>
        <v>0</v>
      </c>
      <c r="AR44" s="48" t="str">
        <f t="shared" si="54"/>
        <v/>
      </c>
      <c r="AS44" s="48" t="str">
        <f>IF(OR(NOT($AQ44),Log_Putaran!$C$6=""),"",$AR44*SUMPRODUCT($AB44:$AF44,Log_Putaran!$L$6:$P$6))</f>
        <v/>
      </c>
      <c r="AT44" s="48" t="str">
        <f>IF(OR(NOT($AQ44),Log_Putaran!$C$7=""),"",$AR44*SUMPRODUCT($AB44:$AF44,Log_Putaran!$L$7:$P$7))</f>
        <v/>
      </c>
      <c r="AU44" s="48" t="str">
        <f>IF(OR(NOT($AQ44),Log_Putaran!$C$8=""),"",$AR44*SUMPRODUCT($AB44:$AF44,Log_Putaran!$L$8:$P$8))</f>
        <v/>
      </c>
      <c r="AV44" s="48" t="str">
        <f>IF(OR(NOT($AQ44),Log_Putaran!$C$9=""),"",$AR44*SUMPRODUCT($AB44:$AF44,Log_Putaran!$L$9:$P$9))</f>
        <v/>
      </c>
      <c r="AW44" s="48" t="str">
        <f>IF(OR(NOT($AQ44),Log_Putaran!$C$10=""),"",$AR44*SUMPRODUCT($AB44:$AF44,Log_Putaran!$L$10:$P$10))</f>
        <v/>
      </c>
      <c r="AX44" s="48" t="str">
        <f>IF(OR(NOT($AQ44),Log_Putaran!$C$11=""),"",$AR44*SUMPRODUCT($AB44:$AF44,Log_Putaran!$L$11:$P$11))</f>
        <v/>
      </c>
      <c r="AY44" s="48" t="str">
        <f>IF(OR(NOT($AQ44),Log_Putaran!$C$12=""),"",$AR44*SUMPRODUCT($AB44:$AF44,Log_Putaran!$L$12:$P$12))</f>
        <v/>
      </c>
      <c r="AZ44" s="48" t="str">
        <f>IF(OR(NOT($AQ44),Log_Putaran!$C$13=""),"",$AR44*SUMPRODUCT($AB44:$AF44,Log_Putaran!$L$13:$P$13))</f>
        <v/>
      </c>
      <c r="BA44" s="48" t="str">
        <f>IF(OR(NOT($AQ44),Log_Putaran!$C$14=""),"",$AR44*SUMPRODUCT($AB44:$AF44,Log_Putaran!$L$14:$P$14))</f>
        <v/>
      </c>
      <c r="BB44" s="48" t="str">
        <f>IF(OR(NOT($AQ44),Log_Putaran!$C$15=""),"",$AR44*SUMPRODUCT($AB44:$AF44,Log_Putaran!$L$15:$P$15))</f>
        <v/>
      </c>
      <c r="BC44" s="48" t="str">
        <f>IF(OR(NOT($AQ44),Log_Putaran!$C$16=""),"",$BB44*SUMPRODUCT($AG44:$AK44,Log_Putaran!$L$16:$P$16))</f>
        <v/>
      </c>
      <c r="BD44" s="48" t="str">
        <f>IF(OR(NOT($AQ44),Log_Putaran!$C$17=""),"",$BB44*SUMPRODUCT($AG44:$AK44,Log_Putaran!$L$17:$P$17))</f>
        <v/>
      </c>
      <c r="BE44" s="48" t="str">
        <f>IF(OR(NOT($AQ44),Log_Putaran!$C$18=""),"",$BB44*SUMPRODUCT($AG44:$AK44,Log_Putaran!$L$18:$P$18))</f>
        <v/>
      </c>
      <c r="BF44" s="48" t="str">
        <f>IF(OR(NOT($AQ44),Log_Putaran!$C$19=""),"",$BB44*SUMPRODUCT($AG44:$AK44,Log_Putaran!$L$19:$P$19))</f>
        <v/>
      </c>
      <c r="BG44" s="48" t="str">
        <f>IF(OR(NOT($AQ44),Log_Putaran!$C$20=""),"",$BB44*SUMPRODUCT($AG44:$AK44,Log_Putaran!$L$20:$P$20))</f>
        <v/>
      </c>
      <c r="BH44" s="48" t="str">
        <f>IF(OR(NOT($AQ44),Log_Putaran!$C$21=""),"",$BB44*SUMPRODUCT($AG44:$AK44,Log_Putaran!$L$21:$P$21))</f>
        <v/>
      </c>
      <c r="BI44" s="48" t="str">
        <f>IF(OR(NOT($AQ44),Log_Putaran!$C$22=""),"",$BB44*SUMPRODUCT($AG44:$AK44,Log_Putaran!$L$22:$P$22))</f>
        <v/>
      </c>
      <c r="BJ44" s="48" t="str">
        <f>IF(OR(NOT($AQ44),Log_Putaran!$C$23=""),"",$BB44*SUMPRODUCT($AG44:$AK44,Log_Putaran!$L$23:$P$23))</f>
        <v/>
      </c>
      <c r="BK44" s="48" t="str">
        <f>IF(OR(NOT($AQ44),Log_Putaran!$C$24=""),"",$BB44*SUMPRODUCT($AG44:$AK44,Log_Putaran!$L$24:$P$24))</f>
        <v/>
      </c>
      <c r="BL44" s="48" t="str">
        <f>IF(OR(NOT($AQ44),Log_Putaran!$C$25=""),"",$BB44*SUMPRODUCT($AG44:$AK44,Log_Putaran!$L$25:$P$25))</f>
        <v/>
      </c>
      <c r="BM44" s="48" t="str">
        <f>IF(OR(NOT($AQ44),Log_Putaran!$C$26=""),"",$BL44*SUMPRODUCT($AL44:$AP44,Log_Putaran!$L$26:$P$26))</f>
        <v/>
      </c>
      <c r="BN44" s="48" t="str">
        <f>IF(OR(NOT($AQ44),Log_Putaran!$C$27=""),"",$BL44*SUMPRODUCT($AL44:$AP44,Log_Putaran!$L$27:$P$27))</f>
        <v/>
      </c>
      <c r="BO44" s="48" t="str">
        <f>IF(OR(NOT($AQ44),Log_Putaran!$C$28=""),"",$BL44*SUMPRODUCT($AL44:$AP44,Log_Putaran!$L$28:$P$28))</f>
        <v/>
      </c>
      <c r="BP44" s="48" t="str">
        <f>IF(OR(NOT($AQ44),Log_Putaran!$C$29=""),"",$BL44*SUMPRODUCT($AL44:$AP44,Log_Putaran!$L$29:$P$29))</f>
        <v/>
      </c>
      <c r="BQ44" s="48" t="str">
        <f>IF(OR(NOT($AQ44),Log_Putaran!$C$30=""),"",$BL44*SUMPRODUCT($AL44:$AP44,Log_Putaran!$L$30:$P$30))</f>
        <v/>
      </c>
      <c r="BR44" s="48" t="str">
        <f>IF(OR(NOT($AQ44),Log_Putaran!$C$31=""),"",$BL44*SUMPRODUCT($AL44:$AP44,Log_Putaran!$L$31:$P$31))</f>
        <v/>
      </c>
      <c r="BS44" s="48" t="str">
        <f>IF(OR(NOT($AQ44),Log_Putaran!$C$32=""),"",$BL44*SUMPRODUCT($AL44:$AP44,Log_Putaran!$L$32:$P$32))</f>
        <v/>
      </c>
      <c r="BT44" s="48" t="str">
        <f>IF(OR(NOT($AQ44),Log_Putaran!$C$33=""),"",$BL44*SUMPRODUCT($AL44:$AP44,Log_Putaran!$L$33:$P$33))</f>
        <v/>
      </c>
      <c r="BU44" s="48" t="str">
        <f>IF(OR(NOT($AQ44),Log_Putaran!$C$34=""),"",$BL44*SUMPRODUCT($AL44:$AP44,Log_Putaran!$L$34:$P$34))</f>
        <v/>
      </c>
      <c r="BV44" s="48" t="str">
        <f>IF(OR(NOT($AQ44),Log_Putaran!$C$35=""),"",$BL44*SUMPRODUCT($AL44:$AP44,Log_Putaran!$L$35:$P$35))</f>
        <v/>
      </c>
      <c r="BW44" s="48" t="str">
        <f t="shared" si="55"/>
        <v/>
      </c>
      <c r="BX44" s="48" t="str">
        <f t="shared" si="56"/>
        <v/>
      </c>
      <c r="BY44" s="38" t="str">
        <f t="shared" si="57"/>
        <v/>
      </c>
      <c r="BZ44" s="49" t="str">
        <f>IF($AQ44,MAX(_DD!$B44:$AE44),"")</f>
        <v/>
      </c>
      <c r="CA44" s="36">
        <f t="shared" si="58"/>
        <v>-9.9999999999999997E+98</v>
      </c>
      <c r="CB44" s="36" t="str">
        <f t="shared" si="59"/>
        <v/>
      </c>
      <c r="CC44" s="36">
        <f t="shared" si="60"/>
        <v>-9.9999999999999997E+98</v>
      </c>
      <c r="CD44" s="36" t="str">
        <f t="shared" si="61"/>
        <v/>
      </c>
      <c r="CE44" s="36" t="str">
        <f t="shared" si="62"/>
        <v/>
      </c>
      <c r="CF44" s="36">
        <f t="shared" si="63"/>
        <v>-9.9999999999999997E+98</v>
      </c>
    </row>
    <row r="45" spans="1:84">
      <c r="A45" s="36" t="str">
        <f>Peserta!A45</f>
        <v>P40</v>
      </c>
      <c r="B45" s="36" t="str">
        <f>IF($C45&gt;0,INDEX(Input!$C:$C,$C45)&amp;"",IF(Peserta!B45="",$A45,Peserta!B45))</f>
        <v>P40</v>
      </c>
      <c r="C45" s="36">
        <f>SUMPRODUCT(MAX((_Bantu!$A$2:$A$2001=$A45)*ROW(_Bantu!$A$2:$A$2001)))</f>
        <v>0</v>
      </c>
      <c r="D45" s="36">
        <f>SUMPRODUCT(MAX((_Bantu!$C$2:$C$2001=$A45&amp;"|1")*ROW(_Bantu!$C$2:$C$2001)))</f>
        <v>0</v>
      </c>
      <c r="E45" s="47" t="str">
        <f>IF($D45=0,"",INDEX(_Bantu!D:D,$D45))</f>
        <v/>
      </c>
      <c r="F45" s="47" t="str">
        <f>IF($D45=0,"",INDEX(_Bantu!E:E,$D45))</f>
        <v/>
      </c>
      <c r="G45" s="47" t="str">
        <f>IF($D45=0,"",INDEX(_Bantu!F:F,$D45))</f>
        <v/>
      </c>
      <c r="H45" s="47" t="str">
        <f>IF($D45=0,"",INDEX(_Bantu!G:G,$D45))</f>
        <v/>
      </c>
      <c r="I45" s="47" t="str">
        <f>IF($D45=0,"",INDEX(_Bantu!H:H,$D45))</f>
        <v/>
      </c>
      <c r="J45" s="47" t="str">
        <f t="shared" si="32"/>
        <v/>
      </c>
      <c r="K45" s="36" t="str">
        <f t="shared" si="33"/>
        <v>Belum isi</v>
      </c>
      <c r="L45" s="36">
        <f>SUMPRODUCT(MAX((_Bantu!$C$2:$C$2001=$A45&amp;"|2")*ROW(_Bantu!$C$2:$C$2001)))</f>
        <v>0</v>
      </c>
      <c r="M45" s="47" t="str">
        <f>IF($L45=0,"",INDEX(_Bantu!D:D,$L45))</f>
        <v/>
      </c>
      <c r="N45" s="47" t="str">
        <f>IF($L45=0,"",INDEX(_Bantu!E:E,$L45))</f>
        <v/>
      </c>
      <c r="O45" s="47" t="str">
        <f>IF($L45=0,"",INDEX(_Bantu!F:F,$L45))</f>
        <v/>
      </c>
      <c r="P45" s="47" t="str">
        <f>IF($L45=0,"",INDEX(_Bantu!G:G,$L45))</f>
        <v/>
      </c>
      <c r="Q45" s="47" t="str">
        <f>IF($L45=0,"",INDEX(_Bantu!H:H,$L45))</f>
        <v/>
      </c>
      <c r="R45" s="47" t="str">
        <f t="shared" si="34"/>
        <v/>
      </c>
      <c r="S45" s="36" t="str">
        <f t="shared" si="35"/>
        <v>Belum isi</v>
      </c>
      <c r="T45" s="36">
        <f>SUMPRODUCT(MAX((_Bantu!$C$2:$C$2001=$A45&amp;"|3")*ROW(_Bantu!$C$2:$C$2001)))</f>
        <v>0</v>
      </c>
      <c r="U45" s="47" t="str">
        <f>IF($T45=0,"",INDEX(_Bantu!D:D,$T45))</f>
        <v/>
      </c>
      <c r="V45" s="47" t="str">
        <f>IF($T45=0,"",INDEX(_Bantu!E:E,$T45))</f>
        <v/>
      </c>
      <c r="W45" s="47" t="str">
        <f>IF($T45=0,"",INDEX(_Bantu!F:F,$T45))</f>
        <v/>
      </c>
      <c r="X45" s="47" t="str">
        <f>IF($T45=0,"",INDEX(_Bantu!G:G,$T45))</f>
        <v/>
      </c>
      <c r="Y45" s="47" t="str">
        <f>IF($T45=0,"",INDEX(_Bantu!H:H,$T45))</f>
        <v/>
      </c>
      <c r="Z45" s="47" t="str">
        <f t="shared" si="36"/>
        <v/>
      </c>
      <c r="AA45" s="36" t="str">
        <f t="shared" si="37"/>
        <v>Belum isi</v>
      </c>
      <c r="AB45" s="47">
        <f t="shared" si="38"/>
        <v>0</v>
      </c>
      <c r="AC45" s="47">
        <f t="shared" si="39"/>
        <v>0</v>
      </c>
      <c r="AD45" s="47">
        <f t="shared" si="40"/>
        <v>0</v>
      </c>
      <c r="AE45" s="47">
        <f t="shared" si="41"/>
        <v>0</v>
      </c>
      <c r="AF45" s="47">
        <f t="shared" si="42"/>
        <v>0</v>
      </c>
      <c r="AG45" s="47">
        <f t="shared" si="43"/>
        <v>0</v>
      </c>
      <c r="AH45" s="47">
        <f t="shared" si="44"/>
        <v>0</v>
      </c>
      <c r="AI45" s="47">
        <f t="shared" si="45"/>
        <v>0</v>
      </c>
      <c r="AJ45" s="47">
        <f t="shared" si="46"/>
        <v>0</v>
      </c>
      <c r="AK45" s="47">
        <f t="shared" si="47"/>
        <v>0</v>
      </c>
      <c r="AL45" s="47">
        <f t="shared" si="48"/>
        <v>0</v>
      </c>
      <c r="AM45" s="47">
        <f t="shared" si="49"/>
        <v>0</v>
      </c>
      <c r="AN45" s="47">
        <f t="shared" si="50"/>
        <v>0</v>
      </c>
      <c r="AO45" s="47">
        <f t="shared" si="51"/>
        <v>0</v>
      </c>
      <c r="AP45" s="47">
        <f t="shared" si="52"/>
        <v>0</v>
      </c>
      <c r="AQ45" s="36" t="b">
        <f t="shared" si="53"/>
        <v>0</v>
      </c>
      <c r="AR45" s="48" t="str">
        <f t="shared" si="54"/>
        <v/>
      </c>
      <c r="AS45" s="48" t="str">
        <f>IF(OR(NOT($AQ45),Log_Putaran!$C$6=""),"",$AR45*SUMPRODUCT($AB45:$AF45,Log_Putaran!$L$6:$P$6))</f>
        <v/>
      </c>
      <c r="AT45" s="48" t="str">
        <f>IF(OR(NOT($AQ45),Log_Putaran!$C$7=""),"",$AR45*SUMPRODUCT($AB45:$AF45,Log_Putaran!$L$7:$P$7))</f>
        <v/>
      </c>
      <c r="AU45" s="48" t="str">
        <f>IF(OR(NOT($AQ45),Log_Putaran!$C$8=""),"",$AR45*SUMPRODUCT($AB45:$AF45,Log_Putaran!$L$8:$P$8))</f>
        <v/>
      </c>
      <c r="AV45" s="48" t="str">
        <f>IF(OR(NOT($AQ45),Log_Putaran!$C$9=""),"",$AR45*SUMPRODUCT($AB45:$AF45,Log_Putaran!$L$9:$P$9))</f>
        <v/>
      </c>
      <c r="AW45" s="48" t="str">
        <f>IF(OR(NOT($AQ45),Log_Putaran!$C$10=""),"",$AR45*SUMPRODUCT($AB45:$AF45,Log_Putaran!$L$10:$P$10))</f>
        <v/>
      </c>
      <c r="AX45" s="48" t="str">
        <f>IF(OR(NOT($AQ45),Log_Putaran!$C$11=""),"",$AR45*SUMPRODUCT($AB45:$AF45,Log_Putaran!$L$11:$P$11))</f>
        <v/>
      </c>
      <c r="AY45" s="48" t="str">
        <f>IF(OR(NOT($AQ45),Log_Putaran!$C$12=""),"",$AR45*SUMPRODUCT($AB45:$AF45,Log_Putaran!$L$12:$P$12))</f>
        <v/>
      </c>
      <c r="AZ45" s="48" t="str">
        <f>IF(OR(NOT($AQ45),Log_Putaran!$C$13=""),"",$AR45*SUMPRODUCT($AB45:$AF45,Log_Putaran!$L$13:$P$13))</f>
        <v/>
      </c>
      <c r="BA45" s="48" t="str">
        <f>IF(OR(NOT($AQ45),Log_Putaran!$C$14=""),"",$AR45*SUMPRODUCT($AB45:$AF45,Log_Putaran!$L$14:$P$14))</f>
        <v/>
      </c>
      <c r="BB45" s="48" t="str">
        <f>IF(OR(NOT($AQ45),Log_Putaran!$C$15=""),"",$AR45*SUMPRODUCT($AB45:$AF45,Log_Putaran!$L$15:$P$15))</f>
        <v/>
      </c>
      <c r="BC45" s="48" t="str">
        <f>IF(OR(NOT($AQ45),Log_Putaran!$C$16=""),"",$BB45*SUMPRODUCT($AG45:$AK45,Log_Putaran!$L$16:$P$16))</f>
        <v/>
      </c>
      <c r="BD45" s="48" t="str">
        <f>IF(OR(NOT($AQ45),Log_Putaran!$C$17=""),"",$BB45*SUMPRODUCT($AG45:$AK45,Log_Putaran!$L$17:$P$17))</f>
        <v/>
      </c>
      <c r="BE45" s="48" t="str">
        <f>IF(OR(NOT($AQ45),Log_Putaran!$C$18=""),"",$BB45*SUMPRODUCT($AG45:$AK45,Log_Putaran!$L$18:$P$18))</f>
        <v/>
      </c>
      <c r="BF45" s="48" t="str">
        <f>IF(OR(NOT($AQ45),Log_Putaran!$C$19=""),"",$BB45*SUMPRODUCT($AG45:$AK45,Log_Putaran!$L$19:$P$19))</f>
        <v/>
      </c>
      <c r="BG45" s="48" t="str">
        <f>IF(OR(NOT($AQ45),Log_Putaran!$C$20=""),"",$BB45*SUMPRODUCT($AG45:$AK45,Log_Putaran!$L$20:$P$20))</f>
        <v/>
      </c>
      <c r="BH45" s="48" t="str">
        <f>IF(OR(NOT($AQ45),Log_Putaran!$C$21=""),"",$BB45*SUMPRODUCT($AG45:$AK45,Log_Putaran!$L$21:$P$21))</f>
        <v/>
      </c>
      <c r="BI45" s="48" t="str">
        <f>IF(OR(NOT($AQ45),Log_Putaran!$C$22=""),"",$BB45*SUMPRODUCT($AG45:$AK45,Log_Putaran!$L$22:$P$22))</f>
        <v/>
      </c>
      <c r="BJ45" s="48" t="str">
        <f>IF(OR(NOT($AQ45),Log_Putaran!$C$23=""),"",$BB45*SUMPRODUCT($AG45:$AK45,Log_Putaran!$L$23:$P$23))</f>
        <v/>
      </c>
      <c r="BK45" s="48" t="str">
        <f>IF(OR(NOT($AQ45),Log_Putaran!$C$24=""),"",$BB45*SUMPRODUCT($AG45:$AK45,Log_Putaran!$L$24:$P$24))</f>
        <v/>
      </c>
      <c r="BL45" s="48" t="str">
        <f>IF(OR(NOT($AQ45),Log_Putaran!$C$25=""),"",$BB45*SUMPRODUCT($AG45:$AK45,Log_Putaran!$L$25:$P$25))</f>
        <v/>
      </c>
      <c r="BM45" s="48" t="str">
        <f>IF(OR(NOT($AQ45),Log_Putaran!$C$26=""),"",$BL45*SUMPRODUCT($AL45:$AP45,Log_Putaran!$L$26:$P$26))</f>
        <v/>
      </c>
      <c r="BN45" s="48" t="str">
        <f>IF(OR(NOT($AQ45),Log_Putaran!$C$27=""),"",$BL45*SUMPRODUCT($AL45:$AP45,Log_Putaran!$L$27:$P$27))</f>
        <v/>
      </c>
      <c r="BO45" s="48" t="str">
        <f>IF(OR(NOT($AQ45),Log_Putaran!$C$28=""),"",$BL45*SUMPRODUCT($AL45:$AP45,Log_Putaran!$L$28:$P$28))</f>
        <v/>
      </c>
      <c r="BP45" s="48" t="str">
        <f>IF(OR(NOT($AQ45),Log_Putaran!$C$29=""),"",$BL45*SUMPRODUCT($AL45:$AP45,Log_Putaran!$L$29:$P$29))</f>
        <v/>
      </c>
      <c r="BQ45" s="48" t="str">
        <f>IF(OR(NOT($AQ45),Log_Putaran!$C$30=""),"",$BL45*SUMPRODUCT($AL45:$AP45,Log_Putaran!$L$30:$P$30))</f>
        <v/>
      </c>
      <c r="BR45" s="48" t="str">
        <f>IF(OR(NOT($AQ45),Log_Putaran!$C$31=""),"",$BL45*SUMPRODUCT($AL45:$AP45,Log_Putaran!$L$31:$P$31))</f>
        <v/>
      </c>
      <c r="BS45" s="48" t="str">
        <f>IF(OR(NOT($AQ45),Log_Putaran!$C$32=""),"",$BL45*SUMPRODUCT($AL45:$AP45,Log_Putaran!$L$32:$P$32))</f>
        <v/>
      </c>
      <c r="BT45" s="48" t="str">
        <f>IF(OR(NOT($AQ45),Log_Putaran!$C$33=""),"",$BL45*SUMPRODUCT($AL45:$AP45,Log_Putaran!$L$33:$P$33))</f>
        <v/>
      </c>
      <c r="BU45" s="48" t="str">
        <f>IF(OR(NOT($AQ45),Log_Putaran!$C$34=""),"",$BL45*SUMPRODUCT($AL45:$AP45,Log_Putaran!$L$34:$P$34))</f>
        <v/>
      </c>
      <c r="BV45" s="48" t="str">
        <f>IF(OR(NOT($AQ45),Log_Putaran!$C$35=""),"",$BL45*SUMPRODUCT($AL45:$AP45,Log_Putaran!$L$35:$P$35))</f>
        <v/>
      </c>
      <c r="BW45" s="48" t="str">
        <f t="shared" si="55"/>
        <v/>
      </c>
      <c r="BX45" s="48" t="str">
        <f t="shared" si="56"/>
        <v/>
      </c>
      <c r="BY45" s="38" t="str">
        <f t="shared" si="57"/>
        <v/>
      </c>
      <c r="BZ45" s="49" t="str">
        <f>IF($AQ45,MAX(_DD!$B45:$AE45),"")</f>
        <v/>
      </c>
      <c r="CA45" s="36">
        <f t="shared" si="58"/>
        <v>-9.9999999999999997E+98</v>
      </c>
      <c r="CB45" s="36" t="str">
        <f t="shared" si="59"/>
        <v/>
      </c>
      <c r="CC45" s="36">
        <f t="shared" si="60"/>
        <v>-9.9999999999999997E+98</v>
      </c>
      <c r="CD45" s="36" t="str">
        <f t="shared" si="61"/>
        <v/>
      </c>
      <c r="CE45" s="36" t="str">
        <f t="shared" si="62"/>
        <v/>
      </c>
      <c r="CF45" s="36">
        <f t="shared" si="63"/>
        <v>-9.9999999999999997E+98</v>
      </c>
    </row>
    <row r="46" spans="1:84">
      <c r="A46" s="36" t="str">
        <f>Peserta!A46</f>
        <v>P41</v>
      </c>
      <c r="B46" s="36" t="str">
        <f>IF($C46&gt;0,INDEX(Input!$C:$C,$C46)&amp;"",IF(Peserta!B46="",$A46,Peserta!B46))</f>
        <v>P41</v>
      </c>
      <c r="C46" s="36">
        <f>SUMPRODUCT(MAX((_Bantu!$A$2:$A$2001=$A46)*ROW(_Bantu!$A$2:$A$2001)))</f>
        <v>0</v>
      </c>
      <c r="D46" s="36">
        <f>SUMPRODUCT(MAX((_Bantu!$C$2:$C$2001=$A46&amp;"|1")*ROW(_Bantu!$C$2:$C$2001)))</f>
        <v>0</v>
      </c>
      <c r="E46" s="47" t="str">
        <f>IF($D46=0,"",INDEX(_Bantu!D:D,$D46))</f>
        <v/>
      </c>
      <c r="F46" s="47" t="str">
        <f>IF($D46=0,"",INDEX(_Bantu!E:E,$D46))</f>
        <v/>
      </c>
      <c r="G46" s="47" t="str">
        <f>IF($D46=0,"",INDEX(_Bantu!F:F,$D46))</f>
        <v/>
      </c>
      <c r="H46" s="47" t="str">
        <f>IF($D46=0,"",INDEX(_Bantu!G:G,$D46))</f>
        <v/>
      </c>
      <c r="I46" s="47" t="str">
        <f>IF($D46=0,"",INDEX(_Bantu!H:H,$D46))</f>
        <v/>
      </c>
      <c r="J46" s="47" t="str">
        <f t="shared" si="32"/>
        <v/>
      </c>
      <c r="K46" s="36" t="str">
        <f t="shared" si="33"/>
        <v>Belum isi</v>
      </c>
      <c r="L46" s="36">
        <f>SUMPRODUCT(MAX((_Bantu!$C$2:$C$2001=$A46&amp;"|2")*ROW(_Bantu!$C$2:$C$2001)))</f>
        <v>0</v>
      </c>
      <c r="M46" s="47" t="str">
        <f>IF($L46=0,"",INDEX(_Bantu!D:D,$L46))</f>
        <v/>
      </c>
      <c r="N46" s="47" t="str">
        <f>IF($L46=0,"",INDEX(_Bantu!E:E,$L46))</f>
        <v/>
      </c>
      <c r="O46" s="47" t="str">
        <f>IF($L46=0,"",INDEX(_Bantu!F:F,$L46))</f>
        <v/>
      </c>
      <c r="P46" s="47" t="str">
        <f>IF($L46=0,"",INDEX(_Bantu!G:G,$L46))</f>
        <v/>
      </c>
      <c r="Q46" s="47" t="str">
        <f>IF($L46=0,"",INDEX(_Bantu!H:H,$L46))</f>
        <v/>
      </c>
      <c r="R46" s="47" t="str">
        <f t="shared" si="34"/>
        <v/>
      </c>
      <c r="S46" s="36" t="str">
        <f t="shared" si="35"/>
        <v>Belum isi</v>
      </c>
      <c r="T46" s="36">
        <f>SUMPRODUCT(MAX((_Bantu!$C$2:$C$2001=$A46&amp;"|3")*ROW(_Bantu!$C$2:$C$2001)))</f>
        <v>0</v>
      </c>
      <c r="U46" s="47" t="str">
        <f>IF($T46=0,"",INDEX(_Bantu!D:D,$T46))</f>
        <v/>
      </c>
      <c r="V46" s="47" t="str">
        <f>IF($T46=0,"",INDEX(_Bantu!E:E,$T46))</f>
        <v/>
      </c>
      <c r="W46" s="47" t="str">
        <f>IF($T46=0,"",INDEX(_Bantu!F:F,$T46))</f>
        <v/>
      </c>
      <c r="X46" s="47" t="str">
        <f>IF($T46=0,"",INDEX(_Bantu!G:G,$T46))</f>
        <v/>
      </c>
      <c r="Y46" s="47" t="str">
        <f>IF($T46=0,"",INDEX(_Bantu!H:H,$T46))</f>
        <v/>
      </c>
      <c r="Z46" s="47" t="str">
        <f t="shared" si="36"/>
        <v/>
      </c>
      <c r="AA46" s="36" t="str">
        <f t="shared" si="37"/>
        <v>Belum isi</v>
      </c>
      <c r="AB46" s="47">
        <f t="shared" si="38"/>
        <v>0</v>
      </c>
      <c r="AC46" s="47">
        <f t="shared" si="39"/>
        <v>0</v>
      </c>
      <c r="AD46" s="47">
        <f t="shared" si="40"/>
        <v>0</v>
      </c>
      <c r="AE46" s="47">
        <f t="shared" si="41"/>
        <v>0</v>
      </c>
      <c r="AF46" s="47">
        <f t="shared" si="42"/>
        <v>0</v>
      </c>
      <c r="AG46" s="47">
        <f t="shared" si="43"/>
        <v>0</v>
      </c>
      <c r="AH46" s="47">
        <f t="shared" si="44"/>
        <v>0</v>
      </c>
      <c r="AI46" s="47">
        <f t="shared" si="45"/>
        <v>0</v>
      </c>
      <c r="AJ46" s="47">
        <f t="shared" si="46"/>
        <v>0</v>
      </c>
      <c r="AK46" s="47">
        <f t="shared" si="47"/>
        <v>0</v>
      </c>
      <c r="AL46" s="47">
        <f t="shared" si="48"/>
        <v>0</v>
      </c>
      <c r="AM46" s="47">
        <f t="shared" si="49"/>
        <v>0</v>
      </c>
      <c r="AN46" s="47">
        <f t="shared" si="50"/>
        <v>0</v>
      </c>
      <c r="AO46" s="47">
        <f t="shared" si="51"/>
        <v>0</v>
      </c>
      <c r="AP46" s="47">
        <f t="shared" si="52"/>
        <v>0</v>
      </c>
      <c r="AQ46" s="36" t="b">
        <f t="shared" si="53"/>
        <v>0</v>
      </c>
      <c r="AR46" s="48" t="str">
        <f t="shared" si="54"/>
        <v/>
      </c>
      <c r="AS46" s="48" t="str">
        <f>IF(OR(NOT($AQ46),Log_Putaran!$C$6=""),"",$AR46*SUMPRODUCT($AB46:$AF46,Log_Putaran!$L$6:$P$6))</f>
        <v/>
      </c>
      <c r="AT46" s="48" t="str">
        <f>IF(OR(NOT($AQ46),Log_Putaran!$C$7=""),"",$AR46*SUMPRODUCT($AB46:$AF46,Log_Putaran!$L$7:$P$7))</f>
        <v/>
      </c>
      <c r="AU46" s="48" t="str">
        <f>IF(OR(NOT($AQ46),Log_Putaran!$C$8=""),"",$AR46*SUMPRODUCT($AB46:$AF46,Log_Putaran!$L$8:$P$8))</f>
        <v/>
      </c>
      <c r="AV46" s="48" t="str">
        <f>IF(OR(NOT($AQ46),Log_Putaran!$C$9=""),"",$AR46*SUMPRODUCT($AB46:$AF46,Log_Putaran!$L$9:$P$9))</f>
        <v/>
      </c>
      <c r="AW46" s="48" t="str">
        <f>IF(OR(NOT($AQ46),Log_Putaran!$C$10=""),"",$AR46*SUMPRODUCT($AB46:$AF46,Log_Putaran!$L$10:$P$10))</f>
        <v/>
      </c>
      <c r="AX46" s="48" t="str">
        <f>IF(OR(NOT($AQ46),Log_Putaran!$C$11=""),"",$AR46*SUMPRODUCT($AB46:$AF46,Log_Putaran!$L$11:$P$11))</f>
        <v/>
      </c>
      <c r="AY46" s="48" t="str">
        <f>IF(OR(NOT($AQ46),Log_Putaran!$C$12=""),"",$AR46*SUMPRODUCT($AB46:$AF46,Log_Putaran!$L$12:$P$12))</f>
        <v/>
      </c>
      <c r="AZ46" s="48" t="str">
        <f>IF(OR(NOT($AQ46),Log_Putaran!$C$13=""),"",$AR46*SUMPRODUCT($AB46:$AF46,Log_Putaran!$L$13:$P$13))</f>
        <v/>
      </c>
      <c r="BA46" s="48" t="str">
        <f>IF(OR(NOT($AQ46),Log_Putaran!$C$14=""),"",$AR46*SUMPRODUCT($AB46:$AF46,Log_Putaran!$L$14:$P$14))</f>
        <v/>
      </c>
      <c r="BB46" s="48" t="str">
        <f>IF(OR(NOT($AQ46),Log_Putaran!$C$15=""),"",$AR46*SUMPRODUCT($AB46:$AF46,Log_Putaran!$L$15:$P$15))</f>
        <v/>
      </c>
      <c r="BC46" s="48" t="str">
        <f>IF(OR(NOT($AQ46),Log_Putaran!$C$16=""),"",$BB46*SUMPRODUCT($AG46:$AK46,Log_Putaran!$L$16:$P$16))</f>
        <v/>
      </c>
      <c r="BD46" s="48" t="str">
        <f>IF(OR(NOT($AQ46),Log_Putaran!$C$17=""),"",$BB46*SUMPRODUCT($AG46:$AK46,Log_Putaran!$L$17:$P$17))</f>
        <v/>
      </c>
      <c r="BE46" s="48" t="str">
        <f>IF(OR(NOT($AQ46),Log_Putaran!$C$18=""),"",$BB46*SUMPRODUCT($AG46:$AK46,Log_Putaran!$L$18:$P$18))</f>
        <v/>
      </c>
      <c r="BF46" s="48" t="str">
        <f>IF(OR(NOT($AQ46),Log_Putaran!$C$19=""),"",$BB46*SUMPRODUCT($AG46:$AK46,Log_Putaran!$L$19:$P$19))</f>
        <v/>
      </c>
      <c r="BG46" s="48" t="str">
        <f>IF(OR(NOT($AQ46),Log_Putaran!$C$20=""),"",$BB46*SUMPRODUCT($AG46:$AK46,Log_Putaran!$L$20:$P$20))</f>
        <v/>
      </c>
      <c r="BH46" s="48" t="str">
        <f>IF(OR(NOT($AQ46),Log_Putaran!$C$21=""),"",$BB46*SUMPRODUCT($AG46:$AK46,Log_Putaran!$L$21:$P$21))</f>
        <v/>
      </c>
      <c r="BI46" s="48" t="str">
        <f>IF(OR(NOT($AQ46),Log_Putaran!$C$22=""),"",$BB46*SUMPRODUCT($AG46:$AK46,Log_Putaran!$L$22:$P$22))</f>
        <v/>
      </c>
      <c r="BJ46" s="48" t="str">
        <f>IF(OR(NOT($AQ46),Log_Putaran!$C$23=""),"",$BB46*SUMPRODUCT($AG46:$AK46,Log_Putaran!$L$23:$P$23))</f>
        <v/>
      </c>
      <c r="BK46" s="48" t="str">
        <f>IF(OR(NOT($AQ46),Log_Putaran!$C$24=""),"",$BB46*SUMPRODUCT($AG46:$AK46,Log_Putaran!$L$24:$P$24))</f>
        <v/>
      </c>
      <c r="BL46" s="48" t="str">
        <f>IF(OR(NOT($AQ46),Log_Putaran!$C$25=""),"",$BB46*SUMPRODUCT($AG46:$AK46,Log_Putaran!$L$25:$P$25))</f>
        <v/>
      </c>
      <c r="BM46" s="48" t="str">
        <f>IF(OR(NOT($AQ46),Log_Putaran!$C$26=""),"",$BL46*SUMPRODUCT($AL46:$AP46,Log_Putaran!$L$26:$P$26))</f>
        <v/>
      </c>
      <c r="BN46" s="48" t="str">
        <f>IF(OR(NOT($AQ46),Log_Putaran!$C$27=""),"",$BL46*SUMPRODUCT($AL46:$AP46,Log_Putaran!$L$27:$P$27))</f>
        <v/>
      </c>
      <c r="BO46" s="48" t="str">
        <f>IF(OR(NOT($AQ46),Log_Putaran!$C$28=""),"",$BL46*SUMPRODUCT($AL46:$AP46,Log_Putaran!$L$28:$P$28))</f>
        <v/>
      </c>
      <c r="BP46" s="48" t="str">
        <f>IF(OR(NOT($AQ46),Log_Putaran!$C$29=""),"",$BL46*SUMPRODUCT($AL46:$AP46,Log_Putaran!$L$29:$P$29))</f>
        <v/>
      </c>
      <c r="BQ46" s="48" t="str">
        <f>IF(OR(NOT($AQ46),Log_Putaran!$C$30=""),"",$BL46*SUMPRODUCT($AL46:$AP46,Log_Putaran!$L$30:$P$30))</f>
        <v/>
      </c>
      <c r="BR46" s="48" t="str">
        <f>IF(OR(NOT($AQ46),Log_Putaran!$C$31=""),"",$BL46*SUMPRODUCT($AL46:$AP46,Log_Putaran!$L$31:$P$31))</f>
        <v/>
      </c>
      <c r="BS46" s="48" t="str">
        <f>IF(OR(NOT($AQ46),Log_Putaran!$C$32=""),"",$BL46*SUMPRODUCT($AL46:$AP46,Log_Putaran!$L$32:$P$32))</f>
        <v/>
      </c>
      <c r="BT46" s="48" t="str">
        <f>IF(OR(NOT($AQ46),Log_Putaran!$C$33=""),"",$BL46*SUMPRODUCT($AL46:$AP46,Log_Putaran!$L$33:$P$33))</f>
        <v/>
      </c>
      <c r="BU46" s="48" t="str">
        <f>IF(OR(NOT($AQ46),Log_Putaran!$C$34=""),"",$BL46*SUMPRODUCT($AL46:$AP46,Log_Putaran!$L$34:$P$34))</f>
        <v/>
      </c>
      <c r="BV46" s="48" t="str">
        <f>IF(OR(NOT($AQ46),Log_Putaran!$C$35=""),"",$BL46*SUMPRODUCT($AL46:$AP46,Log_Putaran!$L$35:$P$35))</f>
        <v/>
      </c>
      <c r="BW46" s="48" t="str">
        <f t="shared" si="55"/>
        <v/>
      </c>
      <c r="BX46" s="48" t="str">
        <f t="shared" si="56"/>
        <v/>
      </c>
      <c r="BY46" s="38" t="str">
        <f t="shared" si="57"/>
        <v/>
      </c>
      <c r="BZ46" s="49" t="str">
        <f>IF($AQ46,MAX(_DD!$B46:$AE46),"")</f>
        <v/>
      </c>
      <c r="CA46" s="36">
        <f t="shared" si="58"/>
        <v>-9.9999999999999997E+98</v>
      </c>
      <c r="CB46" s="36" t="str">
        <f t="shared" si="59"/>
        <v/>
      </c>
      <c r="CC46" s="36">
        <f t="shared" si="60"/>
        <v>-9.9999999999999997E+98</v>
      </c>
      <c r="CD46" s="36" t="str">
        <f t="shared" si="61"/>
        <v/>
      </c>
      <c r="CE46" s="36" t="str">
        <f t="shared" si="62"/>
        <v/>
      </c>
      <c r="CF46" s="36">
        <f t="shared" si="63"/>
        <v>-9.9999999999999997E+98</v>
      </c>
    </row>
    <row r="47" spans="1:84">
      <c r="A47" s="36" t="str">
        <f>Peserta!A47</f>
        <v>P42</v>
      </c>
      <c r="B47" s="36" t="str">
        <f>IF($C47&gt;0,INDEX(Input!$C:$C,$C47)&amp;"",IF(Peserta!B47="",$A47,Peserta!B47))</f>
        <v>P42</v>
      </c>
      <c r="C47" s="36">
        <f>SUMPRODUCT(MAX((_Bantu!$A$2:$A$2001=$A47)*ROW(_Bantu!$A$2:$A$2001)))</f>
        <v>0</v>
      </c>
      <c r="D47" s="36">
        <f>SUMPRODUCT(MAX((_Bantu!$C$2:$C$2001=$A47&amp;"|1")*ROW(_Bantu!$C$2:$C$2001)))</f>
        <v>0</v>
      </c>
      <c r="E47" s="47" t="str">
        <f>IF($D47=0,"",INDEX(_Bantu!D:D,$D47))</f>
        <v/>
      </c>
      <c r="F47" s="47" t="str">
        <f>IF($D47=0,"",INDEX(_Bantu!E:E,$D47))</f>
        <v/>
      </c>
      <c r="G47" s="47" t="str">
        <f>IF($D47=0,"",INDEX(_Bantu!F:F,$D47))</f>
        <v/>
      </c>
      <c r="H47" s="47" t="str">
        <f>IF($D47=0,"",INDEX(_Bantu!G:G,$D47))</f>
        <v/>
      </c>
      <c r="I47" s="47" t="str">
        <f>IF($D47=0,"",INDEX(_Bantu!H:H,$D47))</f>
        <v/>
      </c>
      <c r="J47" s="47" t="str">
        <f t="shared" si="32"/>
        <v/>
      </c>
      <c r="K47" s="36" t="str">
        <f t="shared" si="33"/>
        <v>Belum isi</v>
      </c>
      <c r="L47" s="36">
        <f>SUMPRODUCT(MAX((_Bantu!$C$2:$C$2001=$A47&amp;"|2")*ROW(_Bantu!$C$2:$C$2001)))</f>
        <v>0</v>
      </c>
      <c r="M47" s="47" t="str">
        <f>IF($L47=0,"",INDEX(_Bantu!D:D,$L47))</f>
        <v/>
      </c>
      <c r="N47" s="47" t="str">
        <f>IF($L47=0,"",INDEX(_Bantu!E:E,$L47))</f>
        <v/>
      </c>
      <c r="O47" s="47" t="str">
        <f>IF($L47=0,"",INDEX(_Bantu!F:F,$L47))</f>
        <v/>
      </c>
      <c r="P47" s="47" t="str">
        <f>IF($L47=0,"",INDEX(_Bantu!G:G,$L47))</f>
        <v/>
      </c>
      <c r="Q47" s="47" t="str">
        <f>IF($L47=0,"",INDEX(_Bantu!H:H,$L47))</f>
        <v/>
      </c>
      <c r="R47" s="47" t="str">
        <f t="shared" si="34"/>
        <v/>
      </c>
      <c r="S47" s="36" t="str">
        <f t="shared" si="35"/>
        <v>Belum isi</v>
      </c>
      <c r="T47" s="36">
        <f>SUMPRODUCT(MAX((_Bantu!$C$2:$C$2001=$A47&amp;"|3")*ROW(_Bantu!$C$2:$C$2001)))</f>
        <v>0</v>
      </c>
      <c r="U47" s="47" t="str">
        <f>IF($T47=0,"",INDEX(_Bantu!D:D,$T47))</f>
        <v/>
      </c>
      <c r="V47" s="47" t="str">
        <f>IF($T47=0,"",INDEX(_Bantu!E:E,$T47))</f>
        <v/>
      </c>
      <c r="W47" s="47" t="str">
        <f>IF($T47=0,"",INDEX(_Bantu!F:F,$T47))</f>
        <v/>
      </c>
      <c r="X47" s="47" t="str">
        <f>IF($T47=0,"",INDEX(_Bantu!G:G,$T47))</f>
        <v/>
      </c>
      <c r="Y47" s="47" t="str">
        <f>IF($T47=0,"",INDEX(_Bantu!H:H,$T47))</f>
        <v/>
      </c>
      <c r="Z47" s="47" t="str">
        <f t="shared" si="36"/>
        <v/>
      </c>
      <c r="AA47" s="36" t="str">
        <f t="shared" si="37"/>
        <v>Belum isi</v>
      </c>
      <c r="AB47" s="47">
        <f t="shared" si="38"/>
        <v>0</v>
      </c>
      <c r="AC47" s="47">
        <f t="shared" si="39"/>
        <v>0</v>
      </c>
      <c r="AD47" s="47">
        <f t="shared" si="40"/>
        <v>0</v>
      </c>
      <c r="AE47" s="47">
        <f t="shared" si="41"/>
        <v>0</v>
      </c>
      <c r="AF47" s="47">
        <f t="shared" si="42"/>
        <v>0</v>
      </c>
      <c r="AG47" s="47">
        <f t="shared" si="43"/>
        <v>0</v>
      </c>
      <c r="AH47" s="47">
        <f t="shared" si="44"/>
        <v>0</v>
      </c>
      <c r="AI47" s="47">
        <f t="shared" si="45"/>
        <v>0</v>
      </c>
      <c r="AJ47" s="47">
        <f t="shared" si="46"/>
        <v>0</v>
      </c>
      <c r="AK47" s="47">
        <f t="shared" si="47"/>
        <v>0</v>
      </c>
      <c r="AL47" s="47">
        <f t="shared" si="48"/>
        <v>0</v>
      </c>
      <c r="AM47" s="47">
        <f t="shared" si="49"/>
        <v>0</v>
      </c>
      <c r="AN47" s="47">
        <f t="shared" si="50"/>
        <v>0</v>
      </c>
      <c r="AO47" s="47">
        <f t="shared" si="51"/>
        <v>0</v>
      </c>
      <c r="AP47" s="47">
        <f t="shared" si="52"/>
        <v>0</v>
      </c>
      <c r="AQ47" s="36" t="b">
        <f t="shared" si="53"/>
        <v>0</v>
      </c>
      <c r="AR47" s="48" t="str">
        <f t="shared" si="54"/>
        <v/>
      </c>
      <c r="AS47" s="48" t="str">
        <f>IF(OR(NOT($AQ47),Log_Putaran!$C$6=""),"",$AR47*SUMPRODUCT($AB47:$AF47,Log_Putaran!$L$6:$P$6))</f>
        <v/>
      </c>
      <c r="AT47" s="48" t="str">
        <f>IF(OR(NOT($AQ47),Log_Putaran!$C$7=""),"",$AR47*SUMPRODUCT($AB47:$AF47,Log_Putaran!$L$7:$P$7))</f>
        <v/>
      </c>
      <c r="AU47" s="48" t="str">
        <f>IF(OR(NOT($AQ47),Log_Putaran!$C$8=""),"",$AR47*SUMPRODUCT($AB47:$AF47,Log_Putaran!$L$8:$P$8))</f>
        <v/>
      </c>
      <c r="AV47" s="48" t="str">
        <f>IF(OR(NOT($AQ47),Log_Putaran!$C$9=""),"",$AR47*SUMPRODUCT($AB47:$AF47,Log_Putaran!$L$9:$P$9))</f>
        <v/>
      </c>
      <c r="AW47" s="48" t="str">
        <f>IF(OR(NOT($AQ47),Log_Putaran!$C$10=""),"",$AR47*SUMPRODUCT($AB47:$AF47,Log_Putaran!$L$10:$P$10))</f>
        <v/>
      </c>
      <c r="AX47" s="48" t="str">
        <f>IF(OR(NOT($AQ47),Log_Putaran!$C$11=""),"",$AR47*SUMPRODUCT($AB47:$AF47,Log_Putaran!$L$11:$P$11))</f>
        <v/>
      </c>
      <c r="AY47" s="48" t="str">
        <f>IF(OR(NOT($AQ47),Log_Putaran!$C$12=""),"",$AR47*SUMPRODUCT($AB47:$AF47,Log_Putaran!$L$12:$P$12))</f>
        <v/>
      </c>
      <c r="AZ47" s="48" t="str">
        <f>IF(OR(NOT($AQ47),Log_Putaran!$C$13=""),"",$AR47*SUMPRODUCT($AB47:$AF47,Log_Putaran!$L$13:$P$13))</f>
        <v/>
      </c>
      <c r="BA47" s="48" t="str">
        <f>IF(OR(NOT($AQ47),Log_Putaran!$C$14=""),"",$AR47*SUMPRODUCT($AB47:$AF47,Log_Putaran!$L$14:$P$14))</f>
        <v/>
      </c>
      <c r="BB47" s="48" t="str">
        <f>IF(OR(NOT($AQ47),Log_Putaran!$C$15=""),"",$AR47*SUMPRODUCT($AB47:$AF47,Log_Putaran!$L$15:$P$15))</f>
        <v/>
      </c>
      <c r="BC47" s="48" t="str">
        <f>IF(OR(NOT($AQ47),Log_Putaran!$C$16=""),"",$BB47*SUMPRODUCT($AG47:$AK47,Log_Putaran!$L$16:$P$16))</f>
        <v/>
      </c>
      <c r="BD47" s="48" t="str">
        <f>IF(OR(NOT($AQ47),Log_Putaran!$C$17=""),"",$BB47*SUMPRODUCT($AG47:$AK47,Log_Putaran!$L$17:$P$17))</f>
        <v/>
      </c>
      <c r="BE47" s="48" t="str">
        <f>IF(OR(NOT($AQ47),Log_Putaran!$C$18=""),"",$BB47*SUMPRODUCT($AG47:$AK47,Log_Putaran!$L$18:$P$18))</f>
        <v/>
      </c>
      <c r="BF47" s="48" t="str">
        <f>IF(OR(NOT($AQ47),Log_Putaran!$C$19=""),"",$BB47*SUMPRODUCT($AG47:$AK47,Log_Putaran!$L$19:$P$19))</f>
        <v/>
      </c>
      <c r="BG47" s="48" t="str">
        <f>IF(OR(NOT($AQ47),Log_Putaran!$C$20=""),"",$BB47*SUMPRODUCT($AG47:$AK47,Log_Putaran!$L$20:$P$20))</f>
        <v/>
      </c>
      <c r="BH47" s="48" t="str">
        <f>IF(OR(NOT($AQ47),Log_Putaran!$C$21=""),"",$BB47*SUMPRODUCT($AG47:$AK47,Log_Putaran!$L$21:$P$21))</f>
        <v/>
      </c>
      <c r="BI47" s="48" t="str">
        <f>IF(OR(NOT($AQ47),Log_Putaran!$C$22=""),"",$BB47*SUMPRODUCT($AG47:$AK47,Log_Putaran!$L$22:$P$22))</f>
        <v/>
      </c>
      <c r="BJ47" s="48" t="str">
        <f>IF(OR(NOT($AQ47),Log_Putaran!$C$23=""),"",$BB47*SUMPRODUCT($AG47:$AK47,Log_Putaran!$L$23:$P$23))</f>
        <v/>
      </c>
      <c r="BK47" s="48" t="str">
        <f>IF(OR(NOT($AQ47),Log_Putaran!$C$24=""),"",$BB47*SUMPRODUCT($AG47:$AK47,Log_Putaran!$L$24:$P$24))</f>
        <v/>
      </c>
      <c r="BL47" s="48" t="str">
        <f>IF(OR(NOT($AQ47),Log_Putaran!$C$25=""),"",$BB47*SUMPRODUCT($AG47:$AK47,Log_Putaran!$L$25:$P$25))</f>
        <v/>
      </c>
      <c r="BM47" s="48" t="str">
        <f>IF(OR(NOT($AQ47),Log_Putaran!$C$26=""),"",$BL47*SUMPRODUCT($AL47:$AP47,Log_Putaran!$L$26:$P$26))</f>
        <v/>
      </c>
      <c r="BN47" s="48" t="str">
        <f>IF(OR(NOT($AQ47),Log_Putaran!$C$27=""),"",$BL47*SUMPRODUCT($AL47:$AP47,Log_Putaran!$L$27:$P$27))</f>
        <v/>
      </c>
      <c r="BO47" s="48" t="str">
        <f>IF(OR(NOT($AQ47),Log_Putaran!$C$28=""),"",$BL47*SUMPRODUCT($AL47:$AP47,Log_Putaran!$L$28:$P$28))</f>
        <v/>
      </c>
      <c r="BP47" s="48" t="str">
        <f>IF(OR(NOT($AQ47),Log_Putaran!$C$29=""),"",$BL47*SUMPRODUCT($AL47:$AP47,Log_Putaran!$L$29:$P$29))</f>
        <v/>
      </c>
      <c r="BQ47" s="48" t="str">
        <f>IF(OR(NOT($AQ47),Log_Putaran!$C$30=""),"",$BL47*SUMPRODUCT($AL47:$AP47,Log_Putaran!$L$30:$P$30))</f>
        <v/>
      </c>
      <c r="BR47" s="48" t="str">
        <f>IF(OR(NOT($AQ47),Log_Putaran!$C$31=""),"",$BL47*SUMPRODUCT($AL47:$AP47,Log_Putaran!$L$31:$P$31))</f>
        <v/>
      </c>
      <c r="BS47" s="48" t="str">
        <f>IF(OR(NOT($AQ47),Log_Putaran!$C$32=""),"",$BL47*SUMPRODUCT($AL47:$AP47,Log_Putaran!$L$32:$P$32))</f>
        <v/>
      </c>
      <c r="BT47" s="48" t="str">
        <f>IF(OR(NOT($AQ47),Log_Putaran!$C$33=""),"",$BL47*SUMPRODUCT($AL47:$AP47,Log_Putaran!$L$33:$P$33))</f>
        <v/>
      </c>
      <c r="BU47" s="48" t="str">
        <f>IF(OR(NOT($AQ47),Log_Putaran!$C$34=""),"",$BL47*SUMPRODUCT($AL47:$AP47,Log_Putaran!$L$34:$P$34))</f>
        <v/>
      </c>
      <c r="BV47" s="48" t="str">
        <f>IF(OR(NOT($AQ47),Log_Putaran!$C$35=""),"",$BL47*SUMPRODUCT($AL47:$AP47,Log_Putaran!$L$35:$P$35))</f>
        <v/>
      </c>
      <c r="BW47" s="48" t="str">
        <f t="shared" si="55"/>
        <v/>
      </c>
      <c r="BX47" s="48" t="str">
        <f t="shared" si="56"/>
        <v/>
      </c>
      <c r="BY47" s="38" t="str">
        <f t="shared" si="57"/>
        <v/>
      </c>
      <c r="BZ47" s="49" t="str">
        <f>IF($AQ47,MAX(_DD!$B47:$AE47),"")</f>
        <v/>
      </c>
      <c r="CA47" s="36">
        <f t="shared" si="58"/>
        <v>-9.9999999999999997E+98</v>
      </c>
      <c r="CB47" s="36" t="str">
        <f t="shared" si="59"/>
        <v/>
      </c>
      <c r="CC47" s="36">
        <f t="shared" si="60"/>
        <v>-9.9999999999999997E+98</v>
      </c>
      <c r="CD47" s="36" t="str">
        <f t="shared" si="61"/>
        <v/>
      </c>
      <c r="CE47" s="36" t="str">
        <f t="shared" si="62"/>
        <v/>
      </c>
      <c r="CF47" s="36">
        <f t="shared" si="63"/>
        <v>-9.9999999999999997E+98</v>
      </c>
    </row>
    <row r="48" spans="1:84">
      <c r="A48" s="36" t="str">
        <f>Peserta!A48</f>
        <v>P43</v>
      </c>
      <c r="B48" s="36" t="str">
        <f>IF($C48&gt;0,INDEX(Input!$C:$C,$C48)&amp;"",IF(Peserta!B48="",$A48,Peserta!B48))</f>
        <v>P43</v>
      </c>
      <c r="C48" s="36">
        <f>SUMPRODUCT(MAX((_Bantu!$A$2:$A$2001=$A48)*ROW(_Bantu!$A$2:$A$2001)))</f>
        <v>0</v>
      </c>
      <c r="D48" s="36">
        <f>SUMPRODUCT(MAX((_Bantu!$C$2:$C$2001=$A48&amp;"|1")*ROW(_Bantu!$C$2:$C$2001)))</f>
        <v>0</v>
      </c>
      <c r="E48" s="47" t="str">
        <f>IF($D48=0,"",INDEX(_Bantu!D:D,$D48))</f>
        <v/>
      </c>
      <c r="F48" s="47" t="str">
        <f>IF($D48=0,"",INDEX(_Bantu!E:E,$D48))</f>
        <v/>
      </c>
      <c r="G48" s="47" t="str">
        <f>IF($D48=0,"",INDEX(_Bantu!F:F,$D48))</f>
        <v/>
      </c>
      <c r="H48" s="47" t="str">
        <f>IF($D48=0,"",INDEX(_Bantu!G:G,$D48))</f>
        <v/>
      </c>
      <c r="I48" s="47" t="str">
        <f>IF($D48=0,"",INDEX(_Bantu!H:H,$D48))</f>
        <v/>
      </c>
      <c r="J48" s="47" t="str">
        <f t="shared" si="32"/>
        <v/>
      </c>
      <c r="K48" s="36" t="str">
        <f t="shared" si="33"/>
        <v>Belum isi</v>
      </c>
      <c r="L48" s="36">
        <f>SUMPRODUCT(MAX((_Bantu!$C$2:$C$2001=$A48&amp;"|2")*ROW(_Bantu!$C$2:$C$2001)))</f>
        <v>0</v>
      </c>
      <c r="M48" s="47" t="str">
        <f>IF($L48=0,"",INDEX(_Bantu!D:D,$L48))</f>
        <v/>
      </c>
      <c r="N48" s="47" t="str">
        <f>IF($L48=0,"",INDEX(_Bantu!E:E,$L48))</f>
        <v/>
      </c>
      <c r="O48" s="47" t="str">
        <f>IF($L48=0,"",INDEX(_Bantu!F:F,$L48))</f>
        <v/>
      </c>
      <c r="P48" s="47" t="str">
        <f>IF($L48=0,"",INDEX(_Bantu!G:G,$L48))</f>
        <v/>
      </c>
      <c r="Q48" s="47" t="str">
        <f>IF($L48=0,"",INDEX(_Bantu!H:H,$L48))</f>
        <v/>
      </c>
      <c r="R48" s="47" t="str">
        <f t="shared" si="34"/>
        <v/>
      </c>
      <c r="S48" s="36" t="str">
        <f t="shared" si="35"/>
        <v>Belum isi</v>
      </c>
      <c r="T48" s="36">
        <f>SUMPRODUCT(MAX((_Bantu!$C$2:$C$2001=$A48&amp;"|3")*ROW(_Bantu!$C$2:$C$2001)))</f>
        <v>0</v>
      </c>
      <c r="U48" s="47" t="str">
        <f>IF($T48=0,"",INDEX(_Bantu!D:D,$T48))</f>
        <v/>
      </c>
      <c r="V48" s="47" t="str">
        <f>IF($T48=0,"",INDEX(_Bantu!E:E,$T48))</f>
        <v/>
      </c>
      <c r="W48" s="47" t="str">
        <f>IF($T48=0,"",INDEX(_Bantu!F:F,$T48))</f>
        <v/>
      </c>
      <c r="X48" s="47" t="str">
        <f>IF($T48=0,"",INDEX(_Bantu!G:G,$T48))</f>
        <v/>
      </c>
      <c r="Y48" s="47" t="str">
        <f>IF($T48=0,"",INDEX(_Bantu!H:H,$T48))</f>
        <v/>
      </c>
      <c r="Z48" s="47" t="str">
        <f t="shared" si="36"/>
        <v/>
      </c>
      <c r="AA48" s="36" t="str">
        <f t="shared" si="37"/>
        <v>Belum isi</v>
      </c>
      <c r="AB48" s="47">
        <f t="shared" si="38"/>
        <v>0</v>
      </c>
      <c r="AC48" s="47">
        <f t="shared" si="39"/>
        <v>0</v>
      </c>
      <c r="AD48" s="47">
        <f t="shared" si="40"/>
        <v>0</v>
      </c>
      <c r="AE48" s="47">
        <f t="shared" si="41"/>
        <v>0</v>
      </c>
      <c r="AF48" s="47">
        <f t="shared" si="42"/>
        <v>0</v>
      </c>
      <c r="AG48" s="47">
        <f t="shared" si="43"/>
        <v>0</v>
      </c>
      <c r="AH48" s="47">
        <f t="shared" si="44"/>
        <v>0</v>
      </c>
      <c r="AI48" s="47">
        <f t="shared" si="45"/>
        <v>0</v>
      </c>
      <c r="AJ48" s="47">
        <f t="shared" si="46"/>
        <v>0</v>
      </c>
      <c r="AK48" s="47">
        <f t="shared" si="47"/>
        <v>0</v>
      </c>
      <c r="AL48" s="47">
        <f t="shared" si="48"/>
        <v>0</v>
      </c>
      <c r="AM48" s="47">
        <f t="shared" si="49"/>
        <v>0</v>
      </c>
      <c r="AN48" s="47">
        <f t="shared" si="50"/>
        <v>0</v>
      </c>
      <c r="AO48" s="47">
        <f t="shared" si="51"/>
        <v>0</v>
      </c>
      <c r="AP48" s="47">
        <f t="shared" si="52"/>
        <v>0</v>
      </c>
      <c r="AQ48" s="36" t="b">
        <f t="shared" si="53"/>
        <v>0</v>
      </c>
      <c r="AR48" s="48" t="str">
        <f t="shared" si="54"/>
        <v/>
      </c>
      <c r="AS48" s="48" t="str">
        <f>IF(OR(NOT($AQ48),Log_Putaran!$C$6=""),"",$AR48*SUMPRODUCT($AB48:$AF48,Log_Putaran!$L$6:$P$6))</f>
        <v/>
      </c>
      <c r="AT48" s="48" t="str">
        <f>IF(OR(NOT($AQ48),Log_Putaran!$C$7=""),"",$AR48*SUMPRODUCT($AB48:$AF48,Log_Putaran!$L$7:$P$7))</f>
        <v/>
      </c>
      <c r="AU48" s="48" t="str">
        <f>IF(OR(NOT($AQ48),Log_Putaran!$C$8=""),"",$AR48*SUMPRODUCT($AB48:$AF48,Log_Putaran!$L$8:$P$8))</f>
        <v/>
      </c>
      <c r="AV48" s="48" t="str">
        <f>IF(OR(NOT($AQ48),Log_Putaran!$C$9=""),"",$AR48*SUMPRODUCT($AB48:$AF48,Log_Putaran!$L$9:$P$9))</f>
        <v/>
      </c>
      <c r="AW48" s="48" t="str">
        <f>IF(OR(NOT($AQ48),Log_Putaran!$C$10=""),"",$AR48*SUMPRODUCT($AB48:$AF48,Log_Putaran!$L$10:$P$10))</f>
        <v/>
      </c>
      <c r="AX48" s="48" t="str">
        <f>IF(OR(NOT($AQ48),Log_Putaran!$C$11=""),"",$AR48*SUMPRODUCT($AB48:$AF48,Log_Putaran!$L$11:$P$11))</f>
        <v/>
      </c>
      <c r="AY48" s="48" t="str">
        <f>IF(OR(NOT($AQ48),Log_Putaran!$C$12=""),"",$AR48*SUMPRODUCT($AB48:$AF48,Log_Putaran!$L$12:$P$12))</f>
        <v/>
      </c>
      <c r="AZ48" s="48" t="str">
        <f>IF(OR(NOT($AQ48),Log_Putaran!$C$13=""),"",$AR48*SUMPRODUCT($AB48:$AF48,Log_Putaran!$L$13:$P$13))</f>
        <v/>
      </c>
      <c r="BA48" s="48" t="str">
        <f>IF(OR(NOT($AQ48),Log_Putaran!$C$14=""),"",$AR48*SUMPRODUCT($AB48:$AF48,Log_Putaran!$L$14:$P$14))</f>
        <v/>
      </c>
      <c r="BB48" s="48" t="str">
        <f>IF(OR(NOT($AQ48),Log_Putaran!$C$15=""),"",$AR48*SUMPRODUCT($AB48:$AF48,Log_Putaran!$L$15:$P$15))</f>
        <v/>
      </c>
      <c r="BC48" s="48" t="str">
        <f>IF(OR(NOT($AQ48),Log_Putaran!$C$16=""),"",$BB48*SUMPRODUCT($AG48:$AK48,Log_Putaran!$L$16:$P$16))</f>
        <v/>
      </c>
      <c r="BD48" s="48" t="str">
        <f>IF(OR(NOT($AQ48),Log_Putaran!$C$17=""),"",$BB48*SUMPRODUCT($AG48:$AK48,Log_Putaran!$L$17:$P$17))</f>
        <v/>
      </c>
      <c r="BE48" s="48" t="str">
        <f>IF(OR(NOT($AQ48),Log_Putaran!$C$18=""),"",$BB48*SUMPRODUCT($AG48:$AK48,Log_Putaran!$L$18:$P$18))</f>
        <v/>
      </c>
      <c r="BF48" s="48" t="str">
        <f>IF(OR(NOT($AQ48),Log_Putaran!$C$19=""),"",$BB48*SUMPRODUCT($AG48:$AK48,Log_Putaran!$L$19:$P$19))</f>
        <v/>
      </c>
      <c r="BG48" s="48" t="str">
        <f>IF(OR(NOT($AQ48),Log_Putaran!$C$20=""),"",$BB48*SUMPRODUCT($AG48:$AK48,Log_Putaran!$L$20:$P$20))</f>
        <v/>
      </c>
      <c r="BH48" s="48" t="str">
        <f>IF(OR(NOT($AQ48),Log_Putaran!$C$21=""),"",$BB48*SUMPRODUCT($AG48:$AK48,Log_Putaran!$L$21:$P$21))</f>
        <v/>
      </c>
      <c r="BI48" s="48" t="str">
        <f>IF(OR(NOT($AQ48),Log_Putaran!$C$22=""),"",$BB48*SUMPRODUCT($AG48:$AK48,Log_Putaran!$L$22:$P$22))</f>
        <v/>
      </c>
      <c r="BJ48" s="48" t="str">
        <f>IF(OR(NOT($AQ48),Log_Putaran!$C$23=""),"",$BB48*SUMPRODUCT($AG48:$AK48,Log_Putaran!$L$23:$P$23))</f>
        <v/>
      </c>
      <c r="BK48" s="48" t="str">
        <f>IF(OR(NOT($AQ48),Log_Putaran!$C$24=""),"",$BB48*SUMPRODUCT($AG48:$AK48,Log_Putaran!$L$24:$P$24))</f>
        <v/>
      </c>
      <c r="BL48" s="48" t="str">
        <f>IF(OR(NOT($AQ48),Log_Putaran!$C$25=""),"",$BB48*SUMPRODUCT($AG48:$AK48,Log_Putaran!$L$25:$P$25))</f>
        <v/>
      </c>
      <c r="BM48" s="48" t="str">
        <f>IF(OR(NOT($AQ48),Log_Putaran!$C$26=""),"",$BL48*SUMPRODUCT($AL48:$AP48,Log_Putaran!$L$26:$P$26))</f>
        <v/>
      </c>
      <c r="BN48" s="48" t="str">
        <f>IF(OR(NOT($AQ48),Log_Putaran!$C$27=""),"",$BL48*SUMPRODUCT($AL48:$AP48,Log_Putaran!$L$27:$P$27))</f>
        <v/>
      </c>
      <c r="BO48" s="48" t="str">
        <f>IF(OR(NOT($AQ48),Log_Putaran!$C$28=""),"",$BL48*SUMPRODUCT($AL48:$AP48,Log_Putaran!$L$28:$P$28))</f>
        <v/>
      </c>
      <c r="BP48" s="48" t="str">
        <f>IF(OR(NOT($AQ48),Log_Putaran!$C$29=""),"",$BL48*SUMPRODUCT($AL48:$AP48,Log_Putaran!$L$29:$P$29))</f>
        <v/>
      </c>
      <c r="BQ48" s="48" t="str">
        <f>IF(OR(NOT($AQ48),Log_Putaran!$C$30=""),"",$BL48*SUMPRODUCT($AL48:$AP48,Log_Putaran!$L$30:$P$30))</f>
        <v/>
      </c>
      <c r="BR48" s="48" t="str">
        <f>IF(OR(NOT($AQ48),Log_Putaran!$C$31=""),"",$BL48*SUMPRODUCT($AL48:$AP48,Log_Putaran!$L$31:$P$31))</f>
        <v/>
      </c>
      <c r="BS48" s="48" t="str">
        <f>IF(OR(NOT($AQ48),Log_Putaran!$C$32=""),"",$BL48*SUMPRODUCT($AL48:$AP48,Log_Putaran!$L$32:$P$32))</f>
        <v/>
      </c>
      <c r="BT48" s="48" t="str">
        <f>IF(OR(NOT($AQ48),Log_Putaran!$C$33=""),"",$BL48*SUMPRODUCT($AL48:$AP48,Log_Putaran!$L$33:$P$33))</f>
        <v/>
      </c>
      <c r="BU48" s="48" t="str">
        <f>IF(OR(NOT($AQ48),Log_Putaran!$C$34=""),"",$BL48*SUMPRODUCT($AL48:$AP48,Log_Putaran!$L$34:$P$34))</f>
        <v/>
      </c>
      <c r="BV48" s="48" t="str">
        <f>IF(OR(NOT($AQ48),Log_Putaran!$C$35=""),"",$BL48*SUMPRODUCT($AL48:$AP48,Log_Putaran!$L$35:$P$35))</f>
        <v/>
      </c>
      <c r="BW48" s="48" t="str">
        <f t="shared" si="55"/>
        <v/>
      </c>
      <c r="BX48" s="48" t="str">
        <f t="shared" si="56"/>
        <v/>
      </c>
      <c r="BY48" s="38" t="str">
        <f t="shared" si="57"/>
        <v/>
      </c>
      <c r="BZ48" s="49" t="str">
        <f>IF($AQ48,MAX(_DD!$B48:$AE48),"")</f>
        <v/>
      </c>
      <c r="CA48" s="36">
        <f t="shared" si="58"/>
        <v>-9.9999999999999997E+98</v>
      </c>
      <c r="CB48" s="36" t="str">
        <f t="shared" si="59"/>
        <v/>
      </c>
      <c r="CC48" s="36">
        <f t="shared" si="60"/>
        <v>-9.9999999999999997E+98</v>
      </c>
      <c r="CD48" s="36" t="str">
        <f t="shared" si="61"/>
        <v/>
      </c>
      <c r="CE48" s="36" t="str">
        <f t="shared" si="62"/>
        <v/>
      </c>
      <c r="CF48" s="36">
        <f t="shared" si="63"/>
        <v>-9.9999999999999997E+98</v>
      </c>
    </row>
    <row r="49" spans="1:84">
      <c r="A49" s="36" t="str">
        <f>Peserta!A49</f>
        <v>P44</v>
      </c>
      <c r="B49" s="36" t="str">
        <f>IF($C49&gt;0,INDEX(Input!$C:$C,$C49)&amp;"",IF(Peserta!B49="",$A49,Peserta!B49))</f>
        <v>P44</v>
      </c>
      <c r="C49" s="36">
        <f>SUMPRODUCT(MAX((_Bantu!$A$2:$A$2001=$A49)*ROW(_Bantu!$A$2:$A$2001)))</f>
        <v>0</v>
      </c>
      <c r="D49" s="36">
        <f>SUMPRODUCT(MAX((_Bantu!$C$2:$C$2001=$A49&amp;"|1")*ROW(_Bantu!$C$2:$C$2001)))</f>
        <v>0</v>
      </c>
      <c r="E49" s="47" t="str">
        <f>IF($D49=0,"",INDEX(_Bantu!D:D,$D49))</f>
        <v/>
      </c>
      <c r="F49" s="47" t="str">
        <f>IF($D49=0,"",INDEX(_Bantu!E:E,$D49))</f>
        <v/>
      </c>
      <c r="G49" s="47" t="str">
        <f>IF($D49=0,"",INDEX(_Bantu!F:F,$D49))</f>
        <v/>
      </c>
      <c r="H49" s="47" t="str">
        <f>IF($D49=0,"",INDEX(_Bantu!G:G,$D49))</f>
        <v/>
      </c>
      <c r="I49" s="47" t="str">
        <f>IF($D49=0,"",INDEX(_Bantu!H:H,$D49))</f>
        <v/>
      </c>
      <c r="J49" s="47" t="str">
        <f t="shared" si="32"/>
        <v/>
      </c>
      <c r="K49" s="36" t="str">
        <f t="shared" si="33"/>
        <v>Belum isi</v>
      </c>
      <c r="L49" s="36">
        <f>SUMPRODUCT(MAX((_Bantu!$C$2:$C$2001=$A49&amp;"|2")*ROW(_Bantu!$C$2:$C$2001)))</f>
        <v>0</v>
      </c>
      <c r="M49" s="47" t="str">
        <f>IF($L49=0,"",INDEX(_Bantu!D:D,$L49))</f>
        <v/>
      </c>
      <c r="N49" s="47" t="str">
        <f>IF($L49=0,"",INDEX(_Bantu!E:E,$L49))</f>
        <v/>
      </c>
      <c r="O49" s="47" t="str">
        <f>IF($L49=0,"",INDEX(_Bantu!F:F,$L49))</f>
        <v/>
      </c>
      <c r="P49" s="47" t="str">
        <f>IF($L49=0,"",INDEX(_Bantu!G:G,$L49))</f>
        <v/>
      </c>
      <c r="Q49" s="47" t="str">
        <f>IF($L49=0,"",INDEX(_Bantu!H:H,$L49))</f>
        <v/>
      </c>
      <c r="R49" s="47" t="str">
        <f t="shared" si="34"/>
        <v/>
      </c>
      <c r="S49" s="36" t="str">
        <f t="shared" si="35"/>
        <v>Belum isi</v>
      </c>
      <c r="T49" s="36">
        <f>SUMPRODUCT(MAX((_Bantu!$C$2:$C$2001=$A49&amp;"|3")*ROW(_Bantu!$C$2:$C$2001)))</f>
        <v>0</v>
      </c>
      <c r="U49" s="47" t="str">
        <f>IF($T49=0,"",INDEX(_Bantu!D:D,$T49))</f>
        <v/>
      </c>
      <c r="V49" s="47" t="str">
        <f>IF($T49=0,"",INDEX(_Bantu!E:E,$T49))</f>
        <v/>
      </c>
      <c r="W49" s="47" t="str">
        <f>IF($T49=0,"",INDEX(_Bantu!F:F,$T49))</f>
        <v/>
      </c>
      <c r="X49" s="47" t="str">
        <f>IF($T49=0,"",INDEX(_Bantu!G:G,$T49))</f>
        <v/>
      </c>
      <c r="Y49" s="47" t="str">
        <f>IF($T49=0,"",INDEX(_Bantu!H:H,$T49))</f>
        <v/>
      </c>
      <c r="Z49" s="47" t="str">
        <f t="shared" si="36"/>
        <v/>
      </c>
      <c r="AA49" s="36" t="str">
        <f t="shared" si="37"/>
        <v>Belum isi</v>
      </c>
      <c r="AB49" s="47">
        <f t="shared" si="38"/>
        <v>0</v>
      </c>
      <c r="AC49" s="47">
        <f t="shared" si="39"/>
        <v>0</v>
      </c>
      <c r="AD49" s="47">
        <f t="shared" si="40"/>
        <v>0</v>
      </c>
      <c r="AE49" s="47">
        <f t="shared" si="41"/>
        <v>0</v>
      </c>
      <c r="AF49" s="47">
        <f t="shared" si="42"/>
        <v>0</v>
      </c>
      <c r="AG49" s="47">
        <f t="shared" si="43"/>
        <v>0</v>
      </c>
      <c r="AH49" s="47">
        <f t="shared" si="44"/>
        <v>0</v>
      </c>
      <c r="AI49" s="47">
        <f t="shared" si="45"/>
        <v>0</v>
      </c>
      <c r="AJ49" s="47">
        <f t="shared" si="46"/>
        <v>0</v>
      </c>
      <c r="AK49" s="47">
        <f t="shared" si="47"/>
        <v>0</v>
      </c>
      <c r="AL49" s="47">
        <f t="shared" si="48"/>
        <v>0</v>
      </c>
      <c r="AM49" s="47">
        <f t="shared" si="49"/>
        <v>0</v>
      </c>
      <c r="AN49" s="47">
        <f t="shared" si="50"/>
        <v>0</v>
      </c>
      <c r="AO49" s="47">
        <f t="shared" si="51"/>
        <v>0</v>
      </c>
      <c r="AP49" s="47">
        <f t="shared" si="52"/>
        <v>0</v>
      </c>
      <c r="AQ49" s="36" t="b">
        <f t="shared" si="53"/>
        <v>0</v>
      </c>
      <c r="AR49" s="48" t="str">
        <f t="shared" si="54"/>
        <v/>
      </c>
      <c r="AS49" s="48" t="str">
        <f>IF(OR(NOT($AQ49),Log_Putaran!$C$6=""),"",$AR49*SUMPRODUCT($AB49:$AF49,Log_Putaran!$L$6:$P$6))</f>
        <v/>
      </c>
      <c r="AT49" s="48" t="str">
        <f>IF(OR(NOT($AQ49),Log_Putaran!$C$7=""),"",$AR49*SUMPRODUCT($AB49:$AF49,Log_Putaran!$L$7:$P$7))</f>
        <v/>
      </c>
      <c r="AU49" s="48" t="str">
        <f>IF(OR(NOT($AQ49),Log_Putaran!$C$8=""),"",$AR49*SUMPRODUCT($AB49:$AF49,Log_Putaran!$L$8:$P$8))</f>
        <v/>
      </c>
      <c r="AV49" s="48" t="str">
        <f>IF(OR(NOT($AQ49),Log_Putaran!$C$9=""),"",$AR49*SUMPRODUCT($AB49:$AF49,Log_Putaran!$L$9:$P$9))</f>
        <v/>
      </c>
      <c r="AW49" s="48" t="str">
        <f>IF(OR(NOT($AQ49),Log_Putaran!$C$10=""),"",$AR49*SUMPRODUCT($AB49:$AF49,Log_Putaran!$L$10:$P$10))</f>
        <v/>
      </c>
      <c r="AX49" s="48" t="str">
        <f>IF(OR(NOT($AQ49),Log_Putaran!$C$11=""),"",$AR49*SUMPRODUCT($AB49:$AF49,Log_Putaran!$L$11:$P$11))</f>
        <v/>
      </c>
      <c r="AY49" s="48" t="str">
        <f>IF(OR(NOT($AQ49),Log_Putaran!$C$12=""),"",$AR49*SUMPRODUCT($AB49:$AF49,Log_Putaran!$L$12:$P$12))</f>
        <v/>
      </c>
      <c r="AZ49" s="48" t="str">
        <f>IF(OR(NOT($AQ49),Log_Putaran!$C$13=""),"",$AR49*SUMPRODUCT($AB49:$AF49,Log_Putaran!$L$13:$P$13))</f>
        <v/>
      </c>
      <c r="BA49" s="48" t="str">
        <f>IF(OR(NOT($AQ49),Log_Putaran!$C$14=""),"",$AR49*SUMPRODUCT($AB49:$AF49,Log_Putaran!$L$14:$P$14))</f>
        <v/>
      </c>
      <c r="BB49" s="48" t="str">
        <f>IF(OR(NOT($AQ49),Log_Putaran!$C$15=""),"",$AR49*SUMPRODUCT($AB49:$AF49,Log_Putaran!$L$15:$P$15))</f>
        <v/>
      </c>
      <c r="BC49" s="48" t="str">
        <f>IF(OR(NOT($AQ49),Log_Putaran!$C$16=""),"",$BB49*SUMPRODUCT($AG49:$AK49,Log_Putaran!$L$16:$P$16))</f>
        <v/>
      </c>
      <c r="BD49" s="48" t="str">
        <f>IF(OR(NOT($AQ49),Log_Putaran!$C$17=""),"",$BB49*SUMPRODUCT($AG49:$AK49,Log_Putaran!$L$17:$P$17))</f>
        <v/>
      </c>
      <c r="BE49" s="48" t="str">
        <f>IF(OR(NOT($AQ49),Log_Putaran!$C$18=""),"",$BB49*SUMPRODUCT($AG49:$AK49,Log_Putaran!$L$18:$P$18))</f>
        <v/>
      </c>
      <c r="BF49" s="48" t="str">
        <f>IF(OR(NOT($AQ49),Log_Putaran!$C$19=""),"",$BB49*SUMPRODUCT($AG49:$AK49,Log_Putaran!$L$19:$P$19))</f>
        <v/>
      </c>
      <c r="BG49" s="48" t="str">
        <f>IF(OR(NOT($AQ49),Log_Putaran!$C$20=""),"",$BB49*SUMPRODUCT($AG49:$AK49,Log_Putaran!$L$20:$P$20))</f>
        <v/>
      </c>
      <c r="BH49" s="48" t="str">
        <f>IF(OR(NOT($AQ49),Log_Putaran!$C$21=""),"",$BB49*SUMPRODUCT($AG49:$AK49,Log_Putaran!$L$21:$P$21))</f>
        <v/>
      </c>
      <c r="BI49" s="48" t="str">
        <f>IF(OR(NOT($AQ49),Log_Putaran!$C$22=""),"",$BB49*SUMPRODUCT($AG49:$AK49,Log_Putaran!$L$22:$P$22))</f>
        <v/>
      </c>
      <c r="BJ49" s="48" t="str">
        <f>IF(OR(NOT($AQ49),Log_Putaran!$C$23=""),"",$BB49*SUMPRODUCT($AG49:$AK49,Log_Putaran!$L$23:$P$23))</f>
        <v/>
      </c>
      <c r="BK49" s="48" t="str">
        <f>IF(OR(NOT($AQ49),Log_Putaran!$C$24=""),"",$BB49*SUMPRODUCT($AG49:$AK49,Log_Putaran!$L$24:$P$24))</f>
        <v/>
      </c>
      <c r="BL49" s="48" t="str">
        <f>IF(OR(NOT($AQ49),Log_Putaran!$C$25=""),"",$BB49*SUMPRODUCT($AG49:$AK49,Log_Putaran!$L$25:$P$25))</f>
        <v/>
      </c>
      <c r="BM49" s="48" t="str">
        <f>IF(OR(NOT($AQ49),Log_Putaran!$C$26=""),"",$BL49*SUMPRODUCT($AL49:$AP49,Log_Putaran!$L$26:$P$26))</f>
        <v/>
      </c>
      <c r="BN49" s="48" t="str">
        <f>IF(OR(NOT($AQ49),Log_Putaran!$C$27=""),"",$BL49*SUMPRODUCT($AL49:$AP49,Log_Putaran!$L$27:$P$27))</f>
        <v/>
      </c>
      <c r="BO49" s="48" t="str">
        <f>IF(OR(NOT($AQ49),Log_Putaran!$C$28=""),"",$BL49*SUMPRODUCT($AL49:$AP49,Log_Putaran!$L$28:$P$28))</f>
        <v/>
      </c>
      <c r="BP49" s="48" t="str">
        <f>IF(OR(NOT($AQ49),Log_Putaran!$C$29=""),"",$BL49*SUMPRODUCT($AL49:$AP49,Log_Putaran!$L$29:$P$29))</f>
        <v/>
      </c>
      <c r="BQ49" s="48" t="str">
        <f>IF(OR(NOT($AQ49),Log_Putaran!$C$30=""),"",$BL49*SUMPRODUCT($AL49:$AP49,Log_Putaran!$L$30:$P$30))</f>
        <v/>
      </c>
      <c r="BR49" s="48" t="str">
        <f>IF(OR(NOT($AQ49),Log_Putaran!$C$31=""),"",$BL49*SUMPRODUCT($AL49:$AP49,Log_Putaran!$L$31:$P$31))</f>
        <v/>
      </c>
      <c r="BS49" s="48" t="str">
        <f>IF(OR(NOT($AQ49),Log_Putaran!$C$32=""),"",$BL49*SUMPRODUCT($AL49:$AP49,Log_Putaran!$L$32:$P$32))</f>
        <v/>
      </c>
      <c r="BT49" s="48" t="str">
        <f>IF(OR(NOT($AQ49),Log_Putaran!$C$33=""),"",$BL49*SUMPRODUCT($AL49:$AP49,Log_Putaran!$L$33:$P$33))</f>
        <v/>
      </c>
      <c r="BU49" s="48" t="str">
        <f>IF(OR(NOT($AQ49),Log_Putaran!$C$34=""),"",$BL49*SUMPRODUCT($AL49:$AP49,Log_Putaran!$L$34:$P$34))</f>
        <v/>
      </c>
      <c r="BV49" s="48" t="str">
        <f>IF(OR(NOT($AQ49),Log_Putaran!$C$35=""),"",$BL49*SUMPRODUCT($AL49:$AP49,Log_Putaran!$L$35:$P$35))</f>
        <v/>
      </c>
      <c r="BW49" s="48" t="str">
        <f t="shared" si="55"/>
        <v/>
      </c>
      <c r="BX49" s="48" t="str">
        <f t="shared" si="56"/>
        <v/>
      </c>
      <c r="BY49" s="38" t="str">
        <f t="shared" si="57"/>
        <v/>
      </c>
      <c r="BZ49" s="49" t="str">
        <f>IF($AQ49,MAX(_DD!$B49:$AE49),"")</f>
        <v/>
      </c>
      <c r="CA49" s="36">
        <f t="shared" si="58"/>
        <v>-9.9999999999999997E+98</v>
      </c>
      <c r="CB49" s="36" t="str">
        <f t="shared" si="59"/>
        <v/>
      </c>
      <c r="CC49" s="36">
        <f t="shared" si="60"/>
        <v>-9.9999999999999997E+98</v>
      </c>
      <c r="CD49" s="36" t="str">
        <f t="shared" si="61"/>
        <v/>
      </c>
      <c r="CE49" s="36" t="str">
        <f t="shared" si="62"/>
        <v/>
      </c>
      <c r="CF49" s="36">
        <f t="shared" si="63"/>
        <v>-9.9999999999999997E+98</v>
      </c>
    </row>
    <row r="50" spans="1:84">
      <c r="A50" s="36" t="str">
        <f>Peserta!A50</f>
        <v>P45</v>
      </c>
      <c r="B50" s="36" t="str">
        <f>IF($C50&gt;0,INDEX(Input!$C:$C,$C50)&amp;"",IF(Peserta!B50="",$A50,Peserta!B50))</f>
        <v>P45</v>
      </c>
      <c r="C50" s="36">
        <f>SUMPRODUCT(MAX((_Bantu!$A$2:$A$2001=$A50)*ROW(_Bantu!$A$2:$A$2001)))</f>
        <v>0</v>
      </c>
      <c r="D50" s="36">
        <f>SUMPRODUCT(MAX((_Bantu!$C$2:$C$2001=$A50&amp;"|1")*ROW(_Bantu!$C$2:$C$2001)))</f>
        <v>0</v>
      </c>
      <c r="E50" s="47" t="str">
        <f>IF($D50=0,"",INDEX(_Bantu!D:D,$D50))</f>
        <v/>
      </c>
      <c r="F50" s="47" t="str">
        <f>IF($D50=0,"",INDEX(_Bantu!E:E,$D50))</f>
        <v/>
      </c>
      <c r="G50" s="47" t="str">
        <f>IF($D50=0,"",INDEX(_Bantu!F:F,$D50))</f>
        <v/>
      </c>
      <c r="H50" s="47" t="str">
        <f>IF($D50=0,"",INDEX(_Bantu!G:G,$D50))</f>
        <v/>
      </c>
      <c r="I50" s="47" t="str">
        <f>IF($D50=0,"",INDEX(_Bantu!H:H,$D50))</f>
        <v/>
      </c>
      <c r="J50" s="47" t="str">
        <f t="shared" si="32"/>
        <v/>
      </c>
      <c r="K50" s="36" t="str">
        <f t="shared" si="33"/>
        <v>Belum isi</v>
      </c>
      <c r="L50" s="36">
        <f>SUMPRODUCT(MAX((_Bantu!$C$2:$C$2001=$A50&amp;"|2")*ROW(_Bantu!$C$2:$C$2001)))</f>
        <v>0</v>
      </c>
      <c r="M50" s="47" t="str">
        <f>IF($L50=0,"",INDEX(_Bantu!D:D,$L50))</f>
        <v/>
      </c>
      <c r="N50" s="47" t="str">
        <f>IF($L50=0,"",INDEX(_Bantu!E:E,$L50))</f>
        <v/>
      </c>
      <c r="O50" s="47" t="str">
        <f>IF($L50=0,"",INDEX(_Bantu!F:F,$L50))</f>
        <v/>
      </c>
      <c r="P50" s="47" t="str">
        <f>IF($L50=0,"",INDEX(_Bantu!G:G,$L50))</f>
        <v/>
      </c>
      <c r="Q50" s="47" t="str">
        <f>IF($L50=0,"",INDEX(_Bantu!H:H,$L50))</f>
        <v/>
      </c>
      <c r="R50" s="47" t="str">
        <f t="shared" si="34"/>
        <v/>
      </c>
      <c r="S50" s="36" t="str">
        <f t="shared" si="35"/>
        <v>Belum isi</v>
      </c>
      <c r="T50" s="36">
        <f>SUMPRODUCT(MAX((_Bantu!$C$2:$C$2001=$A50&amp;"|3")*ROW(_Bantu!$C$2:$C$2001)))</f>
        <v>0</v>
      </c>
      <c r="U50" s="47" t="str">
        <f>IF($T50=0,"",INDEX(_Bantu!D:D,$T50))</f>
        <v/>
      </c>
      <c r="V50" s="47" t="str">
        <f>IF($T50=0,"",INDEX(_Bantu!E:E,$T50))</f>
        <v/>
      </c>
      <c r="W50" s="47" t="str">
        <f>IF($T50=0,"",INDEX(_Bantu!F:F,$T50))</f>
        <v/>
      </c>
      <c r="X50" s="47" t="str">
        <f>IF($T50=0,"",INDEX(_Bantu!G:G,$T50))</f>
        <v/>
      </c>
      <c r="Y50" s="47" t="str">
        <f>IF($T50=0,"",INDEX(_Bantu!H:H,$T50))</f>
        <v/>
      </c>
      <c r="Z50" s="47" t="str">
        <f t="shared" si="36"/>
        <v/>
      </c>
      <c r="AA50" s="36" t="str">
        <f t="shared" si="37"/>
        <v>Belum isi</v>
      </c>
      <c r="AB50" s="47">
        <f t="shared" si="38"/>
        <v>0</v>
      </c>
      <c r="AC50" s="47">
        <f t="shared" si="39"/>
        <v>0</v>
      </c>
      <c r="AD50" s="47">
        <f t="shared" si="40"/>
        <v>0</v>
      </c>
      <c r="AE50" s="47">
        <f t="shared" si="41"/>
        <v>0</v>
      </c>
      <c r="AF50" s="47">
        <f t="shared" si="42"/>
        <v>0</v>
      </c>
      <c r="AG50" s="47">
        <f t="shared" si="43"/>
        <v>0</v>
      </c>
      <c r="AH50" s="47">
        <f t="shared" si="44"/>
        <v>0</v>
      </c>
      <c r="AI50" s="47">
        <f t="shared" si="45"/>
        <v>0</v>
      </c>
      <c r="AJ50" s="47">
        <f t="shared" si="46"/>
        <v>0</v>
      </c>
      <c r="AK50" s="47">
        <f t="shared" si="47"/>
        <v>0</v>
      </c>
      <c r="AL50" s="47">
        <f t="shared" si="48"/>
        <v>0</v>
      </c>
      <c r="AM50" s="47">
        <f t="shared" si="49"/>
        <v>0</v>
      </c>
      <c r="AN50" s="47">
        <f t="shared" si="50"/>
        <v>0</v>
      </c>
      <c r="AO50" s="47">
        <f t="shared" si="51"/>
        <v>0</v>
      </c>
      <c r="AP50" s="47">
        <f t="shared" si="52"/>
        <v>0</v>
      </c>
      <c r="AQ50" s="36" t="b">
        <f t="shared" si="53"/>
        <v>0</v>
      </c>
      <c r="AR50" s="48" t="str">
        <f t="shared" si="54"/>
        <v/>
      </c>
      <c r="AS50" s="48" t="str">
        <f>IF(OR(NOT($AQ50),Log_Putaran!$C$6=""),"",$AR50*SUMPRODUCT($AB50:$AF50,Log_Putaran!$L$6:$P$6))</f>
        <v/>
      </c>
      <c r="AT50" s="48" t="str">
        <f>IF(OR(NOT($AQ50),Log_Putaran!$C$7=""),"",$AR50*SUMPRODUCT($AB50:$AF50,Log_Putaran!$L$7:$P$7))</f>
        <v/>
      </c>
      <c r="AU50" s="48" t="str">
        <f>IF(OR(NOT($AQ50),Log_Putaran!$C$8=""),"",$AR50*SUMPRODUCT($AB50:$AF50,Log_Putaran!$L$8:$P$8))</f>
        <v/>
      </c>
      <c r="AV50" s="48" t="str">
        <f>IF(OR(NOT($AQ50),Log_Putaran!$C$9=""),"",$AR50*SUMPRODUCT($AB50:$AF50,Log_Putaran!$L$9:$P$9))</f>
        <v/>
      </c>
      <c r="AW50" s="48" t="str">
        <f>IF(OR(NOT($AQ50),Log_Putaran!$C$10=""),"",$AR50*SUMPRODUCT($AB50:$AF50,Log_Putaran!$L$10:$P$10))</f>
        <v/>
      </c>
      <c r="AX50" s="48" t="str">
        <f>IF(OR(NOT($AQ50),Log_Putaran!$C$11=""),"",$AR50*SUMPRODUCT($AB50:$AF50,Log_Putaran!$L$11:$P$11))</f>
        <v/>
      </c>
      <c r="AY50" s="48" t="str">
        <f>IF(OR(NOT($AQ50),Log_Putaran!$C$12=""),"",$AR50*SUMPRODUCT($AB50:$AF50,Log_Putaran!$L$12:$P$12))</f>
        <v/>
      </c>
      <c r="AZ50" s="48" t="str">
        <f>IF(OR(NOT($AQ50),Log_Putaran!$C$13=""),"",$AR50*SUMPRODUCT($AB50:$AF50,Log_Putaran!$L$13:$P$13))</f>
        <v/>
      </c>
      <c r="BA50" s="48" t="str">
        <f>IF(OR(NOT($AQ50),Log_Putaran!$C$14=""),"",$AR50*SUMPRODUCT($AB50:$AF50,Log_Putaran!$L$14:$P$14))</f>
        <v/>
      </c>
      <c r="BB50" s="48" t="str">
        <f>IF(OR(NOT($AQ50),Log_Putaran!$C$15=""),"",$AR50*SUMPRODUCT($AB50:$AF50,Log_Putaran!$L$15:$P$15))</f>
        <v/>
      </c>
      <c r="BC50" s="48" t="str">
        <f>IF(OR(NOT($AQ50),Log_Putaran!$C$16=""),"",$BB50*SUMPRODUCT($AG50:$AK50,Log_Putaran!$L$16:$P$16))</f>
        <v/>
      </c>
      <c r="BD50" s="48" t="str">
        <f>IF(OR(NOT($AQ50),Log_Putaran!$C$17=""),"",$BB50*SUMPRODUCT($AG50:$AK50,Log_Putaran!$L$17:$P$17))</f>
        <v/>
      </c>
      <c r="BE50" s="48" t="str">
        <f>IF(OR(NOT($AQ50),Log_Putaran!$C$18=""),"",$BB50*SUMPRODUCT($AG50:$AK50,Log_Putaran!$L$18:$P$18))</f>
        <v/>
      </c>
      <c r="BF50" s="48" t="str">
        <f>IF(OR(NOT($AQ50),Log_Putaran!$C$19=""),"",$BB50*SUMPRODUCT($AG50:$AK50,Log_Putaran!$L$19:$P$19))</f>
        <v/>
      </c>
      <c r="BG50" s="48" t="str">
        <f>IF(OR(NOT($AQ50),Log_Putaran!$C$20=""),"",$BB50*SUMPRODUCT($AG50:$AK50,Log_Putaran!$L$20:$P$20))</f>
        <v/>
      </c>
      <c r="BH50" s="48" t="str">
        <f>IF(OR(NOT($AQ50),Log_Putaran!$C$21=""),"",$BB50*SUMPRODUCT($AG50:$AK50,Log_Putaran!$L$21:$P$21))</f>
        <v/>
      </c>
      <c r="BI50" s="48" t="str">
        <f>IF(OR(NOT($AQ50),Log_Putaran!$C$22=""),"",$BB50*SUMPRODUCT($AG50:$AK50,Log_Putaran!$L$22:$P$22))</f>
        <v/>
      </c>
      <c r="BJ50" s="48" t="str">
        <f>IF(OR(NOT($AQ50),Log_Putaran!$C$23=""),"",$BB50*SUMPRODUCT($AG50:$AK50,Log_Putaran!$L$23:$P$23))</f>
        <v/>
      </c>
      <c r="BK50" s="48" t="str">
        <f>IF(OR(NOT($AQ50),Log_Putaran!$C$24=""),"",$BB50*SUMPRODUCT($AG50:$AK50,Log_Putaran!$L$24:$P$24))</f>
        <v/>
      </c>
      <c r="BL50" s="48" t="str">
        <f>IF(OR(NOT($AQ50),Log_Putaran!$C$25=""),"",$BB50*SUMPRODUCT($AG50:$AK50,Log_Putaran!$L$25:$P$25))</f>
        <v/>
      </c>
      <c r="BM50" s="48" t="str">
        <f>IF(OR(NOT($AQ50),Log_Putaran!$C$26=""),"",$BL50*SUMPRODUCT($AL50:$AP50,Log_Putaran!$L$26:$P$26))</f>
        <v/>
      </c>
      <c r="BN50" s="48" t="str">
        <f>IF(OR(NOT($AQ50),Log_Putaran!$C$27=""),"",$BL50*SUMPRODUCT($AL50:$AP50,Log_Putaran!$L$27:$P$27))</f>
        <v/>
      </c>
      <c r="BO50" s="48" t="str">
        <f>IF(OR(NOT($AQ50),Log_Putaran!$C$28=""),"",$BL50*SUMPRODUCT($AL50:$AP50,Log_Putaran!$L$28:$P$28))</f>
        <v/>
      </c>
      <c r="BP50" s="48" t="str">
        <f>IF(OR(NOT($AQ50),Log_Putaran!$C$29=""),"",$BL50*SUMPRODUCT($AL50:$AP50,Log_Putaran!$L$29:$P$29))</f>
        <v/>
      </c>
      <c r="BQ50" s="48" t="str">
        <f>IF(OR(NOT($AQ50),Log_Putaran!$C$30=""),"",$BL50*SUMPRODUCT($AL50:$AP50,Log_Putaran!$L$30:$P$30))</f>
        <v/>
      </c>
      <c r="BR50" s="48" t="str">
        <f>IF(OR(NOT($AQ50),Log_Putaran!$C$31=""),"",$BL50*SUMPRODUCT($AL50:$AP50,Log_Putaran!$L$31:$P$31))</f>
        <v/>
      </c>
      <c r="BS50" s="48" t="str">
        <f>IF(OR(NOT($AQ50),Log_Putaran!$C$32=""),"",$BL50*SUMPRODUCT($AL50:$AP50,Log_Putaran!$L$32:$P$32))</f>
        <v/>
      </c>
      <c r="BT50" s="48" t="str">
        <f>IF(OR(NOT($AQ50),Log_Putaran!$C$33=""),"",$BL50*SUMPRODUCT($AL50:$AP50,Log_Putaran!$L$33:$P$33))</f>
        <v/>
      </c>
      <c r="BU50" s="48" t="str">
        <f>IF(OR(NOT($AQ50),Log_Putaran!$C$34=""),"",$BL50*SUMPRODUCT($AL50:$AP50,Log_Putaran!$L$34:$P$34))</f>
        <v/>
      </c>
      <c r="BV50" s="48" t="str">
        <f>IF(OR(NOT($AQ50),Log_Putaran!$C$35=""),"",$BL50*SUMPRODUCT($AL50:$AP50,Log_Putaran!$L$35:$P$35))</f>
        <v/>
      </c>
      <c r="BW50" s="48" t="str">
        <f t="shared" si="55"/>
        <v/>
      </c>
      <c r="BX50" s="48" t="str">
        <f t="shared" si="56"/>
        <v/>
      </c>
      <c r="BY50" s="38" t="str">
        <f t="shared" si="57"/>
        <v/>
      </c>
      <c r="BZ50" s="49" t="str">
        <f>IF($AQ50,MAX(_DD!$B50:$AE50),"")</f>
        <v/>
      </c>
      <c r="CA50" s="36">
        <f t="shared" si="58"/>
        <v>-9.9999999999999997E+98</v>
      </c>
      <c r="CB50" s="36" t="str">
        <f t="shared" si="59"/>
        <v/>
      </c>
      <c r="CC50" s="36">
        <f t="shared" si="60"/>
        <v>-9.9999999999999997E+98</v>
      </c>
      <c r="CD50" s="36" t="str">
        <f t="shared" si="61"/>
        <v/>
      </c>
      <c r="CE50" s="36" t="str">
        <f t="shared" si="62"/>
        <v/>
      </c>
      <c r="CF50" s="36">
        <f t="shared" si="63"/>
        <v>-9.9999999999999997E+98</v>
      </c>
    </row>
    <row r="51" spans="1:84">
      <c r="A51" s="36" t="str">
        <f>Peserta!A51</f>
        <v>P46</v>
      </c>
      <c r="B51" s="36" t="str">
        <f>IF($C51&gt;0,INDEX(Input!$C:$C,$C51)&amp;"",IF(Peserta!B51="",$A51,Peserta!B51))</f>
        <v>P46</v>
      </c>
      <c r="C51" s="36">
        <f>SUMPRODUCT(MAX((_Bantu!$A$2:$A$2001=$A51)*ROW(_Bantu!$A$2:$A$2001)))</f>
        <v>0</v>
      </c>
      <c r="D51" s="36">
        <f>SUMPRODUCT(MAX((_Bantu!$C$2:$C$2001=$A51&amp;"|1")*ROW(_Bantu!$C$2:$C$2001)))</f>
        <v>0</v>
      </c>
      <c r="E51" s="47" t="str">
        <f>IF($D51=0,"",INDEX(_Bantu!D:D,$D51))</f>
        <v/>
      </c>
      <c r="F51" s="47" t="str">
        <f>IF($D51=0,"",INDEX(_Bantu!E:E,$D51))</f>
        <v/>
      </c>
      <c r="G51" s="47" t="str">
        <f>IF($D51=0,"",INDEX(_Bantu!F:F,$D51))</f>
        <v/>
      </c>
      <c r="H51" s="47" t="str">
        <f>IF($D51=0,"",INDEX(_Bantu!G:G,$D51))</f>
        <v/>
      </c>
      <c r="I51" s="47" t="str">
        <f>IF($D51=0,"",INDEX(_Bantu!H:H,$D51))</f>
        <v/>
      </c>
      <c r="J51" s="47" t="str">
        <f t="shared" si="32"/>
        <v/>
      </c>
      <c r="K51" s="36" t="str">
        <f t="shared" si="33"/>
        <v>Belum isi</v>
      </c>
      <c r="L51" s="36">
        <f>SUMPRODUCT(MAX((_Bantu!$C$2:$C$2001=$A51&amp;"|2")*ROW(_Bantu!$C$2:$C$2001)))</f>
        <v>0</v>
      </c>
      <c r="M51" s="47" t="str">
        <f>IF($L51=0,"",INDEX(_Bantu!D:D,$L51))</f>
        <v/>
      </c>
      <c r="N51" s="47" t="str">
        <f>IF($L51=0,"",INDEX(_Bantu!E:E,$L51))</f>
        <v/>
      </c>
      <c r="O51" s="47" t="str">
        <f>IF($L51=0,"",INDEX(_Bantu!F:F,$L51))</f>
        <v/>
      </c>
      <c r="P51" s="47" t="str">
        <f>IF($L51=0,"",INDEX(_Bantu!G:G,$L51))</f>
        <v/>
      </c>
      <c r="Q51" s="47" t="str">
        <f>IF($L51=0,"",INDEX(_Bantu!H:H,$L51))</f>
        <v/>
      </c>
      <c r="R51" s="47" t="str">
        <f t="shared" si="34"/>
        <v/>
      </c>
      <c r="S51" s="36" t="str">
        <f t="shared" si="35"/>
        <v>Belum isi</v>
      </c>
      <c r="T51" s="36">
        <f>SUMPRODUCT(MAX((_Bantu!$C$2:$C$2001=$A51&amp;"|3")*ROW(_Bantu!$C$2:$C$2001)))</f>
        <v>0</v>
      </c>
      <c r="U51" s="47" t="str">
        <f>IF($T51=0,"",INDEX(_Bantu!D:D,$T51))</f>
        <v/>
      </c>
      <c r="V51" s="47" t="str">
        <f>IF($T51=0,"",INDEX(_Bantu!E:E,$T51))</f>
        <v/>
      </c>
      <c r="W51" s="47" t="str">
        <f>IF($T51=0,"",INDEX(_Bantu!F:F,$T51))</f>
        <v/>
      </c>
      <c r="X51" s="47" t="str">
        <f>IF($T51=0,"",INDEX(_Bantu!G:G,$T51))</f>
        <v/>
      </c>
      <c r="Y51" s="47" t="str">
        <f>IF($T51=0,"",INDEX(_Bantu!H:H,$T51))</f>
        <v/>
      </c>
      <c r="Z51" s="47" t="str">
        <f t="shared" si="36"/>
        <v/>
      </c>
      <c r="AA51" s="36" t="str">
        <f t="shared" si="37"/>
        <v>Belum isi</v>
      </c>
      <c r="AB51" s="47">
        <f t="shared" si="38"/>
        <v>0</v>
      </c>
      <c r="AC51" s="47">
        <f t="shared" si="39"/>
        <v>0</v>
      </c>
      <c r="AD51" s="47">
        <f t="shared" si="40"/>
        <v>0</v>
      </c>
      <c r="AE51" s="47">
        <f t="shared" si="41"/>
        <v>0</v>
      </c>
      <c r="AF51" s="47">
        <f t="shared" si="42"/>
        <v>0</v>
      </c>
      <c r="AG51" s="47">
        <f t="shared" si="43"/>
        <v>0</v>
      </c>
      <c r="AH51" s="47">
        <f t="shared" si="44"/>
        <v>0</v>
      </c>
      <c r="AI51" s="47">
        <f t="shared" si="45"/>
        <v>0</v>
      </c>
      <c r="AJ51" s="47">
        <f t="shared" si="46"/>
        <v>0</v>
      </c>
      <c r="AK51" s="47">
        <f t="shared" si="47"/>
        <v>0</v>
      </c>
      <c r="AL51" s="47">
        <f t="shared" si="48"/>
        <v>0</v>
      </c>
      <c r="AM51" s="47">
        <f t="shared" si="49"/>
        <v>0</v>
      </c>
      <c r="AN51" s="47">
        <f t="shared" si="50"/>
        <v>0</v>
      </c>
      <c r="AO51" s="47">
        <f t="shared" si="51"/>
        <v>0</v>
      </c>
      <c r="AP51" s="47">
        <f t="shared" si="52"/>
        <v>0</v>
      </c>
      <c r="AQ51" s="36" t="b">
        <f t="shared" si="53"/>
        <v>0</v>
      </c>
      <c r="AR51" s="48" t="str">
        <f t="shared" si="54"/>
        <v/>
      </c>
      <c r="AS51" s="48" t="str">
        <f>IF(OR(NOT($AQ51),Log_Putaran!$C$6=""),"",$AR51*SUMPRODUCT($AB51:$AF51,Log_Putaran!$L$6:$P$6))</f>
        <v/>
      </c>
      <c r="AT51" s="48" t="str">
        <f>IF(OR(NOT($AQ51),Log_Putaran!$C$7=""),"",$AR51*SUMPRODUCT($AB51:$AF51,Log_Putaran!$L$7:$P$7))</f>
        <v/>
      </c>
      <c r="AU51" s="48" t="str">
        <f>IF(OR(NOT($AQ51),Log_Putaran!$C$8=""),"",$AR51*SUMPRODUCT($AB51:$AF51,Log_Putaran!$L$8:$P$8))</f>
        <v/>
      </c>
      <c r="AV51" s="48" t="str">
        <f>IF(OR(NOT($AQ51),Log_Putaran!$C$9=""),"",$AR51*SUMPRODUCT($AB51:$AF51,Log_Putaran!$L$9:$P$9))</f>
        <v/>
      </c>
      <c r="AW51" s="48" t="str">
        <f>IF(OR(NOT($AQ51),Log_Putaran!$C$10=""),"",$AR51*SUMPRODUCT($AB51:$AF51,Log_Putaran!$L$10:$P$10))</f>
        <v/>
      </c>
      <c r="AX51" s="48" t="str">
        <f>IF(OR(NOT($AQ51),Log_Putaran!$C$11=""),"",$AR51*SUMPRODUCT($AB51:$AF51,Log_Putaran!$L$11:$P$11))</f>
        <v/>
      </c>
      <c r="AY51" s="48" t="str">
        <f>IF(OR(NOT($AQ51),Log_Putaran!$C$12=""),"",$AR51*SUMPRODUCT($AB51:$AF51,Log_Putaran!$L$12:$P$12))</f>
        <v/>
      </c>
      <c r="AZ51" s="48" t="str">
        <f>IF(OR(NOT($AQ51),Log_Putaran!$C$13=""),"",$AR51*SUMPRODUCT($AB51:$AF51,Log_Putaran!$L$13:$P$13))</f>
        <v/>
      </c>
      <c r="BA51" s="48" t="str">
        <f>IF(OR(NOT($AQ51),Log_Putaran!$C$14=""),"",$AR51*SUMPRODUCT($AB51:$AF51,Log_Putaran!$L$14:$P$14))</f>
        <v/>
      </c>
      <c r="BB51" s="48" t="str">
        <f>IF(OR(NOT($AQ51),Log_Putaran!$C$15=""),"",$AR51*SUMPRODUCT($AB51:$AF51,Log_Putaran!$L$15:$P$15))</f>
        <v/>
      </c>
      <c r="BC51" s="48" t="str">
        <f>IF(OR(NOT($AQ51),Log_Putaran!$C$16=""),"",$BB51*SUMPRODUCT($AG51:$AK51,Log_Putaran!$L$16:$P$16))</f>
        <v/>
      </c>
      <c r="BD51" s="48" t="str">
        <f>IF(OR(NOT($AQ51),Log_Putaran!$C$17=""),"",$BB51*SUMPRODUCT($AG51:$AK51,Log_Putaran!$L$17:$P$17))</f>
        <v/>
      </c>
      <c r="BE51" s="48" t="str">
        <f>IF(OR(NOT($AQ51),Log_Putaran!$C$18=""),"",$BB51*SUMPRODUCT($AG51:$AK51,Log_Putaran!$L$18:$P$18))</f>
        <v/>
      </c>
      <c r="BF51" s="48" t="str">
        <f>IF(OR(NOT($AQ51),Log_Putaran!$C$19=""),"",$BB51*SUMPRODUCT($AG51:$AK51,Log_Putaran!$L$19:$P$19))</f>
        <v/>
      </c>
      <c r="BG51" s="48" t="str">
        <f>IF(OR(NOT($AQ51),Log_Putaran!$C$20=""),"",$BB51*SUMPRODUCT($AG51:$AK51,Log_Putaran!$L$20:$P$20))</f>
        <v/>
      </c>
      <c r="BH51" s="48" t="str">
        <f>IF(OR(NOT($AQ51),Log_Putaran!$C$21=""),"",$BB51*SUMPRODUCT($AG51:$AK51,Log_Putaran!$L$21:$P$21))</f>
        <v/>
      </c>
      <c r="BI51" s="48" t="str">
        <f>IF(OR(NOT($AQ51),Log_Putaran!$C$22=""),"",$BB51*SUMPRODUCT($AG51:$AK51,Log_Putaran!$L$22:$P$22))</f>
        <v/>
      </c>
      <c r="BJ51" s="48" t="str">
        <f>IF(OR(NOT($AQ51),Log_Putaran!$C$23=""),"",$BB51*SUMPRODUCT($AG51:$AK51,Log_Putaran!$L$23:$P$23))</f>
        <v/>
      </c>
      <c r="BK51" s="48" t="str">
        <f>IF(OR(NOT($AQ51),Log_Putaran!$C$24=""),"",$BB51*SUMPRODUCT($AG51:$AK51,Log_Putaran!$L$24:$P$24))</f>
        <v/>
      </c>
      <c r="BL51" s="48" t="str">
        <f>IF(OR(NOT($AQ51),Log_Putaran!$C$25=""),"",$BB51*SUMPRODUCT($AG51:$AK51,Log_Putaran!$L$25:$P$25))</f>
        <v/>
      </c>
      <c r="BM51" s="48" t="str">
        <f>IF(OR(NOT($AQ51),Log_Putaran!$C$26=""),"",$BL51*SUMPRODUCT($AL51:$AP51,Log_Putaran!$L$26:$P$26))</f>
        <v/>
      </c>
      <c r="BN51" s="48" t="str">
        <f>IF(OR(NOT($AQ51),Log_Putaran!$C$27=""),"",$BL51*SUMPRODUCT($AL51:$AP51,Log_Putaran!$L$27:$P$27))</f>
        <v/>
      </c>
      <c r="BO51" s="48" t="str">
        <f>IF(OR(NOT($AQ51),Log_Putaran!$C$28=""),"",$BL51*SUMPRODUCT($AL51:$AP51,Log_Putaran!$L$28:$P$28))</f>
        <v/>
      </c>
      <c r="BP51" s="48" t="str">
        <f>IF(OR(NOT($AQ51),Log_Putaran!$C$29=""),"",$BL51*SUMPRODUCT($AL51:$AP51,Log_Putaran!$L$29:$P$29))</f>
        <v/>
      </c>
      <c r="BQ51" s="48" t="str">
        <f>IF(OR(NOT($AQ51),Log_Putaran!$C$30=""),"",$BL51*SUMPRODUCT($AL51:$AP51,Log_Putaran!$L$30:$P$30))</f>
        <v/>
      </c>
      <c r="BR51" s="48" t="str">
        <f>IF(OR(NOT($AQ51),Log_Putaran!$C$31=""),"",$BL51*SUMPRODUCT($AL51:$AP51,Log_Putaran!$L$31:$P$31))</f>
        <v/>
      </c>
      <c r="BS51" s="48" t="str">
        <f>IF(OR(NOT($AQ51),Log_Putaran!$C$32=""),"",$BL51*SUMPRODUCT($AL51:$AP51,Log_Putaran!$L$32:$P$32))</f>
        <v/>
      </c>
      <c r="BT51" s="48" t="str">
        <f>IF(OR(NOT($AQ51),Log_Putaran!$C$33=""),"",$BL51*SUMPRODUCT($AL51:$AP51,Log_Putaran!$L$33:$P$33))</f>
        <v/>
      </c>
      <c r="BU51" s="48" t="str">
        <f>IF(OR(NOT($AQ51),Log_Putaran!$C$34=""),"",$BL51*SUMPRODUCT($AL51:$AP51,Log_Putaran!$L$34:$P$34))</f>
        <v/>
      </c>
      <c r="BV51" s="48" t="str">
        <f>IF(OR(NOT($AQ51),Log_Putaran!$C$35=""),"",$BL51*SUMPRODUCT($AL51:$AP51,Log_Putaran!$L$35:$P$35))</f>
        <v/>
      </c>
      <c r="BW51" s="48" t="str">
        <f t="shared" si="55"/>
        <v/>
      </c>
      <c r="BX51" s="48" t="str">
        <f t="shared" si="56"/>
        <v/>
      </c>
      <c r="BY51" s="38" t="str">
        <f t="shared" si="57"/>
        <v/>
      </c>
      <c r="BZ51" s="49" t="str">
        <f>IF($AQ51,MAX(_DD!$B51:$AE51),"")</f>
        <v/>
      </c>
      <c r="CA51" s="36">
        <f t="shared" si="58"/>
        <v>-9.9999999999999997E+98</v>
      </c>
      <c r="CB51" s="36" t="str">
        <f t="shared" si="59"/>
        <v/>
      </c>
      <c r="CC51" s="36">
        <f t="shared" si="60"/>
        <v>-9.9999999999999997E+98</v>
      </c>
      <c r="CD51" s="36" t="str">
        <f t="shared" si="61"/>
        <v/>
      </c>
      <c r="CE51" s="36" t="str">
        <f t="shared" si="62"/>
        <v/>
      </c>
      <c r="CF51" s="36">
        <f t="shared" si="63"/>
        <v>-9.9999999999999997E+98</v>
      </c>
    </row>
    <row r="52" spans="1:84">
      <c r="A52" s="36" t="str">
        <f>Peserta!A52</f>
        <v>P47</v>
      </c>
      <c r="B52" s="36" t="str">
        <f>IF($C52&gt;0,INDEX(Input!$C:$C,$C52)&amp;"",IF(Peserta!B52="",$A52,Peserta!B52))</f>
        <v>P47</v>
      </c>
      <c r="C52" s="36">
        <f>SUMPRODUCT(MAX((_Bantu!$A$2:$A$2001=$A52)*ROW(_Bantu!$A$2:$A$2001)))</f>
        <v>0</v>
      </c>
      <c r="D52" s="36">
        <f>SUMPRODUCT(MAX((_Bantu!$C$2:$C$2001=$A52&amp;"|1")*ROW(_Bantu!$C$2:$C$2001)))</f>
        <v>0</v>
      </c>
      <c r="E52" s="47" t="str">
        <f>IF($D52=0,"",INDEX(_Bantu!D:D,$D52))</f>
        <v/>
      </c>
      <c r="F52" s="47" t="str">
        <f>IF($D52=0,"",INDEX(_Bantu!E:E,$D52))</f>
        <v/>
      </c>
      <c r="G52" s="47" t="str">
        <f>IF($D52=0,"",INDEX(_Bantu!F:F,$D52))</f>
        <v/>
      </c>
      <c r="H52" s="47" t="str">
        <f>IF($D52=0,"",INDEX(_Bantu!G:G,$D52))</f>
        <v/>
      </c>
      <c r="I52" s="47" t="str">
        <f>IF($D52=0,"",INDEX(_Bantu!H:H,$D52))</f>
        <v/>
      </c>
      <c r="J52" s="47" t="str">
        <f t="shared" si="32"/>
        <v/>
      </c>
      <c r="K52" s="36" t="str">
        <f t="shared" si="33"/>
        <v>Belum isi</v>
      </c>
      <c r="L52" s="36">
        <f>SUMPRODUCT(MAX((_Bantu!$C$2:$C$2001=$A52&amp;"|2")*ROW(_Bantu!$C$2:$C$2001)))</f>
        <v>0</v>
      </c>
      <c r="M52" s="47" t="str">
        <f>IF($L52=0,"",INDEX(_Bantu!D:D,$L52))</f>
        <v/>
      </c>
      <c r="N52" s="47" t="str">
        <f>IF($L52=0,"",INDEX(_Bantu!E:E,$L52))</f>
        <v/>
      </c>
      <c r="O52" s="47" t="str">
        <f>IF($L52=0,"",INDEX(_Bantu!F:F,$L52))</f>
        <v/>
      </c>
      <c r="P52" s="47" t="str">
        <f>IF($L52=0,"",INDEX(_Bantu!G:G,$L52))</f>
        <v/>
      </c>
      <c r="Q52" s="47" t="str">
        <f>IF($L52=0,"",INDEX(_Bantu!H:H,$L52))</f>
        <v/>
      </c>
      <c r="R52" s="47" t="str">
        <f t="shared" si="34"/>
        <v/>
      </c>
      <c r="S52" s="36" t="str">
        <f t="shared" si="35"/>
        <v>Belum isi</v>
      </c>
      <c r="T52" s="36">
        <f>SUMPRODUCT(MAX((_Bantu!$C$2:$C$2001=$A52&amp;"|3")*ROW(_Bantu!$C$2:$C$2001)))</f>
        <v>0</v>
      </c>
      <c r="U52" s="47" t="str">
        <f>IF($T52=0,"",INDEX(_Bantu!D:D,$T52))</f>
        <v/>
      </c>
      <c r="V52" s="47" t="str">
        <f>IF($T52=0,"",INDEX(_Bantu!E:E,$T52))</f>
        <v/>
      </c>
      <c r="W52" s="47" t="str">
        <f>IF($T52=0,"",INDEX(_Bantu!F:F,$T52))</f>
        <v/>
      </c>
      <c r="X52" s="47" t="str">
        <f>IF($T52=0,"",INDEX(_Bantu!G:G,$T52))</f>
        <v/>
      </c>
      <c r="Y52" s="47" t="str">
        <f>IF($T52=0,"",INDEX(_Bantu!H:H,$T52))</f>
        <v/>
      </c>
      <c r="Z52" s="47" t="str">
        <f t="shared" si="36"/>
        <v/>
      </c>
      <c r="AA52" s="36" t="str">
        <f t="shared" si="37"/>
        <v>Belum isi</v>
      </c>
      <c r="AB52" s="47">
        <f t="shared" si="38"/>
        <v>0</v>
      </c>
      <c r="AC52" s="47">
        <f t="shared" si="39"/>
        <v>0</v>
      </c>
      <c r="AD52" s="47">
        <f t="shared" si="40"/>
        <v>0</v>
      </c>
      <c r="AE52" s="47">
        <f t="shared" si="41"/>
        <v>0</v>
      </c>
      <c r="AF52" s="47">
        <f t="shared" si="42"/>
        <v>0</v>
      </c>
      <c r="AG52" s="47">
        <f t="shared" si="43"/>
        <v>0</v>
      </c>
      <c r="AH52" s="47">
        <f t="shared" si="44"/>
        <v>0</v>
      </c>
      <c r="AI52" s="47">
        <f t="shared" si="45"/>
        <v>0</v>
      </c>
      <c r="AJ52" s="47">
        <f t="shared" si="46"/>
        <v>0</v>
      </c>
      <c r="AK52" s="47">
        <f t="shared" si="47"/>
        <v>0</v>
      </c>
      <c r="AL52" s="47">
        <f t="shared" si="48"/>
        <v>0</v>
      </c>
      <c r="AM52" s="47">
        <f t="shared" si="49"/>
        <v>0</v>
      </c>
      <c r="AN52" s="47">
        <f t="shared" si="50"/>
        <v>0</v>
      </c>
      <c r="AO52" s="47">
        <f t="shared" si="51"/>
        <v>0</v>
      </c>
      <c r="AP52" s="47">
        <f t="shared" si="52"/>
        <v>0</v>
      </c>
      <c r="AQ52" s="36" t="b">
        <f t="shared" si="53"/>
        <v>0</v>
      </c>
      <c r="AR52" s="48" t="str">
        <f t="shared" si="54"/>
        <v/>
      </c>
      <c r="AS52" s="48" t="str">
        <f>IF(OR(NOT($AQ52),Log_Putaran!$C$6=""),"",$AR52*SUMPRODUCT($AB52:$AF52,Log_Putaran!$L$6:$P$6))</f>
        <v/>
      </c>
      <c r="AT52" s="48" t="str">
        <f>IF(OR(NOT($AQ52),Log_Putaran!$C$7=""),"",$AR52*SUMPRODUCT($AB52:$AF52,Log_Putaran!$L$7:$P$7))</f>
        <v/>
      </c>
      <c r="AU52" s="48" t="str">
        <f>IF(OR(NOT($AQ52),Log_Putaran!$C$8=""),"",$AR52*SUMPRODUCT($AB52:$AF52,Log_Putaran!$L$8:$P$8))</f>
        <v/>
      </c>
      <c r="AV52" s="48" t="str">
        <f>IF(OR(NOT($AQ52),Log_Putaran!$C$9=""),"",$AR52*SUMPRODUCT($AB52:$AF52,Log_Putaran!$L$9:$P$9))</f>
        <v/>
      </c>
      <c r="AW52" s="48" t="str">
        <f>IF(OR(NOT($AQ52),Log_Putaran!$C$10=""),"",$AR52*SUMPRODUCT($AB52:$AF52,Log_Putaran!$L$10:$P$10))</f>
        <v/>
      </c>
      <c r="AX52" s="48" t="str">
        <f>IF(OR(NOT($AQ52),Log_Putaran!$C$11=""),"",$AR52*SUMPRODUCT($AB52:$AF52,Log_Putaran!$L$11:$P$11))</f>
        <v/>
      </c>
      <c r="AY52" s="48" t="str">
        <f>IF(OR(NOT($AQ52),Log_Putaran!$C$12=""),"",$AR52*SUMPRODUCT($AB52:$AF52,Log_Putaran!$L$12:$P$12))</f>
        <v/>
      </c>
      <c r="AZ52" s="48" t="str">
        <f>IF(OR(NOT($AQ52),Log_Putaran!$C$13=""),"",$AR52*SUMPRODUCT($AB52:$AF52,Log_Putaran!$L$13:$P$13))</f>
        <v/>
      </c>
      <c r="BA52" s="48" t="str">
        <f>IF(OR(NOT($AQ52),Log_Putaran!$C$14=""),"",$AR52*SUMPRODUCT($AB52:$AF52,Log_Putaran!$L$14:$P$14))</f>
        <v/>
      </c>
      <c r="BB52" s="48" t="str">
        <f>IF(OR(NOT($AQ52),Log_Putaran!$C$15=""),"",$AR52*SUMPRODUCT($AB52:$AF52,Log_Putaran!$L$15:$P$15))</f>
        <v/>
      </c>
      <c r="BC52" s="48" t="str">
        <f>IF(OR(NOT($AQ52),Log_Putaran!$C$16=""),"",$BB52*SUMPRODUCT($AG52:$AK52,Log_Putaran!$L$16:$P$16))</f>
        <v/>
      </c>
      <c r="BD52" s="48" t="str">
        <f>IF(OR(NOT($AQ52),Log_Putaran!$C$17=""),"",$BB52*SUMPRODUCT($AG52:$AK52,Log_Putaran!$L$17:$P$17))</f>
        <v/>
      </c>
      <c r="BE52" s="48" t="str">
        <f>IF(OR(NOT($AQ52),Log_Putaran!$C$18=""),"",$BB52*SUMPRODUCT($AG52:$AK52,Log_Putaran!$L$18:$P$18))</f>
        <v/>
      </c>
      <c r="BF52" s="48" t="str">
        <f>IF(OR(NOT($AQ52),Log_Putaran!$C$19=""),"",$BB52*SUMPRODUCT($AG52:$AK52,Log_Putaran!$L$19:$P$19))</f>
        <v/>
      </c>
      <c r="BG52" s="48" t="str">
        <f>IF(OR(NOT($AQ52),Log_Putaran!$C$20=""),"",$BB52*SUMPRODUCT($AG52:$AK52,Log_Putaran!$L$20:$P$20))</f>
        <v/>
      </c>
      <c r="BH52" s="48" t="str">
        <f>IF(OR(NOT($AQ52),Log_Putaran!$C$21=""),"",$BB52*SUMPRODUCT($AG52:$AK52,Log_Putaran!$L$21:$P$21))</f>
        <v/>
      </c>
      <c r="BI52" s="48" t="str">
        <f>IF(OR(NOT($AQ52),Log_Putaran!$C$22=""),"",$BB52*SUMPRODUCT($AG52:$AK52,Log_Putaran!$L$22:$P$22))</f>
        <v/>
      </c>
      <c r="BJ52" s="48" t="str">
        <f>IF(OR(NOT($AQ52),Log_Putaran!$C$23=""),"",$BB52*SUMPRODUCT($AG52:$AK52,Log_Putaran!$L$23:$P$23))</f>
        <v/>
      </c>
      <c r="BK52" s="48" t="str">
        <f>IF(OR(NOT($AQ52),Log_Putaran!$C$24=""),"",$BB52*SUMPRODUCT($AG52:$AK52,Log_Putaran!$L$24:$P$24))</f>
        <v/>
      </c>
      <c r="BL52" s="48" t="str">
        <f>IF(OR(NOT($AQ52),Log_Putaran!$C$25=""),"",$BB52*SUMPRODUCT($AG52:$AK52,Log_Putaran!$L$25:$P$25))</f>
        <v/>
      </c>
      <c r="BM52" s="48" t="str">
        <f>IF(OR(NOT($AQ52),Log_Putaran!$C$26=""),"",$BL52*SUMPRODUCT($AL52:$AP52,Log_Putaran!$L$26:$P$26))</f>
        <v/>
      </c>
      <c r="BN52" s="48" t="str">
        <f>IF(OR(NOT($AQ52),Log_Putaran!$C$27=""),"",$BL52*SUMPRODUCT($AL52:$AP52,Log_Putaran!$L$27:$P$27))</f>
        <v/>
      </c>
      <c r="BO52" s="48" t="str">
        <f>IF(OR(NOT($AQ52),Log_Putaran!$C$28=""),"",$BL52*SUMPRODUCT($AL52:$AP52,Log_Putaran!$L$28:$P$28))</f>
        <v/>
      </c>
      <c r="BP52" s="48" t="str">
        <f>IF(OR(NOT($AQ52),Log_Putaran!$C$29=""),"",$BL52*SUMPRODUCT($AL52:$AP52,Log_Putaran!$L$29:$P$29))</f>
        <v/>
      </c>
      <c r="BQ52" s="48" t="str">
        <f>IF(OR(NOT($AQ52),Log_Putaran!$C$30=""),"",$BL52*SUMPRODUCT($AL52:$AP52,Log_Putaran!$L$30:$P$30))</f>
        <v/>
      </c>
      <c r="BR52" s="48" t="str">
        <f>IF(OR(NOT($AQ52),Log_Putaran!$C$31=""),"",$BL52*SUMPRODUCT($AL52:$AP52,Log_Putaran!$L$31:$P$31))</f>
        <v/>
      </c>
      <c r="BS52" s="48" t="str">
        <f>IF(OR(NOT($AQ52),Log_Putaran!$C$32=""),"",$BL52*SUMPRODUCT($AL52:$AP52,Log_Putaran!$L$32:$P$32))</f>
        <v/>
      </c>
      <c r="BT52" s="48" t="str">
        <f>IF(OR(NOT($AQ52),Log_Putaran!$C$33=""),"",$BL52*SUMPRODUCT($AL52:$AP52,Log_Putaran!$L$33:$P$33))</f>
        <v/>
      </c>
      <c r="BU52" s="48" t="str">
        <f>IF(OR(NOT($AQ52),Log_Putaran!$C$34=""),"",$BL52*SUMPRODUCT($AL52:$AP52,Log_Putaran!$L$34:$P$34))</f>
        <v/>
      </c>
      <c r="BV52" s="48" t="str">
        <f>IF(OR(NOT($AQ52),Log_Putaran!$C$35=""),"",$BL52*SUMPRODUCT($AL52:$AP52,Log_Putaran!$L$35:$P$35))</f>
        <v/>
      </c>
      <c r="BW52" s="48" t="str">
        <f t="shared" si="55"/>
        <v/>
      </c>
      <c r="BX52" s="48" t="str">
        <f t="shared" si="56"/>
        <v/>
      </c>
      <c r="BY52" s="38" t="str">
        <f t="shared" si="57"/>
        <v/>
      </c>
      <c r="BZ52" s="49" t="str">
        <f>IF($AQ52,MAX(_DD!$B52:$AE52),"")</f>
        <v/>
      </c>
      <c r="CA52" s="36">
        <f t="shared" si="58"/>
        <v>-9.9999999999999997E+98</v>
      </c>
      <c r="CB52" s="36" t="str">
        <f t="shared" si="59"/>
        <v/>
      </c>
      <c r="CC52" s="36">
        <f t="shared" si="60"/>
        <v>-9.9999999999999997E+98</v>
      </c>
      <c r="CD52" s="36" t="str">
        <f t="shared" si="61"/>
        <v/>
      </c>
      <c r="CE52" s="36" t="str">
        <f t="shared" si="62"/>
        <v/>
      </c>
      <c r="CF52" s="36">
        <f t="shared" si="63"/>
        <v>-9.9999999999999997E+98</v>
      </c>
    </row>
    <row r="53" spans="1:84">
      <c r="A53" s="36" t="str">
        <f>Peserta!A53</f>
        <v>P48</v>
      </c>
      <c r="B53" s="36" t="str">
        <f>IF($C53&gt;0,INDEX(Input!$C:$C,$C53)&amp;"",IF(Peserta!B53="",$A53,Peserta!B53))</f>
        <v>P48</v>
      </c>
      <c r="C53" s="36">
        <f>SUMPRODUCT(MAX((_Bantu!$A$2:$A$2001=$A53)*ROW(_Bantu!$A$2:$A$2001)))</f>
        <v>0</v>
      </c>
      <c r="D53" s="36">
        <f>SUMPRODUCT(MAX((_Bantu!$C$2:$C$2001=$A53&amp;"|1")*ROW(_Bantu!$C$2:$C$2001)))</f>
        <v>0</v>
      </c>
      <c r="E53" s="47" t="str">
        <f>IF($D53=0,"",INDEX(_Bantu!D:D,$D53))</f>
        <v/>
      </c>
      <c r="F53" s="47" t="str">
        <f>IF($D53=0,"",INDEX(_Bantu!E:E,$D53))</f>
        <v/>
      </c>
      <c r="G53" s="47" t="str">
        <f>IF($D53=0,"",INDEX(_Bantu!F:F,$D53))</f>
        <v/>
      </c>
      <c r="H53" s="47" t="str">
        <f>IF($D53=0,"",INDEX(_Bantu!G:G,$D53))</f>
        <v/>
      </c>
      <c r="I53" s="47" t="str">
        <f>IF($D53=0,"",INDEX(_Bantu!H:H,$D53))</f>
        <v/>
      </c>
      <c r="J53" s="47" t="str">
        <f t="shared" si="32"/>
        <v/>
      </c>
      <c r="K53" s="36" t="str">
        <f t="shared" si="33"/>
        <v>Belum isi</v>
      </c>
      <c r="L53" s="36">
        <f>SUMPRODUCT(MAX((_Bantu!$C$2:$C$2001=$A53&amp;"|2")*ROW(_Bantu!$C$2:$C$2001)))</f>
        <v>0</v>
      </c>
      <c r="M53" s="47" t="str">
        <f>IF($L53=0,"",INDEX(_Bantu!D:D,$L53))</f>
        <v/>
      </c>
      <c r="N53" s="47" t="str">
        <f>IF($L53=0,"",INDEX(_Bantu!E:E,$L53))</f>
        <v/>
      </c>
      <c r="O53" s="47" t="str">
        <f>IF($L53=0,"",INDEX(_Bantu!F:F,$L53))</f>
        <v/>
      </c>
      <c r="P53" s="47" t="str">
        <f>IF($L53=0,"",INDEX(_Bantu!G:G,$L53))</f>
        <v/>
      </c>
      <c r="Q53" s="47" t="str">
        <f>IF($L53=0,"",INDEX(_Bantu!H:H,$L53))</f>
        <v/>
      </c>
      <c r="R53" s="47" t="str">
        <f t="shared" si="34"/>
        <v/>
      </c>
      <c r="S53" s="36" t="str">
        <f t="shared" si="35"/>
        <v>Belum isi</v>
      </c>
      <c r="T53" s="36">
        <f>SUMPRODUCT(MAX((_Bantu!$C$2:$C$2001=$A53&amp;"|3")*ROW(_Bantu!$C$2:$C$2001)))</f>
        <v>0</v>
      </c>
      <c r="U53" s="47" t="str">
        <f>IF($T53=0,"",INDEX(_Bantu!D:D,$T53))</f>
        <v/>
      </c>
      <c r="V53" s="47" t="str">
        <f>IF($T53=0,"",INDEX(_Bantu!E:E,$T53))</f>
        <v/>
      </c>
      <c r="W53" s="47" t="str">
        <f>IF($T53=0,"",INDEX(_Bantu!F:F,$T53))</f>
        <v/>
      </c>
      <c r="X53" s="47" t="str">
        <f>IF($T53=0,"",INDEX(_Bantu!G:G,$T53))</f>
        <v/>
      </c>
      <c r="Y53" s="47" t="str">
        <f>IF($T53=0,"",INDEX(_Bantu!H:H,$T53))</f>
        <v/>
      </c>
      <c r="Z53" s="47" t="str">
        <f t="shared" si="36"/>
        <v/>
      </c>
      <c r="AA53" s="36" t="str">
        <f t="shared" si="37"/>
        <v>Belum isi</v>
      </c>
      <c r="AB53" s="47">
        <f t="shared" si="38"/>
        <v>0</v>
      </c>
      <c r="AC53" s="47">
        <f t="shared" si="39"/>
        <v>0</v>
      </c>
      <c r="AD53" s="47">
        <f t="shared" si="40"/>
        <v>0</v>
      </c>
      <c r="AE53" s="47">
        <f t="shared" si="41"/>
        <v>0</v>
      </c>
      <c r="AF53" s="47">
        <f t="shared" si="42"/>
        <v>0</v>
      </c>
      <c r="AG53" s="47">
        <f t="shared" si="43"/>
        <v>0</v>
      </c>
      <c r="AH53" s="47">
        <f t="shared" si="44"/>
        <v>0</v>
      </c>
      <c r="AI53" s="47">
        <f t="shared" si="45"/>
        <v>0</v>
      </c>
      <c r="AJ53" s="47">
        <f t="shared" si="46"/>
        <v>0</v>
      </c>
      <c r="AK53" s="47">
        <f t="shared" si="47"/>
        <v>0</v>
      </c>
      <c r="AL53" s="47">
        <f t="shared" si="48"/>
        <v>0</v>
      </c>
      <c r="AM53" s="47">
        <f t="shared" si="49"/>
        <v>0</v>
      </c>
      <c r="AN53" s="47">
        <f t="shared" si="50"/>
        <v>0</v>
      </c>
      <c r="AO53" s="47">
        <f t="shared" si="51"/>
        <v>0</v>
      </c>
      <c r="AP53" s="47">
        <f t="shared" si="52"/>
        <v>0</v>
      </c>
      <c r="AQ53" s="36" t="b">
        <f t="shared" si="53"/>
        <v>0</v>
      </c>
      <c r="AR53" s="48" t="str">
        <f t="shared" si="54"/>
        <v/>
      </c>
      <c r="AS53" s="48" t="str">
        <f>IF(OR(NOT($AQ53),Log_Putaran!$C$6=""),"",$AR53*SUMPRODUCT($AB53:$AF53,Log_Putaran!$L$6:$P$6))</f>
        <v/>
      </c>
      <c r="AT53" s="48" t="str">
        <f>IF(OR(NOT($AQ53),Log_Putaran!$C$7=""),"",$AR53*SUMPRODUCT($AB53:$AF53,Log_Putaran!$L$7:$P$7))</f>
        <v/>
      </c>
      <c r="AU53" s="48" t="str">
        <f>IF(OR(NOT($AQ53),Log_Putaran!$C$8=""),"",$AR53*SUMPRODUCT($AB53:$AF53,Log_Putaran!$L$8:$P$8))</f>
        <v/>
      </c>
      <c r="AV53" s="48" t="str">
        <f>IF(OR(NOT($AQ53),Log_Putaran!$C$9=""),"",$AR53*SUMPRODUCT($AB53:$AF53,Log_Putaran!$L$9:$P$9))</f>
        <v/>
      </c>
      <c r="AW53" s="48" t="str">
        <f>IF(OR(NOT($AQ53),Log_Putaran!$C$10=""),"",$AR53*SUMPRODUCT($AB53:$AF53,Log_Putaran!$L$10:$P$10))</f>
        <v/>
      </c>
      <c r="AX53" s="48" t="str">
        <f>IF(OR(NOT($AQ53),Log_Putaran!$C$11=""),"",$AR53*SUMPRODUCT($AB53:$AF53,Log_Putaran!$L$11:$P$11))</f>
        <v/>
      </c>
      <c r="AY53" s="48" t="str">
        <f>IF(OR(NOT($AQ53),Log_Putaran!$C$12=""),"",$AR53*SUMPRODUCT($AB53:$AF53,Log_Putaran!$L$12:$P$12))</f>
        <v/>
      </c>
      <c r="AZ53" s="48" t="str">
        <f>IF(OR(NOT($AQ53),Log_Putaran!$C$13=""),"",$AR53*SUMPRODUCT($AB53:$AF53,Log_Putaran!$L$13:$P$13))</f>
        <v/>
      </c>
      <c r="BA53" s="48" t="str">
        <f>IF(OR(NOT($AQ53),Log_Putaran!$C$14=""),"",$AR53*SUMPRODUCT($AB53:$AF53,Log_Putaran!$L$14:$P$14))</f>
        <v/>
      </c>
      <c r="BB53" s="48" t="str">
        <f>IF(OR(NOT($AQ53),Log_Putaran!$C$15=""),"",$AR53*SUMPRODUCT($AB53:$AF53,Log_Putaran!$L$15:$P$15))</f>
        <v/>
      </c>
      <c r="BC53" s="48" t="str">
        <f>IF(OR(NOT($AQ53),Log_Putaran!$C$16=""),"",$BB53*SUMPRODUCT($AG53:$AK53,Log_Putaran!$L$16:$P$16))</f>
        <v/>
      </c>
      <c r="BD53" s="48" t="str">
        <f>IF(OR(NOT($AQ53),Log_Putaran!$C$17=""),"",$BB53*SUMPRODUCT($AG53:$AK53,Log_Putaran!$L$17:$P$17))</f>
        <v/>
      </c>
      <c r="BE53" s="48" t="str">
        <f>IF(OR(NOT($AQ53),Log_Putaran!$C$18=""),"",$BB53*SUMPRODUCT($AG53:$AK53,Log_Putaran!$L$18:$P$18))</f>
        <v/>
      </c>
      <c r="BF53" s="48" t="str">
        <f>IF(OR(NOT($AQ53),Log_Putaran!$C$19=""),"",$BB53*SUMPRODUCT($AG53:$AK53,Log_Putaran!$L$19:$P$19))</f>
        <v/>
      </c>
      <c r="BG53" s="48" t="str">
        <f>IF(OR(NOT($AQ53),Log_Putaran!$C$20=""),"",$BB53*SUMPRODUCT($AG53:$AK53,Log_Putaran!$L$20:$P$20))</f>
        <v/>
      </c>
      <c r="BH53" s="48" t="str">
        <f>IF(OR(NOT($AQ53),Log_Putaran!$C$21=""),"",$BB53*SUMPRODUCT($AG53:$AK53,Log_Putaran!$L$21:$P$21))</f>
        <v/>
      </c>
      <c r="BI53" s="48" t="str">
        <f>IF(OR(NOT($AQ53),Log_Putaran!$C$22=""),"",$BB53*SUMPRODUCT($AG53:$AK53,Log_Putaran!$L$22:$P$22))</f>
        <v/>
      </c>
      <c r="BJ53" s="48" t="str">
        <f>IF(OR(NOT($AQ53),Log_Putaran!$C$23=""),"",$BB53*SUMPRODUCT($AG53:$AK53,Log_Putaran!$L$23:$P$23))</f>
        <v/>
      </c>
      <c r="BK53" s="48" t="str">
        <f>IF(OR(NOT($AQ53),Log_Putaran!$C$24=""),"",$BB53*SUMPRODUCT($AG53:$AK53,Log_Putaran!$L$24:$P$24))</f>
        <v/>
      </c>
      <c r="BL53" s="48" t="str">
        <f>IF(OR(NOT($AQ53),Log_Putaran!$C$25=""),"",$BB53*SUMPRODUCT($AG53:$AK53,Log_Putaran!$L$25:$P$25))</f>
        <v/>
      </c>
      <c r="BM53" s="48" t="str">
        <f>IF(OR(NOT($AQ53),Log_Putaran!$C$26=""),"",$BL53*SUMPRODUCT($AL53:$AP53,Log_Putaran!$L$26:$P$26))</f>
        <v/>
      </c>
      <c r="BN53" s="48" t="str">
        <f>IF(OR(NOT($AQ53),Log_Putaran!$C$27=""),"",$BL53*SUMPRODUCT($AL53:$AP53,Log_Putaran!$L$27:$P$27))</f>
        <v/>
      </c>
      <c r="BO53" s="48" t="str">
        <f>IF(OR(NOT($AQ53),Log_Putaran!$C$28=""),"",$BL53*SUMPRODUCT($AL53:$AP53,Log_Putaran!$L$28:$P$28))</f>
        <v/>
      </c>
      <c r="BP53" s="48" t="str">
        <f>IF(OR(NOT($AQ53),Log_Putaran!$C$29=""),"",$BL53*SUMPRODUCT($AL53:$AP53,Log_Putaran!$L$29:$P$29))</f>
        <v/>
      </c>
      <c r="BQ53" s="48" t="str">
        <f>IF(OR(NOT($AQ53),Log_Putaran!$C$30=""),"",$BL53*SUMPRODUCT($AL53:$AP53,Log_Putaran!$L$30:$P$30))</f>
        <v/>
      </c>
      <c r="BR53" s="48" t="str">
        <f>IF(OR(NOT($AQ53),Log_Putaran!$C$31=""),"",$BL53*SUMPRODUCT($AL53:$AP53,Log_Putaran!$L$31:$P$31))</f>
        <v/>
      </c>
      <c r="BS53" s="48" t="str">
        <f>IF(OR(NOT($AQ53),Log_Putaran!$C$32=""),"",$BL53*SUMPRODUCT($AL53:$AP53,Log_Putaran!$L$32:$P$32))</f>
        <v/>
      </c>
      <c r="BT53" s="48" t="str">
        <f>IF(OR(NOT($AQ53),Log_Putaran!$C$33=""),"",$BL53*SUMPRODUCT($AL53:$AP53,Log_Putaran!$L$33:$P$33))</f>
        <v/>
      </c>
      <c r="BU53" s="48" t="str">
        <f>IF(OR(NOT($AQ53),Log_Putaran!$C$34=""),"",$BL53*SUMPRODUCT($AL53:$AP53,Log_Putaran!$L$34:$P$34))</f>
        <v/>
      </c>
      <c r="BV53" s="48" t="str">
        <f>IF(OR(NOT($AQ53),Log_Putaran!$C$35=""),"",$BL53*SUMPRODUCT($AL53:$AP53,Log_Putaran!$L$35:$P$35))</f>
        <v/>
      </c>
      <c r="BW53" s="48" t="str">
        <f t="shared" si="55"/>
        <v/>
      </c>
      <c r="BX53" s="48" t="str">
        <f t="shared" si="56"/>
        <v/>
      </c>
      <c r="BY53" s="38" t="str">
        <f t="shared" si="57"/>
        <v/>
      </c>
      <c r="BZ53" s="49" t="str">
        <f>IF($AQ53,MAX(_DD!$B53:$AE53),"")</f>
        <v/>
      </c>
      <c r="CA53" s="36">
        <f t="shared" si="58"/>
        <v>-9.9999999999999997E+98</v>
      </c>
      <c r="CB53" s="36" t="str">
        <f t="shared" si="59"/>
        <v/>
      </c>
      <c r="CC53" s="36">
        <f t="shared" si="60"/>
        <v>-9.9999999999999997E+98</v>
      </c>
      <c r="CD53" s="36" t="str">
        <f t="shared" si="61"/>
        <v/>
      </c>
      <c r="CE53" s="36" t="str">
        <f t="shared" si="62"/>
        <v/>
      </c>
      <c r="CF53" s="36">
        <f t="shared" si="63"/>
        <v>-9.9999999999999997E+98</v>
      </c>
    </row>
    <row r="54" spans="1:84">
      <c r="A54" s="36" t="str">
        <f>Peserta!A54</f>
        <v>P49</v>
      </c>
      <c r="B54" s="36" t="str">
        <f>IF($C54&gt;0,INDEX(Input!$C:$C,$C54)&amp;"",IF(Peserta!B54="",$A54,Peserta!B54))</f>
        <v>P49</v>
      </c>
      <c r="C54" s="36">
        <f>SUMPRODUCT(MAX((_Bantu!$A$2:$A$2001=$A54)*ROW(_Bantu!$A$2:$A$2001)))</f>
        <v>0</v>
      </c>
      <c r="D54" s="36">
        <f>SUMPRODUCT(MAX((_Bantu!$C$2:$C$2001=$A54&amp;"|1")*ROW(_Bantu!$C$2:$C$2001)))</f>
        <v>0</v>
      </c>
      <c r="E54" s="47" t="str">
        <f>IF($D54=0,"",INDEX(_Bantu!D:D,$D54))</f>
        <v/>
      </c>
      <c r="F54" s="47" t="str">
        <f>IF($D54=0,"",INDEX(_Bantu!E:E,$D54))</f>
        <v/>
      </c>
      <c r="G54" s="47" t="str">
        <f>IF($D54=0,"",INDEX(_Bantu!F:F,$D54))</f>
        <v/>
      </c>
      <c r="H54" s="47" t="str">
        <f>IF($D54=0,"",INDEX(_Bantu!G:G,$D54))</f>
        <v/>
      </c>
      <c r="I54" s="47" t="str">
        <f>IF($D54=0,"",INDEX(_Bantu!H:H,$D54))</f>
        <v/>
      </c>
      <c r="J54" s="47" t="str">
        <f t="shared" si="32"/>
        <v/>
      </c>
      <c r="K54" s="36" t="str">
        <f t="shared" si="33"/>
        <v>Belum isi</v>
      </c>
      <c r="L54" s="36">
        <f>SUMPRODUCT(MAX((_Bantu!$C$2:$C$2001=$A54&amp;"|2")*ROW(_Bantu!$C$2:$C$2001)))</f>
        <v>0</v>
      </c>
      <c r="M54" s="47" t="str">
        <f>IF($L54=0,"",INDEX(_Bantu!D:D,$L54))</f>
        <v/>
      </c>
      <c r="N54" s="47" t="str">
        <f>IF($L54=0,"",INDEX(_Bantu!E:E,$L54))</f>
        <v/>
      </c>
      <c r="O54" s="47" t="str">
        <f>IF($L54=0,"",INDEX(_Bantu!F:F,$L54))</f>
        <v/>
      </c>
      <c r="P54" s="47" t="str">
        <f>IF($L54=0,"",INDEX(_Bantu!G:G,$L54))</f>
        <v/>
      </c>
      <c r="Q54" s="47" t="str">
        <f>IF($L54=0,"",INDEX(_Bantu!H:H,$L54))</f>
        <v/>
      </c>
      <c r="R54" s="47" t="str">
        <f t="shared" si="34"/>
        <v/>
      </c>
      <c r="S54" s="36" t="str">
        <f t="shared" si="35"/>
        <v>Belum isi</v>
      </c>
      <c r="T54" s="36">
        <f>SUMPRODUCT(MAX((_Bantu!$C$2:$C$2001=$A54&amp;"|3")*ROW(_Bantu!$C$2:$C$2001)))</f>
        <v>0</v>
      </c>
      <c r="U54" s="47" t="str">
        <f>IF($T54=0,"",INDEX(_Bantu!D:D,$T54))</f>
        <v/>
      </c>
      <c r="V54" s="47" t="str">
        <f>IF($T54=0,"",INDEX(_Bantu!E:E,$T54))</f>
        <v/>
      </c>
      <c r="W54" s="47" t="str">
        <f>IF($T54=0,"",INDEX(_Bantu!F:F,$T54))</f>
        <v/>
      </c>
      <c r="X54" s="47" t="str">
        <f>IF($T54=0,"",INDEX(_Bantu!G:G,$T54))</f>
        <v/>
      </c>
      <c r="Y54" s="47" t="str">
        <f>IF($T54=0,"",INDEX(_Bantu!H:H,$T54))</f>
        <v/>
      </c>
      <c r="Z54" s="47" t="str">
        <f t="shared" si="36"/>
        <v/>
      </c>
      <c r="AA54" s="36" t="str">
        <f t="shared" si="37"/>
        <v>Belum isi</v>
      </c>
      <c r="AB54" s="47">
        <f t="shared" si="38"/>
        <v>0</v>
      </c>
      <c r="AC54" s="47">
        <f t="shared" si="39"/>
        <v>0</v>
      </c>
      <c r="AD54" s="47">
        <f t="shared" si="40"/>
        <v>0</v>
      </c>
      <c r="AE54" s="47">
        <f t="shared" si="41"/>
        <v>0</v>
      </c>
      <c r="AF54" s="47">
        <f t="shared" si="42"/>
        <v>0</v>
      </c>
      <c r="AG54" s="47">
        <f t="shared" si="43"/>
        <v>0</v>
      </c>
      <c r="AH54" s="47">
        <f t="shared" si="44"/>
        <v>0</v>
      </c>
      <c r="AI54" s="47">
        <f t="shared" si="45"/>
        <v>0</v>
      </c>
      <c r="AJ54" s="47">
        <f t="shared" si="46"/>
        <v>0</v>
      </c>
      <c r="AK54" s="47">
        <f t="shared" si="47"/>
        <v>0</v>
      </c>
      <c r="AL54" s="47">
        <f t="shared" si="48"/>
        <v>0</v>
      </c>
      <c r="AM54" s="47">
        <f t="shared" si="49"/>
        <v>0</v>
      </c>
      <c r="AN54" s="47">
        <f t="shared" si="50"/>
        <v>0</v>
      </c>
      <c r="AO54" s="47">
        <f t="shared" si="51"/>
        <v>0</v>
      </c>
      <c r="AP54" s="47">
        <f t="shared" si="52"/>
        <v>0</v>
      </c>
      <c r="AQ54" s="36" t="b">
        <f t="shared" si="53"/>
        <v>0</v>
      </c>
      <c r="AR54" s="48" t="str">
        <f t="shared" si="54"/>
        <v/>
      </c>
      <c r="AS54" s="48" t="str">
        <f>IF(OR(NOT($AQ54),Log_Putaran!$C$6=""),"",$AR54*SUMPRODUCT($AB54:$AF54,Log_Putaran!$L$6:$P$6))</f>
        <v/>
      </c>
      <c r="AT54" s="48" t="str">
        <f>IF(OR(NOT($AQ54),Log_Putaran!$C$7=""),"",$AR54*SUMPRODUCT($AB54:$AF54,Log_Putaran!$L$7:$P$7))</f>
        <v/>
      </c>
      <c r="AU54" s="48" t="str">
        <f>IF(OR(NOT($AQ54),Log_Putaran!$C$8=""),"",$AR54*SUMPRODUCT($AB54:$AF54,Log_Putaran!$L$8:$P$8))</f>
        <v/>
      </c>
      <c r="AV54" s="48" t="str">
        <f>IF(OR(NOT($AQ54),Log_Putaran!$C$9=""),"",$AR54*SUMPRODUCT($AB54:$AF54,Log_Putaran!$L$9:$P$9))</f>
        <v/>
      </c>
      <c r="AW54" s="48" t="str">
        <f>IF(OR(NOT($AQ54),Log_Putaran!$C$10=""),"",$AR54*SUMPRODUCT($AB54:$AF54,Log_Putaran!$L$10:$P$10))</f>
        <v/>
      </c>
      <c r="AX54" s="48" t="str">
        <f>IF(OR(NOT($AQ54),Log_Putaran!$C$11=""),"",$AR54*SUMPRODUCT($AB54:$AF54,Log_Putaran!$L$11:$P$11))</f>
        <v/>
      </c>
      <c r="AY54" s="48" t="str">
        <f>IF(OR(NOT($AQ54),Log_Putaran!$C$12=""),"",$AR54*SUMPRODUCT($AB54:$AF54,Log_Putaran!$L$12:$P$12))</f>
        <v/>
      </c>
      <c r="AZ54" s="48" t="str">
        <f>IF(OR(NOT($AQ54),Log_Putaran!$C$13=""),"",$AR54*SUMPRODUCT($AB54:$AF54,Log_Putaran!$L$13:$P$13))</f>
        <v/>
      </c>
      <c r="BA54" s="48" t="str">
        <f>IF(OR(NOT($AQ54),Log_Putaran!$C$14=""),"",$AR54*SUMPRODUCT($AB54:$AF54,Log_Putaran!$L$14:$P$14))</f>
        <v/>
      </c>
      <c r="BB54" s="48" t="str">
        <f>IF(OR(NOT($AQ54),Log_Putaran!$C$15=""),"",$AR54*SUMPRODUCT($AB54:$AF54,Log_Putaran!$L$15:$P$15))</f>
        <v/>
      </c>
      <c r="BC54" s="48" t="str">
        <f>IF(OR(NOT($AQ54),Log_Putaran!$C$16=""),"",$BB54*SUMPRODUCT($AG54:$AK54,Log_Putaran!$L$16:$P$16))</f>
        <v/>
      </c>
      <c r="BD54" s="48" t="str">
        <f>IF(OR(NOT($AQ54),Log_Putaran!$C$17=""),"",$BB54*SUMPRODUCT($AG54:$AK54,Log_Putaran!$L$17:$P$17))</f>
        <v/>
      </c>
      <c r="BE54" s="48" t="str">
        <f>IF(OR(NOT($AQ54),Log_Putaran!$C$18=""),"",$BB54*SUMPRODUCT($AG54:$AK54,Log_Putaran!$L$18:$P$18))</f>
        <v/>
      </c>
      <c r="BF54" s="48" t="str">
        <f>IF(OR(NOT($AQ54),Log_Putaran!$C$19=""),"",$BB54*SUMPRODUCT($AG54:$AK54,Log_Putaran!$L$19:$P$19))</f>
        <v/>
      </c>
      <c r="BG54" s="48" t="str">
        <f>IF(OR(NOT($AQ54),Log_Putaran!$C$20=""),"",$BB54*SUMPRODUCT($AG54:$AK54,Log_Putaran!$L$20:$P$20))</f>
        <v/>
      </c>
      <c r="BH54" s="48" t="str">
        <f>IF(OR(NOT($AQ54),Log_Putaran!$C$21=""),"",$BB54*SUMPRODUCT($AG54:$AK54,Log_Putaran!$L$21:$P$21))</f>
        <v/>
      </c>
      <c r="BI54" s="48" t="str">
        <f>IF(OR(NOT($AQ54),Log_Putaran!$C$22=""),"",$BB54*SUMPRODUCT($AG54:$AK54,Log_Putaran!$L$22:$P$22))</f>
        <v/>
      </c>
      <c r="BJ54" s="48" t="str">
        <f>IF(OR(NOT($AQ54),Log_Putaran!$C$23=""),"",$BB54*SUMPRODUCT($AG54:$AK54,Log_Putaran!$L$23:$P$23))</f>
        <v/>
      </c>
      <c r="BK54" s="48" t="str">
        <f>IF(OR(NOT($AQ54),Log_Putaran!$C$24=""),"",$BB54*SUMPRODUCT($AG54:$AK54,Log_Putaran!$L$24:$P$24))</f>
        <v/>
      </c>
      <c r="BL54" s="48" t="str">
        <f>IF(OR(NOT($AQ54),Log_Putaran!$C$25=""),"",$BB54*SUMPRODUCT($AG54:$AK54,Log_Putaran!$L$25:$P$25))</f>
        <v/>
      </c>
      <c r="BM54" s="48" t="str">
        <f>IF(OR(NOT($AQ54),Log_Putaran!$C$26=""),"",$BL54*SUMPRODUCT($AL54:$AP54,Log_Putaran!$L$26:$P$26))</f>
        <v/>
      </c>
      <c r="BN54" s="48" t="str">
        <f>IF(OR(NOT($AQ54),Log_Putaran!$C$27=""),"",$BL54*SUMPRODUCT($AL54:$AP54,Log_Putaran!$L$27:$P$27))</f>
        <v/>
      </c>
      <c r="BO54" s="48" t="str">
        <f>IF(OR(NOT($AQ54),Log_Putaran!$C$28=""),"",$BL54*SUMPRODUCT($AL54:$AP54,Log_Putaran!$L$28:$P$28))</f>
        <v/>
      </c>
      <c r="BP54" s="48" t="str">
        <f>IF(OR(NOT($AQ54),Log_Putaran!$C$29=""),"",$BL54*SUMPRODUCT($AL54:$AP54,Log_Putaran!$L$29:$P$29))</f>
        <v/>
      </c>
      <c r="BQ54" s="48" t="str">
        <f>IF(OR(NOT($AQ54),Log_Putaran!$C$30=""),"",$BL54*SUMPRODUCT($AL54:$AP54,Log_Putaran!$L$30:$P$30))</f>
        <v/>
      </c>
      <c r="BR54" s="48" t="str">
        <f>IF(OR(NOT($AQ54),Log_Putaran!$C$31=""),"",$BL54*SUMPRODUCT($AL54:$AP54,Log_Putaran!$L$31:$P$31))</f>
        <v/>
      </c>
      <c r="BS54" s="48" t="str">
        <f>IF(OR(NOT($AQ54),Log_Putaran!$C$32=""),"",$BL54*SUMPRODUCT($AL54:$AP54,Log_Putaran!$L$32:$P$32))</f>
        <v/>
      </c>
      <c r="BT54" s="48" t="str">
        <f>IF(OR(NOT($AQ54),Log_Putaran!$C$33=""),"",$BL54*SUMPRODUCT($AL54:$AP54,Log_Putaran!$L$33:$P$33))</f>
        <v/>
      </c>
      <c r="BU54" s="48" t="str">
        <f>IF(OR(NOT($AQ54),Log_Putaran!$C$34=""),"",$BL54*SUMPRODUCT($AL54:$AP54,Log_Putaran!$L$34:$P$34))</f>
        <v/>
      </c>
      <c r="BV54" s="48" t="str">
        <f>IF(OR(NOT($AQ54),Log_Putaran!$C$35=""),"",$BL54*SUMPRODUCT($AL54:$AP54,Log_Putaran!$L$35:$P$35))</f>
        <v/>
      </c>
      <c r="BW54" s="48" t="str">
        <f t="shared" si="55"/>
        <v/>
      </c>
      <c r="BX54" s="48" t="str">
        <f t="shared" si="56"/>
        <v/>
      </c>
      <c r="BY54" s="38" t="str">
        <f t="shared" si="57"/>
        <v/>
      </c>
      <c r="BZ54" s="49" t="str">
        <f>IF($AQ54,MAX(_DD!$B54:$AE54),"")</f>
        <v/>
      </c>
      <c r="CA54" s="36">
        <f t="shared" si="58"/>
        <v>-9.9999999999999997E+98</v>
      </c>
      <c r="CB54" s="36" t="str">
        <f t="shared" si="59"/>
        <v/>
      </c>
      <c r="CC54" s="36">
        <f t="shared" si="60"/>
        <v>-9.9999999999999997E+98</v>
      </c>
      <c r="CD54" s="36" t="str">
        <f t="shared" si="61"/>
        <v/>
      </c>
      <c r="CE54" s="36" t="str">
        <f t="shared" si="62"/>
        <v/>
      </c>
      <c r="CF54" s="36">
        <f t="shared" si="63"/>
        <v>-9.9999999999999997E+98</v>
      </c>
    </row>
    <row r="55" spans="1:84">
      <c r="A55" s="36" t="str">
        <f>Peserta!A55</f>
        <v>P50</v>
      </c>
      <c r="B55" s="36" t="str">
        <f>IF($C55&gt;0,INDEX(Input!$C:$C,$C55)&amp;"",IF(Peserta!B55="",$A55,Peserta!B55))</f>
        <v>P50</v>
      </c>
      <c r="C55" s="36">
        <f>SUMPRODUCT(MAX((_Bantu!$A$2:$A$2001=$A55)*ROW(_Bantu!$A$2:$A$2001)))</f>
        <v>0</v>
      </c>
      <c r="D55" s="36">
        <f>SUMPRODUCT(MAX((_Bantu!$C$2:$C$2001=$A55&amp;"|1")*ROW(_Bantu!$C$2:$C$2001)))</f>
        <v>0</v>
      </c>
      <c r="E55" s="47" t="str">
        <f>IF($D55=0,"",INDEX(_Bantu!D:D,$D55))</f>
        <v/>
      </c>
      <c r="F55" s="47" t="str">
        <f>IF($D55=0,"",INDEX(_Bantu!E:E,$D55))</f>
        <v/>
      </c>
      <c r="G55" s="47" t="str">
        <f>IF($D55=0,"",INDEX(_Bantu!F:F,$D55))</f>
        <v/>
      </c>
      <c r="H55" s="47" t="str">
        <f>IF($D55=0,"",INDEX(_Bantu!G:G,$D55))</f>
        <v/>
      </c>
      <c r="I55" s="47" t="str">
        <f>IF($D55=0,"",INDEX(_Bantu!H:H,$D55))</f>
        <v/>
      </c>
      <c r="J55" s="47" t="str">
        <f t="shared" si="32"/>
        <v/>
      </c>
      <c r="K55" s="36" t="str">
        <f t="shared" si="33"/>
        <v>Belum isi</v>
      </c>
      <c r="L55" s="36">
        <f>SUMPRODUCT(MAX((_Bantu!$C$2:$C$2001=$A55&amp;"|2")*ROW(_Bantu!$C$2:$C$2001)))</f>
        <v>0</v>
      </c>
      <c r="M55" s="47" t="str">
        <f>IF($L55=0,"",INDEX(_Bantu!D:D,$L55))</f>
        <v/>
      </c>
      <c r="N55" s="47" t="str">
        <f>IF($L55=0,"",INDEX(_Bantu!E:E,$L55))</f>
        <v/>
      </c>
      <c r="O55" s="47" t="str">
        <f>IF($L55=0,"",INDEX(_Bantu!F:F,$L55))</f>
        <v/>
      </c>
      <c r="P55" s="47" t="str">
        <f>IF($L55=0,"",INDEX(_Bantu!G:G,$L55))</f>
        <v/>
      </c>
      <c r="Q55" s="47" t="str">
        <f>IF($L55=0,"",INDEX(_Bantu!H:H,$L55))</f>
        <v/>
      </c>
      <c r="R55" s="47" t="str">
        <f t="shared" si="34"/>
        <v/>
      </c>
      <c r="S55" s="36" t="str">
        <f t="shared" si="35"/>
        <v>Belum isi</v>
      </c>
      <c r="T55" s="36">
        <f>SUMPRODUCT(MAX((_Bantu!$C$2:$C$2001=$A55&amp;"|3")*ROW(_Bantu!$C$2:$C$2001)))</f>
        <v>0</v>
      </c>
      <c r="U55" s="47" t="str">
        <f>IF($T55=0,"",INDEX(_Bantu!D:D,$T55))</f>
        <v/>
      </c>
      <c r="V55" s="47" t="str">
        <f>IF($T55=0,"",INDEX(_Bantu!E:E,$T55))</f>
        <v/>
      </c>
      <c r="W55" s="47" t="str">
        <f>IF($T55=0,"",INDEX(_Bantu!F:F,$T55))</f>
        <v/>
      </c>
      <c r="X55" s="47" t="str">
        <f>IF($T55=0,"",INDEX(_Bantu!G:G,$T55))</f>
        <v/>
      </c>
      <c r="Y55" s="47" t="str">
        <f>IF($T55=0,"",INDEX(_Bantu!H:H,$T55))</f>
        <v/>
      </c>
      <c r="Z55" s="47" t="str">
        <f t="shared" si="36"/>
        <v/>
      </c>
      <c r="AA55" s="36" t="str">
        <f t="shared" si="37"/>
        <v>Belum isi</v>
      </c>
      <c r="AB55" s="47">
        <f t="shared" si="38"/>
        <v>0</v>
      </c>
      <c r="AC55" s="47">
        <f t="shared" si="39"/>
        <v>0</v>
      </c>
      <c r="AD55" s="47">
        <f t="shared" si="40"/>
        <v>0</v>
      </c>
      <c r="AE55" s="47">
        <f t="shared" si="41"/>
        <v>0</v>
      </c>
      <c r="AF55" s="47">
        <f t="shared" si="42"/>
        <v>0</v>
      </c>
      <c r="AG55" s="47">
        <f t="shared" si="43"/>
        <v>0</v>
      </c>
      <c r="AH55" s="47">
        <f t="shared" si="44"/>
        <v>0</v>
      </c>
      <c r="AI55" s="47">
        <f t="shared" si="45"/>
        <v>0</v>
      </c>
      <c r="AJ55" s="47">
        <f t="shared" si="46"/>
        <v>0</v>
      </c>
      <c r="AK55" s="47">
        <f t="shared" si="47"/>
        <v>0</v>
      </c>
      <c r="AL55" s="47">
        <f t="shared" si="48"/>
        <v>0</v>
      </c>
      <c r="AM55" s="47">
        <f t="shared" si="49"/>
        <v>0</v>
      </c>
      <c r="AN55" s="47">
        <f t="shared" si="50"/>
        <v>0</v>
      </c>
      <c r="AO55" s="47">
        <f t="shared" si="51"/>
        <v>0</v>
      </c>
      <c r="AP55" s="47">
        <f t="shared" si="52"/>
        <v>0</v>
      </c>
      <c r="AQ55" s="36" t="b">
        <f t="shared" si="53"/>
        <v>0</v>
      </c>
      <c r="AR55" s="48" t="str">
        <f t="shared" si="54"/>
        <v/>
      </c>
      <c r="AS55" s="48" t="str">
        <f>IF(OR(NOT($AQ55),Log_Putaran!$C$6=""),"",$AR55*SUMPRODUCT($AB55:$AF55,Log_Putaran!$L$6:$P$6))</f>
        <v/>
      </c>
      <c r="AT55" s="48" t="str">
        <f>IF(OR(NOT($AQ55),Log_Putaran!$C$7=""),"",$AR55*SUMPRODUCT($AB55:$AF55,Log_Putaran!$L$7:$P$7))</f>
        <v/>
      </c>
      <c r="AU55" s="48" t="str">
        <f>IF(OR(NOT($AQ55),Log_Putaran!$C$8=""),"",$AR55*SUMPRODUCT($AB55:$AF55,Log_Putaran!$L$8:$P$8))</f>
        <v/>
      </c>
      <c r="AV55" s="48" t="str">
        <f>IF(OR(NOT($AQ55),Log_Putaran!$C$9=""),"",$AR55*SUMPRODUCT($AB55:$AF55,Log_Putaran!$L$9:$P$9))</f>
        <v/>
      </c>
      <c r="AW55" s="48" t="str">
        <f>IF(OR(NOT($AQ55),Log_Putaran!$C$10=""),"",$AR55*SUMPRODUCT($AB55:$AF55,Log_Putaran!$L$10:$P$10))</f>
        <v/>
      </c>
      <c r="AX55" s="48" t="str">
        <f>IF(OR(NOT($AQ55),Log_Putaran!$C$11=""),"",$AR55*SUMPRODUCT($AB55:$AF55,Log_Putaran!$L$11:$P$11))</f>
        <v/>
      </c>
      <c r="AY55" s="48" t="str">
        <f>IF(OR(NOT($AQ55),Log_Putaran!$C$12=""),"",$AR55*SUMPRODUCT($AB55:$AF55,Log_Putaran!$L$12:$P$12))</f>
        <v/>
      </c>
      <c r="AZ55" s="48" t="str">
        <f>IF(OR(NOT($AQ55),Log_Putaran!$C$13=""),"",$AR55*SUMPRODUCT($AB55:$AF55,Log_Putaran!$L$13:$P$13))</f>
        <v/>
      </c>
      <c r="BA55" s="48" t="str">
        <f>IF(OR(NOT($AQ55),Log_Putaran!$C$14=""),"",$AR55*SUMPRODUCT($AB55:$AF55,Log_Putaran!$L$14:$P$14))</f>
        <v/>
      </c>
      <c r="BB55" s="48" t="str">
        <f>IF(OR(NOT($AQ55),Log_Putaran!$C$15=""),"",$AR55*SUMPRODUCT($AB55:$AF55,Log_Putaran!$L$15:$P$15))</f>
        <v/>
      </c>
      <c r="BC55" s="48" t="str">
        <f>IF(OR(NOT($AQ55),Log_Putaran!$C$16=""),"",$BB55*SUMPRODUCT($AG55:$AK55,Log_Putaran!$L$16:$P$16))</f>
        <v/>
      </c>
      <c r="BD55" s="48" t="str">
        <f>IF(OR(NOT($AQ55),Log_Putaran!$C$17=""),"",$BB55*SUMPRODUCT($AG55:$AK55,Log_Putaran!$L$17:$P$17))</f>
        <v/>
      </c>
      <c r="BE55" s="48" t="str">
        <f>IF(OR(NOT($AQ55),Log_Putaran!$C$18=""),"",$BB55*SUMPRODUCT($AG55:$AK55,Log_Putaran!$L$18:$P$18))</f>
        <v/>
      </c>
      <c r="BF55" s="48" t="str">
        <f>IF(OR(NOT($AQ55),Log_Putaran!$C$19=""),"",$BB55*SUMPRODUCT($AG55:$AK55,Log_Putaran!$L$19:$P$19))</f>
        <v/>
      </c>
      <c r="BG55" s="48" t="str">
        <f>IF(OR(NOT($AQ55),Log_Putaran!$C$20=""),"",$BB55*SUMPRODUCT($AG55:$AK55,Log_Putaran!$L$20:$P$20))</f>
        <v/>
      </c>
      <c r="BH55" s="48" t="str">
        <f>IF(OR(NOT($AQ55),Log_Putaran!$C$21=""),"",$BB55*SUMPRODUCT($AG55:$AK55,Log_Putaran!$L$21:$P$21))</f>
        <v/>
      </c>
      <c r="BI55" s="48" t="str">
        <f>IF(OR(NOT($AQ55),Log_Putaran!$C$22=""),"",$BB55*SUMPRODUCT($AG55:$AK55,Log_Putaran!$L$22:$P$22))</f>
        <v/>
      </c>
      <c r="BJ55" s="48" t="str">
        <f>IF(OR(NOT($AQ55),Log_Putaran!$C$23=""),"",$BB55*SUMPRODUCT($AG55:$AK55,Log_Putaran!$L$23:$P$23))</f>
        <v/>
      </c>
      <c r="BK55" s="48" t="str">
        <f>IF(OR(NOT($AQ55),Log_Putaran!$C$24=""),"",$BB55*SUMPRODUCT($AG55:$AK55,Log_Putaran!$L$24:$P$24))</f>
        <v/>
      </c>
      <c r="BL55" s="48" t="str">
        <f>IF(OR(NOT($AQ55),Log_Putaran!$C$25=""),"",$BB55*SUMPRODUCT($AG55:$AK55,Log_Putaran!$L$25:$P$25))</f>
        <v/>
      </c>
      <c r="BM55" s="48" t="str">
        <f>IF(OR(NOT($AQ55),Log_Putaran!$C$26=""),"",$BL55*SUMPRODUCT($AL55:$AP55,Log_Putaran!$L$26:$P$26))</f>
        <v/>
      </c>
      <c r="BN55" s="48" t="str">
        <f>IF(OR(NOT($AQ55),Log_Putaran!$C$27=""),"",$BL55*SUMPRODUCT($AL55:$AP55,Log_Putaran!$L$27:$P$27))</f>
        <v/>
      </c>
      <c r="BO55" s="48" t="str">
        <f>IF(OR(NOT($AQ55),Log_Putaran!$C$28=""),"",$BL55*SUMPRODUCT($AL55:$AP55,Log_Putaran!$L$28:$P$28))</f>
        <v/>
      </c>
      <c r="BP55" s="48" t="str">
        <f>IF(OR(NOT($AQ55),Log_Putaran!$C$29=""),"",$BL55*SUMPRODUCT($AL55:$AP55,Log_Putaran!$L$29:$P$29))</f>
        <v/>
      </c>
      <c r="BQ55" s="48" t="str">
        <f>IF(OR(NOT($AQ55),Log_Putaran!$C$30=""),"",$BL55*SUMPRODUCT($AL55:$AP55,Log_Putaran!$L$30:$P$30))</f>
        <v/>
      </c>
      <c r="BR55" s="48" t="str">
        <f>IF(OR(NOT($AQ55),Log_Putaran!$C$31=""),"",$BL55*SUMPRODUCT($AL55:$AP55,Log_Putaran!$L$31:$P$31))</f>
        <v/>
      </c>
      <c r="BS55" s="48" t="str">
        <f>IF(OR(NOT($AQ55),Log_Putaran!$C$32=""),"",$BL55*SUMPRODUCT($AL55:$AP55,Log_Putaran!$L$32:$P$32))</f>
        <v/>
      </c>
      <c r="BT55" s="48" t="str">
        <f>IF(OR(NOT($AQ55),Log_Putaran!$C$33=""),"",$BL55*SUMPRODUCT($AL55:$AP55,Log_Putaran!$L$33:$P$33))</f>
        <v/>
      </c>
      <c r="BU55" s="48" t="str">
        <f>IF(OR(NOT($AQ55),Log_Putaran!$C$34=""),"",$BL55*SUMPRODUCT($AL55:$AP55,Log_Putaran!$L$34:$P$34))</f>
        <v/>
      </c>
      <c r="BV55" s="48" t="str">
        <f>IF(OR(NOT($AQ55),Log_Putaran!$C$35=""),"",$BL55*SUMPRODUCT($AL55:$AP55,Log_Putaran!$L$35:$P$35))</f>
        <v/>
      </c>
      <c r="BW55" s="48" t="str">
        <f t="shared" si="55"/>
        <v/>
      </c>
      <c r="BX55" s="48" t="str">
        <f t="shared" si="56"/>
        <v/>
      </c>
      <c r="BY55" s="38" t="str">
        <f t="shared" si="57"/>
        <v/>
      </c>
      <c r="BZ55" s="49" t="str">
        <f>IF($AQ55,MAX(_DD!$B55:$AE55),"")</f>
        <v/>
      </c>
      <c r="CA55" s="36">
        <f t="shared" si="58"/>
        <v>-9.9999999999999997E+98</v>
      </c>
      <c r="CB55" s="36" t="str">
        <f t="shared" si="59"/>
        <v/>
      </c>
      <c r="CC55" s="36">
        <f t="shared" si="60"/>
        <v>-9.9999999999999997E+98</v>
      </c>
      <c r="CD55" s="36" t="str">
        <f t="shared" si="61"/>
        <v/>
      </c>
      <c r="CE55" s="36" t="str">
        <f t="shared" si="62"/>
        <v/>
      </c>
      <c r="CF55" s="36">
        <f t="shared" si="63"/>
        <v>-9.9999999999999997E+98</v>
      </c>
    </row>
    <row r="56" spans="1:84">
      <c r="A56" s="36" t="str">
        <f>Peserta!A56</f>
        <v>P51</v>
      </c>
      <c r="B56" s="36" t="str">
        <f>IF($C56&gt;0,INDEX(Input!$C:$C,$C56)&amp;"",IF(Peserta!B56="",$A56,Peserta!B56))</f>
        <v>P51</v>
      </c>
      <c r="C56" s="36">
        <f>SUMPRODUCT(MAX((_Bantu!$A$2:$A$2001=$A56)*ROW(_Bantu!$A$2:$A$2001)))</f>
        <v>0</v>
      </c>
      <c r="D56" s="36">
        <f>SUMPRODUCT(MAX((_Bantu!$C$2:$C$2001=$A56&amp;"|1")*ROW(_Bantu!$C$2:$C$2001)))</f>
        <v>0</v>
      </c>
      <c r="E56" s="47" t="str">
        <f>IF($D56=0,"",INDEX(_Bantu!D:D,$D56))</f>
        <v/>
      </c>
      <c r="F56" s="47" t="str">
        <f>IF($D56=0,"",INDEX(_Bantu!E:E,$D56))</f>
        <v/>
      </c>
      <c r="G56" s="47" t="str">
        <f>IF($D56=0,"",INDEX(_Bantu!F:F,$D56))</f>
        <v/>
      </c>
      <c r="H56" s="47" t="str">
        <f>IF($D56=0,"",INDEX(_Bantu!G:G,$D56))</f>
        <v/>
      </c>
      <c r="I56" s="47" t="str">
        <f>IF($D56=0,"",INDEX(_Bantu!H:H,$D56))</f>
        <v/>
      </c>
      <c r="J56" s="47" t="str">
        <f t="shared" si="32"/>
        <v/>
      </c>
      <c r="K56" s="36" t="str">
        <f t="shared" si="33"/>
        <v>Belum isi</v>
      </c>
      <c r="L56" s="36">
        <f>SUMPRODUCT(MAX((_Bantu!$C$2:$C$2001=$A56&amp;"|2")*ROW(_Bantu!$C$2:$C$2001)))</f>
        <v>0</v>
      </c>
      <c r="M56" s="47" t="str">
        <f>IF($L56=0,"",INDEX(_Bantu!D:D,$L56))</f>
        <v/>
      </c>
      <c r="N56" s="47" t="str">
        <f>IF($L56=0,"",INDEX(_Bantu!E:E,$L56))</f>
        <v/>
      </c>
      <c r="O56" s="47" t="str">
        <f>IF($L56=0,"",INDEX(_Bantu!F:F,$L56))</f>
        <v/>
      </c>
      <c r="P56" s="47" t="str">
        <f>IF($L56=0,"",INDEX(_Bantu!G:G,$L56))</f>
        <v/>
      </c>
      <c r="Q56" s="47" t="str">
        <f>IF($L56=0,"",INDEX(_Bantu!H:H,$L56))</f>
        <v/>
      </c>
      <c r="R56" s="47" t="str">
        <f t="shared" si="34"/>
        <v/>
      </c>
      <c r="S56" s="36" t="str">
        <f t="shared" si="35"/>
        <v>Belum isi</v>
      </c>
      <c r="T56" s="36">
        <f>SUMPRODUCT(MAX((_Bantu!$C$2:$C$2001=$A56&amp;"|3")*ROW(_Bantu!$C$2:$C$2001)))</f>
        <v>0</v>
      </c>
      <c r="U56" s="47" t="str">
        <f>IF($T56=0,"",INDEX(_Bantu!D:D,$T56))</f>
        <v/>
      </c>
      <c r="V56" s="47" t="str">
        <f>IF($T56=0,"",INDEX(_Bantu!E:E,$T56))</f>
        <v/>
      </c>
      <c r="W56" s="47" t="str">
        <f>IF($T56=0,"",INDEX(_Bantu!F:F,$T56))</f>
        <v/>
      </c>
      <c r="X56" s="47" t="str">
        <f>IF($T56=0,"",INDEX(_Bantu!G:G,$T56))</f>
        <v/>
      </c>
      <c r="Y56" s="47" t="str">
        <f>IF($T56=0,"",INDEX(_Bantu!H:H,$T56))</f>
        <v/>
      </c>
      <c r="Z56" s="47" t="str">
        <f t="shared" si="36"/>
        <v/>
      </c>
      <c r="AA56" s="36" t="str">
        <f t="shared" si="37"/>
        <v>Belum isi</v>
      </c>
      <c r="AB56" s="47">
        <f t="shared" si="38"/>
        <v>0</v>
      </c>
      <c r="AC56" s="47">
        <f t="shared" si="39"/>
        <v>0</v>
      </c>
      <c r="AD56" s="47">
        <f t="shared" si="40"/>
        <v>0</v>
      </c>
      <c r="AE56" s="47">
        <f t="shared" si="41"/>
        <v>0</v>
      </c>
      <c r="AF56" s="47">
        <f t="shared" si="42"/>
        <v>0</v>
      </c>
      <c r="AG56" s="47">
        <f t="shared" si="43"/>
        <v>0</v>
      </c>
      <c r="AH56" s="47">
        <f t="shared" si="44"/>
        <v>0</v>
      </c>
      <c r="AI56" s="47">
        <f t="shared" si="45"/>
        <v>0</v>
      </c>
      <c r="AJ56" s="47">
        <f t="shared" si="46"/>
        <v>0</v>
      </c>
      <c r="AK56" s="47">
        <f t="shared" si="47"/>
        <v>0</v>
      </c>
      <c r="AL56" s="47">
        <f t="shared" si="48"/>
        <v>0</v>
      </c>
      <c r="AM56" s="47">
        <f t="shared" si="49"/>
        <v>0</v>
      </c>
      <c r="AN56" s="47">
        <f t="shared" si="50"/>
        <v>0</v>
      </c>
      <c r="AO56" s="47">
        <f t="shared" si="51"/>
        <v>0</v>
      </c>
      <c r="AP56" s="47">
        <f t="shared" si="52"/>
        <v>0</v>
      </c>
      <c r="AQ56" s="36" t="b">
        <f t="shared" si="53"/>
        <v>0</v>
      </c>
      <c r="AR56" s="48" t="str">
        <f t="shared" si="54"/>
        <v/>
      </c>
      <c r="AS56" s="48" t="str">
        <f>IF(OR(NOT($AQ56),Log_Putaran!$C$6=""),"",$AR56*SUMPRODUCT($AB56:$AF56,Log_Putaran!$L$6:$P$6))</f>
        <v/>
      </c>
      <c r="AT56" s="48" t="str">
        <f>IF(OR(NOT($AQ56),Log_Putaran!$C$7=""),"",$AR56*SUMPRODUCT($AB56:$AF56,Log_Putaran!$L$7:$P$7))</f>
        <v/>
      </c>
      <c r="AU56" s="48" t="str">
        <f>IF(OR(NOT($AQ56),Log_Putaran!$C$8=""),"",$AR56*SUMPRODUCT($AB56:$AF56,Log_Putaran!$L$8:$P$8))</f>
        <v/>
      </c>
      <c r="AV56" s="48" t="str">
        <f>IF(OR(NOT($AQ56),Log_Putaran!$C$9=""),"",$AR56*SUMPRODUCT($AB56:$AF56,Log_Putaran!$L$9:$P$9))</f>
        <v/>
      </c>
      <c r="AW56" s="48" t="str">
        <f>IF(OR(NOT($AQ56),Log_Putaran!$C$10=""),"",$AR56*SUMPRODUCT($AB56:$AF56,Log_Putaran!$L$10:$P$10))</f>
        <v/>
      </c>
      <c r="AX56" s="48" t="str">
        <f>IF(OR(NOT($AQ56),Log_Putaran!$C$11=""),"",$AR56*SUMPRODUCT($AB56:$AF56,Log_Putaran!$L$11:$P$11))</f>
        <v/>
      </c>
      <c r="AY56" s="48" t="str">
        <f>IF(OR(NOT($AQ56),Log_Putaran!$C$12=""),"",$AR56*SUMPRODUCT($AB56:$AF56,Log_Putaran!$L$12:$P$12))</f>
        <v/>
      </c>
      <c r="AZ56" s="48" t="str">
        <f>IF(OR(NOT($AQ56),Log_Putaran!$C$13=""),"",$AR56*SUMPRODUCT($AB56:$AF56,Log_Putaran!$L$13:$P$13))</f>
        <v/>
      </c>
      <c r="BA56" s="48" t="str">
        <f>IF(OR(NOT($AQ56),Log_Putaran!$C$14=""),"",$AR56*SUMPRODUCT($AB56:$AF56,Log_Putaran!$L$14:$P$14))</f>
        <v/>
      </c>
      <c r="BB56" s="48" t="str">
        <f>IF(OR(NOT($AQ56),Log_Putaran!$C$15=""),"",$AR56*SUMPRODUCT($AB56:$AF56,Log_Putaran!$L$15:$P$15))</f>
        <v/>
      </c>
      <c r="BC56" s="48" t="str">
        <f>IF(OR(NOT($AQ56),Log_Putaran!$C$16=""),"",$BB56*SUMPRODUCT($AG56:$AK56,Log_Putaran!$L$16:$P$16))</f>
        <v/>
      </c>
      <c r="BD56" s="48" t="str">
        <f>IF(OR(NOT($AQ56),Log_Putaran!$C$17=""),"",$BB56*SUMPRODUCT($AG56:$AK56,Log_Putaran!$L$17:$P$17))</f>
        <v/>
      </c>
      <c r="BE56" s="48" t="str">
        <f>IF(OR(NOT($AQ56),Log_Putaran!$C$18=""),"",$BB56*SUMPRODUCT($AG56:$AK56,Log_Putaran!$L$18:$P$18))</f>
        <v/>
      </c>
      <c r="BF56" s="48" t="str">
        <f>IF(OR(NOT($AQ56),Log_Putaran!$C$19=""),"",$BB56*SUMPRODUCT($AG56:$AK56,Log_Putaran!$L$19:$P$19))</f>
        <v/>
      </c>
      <c r="BG56" s="48" t="str">
        <f>IF(OR(NOT($AQ56),Log_Putaran!$C$20=""),"",$BB56*SUMPRODUCT($AG56:$AK56,Log_Putaran!$L$20:$P$20))</f>
        <v/>
      </c>
      <c r="BH56" s="48" t="str">
        <f>IF(OR(NOT($AQ56),Log_Putaran!$C$21=""),"",$BB56*SUMPRODUCT($AG56:$AK56,Log_Putaran!$L$21:$P$21))</f>
        <v/>
      </c>
      <c r="BI56" s="48" t="str">
        <f>IF(OR(NOT($AQ56),Log_Putaran!$C$22=""),"",$BB56*SUMPRODUCT($AG56:$AK56,Log_Putaran!$L$22:$P$22))</f>
        <v/>
      </c>
      <c r="BJ56" s="48" t="str">
        <f>IF(OR(NOT($AQ56),Log_Putaran!$C$23=""),"",$BB56*SUMPRODUCT($AG56:$AK56,Log_Putaran!$L$23:$P$23))</f>
        <v/>
      </c>
      <c r="BK56" s="48" t="str">
        <f>IF(OR(NOT($AQ56),Log_Putaran!$C$24=""),"",$BB56*SUMPRODUCT($AG56:$AK56,Log_Putaran!$L$24:$P$24))</f>
        <v/>
      </c>
      <c r="BL56" s="48" t="str">
        <f>IF(OR(NOT($AQ56),Log_Putaran!$C$25=""),"",$BB56*SUMPRODUCT($AG56:$AK56,Log_Putaran!$L$25:$P$25))</f>
        <v/>
      </c>
      <c r="BM56" s="48" t="str">
        <f>IF(OR(NOT($AQ56),Log_Putaran!$C$26=""),"",$BL56*SUMPRODUCT($AL56:$AP56,Log_Putaran!$L$26:$P$26))</f>
        <v/>
      </c>
      <c r="BN56" s="48" t="str">
        <f>IF(OR(NOT($AQ56),Log_Putaran!$C$27=""),"",$BL56*SUMPRODUCT($AL56:$AP56,Log_Putaran!$L$27:$P$27))</f>
        <v/>
      </c>
      <c r="BO56" s="48" t="str">
        <f>IF(OR(NOT($AQ56),Log_Putaran!$C$28=""),"",$BL56*SUMPRODUCT($AL56:$AP56,Log_Putaran!$L$28:$P$28))</f>
        <v/>
      </c>
      <c r="BP56" s="48" t="str">
        <f>IF(OR(NOT($AQ56),Log_Putaran!$C$29=""),"",$BL56*SUMPRODUCT($AL56:$AP56,Log_Putaran!$L$29:$P$29))</f>
        <v/>
      </c>
      <c r="BQ56" s="48" t="str">
        <f>IF(OR(NOT($AQ56),Log_Putaran!$C$30=""),"",$BL56*SUMPRODUCT($AL56:$AP56,Log_Putaran!$L$30:$P$30))</f>
        <v/>
      </c>
      <c r="BR56" s="48" t="str">
        <f>IF(OR(NOT($AQ56),Log_Putaran!$C$31=""),"",$BL56*SUMPRODUCT($AL56:$AP56,Log_Putaran!$L$31:$P$31))</f>
        <v/>
      </c>
      <c r="BS56" s="48" t="str">
        <f>IF(OR(NOT($AQ56),Log_Putaran!$C$32=""),"",$BL56*SUMPRODUCT($AL56:$AP56,Log_Putaran!$L$32:$P$32))</f>
        <v/>
      </c>
      <c r="BT56" s="48" t="str">
        <f>IF(OR(NOT($AQ56),Log_Putaran!$C$33=""),"",$BL56*SUMPRODUCT($AL56:$AP56,Log_Putaran!$L$33:$P$33))</f>
        <v/>
      </c>
      <c r="BU56" s="48" t="str">
        <f>IF(OR(NOT($AQ56),Log_Putaran!$C$34=""),"",$BL56*SUMPRODUCT($AL56:$AP56,Log_Putaran!$L$34:$P$34))</f>
        <v/>
      </c>
      <c r="BV56" s="48" t="str">
        <f>IF(OR(NOT($AQ56),Log_Putaran!$C$35=""),"",$BL56*SUMPRODUCT($AL56:$AP56,Log_Putaran!$L$35:$P$35))</f>
        <v/>
      </c>
      <c r="BW56" s="48" t="str">
        <f t="shared" si="55"/>
        <v/>
      </c>
      <c r="BX56" s="48" t="str">
        <f t="shared" si="56"/>
        <v/>
      </c>
      <c r="BY56" s="38" t="str">
        <f t="shared" si="57"/>
        <v/>
      </c>
      <c r="BZ56" s="49" t="str">
        <f>IF($AQ56,MAX(_DD!$B56:$AE56),"")</f>
        <v/>
      </c>
      <c r="CA56" s="36">
        <f t="shared" si="58"/>
        <v>-9.9999999999999997E+98</v>
      </c>
      <c r="CB56" s="36" t="str">
        <f t="shared" si="59"/>
        <v/>
      </c>
      <c r="CC56" s="36">
        <f t="shared" si="60"/>
        <v>-9.9999999999999997E+98</v>
      </c>
      <c r="CD56" s="36" t="str">
        <f t="shared" si="61"/>
        <v/>
      </c>
      <c r="CE56" s="36" t="str">
        <f t="shared" si="62"/>
        <v/>
      </c>
      <c r="CF56" s="36">
        <f t="shared" si="63"/>
        <v>-9.9999999999999997E+98</v>
      </c>
    </row>
    <row r="57" spans="1:84">
      <c r="A57" s="36" t="str">
        <f>Peserta!A57</f>
        <v>P52</v>
      </c>
      <c r="B57" s="36" t="str">
        <f>IF($C57&gt;0,INDEX(Input!$C:$C,$C57)&amp;"",IF(Peserta!B57="",$A57,Peserta!B57))</f>
        <v>P52</v>
      </c>
      <c r="C57" s="36">
        <f>SUMPRODUCT(MAX((_Bantu!$A$2:$A$2001=$A57)*ROW(_Bantu!$A$2:$A$2001)))</f>
        <v>0</v>
      </c>
      <c r="D57" s="36">
        <f>SUMPRODUCT(MAX((_Bantu!$C$2:$C$2001=$A57&amp;"|1")*ROW(_Bantu!$C$2:$C$2001)))</f>
        <v>0</v>
      </c>
      <c r="E57" s="47" t="str">
        <f>IF($D57=0,"",INDEX(_Bantu!D:D,$D57))</f>
        <v/>
      </c>
      <c r="F57" s="47" t="str">
        <f>IF($D57=0,"",INDEX(_Bantu!E:E,$D57))</f>
        <v/>
      </c>
      <c r="G57" s="47" t="str">
        <f>IF($D57=0,"",INDEX(_Bantu!F:F,$D57))</f>
        <v/>
      </c>
      <c r="H57" s="47" t="str">
        <f>IF($D57=0,"",INDEX(_Bantu!G:G,$D57))</f>
        <v/>
      </c>
      <c r="I57" s="47" t="str">
        <f>IF($D57=0,"",INDEX(_Bantu!H:H,$D57))</f>
        <v/>
      </c>
      <c r="J57" s="47" t="str">
        <f t="shared" si="32"/>
        <v/>
      </c>
      <c r="K57" s="36" t="str">
        <f t="shared" si="33"/>
        <v>Belum isi</v>
      </c>
      <c r="L57" s="36">
        <f>SUMPRODUCT(MAX((_Bantu!$C$2:$C$2001=$A57&amp;"|2")*ROW(_Bantu!$C$2:$C$2001)))</f>
        <v>0</v>
      </c>
      <c r="M57" s="47" t="str">
        <f>IF($L57=0,"",INDEX(_Bantu!D:D,$L57))</f>
        <v/>
      </c>
      <c r="N57" s="47" t="str">
        <f>IF($L57=0,"",INDEX(_Bantu!E:E,$L57))</f>
        <v/>
      </c>
      <c r="O57" s="47" t="str">
        <f>IF($L57=0,"",INDEX(_Bantu!F:F,$L57))</f>
        <v/>
      </c>
      <c r="P57" s="47" t="str">
        <f>IF($L57=0,"",INDEX(_Bantu!G:G,$L57))</f>
        <v/>
      </c>
      <c r="Q57" s="47" t="str">
        <f>IF($L57=0,"",INDEX(_Bantu!H:H,$L57))</f>
        <v/>
      </c>
      <c r="R57" s="47" t="str">
        <f t="shared" si="34"/>
        <v/>
      </c>
      <c r="S57" s="36" t="str">
        <f t="shared" si="35"/>
        <v>Belum isi</v>
      </c>
      <c r="T57" s="36">
        <f>SUMPRODUCT(MAX((_Bantu!$C$2:$C$2001=$A57&amp;"|3")*ROW(_Bantu!$C$2:$C$2001)))</f>
        <v>0</v>
      </c>
      <c r="U57" s="47" t="str">
        <f>IF($T57=0,"",INDEX(_Bantu!D:D,$T57))</f>
        <v/>
      </c>
      <c r="V57" s="47" t="str">
        <f>IF($T57=0,"",INDEX(_Bantu!E:E,$T57))</f>
        <v/>
      </c>
      <c r="W57" s="47" t="str">
        <f>IF($T57=0,"",INDEX(_Bantu!F:F,$T57))</f>
        <v/>
      </c>
      <c r="X57" s="47" t="str">
        <f>IF($T57=0,"",INDEX(_Bantu!G:G,$T57))</f>
        <v/>
      </c>
      <c r="Y57" s="47" t="str">
        <f>IF($T57=0,"",INDEX(_Bantu!H:H,$T57))</f>
        <v/>
      </c>
      <c r="Z57" s="47" t="str">
        <f t="shared" si="36"/>
        <v/>
      </c>
      <c r="AA57" s="36" t="str">
        <f t="shared" si="37"/>
        <v>Belum isi</v>
      </c>
      <c r="AB57" s="47">
        <f t="shared" si="38"/>
        <v>0</v>
      </c>
      <c r="AC57" s="47">
        <f t="shared" si="39"/>
        <v>0</v>
      </c>
      <c r="AD57" s="47">
        <f t="shared" si="40"/>
        <v>0</v>
      </c>
      <c r="AE57" s="47">
        <f t="shared" si="41"/>
        <v>0</v>
      </c>
      <c r="AF57" s="47">
        <f t="shared" si="42"/>
        <v>0</v>
      </c>
      <c r="AG57" s="47">
        <f t="shared" si="43"/>
        <v>0</v>
      </c>
      <c r="AH57" s="47">
        <f t="shared" si="44"/>
        <v>0</v>
      </c>
      <c r="AI57" s="47">
        <f t="shared" si="45"/>
        <v>0</v>
      </c>
      <c r="AJ57" s="47">
        <f t="shared" si="46"/>
        <v>0</v>
      </c>
      <c r="AK57" s="47">
        <f t="shared" si="47"/>
        <v>0</v>
      </c>
      <c r="AL57" s="47">
        <f t="shared" si="48"/>
        <v>0</v>
      </c>
      <c r="AM57" s="47">
        <f t="shared" si="49"/>
        <v>0</v>
      </c>
      <c r="AN57" s="47">
        <f t="shared" si="50"/>
        <v>0</v>
      </c>
      <c r="AO57" s="47">
        <f t="shared" si="51"/>
        <v>0</v>
      </c>
      <c r="AP57" s="47">
        <f t="shared" si="52"/>
        <v>0</v>
      </c>
      <c r="AQ57" s="36" t="b">
        <f t="shared" si="53"/>
        <v>0</v>
      </c>
      <c r="AR57" s="48" t="str">
        <f t="shared" si="54"/>
        <v/>
      </c>
      <c r="AS57" s="48" t="str">
        <f>IF(OR(NOT($AQ57),Log_Putaran!$C$6=""),"",$AR57*SUMPRODUCT($AB57:$AF57,Log_Putaran!$L$6:$P$6))</f>
        <v/>
      </c>
      <c r="AT57" s="48" t="str">
        <f>IF(OR(NOT($AQ57),Log_Putaran!$C$7=""),"",$AR57*SUMPRODUCT($AB57:$AF57,Log_Putaran!$L$7:$P$7))</f>
        <v/>
      </c>
      <c r="AU57" s="48" t="str">
        <f>IF(OR(NOT($AQ57),Log_Putaran!$C$8=""),"",$AR57*SUMPRODUCT($AB57:$AF57,Log_Putaran!$L$8:$P$8))</f>
        <v/>
      </c>
      <c r="AV57" s="48" t="str">
        <f>IF(OR(NOT($AQ57),Log_Putaran!$C$9=""),"",$AR57*SUMPRODUCT($AB57:$AF57,Log_Putaran!$L$9:$P$9))</f>
        <v/>
      </c>
      <c r="AW57" s="48" t="str">
        <f>IF(OR(NOT($AQ57),Log_Putaran!$C$10=""),"",$AR57*SUMPRODUCT($AB57:$AF57,Log_Putaran!$L$10:$P$10))</f>
        <v/>
      </c>
      <c r="AX57" s="48" t="str">
        <f>IF(OR(NOT($AQ57),Log_Putaran!$C$11=""),"",$AR57*SUMPRODUCT($AB57:$AF57,Log_Putaran!$L$11:$P$11))</f>
        <v/>
      </c>
      <c r="AY57" s="48" t="str">
        <f>IF(OR(NOT($AQ57),Log_Putaran!$C$12=""),"",$AR57*SUMPRODUCT($AB57:$AF57,Log_Putaran!$L$12:$P$12))</f>
        <v/>
      </c>
      <c r="AZ57" s="48" t="str">
        <f>IF(OR(NOT($AQ57),Log_Putaran!$C$13=""),"",$AR57*SUMPRODUCT($AB57:$AF57,Log_Putaran!$L$13:$P$13))</f>
        <v/>
      </c>
      <c r="BA57" s="48" t="str">
        <f>IF(OR(NOT($AQ57),Log_Putaran!$C$14=""),"",$AR57*SUMPRODUCT($AB57:$AF57,Log_Putaran!$L$14:$P$14))</f>
        <v/>
      </c>
      <c r="BB57" s="48" t="str">
        <f>IF(OR(NOT($AQ57),Log_Putaran!$C$15=""),"",$AR57*SUMPRODUCT($AB57:$AF57,Log_Putaran!$L$15:$P$15))</f>
        <v/>
      </c>
      <c r="BC57" s="48" t="str">
        <f>IF(OR(NOT($AQ57),Log_Putaran!$C$16=""),"",$BB57*SUMPRODUCT($AG57:$AK57,Log_Putaran!$L$16:$P$16))</f>
        <v/>
      </c>
      <c r="BD57" s="48" t="str">
        <f>IF(OR(NOT($AQ57),Log_Putaran!$C$17=""),"",$BB57*SUMPRODUCT($AG57:$AK57,Log_Putaran!$L$17:$P$17))</f>
        <v/>
      </c>
      <c r="BE57" s="48" t="str">
        <f>IF(OR(NOT($AQ57),Log_Putaran!$C$18=""),"",$BB57*SUMPRODUCT($AG57:$AK57,Log_Putaran!$L$18:$P$18))</f>
        <v/>
      </c>
      <c r="BF57" s="48" t="str">
        <f>IF(OR(NOT($AQ57),Log_Putaran!$C$19=""),"",$BB57*SUMPRODUCT($AG57:$AK57,Log_Putaran!$L$19:$P$19))</f>
        <v/>
      </c>
      <c r="BG57" s="48" t="str">
        <f>IF(OR(NOT($AQ57),Log_Putaran!$C$20=""),"",$BB57*SUMPRODUCT($AG57:$AK57,Log_Putaran!$L$20:$P$20))</f>
        <v/>
      </c>
      <c r="BH57" s="48" t="str">
        <f>IF(OR(NOT($AQ57),Log_Putaran!$C$21=""),"",$BB57*SUMPRODUCT($AG57:$AK57,Log_Putaran!$L$21:$P$21))</f>
        <v/>
      </c>
      <c r="BI57" s="48" t="str">
        <f>IF(OR(NOT($AQ57),Log_Putaran!$C$22=""),"",$BB57*SUMPRODUCT($AG57:$AK57,Log_Putaran!$L$22:$P$22))</f>
        <v/>
      </c>
      <c r="BJ57" s="48" t="str">
        <f>IF(OR(NOT($AQ57),Log_Putaran!$C$23=""),"",$BB57*SUMPRODUCT($AG57:$AK57,Log_Putaran!$L$23:$P$23))</f>
        <v/>
      </c>
      <c r="BK57" s="48" t="str">
        <f>IF(OR(NOT($AQ57),Log_Putaran!$C$24=""),"",$BB57*SUMPRODUCT($AG57:$AK57,Log_Putaran!$L$24:$P$24))</f>
        <v/>
      </c>
      <c r="BL57" s="48" t="str">
        <f>IF(OR(NOT($AQ57),Log_Putaran!$C$25=""),"",$BB57*SUMPRODUCT($AG57:$AK57,Log_Putaran!$L$25:$P$25))</f>
        <v/>
      </c>
      <c r="BM57" s="48" t="str">
        <f>IF(OR(NOT($AQ57),Log_Putaran!$C$26=""),"",$BL57*SUMPRODUCT($AL57:$AP57,Log_Putaran!$L$26:$P$26))</f>
        <v/>
      </c>
      <c r="BN57" s="48" t="str">
        <f>IF(OR(NOT($AQ57),Log_Putaran!$C$27=""),"",$BL57*SUMPRODUCT($AL57:$AP57,Log_Putaran!$L$27:$P$27))</f>
        <v/>
      </c>
      <c r="BO57" s="48" t="str">
        <f>IF(OR(NOT($AQ57),Log_Putaran!$C$28=""),"",$BL57*SUMPRODUCT($AL57:$AP57,Log_Putaran!$L$28:$P$28))</f>
        <v/>
      </c>
      <c r="BP57" s="48" t="str">
        <f>IF(OR(NOT($AQ57),Log_Putaran!$C$29=""),"",$BL57*SUMPRODUCT($AL57:$AP57,Log_Putaran!$L$29:$P$29))</f>
        <v/>
      </c>
      <c r="BQ57" s="48" t="str">
        <f>IF(OR(NOT($AQ57),Log_Putaran!$C$30=""),"",$BL57*SUMPRODUCT($AL57:$AP57,Log_Putaran!$L$30:$P$30))</f>
        <v/>
      </c>
      <c r="BR57" s="48" t="str">
        <f>IF(OR(NOT($AQ57),Log_Putaran!$C$31=""),"",$BL57*SUMPRODUCT($AL57:$AP57,Log_Putaran!$L$31:$P$31))</f>
        <v/>
      </c>
      <c r="BS57" s="48" t="str">
        <f>IF(OR(NOT($AQ57),Log_Putaran!$C$32=""),"",$BL57*SUMPRODUCT($AL57:$AP57,Log_Putaran!$L$32:$P$32))</f>
        <v/>
      </c>
      <c r="BT57" s="48" t="str">
        <f>IF(OR(NOT($AQ57),Log_Putaran!$C$33=""),"",$BL57*SUMPRODUCT($AL57:$AP57,Log_Putaran!$L$33:$P$33))</f>
        <v/>
      </c>
      <c r="BU57" s="48" t="str">
        <f>IF(OR(NOT($AQ57),Log_Putaran!$C$34=""),"",$BL57*SUMPRODUCT($AL57:$AP57,Log_Putaran!$L$34:$P$34))</f>
        <v/>
      </c>
      <c r="BV57" s="48" t="str">
        <f>IF(OR(NOT($AQ57),Log_Putaran!$C$35=""),"",$BL57*SUMPRODUCT($AL57:$AP57,Log_Putaran!$L$35:$P$35))</f>
        <v/>
      </c>
      <c r="BW57" s="48" t="str">
        <f t="shared" si="55"/>
        <v/>
      </c>
      <c r="BX57" s="48" t="str">
        <f t="shared" si="56"/>
        <v/>
      </c>
      <c r="BY57" s="38" t="str">
        <f t="shared" si="57"/>
        <v/>
      </c>
      <c r="BZ57" s="49" t="str">
        <f>IF($AQ57,MAX(_DD!$B57:$AE57),"")</f>
        <v/>
      </c>
      <c r="CA57" s="36">
        <f t="shared" si="58"/>
        <v>-9.9999999999999997E+98</v>
      </c>
      <c r="CB57" s="36" t="str">
        <f t="shared" si="59"/>
        <v/>
      </c>
      <c r="CC57" s="36">
        <f t="shared" si="60"/>
        <v>-9.9999999999999997E+98</v>
      </c>
      <c r="CD57" s="36" t="str">
        <f t="shared" si="61"/>
        <v/>
      </c>
      <c r="CE57" s="36" t="str">
        <f t="shared" si="62"/>
        <v/>
      </c>
      <c r="CF57" s="36">
        <f t="shared" si="63"/>
        <v>-9.9999999999999997E+98</v>
      </c>
    </row>
    <row r="58" spans="1:84">
      <c r="A58" s="36" t="str">
        <f>Peserta!A58</f>
        <v>P53</v>
      </c>
      <c r="B58" s="36" t="str">
        <f>IF($C58&gt;0,INDEX(Input!$C:$C,$C58)&amp;"",IF(Peserta!B58="",$A58,Peserta!B58))</f>
        <v>P53</v>
      </c>
      <c r="C58" s="36">
        <f>SUMPRODUCT(MAX((_Bantu!$A$2:$A$2001=$A58)*ROW(_Bantu!$A$2:$A$2001)))</f>
        <v>0</v>
      </c>
      <c r="D58" s="36">
        <f>SUMPRODUCT(MAX((_Bantu!$C$2:$C$2001=$A58&amp;"|1")*ROW(_Bantu!$C$2:$C$2001)))</f>
        <v>0</v>
      </c>
      <c r="E58" s="47" t="str">
        <f>IF($D58=0,"",INDEX(_Bantu!D:D,$D58))</f>
        <v/>
      </c>
      <c r="F58" s="47" t="str">
        <f>IF($D58=0,"",INDEX(_Bantu!E:E,$D58))</f>
        <v/>
      </c>
      <c r="G58" s="47" t="str">
        <f>IF($D58=0,"",INDEX(_Bantu!F:F,$D58))</f>
        <v/>
      </c>
      <c r="H58" s="47" t="str">
        <f>IF($D58=0,"",INDEX(_Bantu!G:G,$D58))</f>
        <v/>
      </c>
      <c r="I58" s="47" t="str">
        <f>IF($D58=0,"",INDEX(_Bantu!H:H,$D58))</f>
        <v/>
      </c>
      <c r="J58" s="47" t="str">
        <f t="shared" si="32"/>
        <v/>
      </c>
      <c r="K58" s="36" t="str">
        <f t="shared" si="33"/>
        <v>Belum isi</v>
      </c>
      <c r="L58" s="36">
        <f>SUMPRODUCT(MAX((_Bantu!$C$2:$C$2001=$A58&amp;"|2")*ROW(_Bantu!$C$2:$C$2001)))</f>
        <v>0</v>
      </c>
      <c r="M58" s="47" t="str">
        <f>IF($L58=0,"",INDEX(_Bantu!D:D,$L58))</f>
        <v/>
      </c>
      <c r="N58" s="47" t="str">
        <f>IF($L58=0,"",INDEX(_Bantu!E:E,$L58))</f>
        <v/>
      </c>
      <c r="O58" s="47" t="str">
        <f>IF($L58=0,"",INDEX(_Bantu!F:F,$L58))</f>
        <v/>
      </c>
      <c r="P58" s="47" t="str">
        <f>IF($L58=0,"",INDEX(_Bantu!G:G,$L58))</f>
        <v/>
      </c>
      <c r="Q58" s="47" t="str">
        <f>IF($L58=0,"",INDEX(_Bantu!H:H,$L58))</f>
        <v/>
      </c>
      <c r="R58" s="47" t="str">
        <f t="shared" si="34"/>
        <v/>
      </c>
      <c r="S58" s="36" t="str">
        <f t="shared" si="35"/>
        <v>Belum isi</v>
      </c>
      <c r="T58" s="36">
        <f>SUMPRODUCT(MAX((_Bantu!$C$2:$C$2001=$A58&amp;"|3")*ROW(_Bantu!$C$2:$C$2001)))</f>
        <v>0</v>
      </c>
      <c r="U58" s="47" t="str">
        <f>IF($T58=0,"",INDEX(_Bantu!D:D,$T58))</f>
        <v/>
      </c>
      <c r="V58" s="47" t="str">
        <f>IF($T58=0,"",INDEX(_Bantu!E:E,$T58))</f>
        <v/>
      </c>
      <c r="W58" s="47" t="str">
        <f>IF($T58=0,"",INDEX(_Bantu!F:F,$T58))</f>
        <v/>
      </c>
      <c r="X58" s="47" t="str">
        <f>IF($T58=0,"",INDEX(_Bantu!G:G,$T58))</f>
        <v/>
      </c>
      <c r="Y58" s="47" t="str">
        <f>IF($T58=0,"",INDEX(_Bantu!H:H,$T58))</f>
        <v/>
      </c>
      <c r="Z58" s="47" t="str">
        <f t="shared" si="36"/>
        <v/>
      </c>
      <c r="AA58" s="36" t="str">
        <f t="shared" si="37"/>
        <v>Belum isi</v>
      </c>
      <c r="AB58" s="47">
        <f t="shared" si="38"/>
        <v>0</v>
      </c>
      <c r="AC58" s="47">
        <f t="shared" si="39"/>
        <v>0</v>
      </c>
      <c r="AD58" s="47">
        <f t="shared" si="40"/>
        <v>0</v>
      </c>
      <c r="AE58" s="47">
        <f t="shared" si="41"/>
        <v>0</v>
      </c>
      <c r="AF58" s="47">
        <f t="shared" si="42"/>
        <v>0</v>
      </c>
      <c r="AG58" s="47">
        <f t="shared" si="43"/>
        <v>0</v>
      </c>
      <c r="AH58" s="47">
        <f t="shared" si="44"/>
        <v>0</v>
      </c>
      <c r="AI58" s="47">
        <f t="shared" si="45"/>
        <v>0</v>
      </c>
      <c r="AJ58" s="47">
        <f t="shared" si="46"/>
        <v>0</v>
      </c>
      <c r="AK58" s="47">
        <f t="shared" si="47"/>
        <v>0</v>
      </c>
      <c r="AL58" s="47">
        <f t="shared" si="48"/>
        <v>0</v>
      </c>
      <c r="AM58" s="47">
        <f t="shared" si="49"/>
        <v>0</v>
      </c>
      <c r="AN58" s="47">
        <f t="shared" si="50"/>
        <v>0</v>
      </c>
      <c r="AO58" s="47">
        <f t="shared" si="51"/>
        <v>0</v>
      </c>
      <c r="AP58" s="47">
        <f t="shared" si="52"/>
        <v>0</v>
      </c>
      <c r="AQ58" s="36" t="b">
        <f t="shared" si="53"/>
        <v>0</v>
      </c>
      <c r="AR58" s="48" t="str">
        <f t="shared" si="54"/>
        <v/>
      </c>
      <c r="AS58" s="48" t="str">
        <f>IF(OR(NOT($AQ58),Log_Putaran!$C$6=""),"",$AR58*SUMPRODUCT($AB58:$AF58,Log_Putaran!$L$6:$P$6))</f>
        <v/>
      </c>
      <c r="AT58" s="48" t="str">
        <f>IF(OR(NOT($AQ58),Log_Putaran!$C$7=""),"",$AR58*SUMPRODUCT($AB58:$AF58,Log_Putaran!$L$7:$P$7))</f>
        <v/>
      </c>
      <c r="AU58" s="48" t="str">
        <f>IF(OR(NOT($AQ58),Log_Putaran!$C$8=""),"",$AR58*SUMPRODUCT($AB58:$AF58,Log_Putaran!$L$8:$P$8))</f>
        <v/>
      </c>
      <c r="AV58" s="48" t="str">
        <f>IF(OR(NOT($AQ58),Log_Putaran!$C$9=""),"",$AR58*SUMPRODUCT($AB58:$AF58,Log_Putaran!$L$9:$P$9))</f>
        <v/>
      </c>
      <c r="AW58" s="48" t="str">
        <f>IF(OR(NOT($AQ58),Log_Putaran!$C$10=""),"",$AR58*SUMPRODUCT($AB58:$AF58,Log_Putaran!$L$10:$P$10))</f>
        <v/>
      </c>
      <c r="AX58" s="48" t="str">
        <f>IF(OR(NOT($AQ58),Log_Putaran!$C$11=""),"",$AR58*SUMPRODUCT($AB58:$AF58,Log_Putaran!$L$11:$P$11))</f>
        <v/>
      </c>
      <c r="AY58" s="48" t="str">
        <f>IF(OR(NOT($AQ58),Log_Putaran!$C$12=""),"",$AR58*SUMPRODUCT($AB58:$AF58,Log_Putaran!$L$12:$P$12))</f>
        <v/>
      </c>
      <c r="AZ58" s="48" t="str">
        <f>IF(OR(NOT($AQ58),Log_Putaran!$C$13=""),"",$AR58*SUMPRODUCT($AB58:$AF58,Log_Putaran!$L$13:$P$13))</f>
        <v/>
      </c>
      <c r="BA58" s="48" t="str">
        <f>IF(OR(NOT($AQ58),Log_Putaran!$C$14=""),"",$AR58*SUMPRODUCT($AB58:$AF58,Log_Putaran!$L$14:$P$14))</f>
        <v/>
      </c>
      <c r="BB58" s="48" t="str">
        <f>IF(OR(NOT($AQ58),Log_Putaran!$C$15=""),"",$AR58*SUMPRODUCT($AB58:$AF58,Log_Putaran!$L$15:$P$15))</f>
        <v/>
      </c>
      <c r="BC58" s="48" t="str">
        <f>IF(OR(NOT($AQ58),Log_Putaran!$C$16=""),"",$BB58*SUMPRODUCT($AG58:$AK58,Log_Putaran!$L$16:$P$16))</f>
        <v/>
      </c>
      <c r="BD58" s="48" t="str">
        <f>IF(OR(NOT($AQ58),Log_Putaran!$C$17=""),"",$BB58*SUMPRODUCT($AG58:$AK58,Log_Putaran!$L$17:$P$17))</f>
        <v/>
      </c>
      <c r="BE58" s="48" t="str">
        <f>IF(OR(NOT($AQ58),Log_Putaran!$C$18=""),"",$BB58*SUMPRODUCT($AG58:$AK58,Log_Putaran!$L$18:$P$18))</f>
        <v/>
      </c>
      <c r="BF58" s="48" t="str">
        <f>IF(OR(NOT($AQ58),Log_Putaran!$C$19=""),"",$BB58*SUMPRODUCT($AG58:$AK58,Log_Putaran!$L$19:$P$19))</f>
        <v/>
      </c>
      <c r="BG58" s="48" t="str">
        <f>IF(OR(NOT($AQ58),Log_Putaran!$C$20=""),"",$BB58*SUMPRODUCT($AG58:$AK58,Log_Putaran!$L$20:$P$20))</f>
        <v/>
      </c>
      <c r="BH58" s="48" t="str">
        <f>IF(OR(NOT($AQ58),Log_Putaran!$C$21=""),"",$BB58*SUMPRODUCT($AG58:$AK58,Log_Putaran!$L$21:$P$21))</f>
        <v/>
      </c>
      <c r="BI58" s="48" t="str">
        <f>IF(OR(NOT($AQ58),Log_Putaran!$C$22=""),"",$BB58*SUMPRODUCT($AG58:$AK58,Log_Putaran!$L$22:$P$22))</f>
        <v/>
      </c>
      <c r="BJ58" s="48" t="str">
        <f>IF(OR(NOT($AQ58),Log_Putaran!$C$23=""),"",$BB58*SUMPRODUCT($AG58:$AK58,Log_Putaran!$L$23:$P$23))</f>
        <v/>
      </c>
      <c r="BK58" s="48" t="str">
        <f>IF(OR(NOT($AQ58),Log_Putaran!$C$24=""),"",$BB58*SUMPRODUCT($AG58:$AK58,Log_Putaran!$L$24:$P$24))</f>
        <v/>
      </c>
      <c r="BL58" s="48" t="str">
        <f>IF(OR(NOT($AQ58),Log_Putaran!$C$25=""),"",$BB58*SUMPRODUCT($AG58:$AK58,Log_Putaran!$L$25:$P$25))</f>
        <v/>
      </c>
      <c r="BM58" s="48" t="str">
        <f>IF(OR(NOT($AQ58),Log_Putaran!$C$26=""),"",$BL58*SUMPRODUCT($AL58:$AP58,Log_Putaran!$L$26:$P$26))</f>
        <v/>
      </c>
      <c r="BN58" s="48" t="str">
        <f>IF(OR(NOT($AQ58),Log_Putaran!$C$27=""),"",$BL58*SUMPRODUCT($AL58:$AP58,Log_Putaran!$L$27:$P$27))</f>
        <v/>
      </c>
      <c r="BO58" s="48" t="str">
        <f>IF(OR(NOT($AQ58),Log_Putaran!$C$28=""),"",$BL58*SUMPRODUCT($AL58:$AP58,Log_Putaran!$L$28:$P$28))</f>
        <v/>
      </c>
      <c r="BP58" s="48" t="str">
        <f>IF(OR(NOT($AQ58),Log_Putaran!$C$29=""),"",$BL58*SUMPRODUCT($AL58:$AP58,Log_Putaran!$L$29:$P$29))</f>
        <v/>
      </c>
      <c r="BQ58" s="48" t="str">
        <f>IF(OR(NOT($AQ58),Log_Putaran!$C$30=""),"",$BL58*SUMPRODUCT($AL58:$AP58,Log_Putaran!$L$30:$P$30))</f>
        <v/>
      </c>
      <c r="BR58" s="48" t="str">
        <f>IF(OR(NOT($AQ58),Log_Putaran!$C$31=""),"",$BL58*SUMPRODUCT($AL58:$AP58,Log_Putaran!$L$31:$P$31))</f>
        <v/>
      </c>
      <c r="BS58" s="48" t="str">
        <f>IF(OR(NOT($AQ58),Log_Putaran!$C$32=""),"",$BL58*SUMPRODUCT($AL58:$AP58,Log_Putaran!$L$32:$P$32))</f>
        <v/>
      </c>
      <c r="BT58" s="48" t="str">
        <f>IF(OR(NOT($AQ58),Log_Putaran!$C$33=""),"",$BL58*SUMPRODUCT($AL58:$AP58,Log_Putaran!$L$33:$P$33))</f>
        <v/>
      </c>
      <c r="BU58" s="48" t="str">
        <f>IF(OR(NOT($AQ58),Log_Putaran!$C$34=""),"",$BL58*SUMPRODUCT($AL58:$AP58,Log_Putaran!$L$34:$P$34))</f>
        <v/>
      </c>
      <c r="BV58" s="48" t="str">
        <f>IF(OR(NOT($AQ58),Log_Putaran!$C$35=""),"",$BL58*SUMPRODUCT($AL58:$AP58,Log_Putaran!$L$35:$P$35))</f>
        <v/>
      </c>
      <c r="BW58" s="48" t="str">
        <f t="shared" si="55"/>
        <v/>
      </c>
      <c r="BX58" s="48" t="str">
        <f t="shared" si="56"/>
        <v/>
      </c>
      <c r="BY58" s="38" t="str">
        <f t="shared" si="57"/>
        <v/>
      </c>
      <c r="BZ58" s="49" t="str">
        <f>IF($AQ58,MAX(_DD!$B58:$AE58),"")</f>
        <v/>
      </c>
      <c r="CA58" s="36">
        <f t="shared" si="58"/>
        <v>-9.9999999999999997E+98</v>
      </c>
      <c r="CB58" s="36" t="str">
        <f t="shared" si="59"/>
        <v/>
      </c>
      <c r="CC58" s="36">
        <f t="shared" si="60"/>
        <v>-9.9999999999999997E+98</v>
      </c>
      <c r="CD58" s="36" t="str">
        <f t="shared" si="61"/>
        <v/>
      </c>
      <c r="CE58" s="36" t="str">
        <f t="shared" si="62"/>
        <v/>
      </c>
      <c r="CF58" s="36">
        <f t="shared" si="63"/>
        <v>-9.9999999999999997E+98</v>
      </c>
    </row>
    <row r="59" spans="1:84">
      <c r="A59" s="36" t="str">
        <f>Peserta!A59</f>
        <v>P54</v>
      </c>
      <c r="B59" s="36" t="str">
        <f>IF($C59&gt;0,INDEX(Input!$C:$C,$C59)&amp;"",IF(Peserta!B59="",$A59,Peserta!B59))</f>
        <v>P54</v>
      </c>
      <c r="C59" s="36">
        <f>SUMPRODUCT(MAX((_Bantu!$A$2:$A$2001=$A59)*ROW(_Bantu!$A$2:$A$2001)))</f>
        <v>0</v>
      </c>
      <c r="D59" s="36">
        <f>SUMPRODUCT(MAX((_Bantu!$C$2:$C$2001=$A59&amp;"|1")*ROW(_Bantu!$C$2:$C$2001)))</f>
        <v>0</v>
      </c>
      <c r="E59" s="47" t="str">
        <f>IF($D59=0,"",INDEX(_Bantu!D:D,$D59))</f>
        <v/>
      </c>
      <c r="F59" s="47" t="str">
        <f>IF($D59=0,"",INDEX(_Bantu!E:E,$D59))</f>
        <v/>
      </c>
      <c r="G59" s="47" t="str">
        <f>IF($D59=0,"",INDEX(_Bantu!F:F,$D59))</f>
        <v/>
      </c>
      <c r="H59" s="47" t="str">
        <f>IF($D59=0,"",INDEX(_Bantu!G:G,$D59))</f>
        <v/>
      </c>
      <c r="I59" s="47" t="str">
        <f>IF($D59=0,"",INDEX(_Bantu!H:H,$D59))</f>
        <v/>
      </c>
      <c r="J59" s="47" t="str">
        <f t="shared" si="32"/>
        <v/>
      </c>
      <c r="K59" s="36" t="str">
        <f t="shared" si="33"/>
        <v>Belum isi</v>
      </c>
      <c r="L59" s="36">
        <f>SUMPRODUCT(MAX((_Bantu!$C$2:$C$2001=$A59&amp;"|2")*ROW(_Bantu!$C$2:$C$2001)))</f>
        <v>0</v>
      </c>
      <c r="M59" s="47" t="str">
        <f>IF($L59=0,"",INDEX(_Bantu!D:D,$L59))</f>
        <v/>
      </c>
      <c r="N59" s="47" t="str">
        <f>IF($L59=0,"",INDEX(_Bantu!E:E,$L59))</f>
        <v/>
      </c>
      <c r="O59" s="47" t="str">
        <f>IF($L59=0,"",INDEX(_Bantu!F:F,$L59))</f>
        <v/>
      </c>
      <c r="P59" s="47" t="str">
        <f>IF($L59=0,"",INDEX(_Bantu!G:G,$L59))</f>
        <v/>
      </c>
      <c r="Q59" s="47" t="str">
        <f>IF($L59=0,"",INDEX(_Bantu!H:H,$L59))</f>
        <v/>
      </c>
      <c r="R59" s="47" t="str">
        <f t="shared" si="34"/>
        <v/>
      </c>
      <c r="S59" s="36" t="str">
        <f t="shared" si="35"/>
        <v>Belum isi</v>
      </c>
      <c r="T59" s="36">
        <f>SUMPRODUCT(MAX((_Bantu!$C$2:$C$2001=$A59&amp;"|3")*ROW(_Bantu!$C$2:$C$2001)))</f>
        <v>0</v>
      </c>
      <c r="U59" s="47" t="str">
        <f>IF($T59=0,"",INDEX(_Bantu!D:D,$T59))</f>
        <v/>
      </c>
      <c r="V59" s="47" t="str">
        <f>IF($T59=0,"",INDEX(_Bantu!E:E,$T59))</f>
        <v/>
      </c>
      <c r="W59" s="47" t="str">
        <f>IF($T59=0,"",INDEX(_Bantu!F:F,$T59))</f>
        <v/>
      </c>
      <c r="X59" s="47" t="str">
        <f>IF($T59=0,"",INDEX(_Bantu!G:G,$T59))</f>
        <v/>
      </c>
      <c r="Y59" s="47" t="str">
        <f>IF($T59=0,"",INDEX(_Bantu!H:H,$T59))</f>
        <v/>
      </c>
      <c r="Z59" s="47" t="str">
        <f t="shared" si="36"/>
        <v/>
      </c>
      <c r="AA59" s="36" t="str">
        <f t="shared" si="37"/>
        <v>Belum isi</v>
      </c>
      <c r="AB59" s="47">
        <f t="shared" si="38"/>
        <v>0</v>
      </c>
      <c r="AC59" s="47">
        <f t="shared" si="39"/>
        <v>0</v>
      </c>
      <c r="AD59" s="47">
        <f t="shared" si="40"/>
        <v>0</v>
      </c>
      <c r="AE59" s="47">
        <f t="shared" si="41"/>
        <v>0</v>
      </c>
      <c r="AF59" s="47">
        <f t="shared" si="42"/>
        <v>0</v>
      </c>
      <c r="AG59" s="47">
        <f t="shared" si="43"/>
        <v>0</v>
      </c>
      <c r="AH59" s="47">
        <f t="shared" si="44"/>
        <v>0</v>
      </c>
      <c r="AI59" s="47">
        <f t="shared" si="45"/>
        <v>0</v>
      </c>
      <c r="AJ59" s="47">
        <f t="shared" si="46"/>
        <v>0</v>
      </c>
      <c r="AK59" s="47">
        <f t="shared" si="47"/>
        <v>0</v>
      </c>
      <c r="AL59" s="47">
        <f t="shared" si="48"/>
        <v>0</v>
      </c>
      <c r="AM59" s="47">
        <f t="shared" si="49"/>
        <v>0</v>
      </c>
      <c r="AN59" s="47">
        <f t="shared" si="50"/>
        <v>0</v>
      </c>
      <c r="AO59" s="47">
        <f t="shared" si="51"/>
        <v>0</v>
      </c>
      <c r="AP59" s="47">
        <f t="shared" si="52"/>
        <v>0</v>
      </c>
      <c r="AQ59" s="36" t="b">
        <f t="shared" si="53"/>
        <v>0</v>
      </c>
      <c r="AR59" s="48" t="str">
        <f t="shared" si="54"/>
        <v/>
      </c>
      <c r="AS59" s="48" t="str">
        <f>IF(OR(NOT($AQ59),Log_Putaran!$C$6=""),"",$AR59*SUMPRODUCT($AB59:$AF59,Log_Putaran!$L$6:$P$6))</f>
        <v/>
      </c>
      <c r="AT59" s="48" t="str">
        <f>IF(OR(NOT($AQ59),Log_Putaran!$C$7=""),"",$AR59*SUMPRODUCT($AB59:$AF59,Log_Putaran!$L$7:$P$7))</f>
        <v/>
      </c>
      <c r="AU59" s="48" t="str">
        <f>IF(OR(NOT($AQ59),Log_Putaran!$C$8=""),"",$AR59*SUMPRODUCT($AB59:$AF59,Log_Putaran!$L$8:$P$8))</f>
        <v/>
      </c>
      <c r="AV59" s="48" t="str">
        <f>IF(OR(NOT($AQ59),Log_Putaran!$C$9=""),"",$AR59*SUMPRODUCT($AB59:$AF59,Log_Putaran!$L$9:$P$9))</f>
        <v/>
      </c>
      <c r="AW59" s="48" t="str">
        <f>IF(OR(NOT($AQ59),Log_Putaran!$C$10=""),"",$AR59*SUMPRODUCT($AB59:$AF59,Log_Putaran!$L$10:$P$10))</f>
        <v/>
      </c>
      <c r="AX59" s="48" t="str">
        <f>IF(OR(NOT($AQ59),Log_Putaran!$C$11=""),"",$AR59*SUMPRODUCT($AB59:$AF59,Log_Putaran!$L$11:$P$11))</f>
        <v/>
      </c>
      <c r="AY59" s="48" t="str">
        <f>IF(OR(NOT($AQ59),Log_Putaran!$C$12=""),"",$AR59*SUMPRODUCT($AB59:$AF59,Log_Putaran!$L$12:$P$12))</f>
        <v/>
      </c>
      <c r="AZ59" s="48" t="str">
        <f>IF(OR(NOT($AQ59),Log_Putaran!$C$13=""),"",$AR59*SUMPRODUCT($AB59:$AF59,Log_Putaran!$L$13:$P$13))</f>
        <v/>
      </c>
      <c r="BA59" s="48" t="str">
        <f>IF(OR(NOT($AQ59),Log_Putaran!$C$14=""),"",$AR59*SUMPRODUCT($AB59:$AF59,Log_Putaran!$L$14:$P$14))</f>
        <v/>
      </c>
      <c r="BB59" s="48" t="str">
        <f>IF(OR(NOT($AQ59),Log_Putaran!$C$15=""),"",$AR59*SUMPRODUCT($AB59:$AF59,Log_Putaran!$L$15:$P$15))</f>
        <v/>
      </c>
      <c r="BC59" s="48" t="str">
        <f>IF(OR(NOT($AQ59),Log_Putaran!$C$16=""),"",$BB59*SUMPRODUCT($AG59:$AK59,Log_Putaran!$L$16:$P$16))</f>
        <v/>
      </c>
      <c r="BD59" s="48" t="str">
        <f>IF(OR(NOT($AQ59),Log_Putaran!$C$17=""),"",$BB59*SUMPRODUCT($AG59:$AK59,Log_Putaran!$L$17:$P$17))</f>
        <v/>
      </c>
      <c r="BE59" s="48" t="str">
        <f>IF(OR(NOT($AQ59),Log_Putaran!$C$18=""),"",$BB59*SUMPRODUCT($AG59:$AK59,Log_Putaran!$L$18:$P$18))</f>
        <v/>
      </c>
      <c r="BF59" s="48" t="str">
        <f>IF(OR(NOT($AQ59),Log_Putaran!$C$19=""),"",$BB59*SUMPRODUCT($AG59:$AK59,Log_Putaran!$L$19:$P$19))</f>
        <v/>
      </c>
      <c r="BG59" s="48" t="str">
        <f>IF(OR(NOT($AQ59),Log_Putaran!$C$20=""),"",$BB59*SUMPRODUCT($AG59:$AK59,Log_Putaran!$L$20:$P$20))</f>
        <v/>
      </c>
      <c r="BH59" s="48" t="str">
        <f>IF(OR(NOT($AQ59),Log_Putaran!$C$21=""),"",$BB59*SUMPRODUCT($AG59:$AK59,Log_Putaran!$L$21:$P$21))</f>
        <v/>
      </c>
      <c r="BI59" s="48" t="str">
        <f>IF(OR(NOT($AQ59),Log_Putaran!$C$22=""),"",$BB59*SUMPRODUCT($AG59:$AK59,Log_Putaran!$L$22:$P$22))</f>
        <v/>
      </c>
      <c r="BJ59" s="48" t="str">
        <f>IF(OR(NOT($AQ59),Log_Putaran!$C$23=""),"",$BB59*SUMPRODUCT($AG59:$AK59,Log_Putaran!$L$23:$P$23))</f>
        <v/>
      </c>
      <c r="BK59" s="48" t="str">
        <f>IF(OR(NOT($AQ59),Log_Putaran!$C$24=""),"",$BB59*SUMPRODUCT($AG59:$AK59,Log_Putaran!$L$24:$P$24))</f>
        <v/>
      </c>
      <c r="BL59" s="48" t="str">
        <f>IF(OR(NOT($AQ59),Log_Putaran!$C$25=""),"",$BB59*SUMPRODUCT($AG59:$AK59,Log_Putaran!$L$25:$P$25))</f>
        <v/>
      </c>
      <c r="BM59" s="48" t="str">
        <f>IF(OR(NOT($AQ59),Log_Putaran!$C$26=""),"",$BL59*SUMPRODUCT($AL59:$AP59,Log_Putaran!$L$26:$P$26))</f>
        <v/>
      </c>
      <c r="BN59" s="48" t="str">
        <f>IF(OR(NOT($AQ59),Log_Putaran!$C$27=""),"",$BL59*SUMPRODUCT($AL59:$AP59,Log_Putaran!$L$27:$P$27))</f>
        <v/>
      </c>
      <c r="BO59" s="48" t="str">
        <f>IF(OR(NOT($AQ59),Log_Putaran!$C$28=""),"",$BL59*SUMPRODUCT($AL59:$AP59,Log_Putaran!$L$28:$P$28))</f>
        <v/>
      </c>
      <c r="BP59" s="48" t="str">
        <f>IF(OR(NOT($AQ59),Log_Putaran!$C$29=""),"",$BL59*SUMPRODUCT($AL59:$AP59,Log_Putaran!$L$29:$P$29))</f>
        <v/>
      </c>
      <c r="BQ59" s="48" t="str">
        <f>IF(OR(NOT($AQ59),Log_Putaran!$C$30=""),"",$BL59*SUMPRODUCT($AL59:$AP59,Log_Putaran!$L$30:$P$30))</f>
        <v/>
      </c>
      <c r="BR59" s="48" t="str">
        <f>IF(OR(NOT($AQ59),Log_Putaran!$C$31=""),"",$BL59*SUMPRODUCT($AL59:$AP59,Log_Putaran!$L$31:$P$31))</f>
        <v/>
      </c>
      <c r="BS59" s="48" t="str">
        <f>IF(OR(NOT($AQ59),Log_Putaran!$C$32=""),"",$BL59*SUMPRODUCT($AL59:$AP59,Log_Putaran!$L$32:$P$32))</f>
        <v/>
      </c>
      <c r="BT59" s="48" t="str">
        <f>IF(OR(NOT($AQ59),Log_Putaran!$C$33=""),"",$BL59*SUMPRODUCT($AL59:$AP59,Log_Putaran!$L$33:$P$33))</f>
        <v/>
      </c>
      <c r="BU59" s="48" t="str">
        <f>IF(OR(NOT($AQ59),Log_Putaran!$C$34=""),"",$BL59*SUMPRODUCT($AL59:$AP59,Log_Putaran!$L$34:$P$34))</f>
        <v/>
      </c>
      <c r="BV59" s="48" t="str">
        <f>IF(OR(NOT($AQ59),Log_Putaran!$C$35=""),"",$BL59*SUMPRODUCT($AL59:$AP59,Log_Putaran!$L$35:$P$35))</f>
        <v/>
      </c>
      <c r="BW59" s="48" t="str">
        <f t="shared" si="55"/>
        <v/>
      </c>
      <c r="BX59" s="48" t="str">
        <f t="shared" si="56"/>
        <v/>
      </c>
      <c r="BY59" s="38" t="str">
        <f t="shared" si="57"/>
        <v/>
      </c>
      <c r="BZ59" s="49" t="str">
        <f>IF($AQ59,MAX(_DD!$B59:$AE59),"")</f>
        <v/>
      </c>
      <c r="CA59" s="36">
        <f t="shared" si="58"/>
        <v>-9.9999999999999997E+98</v>
      </c>
      <c r="CB59" s="36" t="str">
        <f t="shared" si="59"/>
        <v/>
      </c>
      <c r="CC59" s="36">
        <f t="shared" si="60"/>
        <v>-9.9999999999999997E+98</v>
      </c>
      <c r="CD59" s="36" t="str">
        <f t="shared" si="61"/>
        <v/>
      </c>
      <c r="CE59" s="36" t="str">
        <f t="shared" si="62"/>
        <v/>
      </c>
      <c r="CF59" s="36">
        <f t="shared" si="63"/>
        <v>-9.9999999999999997E+98</v>
      </c>
    </row>
    <row r="60" spans="1:84">
      <c r="A60" s="36" t="str">
        <f>Peserta!A60</f>
        <v>P55</v>
      </c>
      <c r="B60" s="36" t="str">
        <f>IF($C60&gt;0,INDEX(Input!$C:$C,$C60)&amp;"",IF(Peserta!B60="",$A60,Peserta!B60))</f>
        <v>P55</v>
      </c>
      <c r="C60" s="36">
        <f>SUMPRODUCT(MAX((_Bantu!$A$2:$A$2001=$A60)*ROW(_Bantu!$A$2:$A$2001)))</f>
        <v>0</v>
      </c>
      <c r="D60" s="36">
        <f>SUMPRODUCT(MAX((_Bantu!$C$2:$C$2001=$A60&amp;"|1")*ROW(_Bantu!$C$2:$C$2001)))</f>
        <v>0</v>
      </c>
      <c r="E60" s="47" t="str">
        <f>IF($D60=0,"",INDEX(_Bantu!D:D,$D60))</f>
        <v/>
      </c>
      <c r="F60" s="47" t="str">
        <f>IF($D60=0,"",INDEX(_Bantu!E:E,$D60))</f>
        <v/>
      </c>
      <c r="G60" s="47" t="str">
        <f>IF($D60=0,"",INDEX(_Bantu!F:F,$D60))</f>
        <v/>
      </c>
      <c r="H60" s="47" t="str">
        <f>IF($D60=0,"",INDEX(_Bantu!G:G,$D60))</f>
        <v/>
      </c>
      <c r="I60" s="47" t="str">
        <f>IF($D60=0,"",INDEX(_Bantu!H:H,$D60))</f>
        <v/>
      </c>
      <c r="J60" s="47" t="str">
        <f t="shared" si="32"/>
        <v/>
      </c>
      <c r="K60" s="36" t="str">
        <f t="shared" si="33"/>
        <v>Belum isi</v>
      </c>
      <c r="L60" s="36">
        <f>SUMPRODUCT(MAX((_Bantu!$C$2:$C$2001=$A60&amp;"|2")*ROW(_Bantu!$C$2:$C$2001)))</f>
        <v>0</v>
      </c>
      <c r="M60" s="47" t="str">
        <f>IF($L60=0,"",INDEX(_Bantu!D:D,$L60))</f>
        <v/>
      </c>
      <c r="N60" s="47" t="str">
        <f>IF($L60=0,"",INDEX(_Bantu!E:E,$L60))</f>
        <v/>
      </c>
      <c r="O60" s="47" t="str">
        <f>IF($L60=0,"",INDEX(_Bantu!F:F,$L60))</f>
        <v/>
      </c>
      <c r="P60" s="47" t="str">
        <f>IF($L60=0,"",INDEX(_Bantu!G:G,$L60))</f>
        <v/>
      </c>
      <c r="Q60" s="47" t="str">
        <f>IF($L60=0,"",INDEX(_Bantu!H:H,$L60))</f>
        <v/>
      </c>
      <c r="R60" s="47" t="str">
        <f t="shared" si="34"/>
        <v/>
      </c>
      <c r="S60" s="36" t="str">
        <f t="shared" si="35"/>
        <v>Belum isi</v>
      </c>
      <c r="T60" s="36">
        <f>SUMPRODUCT(MAX((_Bantu!$C$2:$C$2001=$A60&amp;"|3")*ROW(_Bantu!$C$2:$C$2001)))</f>
        <v>0</v>
      </c>
      <c r="U60" s="47" t="str">
        <f>IF($T60=0,"",INDEX(_Bantu!D:D,$T60))</f>
        <v/>
      </c>
      <c r="V60" s="47" t="str">
        <f>IF($T60=0,"",INDEX(_Bantu!E:E,$T60))</f>
        <v/>
      </c>
      <c r="W60" s="47" t="str">
        <f>IF($T60=0,"",INDEX(_Bantu!F:F,$T60))</f>
        <v/>
      </c>
      <c r="X60" s="47" t="str">
        <f>IF($T60=0,"",INDEX(_Bantu!G:G,$T60))</f>
        <v/>
      </c>
      <c r="Y60" s="47" t="str">
        <f>IF($T60=0,"",INDEX(_Bantu!H:H,$T60))</f>
        <v/>
      </c>
      <c r="Z60" s="47" t="str">
        <f t="shared" si="36"/>
        <v/>
      </c>
      <c r="AA60" s="36" t="str">
        <f t="shared" si="37"/>
        <v>Belum isi</v>
      </c>
      <c r="AB60" s="47">
        <f t="shared" si="38"/>
        <v>0</v>
      </c>
      <c r="AC60" s="47">
        <f t="shared" si="39"/>
        <v>0</v>
      </c>
      <c r="AD60" s="47">
        <f t="shared" si="40"/>
        <v>0</v>
      </c>
      <c r="AE60" s="47">
        <f t="shared" si="41"/>
        <v>0</v>
      </c>
      <c r="AF60" s="47">
        <f t="shared" si="42"/>
        <v>0</v>
      </c>
      <c r="AG60" s="47">
        <f t="shared" si="43"/>
        <v>0</v>
      </c>
      <c r="AH60" s="47">
        <f t="shared" si="44"/>
        <v>0</v>
      </c>
      <c r="AI60" s="47">
        <f t="shared" si="45"/>
        <v>0</v>
      </c>
      <c r="AJ60" s="47">
        <f t="shared" si="46"/>
        <v>0</v>
      </c>
      <c r="AK60" s="47">
        <f t="shared" si="47"/>
        <v>0</v>
      </c>
      <c r="AL60" s="47">
        <f t="shared" si="48"/>
        <v>0</v>
      </c>
      <c r="AM60" s="47">
        <f t="shared" si="49"/>
        <v>0</v>
      </c>
      <c r="AN60" s="47">
        <f t="shared" si="50"/>
        <v>0</v>
      </c>
      <c r="AO60" s="47">
        <f t="shared" si="51"/>
        <v>0</v>
      </c>
      <c r="AP60" s="47">
        <f t="shared" si="52"/>
        <v>0</v>
      </c>
      <c r="AQ60" s="36" t="b">
        <f t="shared" si="53"/>
        <v>0</v>
      </c>
      <c r="AR60" s="48" t="str">
        <f t="shared" si="54"/>
        <v/>
      </c>
      <c r="AS60" s="48" t="str">
        <f>IF(OR(NOT($AQ60),Log_Putaran!$C$6=""),"",$AR60*SUMPRODUCT($AB60:$AF60,Log_Putaran!$L$6:$P$6))</f>
        <v/>
      </c>
      <c r="AT60" s="48" t="str">
        <f>IF(OR(NOT($AQ60),Log_Putaran!$C$7=""),"",$AR60*SUMPRODUCT($AB60:$AF60,Log_Putaran!$L$7:$P$7))</f>
        <v/>
      </c>
      <c r="AU60" s="48" t="str">
        <f>IF(OR(NOT($AQ60),Log_Putaran!$C$8=""),"",$AR60*SUMPRODUCT($AB60:$AF60,Log_Putaran!$L$8:$P$8))</f>
        <v/>
      </c>
      <c r="AV60" s="48" t="str">
        <f>IF(OR(NOT($AQ60),Log_Putaran!$C$9=""),"",$AR60*SUMPRODUCT($AB60:$AF60,Log_Putaran!$L$9:$P$9))</f>
        <v/>
      </c>
      <c r="AW60" s="48" t="str">
        <f>IF(OR(NOT($AQ60),Log_Putaran!$C$10=""),"",$AR60*SUMPRODUCT($AB60:$AF60,Log_Putaran!$L$10:$P$10))</f>
        <v/>
      </c>
      <c r="AX60" s="48" t="str">
        <f>IF(OR(NOT($AQ60),Log_Putaran!$C$11=""),"",$AR60*SUMPRODUCT($AB60:$AF60,Log_Putaran!$L$11:$P$11))</f>
        <v/>
      </c>
      <c r="AY60" s="48" t="str">
        <f>IF(OR(NOT($AQ60),Log_Putaran!$C$12=""),"",$AR60*SUMPRODUCT($AB60:$AF60,Log_Putaran!$L$12:$P$12))</f>
        <v/>
      </c>
      <c r="AZ60" s="48" t="str">
        <f>IF(OR(NOT($AQ60),Log_Putaran!$C$13=""),"",$AR60*SUMPRODUCT($AB60:$AF60,Log_Putaran!$L$13:$P$13))</f>
        <v/>
      </c>
      <c r="BA60" s="48" t="str">
        <f>IF(OR(NOT($AQ60),Log_Putaran!$C$14=""),"",$AR60*SUMPRODUCT($AB60:$AF60,Log_Putaran!$L$14:$P$14))</f>
        <v/>
      </c>
      <c r="BB60" s="48" t="str">
        <f>IF(OR(NOT($AQ60),Log_Putaran!$C$15=""),"",$AR60*SUMPRODUCT($AB60:$AF60,Log_Putaran!$L$15:$P$15))</f>
        <v/>
      </c>
      <c r="BC60" s="48" t="str">
        <f>IF(OR(NOT($AQ60),Log_Putaran!$C$16=""),"",$BB60*SUMPRODUCT($AG60:$AK60,Log_Putaran!$L$16:$P$16))</f>
        <v/>
      </c>
      <c r="BD60" s="48" t="str">
        <f>IF(OR(NOT($AQ60),Log_Putaran!$C$17=""),"",$BB60*SUMPRODUCT($AG60:$AK60,Log_Putaran!$L$17:$P$17))</f>
        <v/>
      </c>
      <c r="BE60" s="48" t="str">
        <f>IF(OR(NOT($AQ60),Log_Putaran!$C$18=""),"",$BB60*SUMPRODUCT($AG60:$AK60,Log_Putaran!$L$18:$P$18))</f>
        <v/>
      </c>
      <c r="BF60" s="48" t="str">
        <f>IF(OR(NOT($AQ60),Log_Putaran!$C$19=""),"",$BB60*SUMPRODUCT($AG60:$AK60,Log_Putaran!$L$19:$P$19))</f>
        <v/>
      </c>
      <c r="BG60" s="48" t="str">
        <f>IF(OR(NOT($AQ60),Log_Putaran!$C$20=""),"",$BB60*SUMPRODUCT($AG60:$AK60,Log_Putaran!$L$20:$P$20))</f>
        <v/>
      </c>
      <c r="BH60" s="48" t="str">
        <f>IF(OR(NOT($AQ60),Log_Putaran!$C$21=""),"",$BB60*SUMPRODUCT($AG60:$AK60,Log_Putaran!$L$21:$P$21))</f>
        <v/>
      </c>
      <c r="BI60" s="48" t="str">
        <f>IF(OR(NOT($AQ60),Log_Putaran!$C$22=""),"",$BB60*SUMPRODUCT($AG60:$AK60,Log_Putaran!$L$22:$P$22))</f>
        <v/>
      </c>
      <c r="BJ60" s="48" t="str">
        <f>IF(OR(NOT($AQ60),Log_Putaran!$C$23=""),"",$BB60*SUMPRODUCT($AG60:$AK60,Log_Putaran!$L$23:$P$23))</f>
        <v/>
      </c>
      <c r="BK60" s="48" t="str">
        <f>IF(OR(NOT($AQ60),Log_Putaran!$C$24=""),"",$BB60*SUMPRODUCT($AG60:$AK60,Log_Putaran!$L$24:$P$24))</f>
        <v/>
      </c>
      <c r="BL60" s="48" t="str">
        <f>IF(OR(NOT($AQ60),Log_Putaran!$C$25=""),"",$BB60*SUMPRODUCT($AG60:$AK60,Log_Putaran!$L$25:$P$25))</f>
        <v/>
      </c>
      <c r="BM60" s="48" t="str">
        <f>IF(OR(NOT($AQ60),Log_Putaran!$C$26=""),"",$BL60*SUMPRODUCT($AL60:$AP60,Log_Putaran!$L$26:$P$26))</f>
        <v/>
      </c>
      <c r="BN60" s="48" t="str">
        <f>IF(OR(NOT($AQ60),Log_Putaran!$C$27=""),"",$BL60*SUMPRODUCT($AL60:$AP60,Log_Putaran!$L$27:$P$27))</f>
        <v/>
      </c>
      <c r="BO60" s="48" t="str">
        <f>IF(OR(NOT($AQ60),Log_Putaran!$C$28=""),"",$BL60*SUMPRODUCT($AL60:$AP60,Log_Putaran!$L$28:$P$28))</f>
        <v/>
      </c>
      <c r="BP60" s="48" t="str">
        <f>IF(OR(NOT($AQ60),Log_Putaran!$C$29=""),"",$BL60*SUMPRODUCT($AL60:$AP60,Log_Putaran!$L$29:$P$29))</f>
        <v/>
      </c>
      <c r="BQ60" s="48" t="str">
        <f>IF(OR(NOT($AQ60),Log_Putaran!$C$30=""),"",$BL60*SUMPRODUCT($AL60:$AP60,Log_Putaran!$L$30:$P$30))</f>
        <v/>
      </c>
      <c r="BR60" s="48" t="str">
        <f>IF(OR(NOT($AQ60),Log_Putaran!$C$31=""),"",$BL60*SUMPRODUCT($AL60:$AP60,Log_Putaran!$L$31:$P$31))</f>
        <v/>
      </c>
      <c r="BS60" s="48" t="str">
        <f>IF(OR(NOT($AQ60),Log_Putaran!$C$32=""),"",$BL60*SUMPRODUCT($AL60:$AP60,Log_Putaran!$L$32:$P$32))</f>
        <v/>
      </c>
      <c r="BT60" s="48" t="str">
        <f>IF(OR(NOT($AQ60),Log_Putaran!$C$33=""),"",$BL60*SUMPRODUCT($AL60:$AP60,Log_Putaran!$L$33:$P$33))</f>
        <v/>
      </c>
      <c r="BU60" s="48" t="str">
        <f>IF(OR(NOT($AQ60),Log_Putaran!$C$34=""),"",$BL60*SUMPRODUCT($AL60:$AP60,Log_Putaran!$L$34:$P$34))</f>
        <v/>
      </c>
      <c r="BV60" s="48" t="str">
        <f>IF(OR(NOT($AQ60),Log_Putaran!$C$35=""),"",$BL60*SUMPRODUCT($AL60:$AP60,Log_Putaran!$L$35:$P$35))</f>
        <v/>
      </c>
      <c r="BW60" s="48" t="str">
        <f t="shared" si="55"/>
        <v/>
      </c>
      <c r="BX60" s="48" t="str">
        <f t="shared" si="56"/>
        <v/>
      </c>
      <c r="BY60" s="38" t="str">
        <f t="shared" si="57"/>
        <v/>
      </c>
      <c r="BZ60" s="49" t="str">
        <f>IF($AQ60,MAX(_DD!$B60:$AE60),"")</f>
        <v/>
      </c>
      <c r="CA60" s="36">
        <f t="shared" si="58"/>
        <v>-9.9999999999999997E+98</v>
      </c>
      <c r="CB60" s="36" t="str">
        <f t="shared" si="59"/>
        <v/>
      </c>
      <c r="CC60" s="36">
        <f t="shared" si="60"/>
        <v>-9.9999999999999997E+98</v>
      </c>
      <c r="CD60" s="36" t="str">
        <f t="shared" si="61"/>
        <v/>
      </c>
      <c r="CE60" s="36" t="str">
        <f t="shared" si="62"/>
        <v/>
      </c>
      <c r="CF60" s="36">
        <f t="shared" si="63"/>
        <v>-9.9999999999999997E+98</v>
      </c>
    </row>
    <row r="61" spans="1:84">
      <c r="A61" s="36" t="str">
        <f>Peserta!A61</f>
        <v>P56</v>
      </c>
      <c r="B61" s="36" t="str">
        <f>IF($C61&gt;0,INDEX(Input!$C:$C,$C61)&amp;"",IF(Peserta!B61="",$A61,Peserta!B61))</f>
        <v>P56</v>
      </c>
      <c r="C61" s="36">
        <f>SUMPRODUCT(MAX((_Bantu!$A$2:$A$2001=$A61)*ROW(_Bantu!$A$2:$A$2001)))</f>
        <v>0</v>
      </c>
      <c r="D61" s="36">
        <f>SUMPRODUCT(MAX((_Bantu!$C$2:$C$2001=$A61&amp;"|1")*ROW(_Bantu!$C$2:$C$2001)))</f>
        <v>0</v>
      </c>
      <c r="E61" s="47" t="str">
        <f>IF($D61=0,"",INDEX(_Bantu!D:D,$D61))</f>
        <v/>
      </c>
      <c r="F61" s="47" t="str">
        <f>IF($D61=0,"",INDEX(_Bantu!E:E,$D61))</f>
        <v/>
      </c>
      <c r="G61" s="47" t="str">
        <f>IF($D61=0,"",INDEX(_Bantu!F:F,$D61))</f>
        <v/>
      </c>
      <c r="H61" s="47" t="str">
        <f>IF($D61=0,"",INDEX(_Bantu!G:G,$D61))</f>
        <v/>
      </c>
      <c r="I61" s="47" t="str">
        <f>IF($D61=0,"",INDEX(_Bantu!H:H,$D61))</f>
        <v/>
      </c>
      <c r="J61" s="47" t="str">
        <f t="shared" si="32"/>
        <v/>
      </c>
      <c r="K61" s="36" t="str">
        <f t="shared" si="33"/>
        <v>Belum isi</v>
      </c>
      <c r="L61" s="36">
        <f>SUMPRODUCT(MAX((_Bantu!$C$2:$C$2001=$A61&amp;"|2")*ROW(_Bantu!$C$2:$C$2001)))</f>
        <v>0</v>
      </c>
      <c r="M61" s="47" t="str">
        <f>IF($L61=0,"",INDEX(_Bantu!D:D,$L61))</f>
        <v/>
      </c>
      <c r="N61" s="47" t="str">
        <f>IF($L61=0,"",INDEX(_Bantu!E:E,$L61))</f>
        <v/>
      </c>
      <c r="O61" s="47" t="str">
        <f>IF($L61=0,"",INDEX(_Bantu!F:F,$L61))</f>
        <v/>
      </c>
      <c r="P61" s="47" t="str">
        <f>IF($L61=0,"",INDEX(_Bantu!G:G,$L61))</f>
        <v/>
      </c>
      <c r="Q61" s="47" t="str">
        <f>IF($L61=0,"",INDEX(_Bantu!H:H,$L61))</f>
        <v/>
      </c>
      <c r="R61" s="47" t="str">
        <f t="shared" si="34"/>
        <v/>
      </c>
      <c r="S61" s="36" t="str">
        <f t="shared" si="35"/>
        <v>Belum isi</v>
      </c>
      <c r="T61" s="36">
        <f>SUMPRODUCT(MAX((_Bantu!$C$2:$C$2001=$A61&amp;"|3")*ROW(_Bantu!$C$2:$C$2001)))</f>
        <v>0</v>
      </c>
      <c r="U61" s="47" t="str">
        <f>IF($T61=0,"",INDEX(_Bantu!D:D,$T61))</f>
        <v/>
      </c>
      <c r="V61" s="47" t="str">
        <f>IF($T61=0,"",INDEX(_Bantu!E:E,$T61))</f>
        <v/>
      </c>
      <c r="W61" s="47" t="str">
        <f>IF($T61=0,"",INDEX(_Bantu!F:F,$T61))</f>
        <v/>
      </c>
      <c r="X61" s="47" t="str">
        <f>IF($T61=0,"",INDEX(_Bantu!G:G,$T61))</f>
        <v/>
      </c>
      <c r="Y61" s="47" t="str">
        <f>IF($T61=0,"",INDEX(_Bantu!H:H,$T61))</f>
        <v/>
      </c>
      <c r="Z61" s="47" t="str">
        <f t="shared" si="36"/>
        <v/>
      </c>
      <c r="AA61" s="36" t="str">
        <f t="shared" si="37"/>
        <v>Belum isi</v>
      </c>
      <c r="AB61" s="47">
        <f t="shared" si="38"/>
        <v>0</v>
      </c>
      <c r="AC61" s="47">
        <f t="shared" si="39"/>
        <v>0</v>
      </c>
      <c r="AD61" s="47">
        <f t="shared" si="40"/>
        <v>0</v>
      </c>
      <c r="AE61" s="47">
        <f t="shared" si="41"/>
        <v>0</v>
      </c>
      <c r="AF61" s="47">
        <f t="shared" si="42"/>
        <v>0</v>
      </c>
      <c r="AG61" s="47">
        <f t="shared" si="43"/>
        <v>0</v>
      </c>
      <c r="AH61" s="47">
        <f t="shared" si="44"/>
        <v>0</v>
      </c>
      <c r="AI61" s="47">
        <f t="shared" si="45"/>
        <v>0</v>
      </c>
      <c r="AJ61" s="47">
        <f t="shared" si="46"/>
        <v>0</v>
      </c>
      <c r="AK61" s="47">
        <f t="shared" si="47"/>
        <v>0</v>
      </c>
      <c r="AL61" s="47">
        <f t="shared" si="48"/>
        <v>0</v>
      </c>
      <c r="AM61" s="47">
        <f t="shared" si="49"/>
        <v>0</v>
      </c>
      <c r="AN61" s="47">
        <f t="shared" si="50"/>
        <v>0</v>
      </c>
      <c r="AO61" s="47">
        <f t="shared" si="51"/>
        <v>0</v>
      </c>
      <c r="AP61" s="47">
        <f t="shared" si="52"/>
        <v>0</v>
      </c>
      <c r="AQ61" s="36" t="b">
        <f t="shared" si="53"/>
        <v>0</v>
      </c>
      <c r="AR61" s="48" t="str">
        <f t="shared" si="54"/>
        <v/>
      </c>
      <c r="AS61" s="48" t="str">
        <f>IF(OR(NOT($AQ61),Log_Putaran!$C$6=""),"",$AR61*SUMPRODUCT($AB61:$AF61,Log_Putaran!$L$6:$P$6))</f>
        <v/>
      </c>
      <c r="AT61" s="48" t="str">
        <f>IF(OR(NOT($AQ61),Log_Putaran!$C$7=""),"",$AR61*SUMPRODUCT($AB61:$AF61,Log_Putaran!$L$7:$P$7))</f>
        <v/>
      </c>
      <c r="AU61" s="48" t="str">
        <f>IF(OR(NOT($AQ61),Log_Putaran!$C$8=""),"",$AR61*SUMPRODUCT($AB61:$AF61,Log_Putaran!$L$8:$P$8))</f>
        <v/>
      </c>
      <c r="AV61" s="48" t="str">
        <f>IF(OR(NOT($AQ61),Log_Putaran!$C$9=""),"",$AR61*SUMPRODUCT($AB61:$AF61,Log_Putaran!$L$9:$P$9))</f>
        <v/>
      </c>
      <c r="AW61" s="48" t="str">
        <f>IF(OR(NOT($AQ61),Log_Putaran!$C$10=""),"",$AR61*SUMPRODUCT($AB61:$AF61,Log_Putaran!$L$10:$P$10))</f>
        <v/>
      </c>
      <c r="AX61" s="48" t="str">
        <f>IF(OR(NOT($AQ61),Log_Putaran!$C$11=""),"",$AR61*SUMPRODUCT($AB61:$AF61,Log_Putaran!$L$11:$P$11))</f>
        <v/>
      </c>
      <c r="AY61" s="48" t="str">
        <f>IF(OR(NOT($AQ61),Log_Putaran!$C$12=""),"",$AR61*SUMPRODUCT($AB61:$AF61,Log_Putaran!$L$12:$P$12))</f>
        <v/>
      </c>
      <c r="AZ61" s="48" t="str">
        <f>IF(OR(NOT($AQ61),Log_Putaran!$C$13=""),"",$AR61*SUMPRODUCT($AB61:$AF61,Log_Putaran!$L$13:$P$13))</f>
        <v/>
      </c>
      <c r="BA61" s="48" t="str">
        <f>IF(OR(NOT($AQ61),Log_Putaran!$C$14=""),"",$AR61*SUMPRODUCT($AB61:$AF61,Log_Putaran!$L$14:$P$14))</f>
        <v/>
      </c>
      <c r="BB61" s="48" t="str">
        <f>IF(OR(NOT($AQ61),Log_Putaran!$C$15=""),"",$AR61*SUMPRODUCT($AB61:$AF61,Log_Putaran!$L$15:$P$15))</f>
        <v/>
      </c>
      <c r="BC61" s="48" t="str">
        <f>IF(OR(NOT($AQ61),Log_Putaran!$C$16=""),"",$BB61*SUMPRODUCT($AG61:$AK61,Log_Putaran!$L$16:$P$16))</f>
        <v/>
      </c>
      <c r="BD61" s="48" t="str">
        <f>IF(OR(NOT($AQ61),Log_Putaran!$C$17=""),"",$BB61*SUMPRODUCT($AG61:$AK61,Log_Putaran!$L$17:$P$17))</f>
        <v/>
      </c>
      <c r="BE61" s="48" t="str">
        <f>IF(OR(NOT($AQ61),Log_Putaran!$C$18=""),"",$BB61*SUMPRODUCT($AG61:$AK61,Log_Putaran!$L$18:$P$18))</f>
        <v/>
      </c>
      <c r="BF61" s="48" t="str">
        <f>IF(OR(NOT($AQ61),Log_Putaran!$C$19=""),"",$BB61*SUMPRODUCT($AG61:$AK61,Log_Putaran!$L$19:$P$19))</f>
        <v/>
      </c>
      <c r="BG61" s="48" t="str">
        <f>IF(OR(NOT($AQ61),Log_Putaran!$C$20=""),"",$BB61*SUMPRODUCT($AG61:$AK61,Log_Putaran!$L$20:$P$20))</f>
        <v/>
      </c>
      <c r="BH61" s="48" t="str">
        <f>IF(OR(NOT($AQ61),Log_Putaran!$C$21=""),"",$BB61*SUMPRODUCT($AG61:$AK61,Log_Putaran!$L$21:$P$21))</f>
        <v/>
      </c>
      <c r="BI61" s="48" t="str">
        <f>IF(OR(NOT($AQ61),Log_Putaran!$C$22=""),"",$BB61*SUMPRODUCT($AG61:$AK61,Log_Putaran!$L$22:$P$22))</f>
        <v/>
      </c>
      <c r="BJ61" s="48" t="str">
        <f>IF(OR(NOT($AQ61),Log_Putaran!$C$23=""),"",$BB61*SUMPRODUCT($AG61:$AK61,Log_Putaran!$L$23:$P$23))</f>
        <v/>
      </c>
      <c r="BK61" s="48" t="str">
        <f>IF(OR(NOT($AQ61),Log_Putaran!$C$24=""),"",$BB61*SUMPRODUCT($AG61:$AK61,Log_Putaran!$L$24:$P$24))</f>
        <v/>
      </c>
      <c r="BL61" s="48" t="str">
        <f>IF(OR(NOT($AQ61),Log_Putaran!$C$25=""),"",$BB61*SUMPRODUCT($AG61:$AK61,Log_Putaran!$L$25:$P$25))</f>
        <v/>
      </c>
      <c r="BM61" s="48" t="str">
        <f>IF(OR(NOT($AQ61),Log_Putaran!$C$26=""),"",$BL61*SUMPRODUCT($AL61:$AP61,Log_Putaran!$L$26:$P$26))</f>
        <v/>
      </c>
      <c r="BN61" s="48" t="str">
        <f>IF(OR(NOT($AQ61),Log_Putaran!$C$27=""),"",$BL61*SUMPRODUCT($AL61:$AP61,Log_Putaran!$L$27:$P$27))</f>
        <v/>
      </c>
      <c r="BO61" s="48" t="str">
        <f>IF(OR(NOT($AQ61),Log_Putaran!$C$28=""),"",$BL61*SUMPRODUCT($AL61:$AP61,Log_Putaran!$L$28:$P$28))</f>
        <v/>
      </c>
      <c r="BP61" s="48" t="str">
        <f>IF(OR(NOT($AQ61),Log_Putaran!$C$29=""),"",$BL61*SUMPRODUCT($AL61:$AP61,Log_Putaran!$L$29:$P$29))</f>
        <v/>
      </c>
      <c r="BQ61" s="48" t="str">
        <f>IF(OR(NOT($AQ61),Log_Putaran!$C$30=""),"",$BL61*SUMPRODUCT($AL61:$AP61,Log_Putaran!$L$30:$P$30))</f>
        <v/>
      </c>
      <c r="BR61" s="48" t="str">
        <f>IF(OR(NOT($AQ61),Log_Putaran!$C$31=""),"",$BL61*SUMPRODUCT($AL61:$AP61,Log_Putaran!$L$31:$P$31))</f>
        <v/>
      </c>
      <c r="BS61" s="48" t="str">
        <f>IF(OR(NOT($AQ61),Log_Putaran!$C$32=""),"",$BL61*SUMPRODUCT($AL61:$AP61,Log_Putaran!$L$32:$P$32))</f>
        <v/>
      </c>
      <c r="BT61" s="48" t="str">
        <f>IF(OR(NOT($AQ61),Log_Putaran!$C$33=""),"",$BL61*SUMPRODUCT($AL61:$AP61,Log_Putaran!$L$33:$P$33))</f>
        <v/>
      </c>
      <c r="BU61" s="48" t="str">
        <f>IF(OR(NOT($AQ61),Log_Putaran!$C$34=""),"",$BL61*SUMPRODUCT($AL61:$AP61,Log_Putaran!$L$34:$P$34))</f>
        <v/>
      </c>
      <c r="BV61" s="48" t="str">
        <f>IF(OR(NOT($AQ61),Log_Putaran!$C$35=""),"",$BL61*SUMPRODUCT($AL61:$AP61,Log_Putaran!$L$35:$P$35))</f>
        <v/>
      </c>
      <c r="BW61" s="48" t="str">
        <f t="shared" si="55"/>
        <v/>
      </c>
      <c r="BX61" s="48" t="str">
        <f t="shared" si="56"/>
        <v/>
      </c>
      <c r="BY61" s="38" t="str">
        <f t="shared" si="57"/>
        <v/>
      </c>
      <c r="BZ61" s="49" t="str">
        <f>IF($AQ61,MAX(_DD!$B61:$AE61),"")</f>
        <v/>
      </c>
      <c r="CA61" s="36">
        <f t="shared" si="58"/>
        <v>-9.9999999999999997E+98</v>
      </c>
      <c r="CB61" s="36" t="str">
        <f t="shared" si="59"/>
        <v/>
      </c>
      <c r="CC61" s="36">
        <f t="shared" si="60"/>
        <v>-9.9999999999999997E+98</v>
      </c>
      <c r="CD61" s="36" t="str">
        <f t="shared" si="61"/>
        <v/>
      </c>
      <c r="CE61" s="36" t="str">
        <f t="shared" si="62"/>
        <v/>
      </c>
      <c r="CF61" s="36">
        <f t="shared" si="63"/>
        <v>-9.9999999999999997E+98</v>
      </c>
    </row>
    <row r="62" spans="1:84">
      <c r="A62" s="36" t="str">
        <f>Peserta!A62</f>
        <v>P57</v>
      </c>
      <c r="B62" s="36" t="str">
        <f>IF($C62&gt;0,INDEX(Input!$C:$C,$C62)&amp;"",IF(Peserta!B62="",$A62,Peserta!B62))</f>
        <v>P57</v>
      </c>
      <c r="C62" s="36">
        <f>SUMPRODUCT(MAX((_Bantu!$A$2:$A$2001=$A62)*ROW(_Bantu!$A$2:$A$2001)))</f>
        <v>0</v>
      </c>
      <c r="D62" s="36">
        <f>SUMPRODUCT(MAX((_Bantu!$C$2:$C$2001=$A62&amp;"|1")*ROW(_Bantu!$C$2:$C$2001)))</f>
        <v>0</v>
      </c>
      <c r="E62" s="47" t="str">
        <f>IF($D62=0,"",INDEX(_Bantu!D:D,$D62))</f>
        <v/>
      </c>
      <c r="F62" s="47" t="str">
        <f>IF($D62=0,"",INDEX(_Bantu!E:E,$D62))</f>
        <v/>
      </c>
      <c r="G62" s="47" t="str">
        <f>IF($D62=0,"",INDEX(_Bantu!F:F,$D62))</f>
        <v/>
      </c>
      <c r="H62" s="47" t="str">
        <f>IF($D62=0,"",INDEX(_Bantu!G:G,$D62))</f>
        <v/>
      </c>
      <c r="I62" s="47" t="str">
        <f>IF($D62=0,"",INDEX(_Bantu!H:H,$D62))</f>
        <v/>
      </c>
      <c r="J62" s="47" t="str">
        <f t="shared" si="32"/>
        <v/>
      </c>
      <c r="K62" s="36" t="str">
        <f t="shared" si="33"/>
        <v>Belum isi</v>
      </c>
      <c r="L62" s="36">
        <f>SUMPRODUCT(MAX((_Bantu!$C$2:$C$2001=$A62&amp;"|2")*ROW(_Bantu!$C$2:$C$2001)))</f>
        <v>0</v>
      </c>
      <c r="M62" s="47" t="str">
        <f>IF($L62=0,"",INDEX(_Bantu!D:D,$L62))</f>
        <v/>
      </c>
      <c r="N62" s="47" t="str">
        <f>IF($L62=0,"",INDEX(_Bantu!E:E,$L62))</f>
        <v/>
      </c>
      <c r="O62" s="47" t="str">
        <f>IF($L62=0,"",INDEX(_Bantu!F:F,$L62))</f>
        <v/>
      </c>
      <c r="P62" s="47" t="str">
        <f>IF($L62=0,"",INDEX(_Bantu!G:G,$L62))</f>
        <v/>
      </c>
      <c r="Q62" s="47" t="str">
        <f>IF($L62=0,"",INDEX(_Bantu!H:H,$L62))</f>
        <v/>
      </c>
      <c r="R62" s="47" t="str">
        <f t="shared" si="34"/>
        <v/>
      </c>
      <c r="S62" s="36" t="str">
        <f t="shared" si="35"/>
        <v>Belum isi</v>
      </c>
      <c r="T62" s="36">
        <f>SUMPRODUCT(MAX((_Bantu!$C$2:$C$2001=$A62&amp;"|3")*ROW(_Bantu!$C$2:$C$2001)))</f>
        <v>0</v>
      </c>
      <c r="U62" s="47" t="str">
        <f>IF($T62=0,"",INDEX(_Bantu!D:D,$T62))</f>
        <v/>
      </c>
      <c r="V62" s="47" t="str">
        <f>IF($T62=0,"",INDEX(_Bantu!E:E,$T62))</f>
        <v/>
      </c>
      <c r="W62" s="47" t="str">
        <f>IF($T62=0,"",INDEX(_Bantu!F:F,$T62))</f>
        <v/>
      </c>
      <c r="X62" s="47" t="str">
        <f>IF($T62=0,"",INDEX(_Bantu!G:G,$T62))</f>
        <v/>
      </c>
      <c r="Y62" s="47" t="str">
        <f>IF($T62=0,"",INDEX(_Bantu!H:H,$T62))</f>
        <v/>
      </c>
      <c r="Z62" s="47" t="str">
        <f t="shared" si="36"/>
        <v/>
      </c>
      <c r="AA62" s="36" t="str">
        <f t="shared" si="37"/>
        <v>Belum isi</v>
      </c>
      <c r="AB62" s="47">
        <f t="shared" si="38"/>
        <v>0</v>
      </c>
      <c r="AC62" s="47">
        <f t="shared" si="39"/>
        <v>0</v>
      </c>
      <c r="AD62" s="47">
        <f t="shared" si="40"/>
        <v>0</v>
      </c>
      <c r="AE62" s="47">
        <f t="shared" si="41"/>
        <v>0</v>
      </c>
      <c r="AF62" s="47">
        <f t="shared" si="42"/>
        <v>0</v>
      </c>
      <c r="AG62" s="47">
        <f t="shared" si="43"/>
        <v>0</v>
      </c>
      <c r="AH62" s="47">
        <f t="shared" si="44"/>
        <v>0</v>
      </c>
      <c r="AI62" s="47">
        <f t="shared" si="45"/>
        <v>0</v>
      </c>
      <c r="AJ62" s="47">
        <f t="shared" si="46"/>
        <v>0</v>
      </c>
      <c r="AK62" s="47">
        <f t="shared" si="47"/>
        <v>0</v>
      </c>
      <c r="AL62" s="47">
        <f t="shared" si="48"/>
        <v>0</v>
      </c>
      <c r="AM62" s="47">
        <f t="shared" si="49"/>
        <v>0</v>
      </c>
      <c r="AN62" s="47">
        <f t="shared" si="50"/>
        <v>0</v>
      </c>
      <c r="AO62" s="47">
        <f t="shared" si="51"/>
        <v>0</v>
      </c>
      <c r="AP62" s="47">
        <f t="shared" si="52"/>
        <v>0</v>
      </c>
      <c r="AQ62" s="36" t="b">
        <f t="shared" si="53"/>
        <v>0</v>
      </c>
      <c r="AR62" s="48" t="str">
        <f t="shared" si="54"/>
        <v/>
      </c>
      <c r="AS62" s="48" t="str">
        <f>IF(OR(NOT($AQ62),Log_Putaran!$C$6=""),"",$AR62*SUMPRODUCT($AB62:$AF62,Log_Putaran!$L$6:$P$6))</f>
        <v/>
      </c>
      <c r="AT62" s="48" t="str">
        <f>IF(OR(NOT($AQ62),Log_Putaran!$C$7=""),"",$AR62*SUMPRODUCT($AB62:$AF62,Log_Putaran!$L$7:$P$7))</f>
        <v/>
      </c>
      <c r="AU62" s="48" t="str">
        <f>IF(OR(NOT($AQ62),Log_Putaran!$C$8=""),"",$AR62*SUMPRODUCT($AB62:$AF62,Log_Putaran!$L$8:$P$8))</f>
        <v/>
      </c>
      <c r="AV62" s="48" t="str">
        <f>IF(OR(NOT($AQ62),Log_Putaran!$C$9=""),"",$AR62*SUMPRODUCT($AB62:$AF62,Log_Putaran!$L$9:$P$9))</f>
        <v/>
      </c>
      <c r="AW62" s="48" t="str">
        <f>IF(OR(NOT($AQ62),Log_Putaran!$C$10=""),"",$AR62*SUMPRODUCT($AB62:$AF62,Log_Putaran!$L$10:$P$10))</f>
        <v/>
      </c>
      <c r="AX62" s="48" t="str">
        <f>IF(OR(NOT($AQ62),Log_Putaran!$C$11=""),"",$AR62*SUMPRODUCT($AB62:$AF62,Log_Putaran!$L$11:$P$11))</f>
        <v/>
      </c>
      <c r="AY62" s="48" t="str">
        <f>IF(OR(NOT($AQ62),Log_Putaran!$C$12=""),"",$AR62*SUMPRODUCT($AB62:$AF62,Log_Putaran!$L$12:$P$12))</f>
        <v/>
      </c>
      <c r="AZ62" s="48" t="str">
        <f>IF(OR(NOT($AQ62),Log_Putaran!$C$13=""),"",$AR62*SUMPRODUCT($AB62:$AF62,Log_Putaran!$L$13:$P$13))</f>
        <v/>
      </c>
      <c r="BA62" s="48" t="str">
        <f>IF(OR(NOT($AQ62),Log_Putaran!$C$14=""),"",$AR62*SUMPRODUCT($AB62:$AF62,Log_Putaran!$L$14:$P$14))</f>
        <v/>
      </c>
      <c r="BB62" s="48" t="str">
        <f>IF(OR(NOT($AQ62),Log_Putaran!$C$15=""),"",$AR62*SUMPRODUCT($AB62:$AF62,Log_Putaran!$L$15:$P$15))</f>
        <v/>
      </c>
      <c r="BC62" s="48" t="str">
        <f>IF(OR(NOT($AQ62),Log_Putaran!$C$16=""),"",$BB62*SUMPRODUCT($AG62:$AK62,Log_Putaran!$L$16:$P$16))</f>
        <v/>
      </c>
      <c r="BD62" s="48" t="str">
        <f>IF(OR(NOT($AQ62),Log_Putaran!$C$17=""),"",$BB62*SUMPRODUCT($AG62:$AK62,Log_Putaran!$L$17:$P$17))</f>
        <v/>
      </c>
      <c r="BE62" s="48" t="str">
        <f>IF(OR(NOT($AQ62),Log_Putaran!$C$18=""),"",$BB62*SUMPRODUCT($AG62:$AK62,Log_Putaran!$L$18:$P$18))</f>
        <v/>
      </c>
      <c r="BF62" s="48" t="str">
        <f>IF(OR(NOT($AQ62),Log_Putaran!$C$19=""),"",$BB62*SUMPRODUCT($AG62:$AK62,Log_Putaran!$L$19:$P$19))</f>
        <v/>
      </c>
      <c r="BG62" s="48" t="str">
        <f>IF(OR(NOT($AQ62),Log_Putaran!$C$20=""),"",$BB62*SUMPRODUCT($AG62:$AK62,Log_Putaran!$L$20:$P$20))</f>
        <v/>
      </c>
      <c r="BH62" s="48" t="str">
        <f>IF(OR(NOT($AQ62),Log_Putaran!$C$21=""),"",$BB62*SUMPRODUCT($AG62:$AK62,Log_Putaran!$L$21:$P$21))</f>
        <v/>
      </c>
      <c r="BI62" s="48" t="str">
        <f>IF(OR(NOT($AQ62),Log_Putaran!$C$22=""),"",$BB62*SUMPRODUCT($AG62:$AK62,Log_Putaran!$L$22:$P$22))</f>
        <v/>
      </c>
      <c r="BJ62" s="48" t="str">
        <f>IF(OR(NOT($AQ62),Log_Putaran!$C$23=""),"",$BB62*SUMPRODUCT($AG62:$AK62,Log_Putaran!$L$23:$P$23))</f>
        <v/>
      </c>
      <c r="BK62" s="48" t="str">
        <f>IF(OR(NOT($AQ62),Log_Putaran!$C$24=""),"",$BB62*SUMPRODUCT($AG62:$AK62,Log_Putaran!$L$24:$P$24))</f>
        <v/>
      </c>
      <c r="BL62" s="48" t="str">
        <f>IF(OR(NOT($AQ62),Log_Putaran!$C$25=""),"",$BB62*SUMPRODUCT($AG62:$AK62,Log_Putaran!$L$25:$P$25))</f>
        <v/>
      </c>
      <c r="BM62" s="48" t="str">
        <f>IF(OR(NOT($AQ62),Log_Putaran!$C$26=""),"",$BL62*SUMPRODUCT($AL62:$AP62,Log_Putaran!$L$26:$P$26))</f>
        <v/>
      </c>
      <c r="BN62" s="48" t="str">
        <f>IF(OR(NOT($AQ62),Log_Putaran!$C$27=""),"",$BL62*SUMPRODUCT($AL62:$AP62,Log_Putaran!$L$27:$P$27))</f>
        <v/>
      </c>
      <c r="BO62" s="48" t="str">
        <f>IF(OR(NOT($AQ62),Log_Putaran!$C$28=""),"",$BL62*SUMPRODUCT($AL62:$AP62,Log_Putaran!$L$28:$P$28))</f>
        <v/>
      </c>
      <c r="BP62" s="48" t="str">
        <f>IF(OR(NOT($AQ62),Log_Putaran!$C$29=""),"",$BL62*SUMPRODUCT($AL62:$AP62,Log_Putaran!$L$29:$P$29))</f>
        <v/>
      </c>
      <c r="BQ62" s="48" t="str">
        <f>IF(OR(NOT($AQ62),Log_Putaran!$C$30=""),"",$BL62*SUMPRODUCT($AL62:$AP62,Log_Putaran!$L$30:$P$30))</f>
        <v/>
      </c>
      <c r="BR62" s="48" t="str">
        <f>IF(OR(NOT($AQ62),Log_Putaran!$C$31=""),"",$BL62*SUMPRODUCT($AL62:$AP62,Log_Putaran!$L$31:$P$31))</f>
        <v/>
      </c>
      <c r="BS62" s="48" t="str">
        <f>IF(OR(NOT($AQ62),Log_Putaran!$C$32=""),"",$BL62*SUMPRODUCT($AL62:$AP62,Log_Putaran!$L$32:$P$32))</f>
        <v/>
      </c>
      <c r="BT62" s="48" t="str">
        <f>IF(OR(NOT($AQ62),Log_Putaran!$C$33=""),"",$BL62*SUMPRODUCT($AL62:$AP62,Log_Putaran!$L$33:$P$33))</f>
        <v/>
      </c>
      <c r="BU62" s="48" t="str">
        <f>IF(OR(NOT($AQ62),Log_Putaran!$C$34=""),"",$BL62*SUMPRODUCT($AL62:$AP62,Log_Putaran!$L$34:$P$34))</f>
        <v/>
      </c>
      <c r="BV62" s="48" t="str">
        <f>IF(OR(NOT($AQ62),Log_Putaran!$C$35=""),"",$BL62*SUMPRODUCT($AL62:$AP62,Log_Putaran!$L$35:$P$35))</f>
        <v/>
      </c>
      <c r="BW62" s="48" t="str">
        <f t="shared" si="55"/>
        <v/>
      </c>
      <c r="BX62" s="48" t="str">
        <f t="shared" si="56"/>
        <v/>
      </c>
      <c r="BY62" s="38" t="str">
        <f t="shared" si="57"/>
        <v/>
      </c>
      <c r="BZ62" s="49" t="str">
        <f>IF($AQ62,MAX(_DD!$B62:$AE62),"")</f>
        <v/>
      </c>
      <c r="CA62" s="36">
        <f t="shared" si="58"/>
        <v>-9.9999999999999997E+98</v>
      </c>
      <c r="CB62" s="36" t="str">
        <f t="shared" si="59"/>
        <v/>
      </c>
      <c r="CC62" s="36">
        <f t="shared" si="60"/>
        <v>-9.9999999999999997E+98</v>
      </c>
      <c r="CD62" s="36" t="str">
        <f t="shared" si="61"/>
        <v/>
      </c>
      <c r="CE62" s="36" t="str">
        <f t="shared" si="62"/>
        <v/>
      </c>
      <c r="CF62" s="36">
        <f t="shared" si="63"/>
        <v>-9.9999999999999997E+98</v>
      </c>
    </row>
    <row r="63" spans="1:84">
      <c r="A63" s="36" t="str">
        <f>Peserta!A63</f>
        <v>P58</v>
      </c>
      <c r="B63" s="36" t="str">
        <f>IF($C63&gt;0,INDEX(Input!$C:$C,$C63)&amp;"",IF(Peserta!B63="",$A63,Peserta!B63))</f>
        <v>P58</v>
      </c>
      <c r="C63" s="36">
        <f>SUMPRODUCT(MAX((_Bantu!$A$2:$A$2001=$A63)*ROW(_Bantu!$A$2:$A$2001)))</f>
        <v>0</v>
      </c>
      <c r="D63" s="36">
        <f>SUMPRODUCT(MAX((_Bantu!$C$2:$C$2001=$A63&amp;"|1")*ROW(_Bantu!$C$2:$C$2001)))</f>
        <v>0</v>
      </c>
      <c r="E63" s="47" t="str">
        <f>IF($D63=0,"",INDEX(_Bantu!D:D,$D63))</f>
        <v/>
      </c>
      <c r="F63" s="47" t="str">
        <f>IF($D63=0,"",INDEX(_Bantu!E:E,$D63))</f>
        <v/>
      </c>
      <c r="G63" s="47" t="str">
        <f>IF($D63=0,"",INDEX(_Bantu!F:F,$D63))</f>
        <v/>
      </c>
      <c r="H63" s="47" t="str">
        <f>IF($D63=0,"",INDEX(_Bantu!G:G,$D63))</f>
        <v/>
      </c>
      <c r="I63" s="47" t="str">
        <f>IF($D63=0,"",INDEX(_Bantu!H:H,$D63))</f>
        <v/>
      </c>
      <c r="J63" s="47" t="str">
        <f t="shared" si="32"/>
        <v/>
      </c>
      <c r="K63" s="36" t="str">
        <f t="shared" si="33"/>
        <v>Belum isi</v>
      </c>
      <c r="L63" s="36">
        <f>SUMPRODUCT(MAX((_Bantu!$C$2:$C$2001=$A63&amp;"|2")*ROW(_Bantu!$C$2:$C$2001)))</f>
        <v>0</v>
      </c>
      <c r="M63" s="47" t="str">
        <f>IF($L63=0,"",INDEX(_Bantu!D:D,$L63))</f>
        <v/>
      </c>
      <c r="N63" s="47" t="str">
        <f>IF($L63=0,"",INDEX(_Bantu!E:E,$L63))</f>
        <v/>
      </c>
      <c r="O63" s="47" t="str">
        <f>IF($L63=0,"",INDEX(_Bantu!F:F,$L63))</f>
        <v/>
      </c>
      <c r="P63" s="47" t="str">
        <f>IF($L63=0,"",INDEX(_Bantu!G:G,$L63))</f>
        <v/>
      </c>
      <c r="Q63" s="47" t="str">
        <f>IF($L63=0,"",INDEX(_Bantu!H:H,$L63))</f>
        <v/>
      </c>
      <c r="R63" s="47" t="str">
        <f t="shared" si="34"/>
        <v/>
      </c>
      <c r="S63" s="36" t="str">
        <f t="shared" si="35"/>
        <v>Belum isi</v>
      </c>
      <c r="T63" s="36">
        <f>SUMPRODUCT(MAX((_Bantu!$C$2:$C$2001=$A63&amp;"|3")*ROW(_Bantu!$C$2:$C$2001)))</f>
        <v>0</v>
      </c>
      <c r="U63" s="47" t="str">
        <f>IF($T63=0,"",INDEX(_Bantu!D:D,$T63))</f>
        <v/>
      </c>
      <c r="V63" s="47" t="str">
        <f>IF($T63=0,"",INDEX(_Bantu!E:E,$T63))</f>
        <v/>
      </c>
      <c r="W63" s="47" t="str">
        <f>IF($T63=0,"",INDEX(_Bantu!F:F,$T63))</f>
        <v/>
      </c>
      <c r="X63" s="47" t="str">
        <f>IF($T63=0,"",INDEX(_Bantu!G:G,$T63))</f>
        <v/>
      </c>
      <c r="Y63" s="47" t="str">
        <f>IF($T63=0,"",INDEX(_Bantu!H:H,$T63))</f>
        <v/>
      </c>
      <c r="Z63" s="47" t="str">
        <f t="shared" si="36"/>
        <v/>
      </c>
      <c r="AA63" s="36" t="str">
        <f t="shared" si="37"/>
        <v>Belum isi</v>
      </c>
      <c r="AB63" s="47">
        <f t="shared" si="38"/>
        <v>0</v>
      </c>
      <c r="AC63" s="47">
        <f t="shared" si="39"/>
        <v>0</v>
      </c>
      <c r="AD63" s="47">
        <f t="shared" si="40"/>
        <v>0</v>
      </c>
      <c r="AE63" s="47">
        <f t="shared" si="41"/>
        <v>0</v>
      </c>
      <c r="AF63" s="47">
        <f t="shared" si="42"/>
        <v>0</v>
      </c>
      <c r="AG63" s="47">
        <f t="shared" si="43"/>
        <v>0</v>
      </c>
      <c r="AH63" s="47">
        <f t="shared" si="44"/>
        <v>0</v>
      </c>
      <c r="AI63" s="47">
        <f t="shared" si="45"/>
        <v>0</v>
      </c>
      <c r="AJ63" s="47">
        <f t="shared" si="46"/>
        <v>0</v>
      </c>
      <c r="AK63" s="47">
        <f t="shared" si="47"/>
        <v>0</v>
      </c>
      <c r="AL63" s="47">
        <f t="shared" si="48"/>
        <v>0</v>
      </c>
      <c r="AM63" s="47">
        <f t="shared" si="49"/>
        <v>0</v>
      </c>
      <c r="AN63" s="47">
        <f t="shared" si="50"/>
        <v>0</v>
      </c>
      <c r="AO63" s="47">
        <f t="shared" si="51"/>
        <v>0</v>
      </c>
      <c r="AP63" s="47">
        <f t="shared" si="52"/>
        <v>0</v>
      </c>
      <c r="AQ63" s="36" t="b">
        <f t="shared" si="53"/>
        <v>0</v>
      </c>
      <c r="AR63" s="48" t="str">
        <f t="shared" si="54"/>
        <v/>
      </c>
      <c r="AS63" s="48" t="str">
        <f>IF(OR(NOT($AQ63),Log_Putaran!$C$6=""),"",$AR63*SUMPRODUCT($AB63:$AF63,Log_Putaran!$L$6:$P$6))</f>
        <v/>
      </c>
      <c r="AT63" s="48" t="str">
        <f>IF(OR(NOT($AQ63),Log_Putaran!$C$7=""),"",$AR63*SUMPRODUCT($AB63:$AF63,Log_Putaran!$L$7:$P$7))</f>
        <v/>
      </c>
      <c r="AU63" s="48" t="str">
        <f>IF(OR(NOT($AQ63),Log_Putaran!$C$8=""),"",$AR63*SUMPRODUCT($AB63:$AF63,Log_Putaran!$L$8:$P$8))</f>
        <v/>
      </c>
      <c r="AV63" s="48" t="str">
        <f>IF(OR(NOT($AQ63),Log_Putaran!$C$9=""),"",$AR63*SUMPRODUCT($AB63:$AF63,Log_Putaran!$L$9:$P$9))</f>
        <v/>
      </c>
      <c r="AW63" s="48" t="str">
        <f>IF(OR(NOT($AQ63),Log_Putaran!$C$10=""),"",$AR63*SUMPRODUCT($AB63:$AF63,Log_Putaran!$L$10:$P$10))</f>
        <v/>
      </c>
      <c r="AX63" s="48" t="str">
        <f>IF(OR(NOT($AQ63),Log_Putaran!$C$11=""),"",$AR63*SUMPRODUCT($AB63:$AF63,Log_Putaran!$L$11:$P$11))</f>
        <v/>
      </c>
      <c r="AY63" s="48" t="str">
        <f>IF(OR(NOT($AQ63),Log_Putaran!$C$12=""),"",$AR63*SUMPRODUCT($AB63:$AF63,Log_Putaran!$L$12:$P$12))</f>
        <v/>
      </c>
      <c r="AZ63" s="48" t="str">
        <f>IF(OR(NOT($AQ63),Log_Putaran!$C$13=""),"",$AR63*SUMPRODUCT($AB63:$AF63,Log_Putaran!$L$13:$P$13))</f>
        <v/>
      </c>
      <c r="BA63" s="48" t="str">
        <f>IF(OR(NOT($AQ63),Log_Putaran!$C$14=""),"",$AR63*SUMPRODUCT($AB63:$AF63,Log_Putaran!$L$14:$P$14))</f>
        <v/>
      </c>
      <c r="BB63" s="48" t="str">
        <f>IF(OR(NOT($AQ63),Log_Putaran!$C$15=""),"",$AR63*SUMPRODUCT($AB63:$AF63,Log_Putaran!$L$15:$P$15))</f>
        <v/>
      </c>
      <c r="BC63" s="48" t="str">
        <f>IF(OR(NOT($AQ63),Log_Putaran!$C$16=""),"",$BB63*SUMPRODUCT($AG63:$AK63,Log_Putaran!$L$16:$P$16))</f>
        <v/>
      </c>
      <c r="BD63" s="48" t="str">
        <f>IF(OR(NOT($AQ63),Log_Putaran!$C$17=""),"",$BB63*SUMPRODUCT($AG63:$AK63,Log_Putaran!$L$17:$P$17))</f>
        <v/>
      </c>
      <c r="BE63" s="48" t="str">
        <f>IF(OR(NOT($AQ63),Log_Putaran!$C$18=""),"",$BB63*SUMPRODUCT($AG63:$AK63,Log_Putaran!$L$18:$P$18))</f>
        <v/>
      </c>
      <c r="BF63" s="48" t="str">
        <f>IF(OR(NOT($AQ63),Log_Putaran!$C$19=""),"",$BB63*SUMPRODUCT($AG63:$AK63,Log_Putaran!$L$19:$P$19))</f>
        <v/>
      </c>
      <c r="BG63" s="48" t="str">
        <f>IF(OR(NOT($AQ63),Log_Putaran!$C$20=""),"",$BB63*SUMPRODUCT($AG63:$AK63,Log_Putaran!$L$20:$P$20))</f>
        <v/>
      </c>
      <c r="BH63" s="48" t="str">
        <f>IF(OR(NOT($AQ63),Log_Putaran!$C$21=""),"",$BB63*SUMPRODUCT($AG63:$AK63,Log_Putaran!$L$21:$P$21))</f>
        <v/>
      </c>
      <c r="BI63" s="48" t="str">
        <f>IF(OR(NOT($AQ63),Log_Putaran!$C$22=""),"",$BB63*SUMPRODUCT($AG63:$AK63,Log_Putaran!$L$22:$P$22))</f>
        <v/>
      </c>
      <c r="BJ63" s="48" t="str">
        <f>IF(OR(NOT($AQ63),Log_Putaran!$C$23=""),"",$BB63*SUMPRODUCT($AG63:$AK63,Log_Putaran!$L$23:$P$23))</f>
        <v/>
      </c>
      <c r="BK63" s="48" t="str">
        <f>IF(OR(NOT($AQ63),Log_Putaran!$C$24=""),"",$BB63*SUMPRODUCT($AG63:$AK63,Log_Putaran!$L$24:$P$24))</f>
        <v/>
      </c>
      <c r="BL63" s="48" t="str">
        <f>IF(OR(NOT($AQ63),Log_Putaran!$C$25=""),"",$BB63*SUMPRODUCT($AG63:$AK63,Log_Putaran!$L$25:$P$25))</f>
        <v/>
      </c>
      <c r="BM63" s="48" t="str">
        <f>IF(OR(NOT($AQ63),Log_Putaran!$C$26=""),"",$BL63*SUMPRODUCT($AL63:$AP63,Log_Putaran!$L$26:$P$26))</f>
        <v/>
      </c>
      <c r="BN63" s="48" t="str">
        <f>IF(OR(NOT($AQ63),Log_Putaran!$C$27=""),"",$BL63*SUMPRODUCT($AL63:$AP63,Log_Putaran!$L$27:$P$27))</f>
        <v/>
      </c>
      <c r="BO63" s="48" t="str">
        <f>IF(OR(NOT($AQ63),Log_Putaran!$C$28=""),"",$BL63*SUMPRODUCT($AL63:$AP63,Log_Putaran!$L$28:$P$28))</f>
        <v/>
      </c>
      <c r="BP63" s="48" t="str">
        <f>IF(OR(NOT($AQ63),Log_Putaran!$C$29=""),"",$BL63*SUMPRODUCT($AL63:$AP63,Log_Putaran!$L$29:$P$29))</f>
        <v/>
      </c>
      <c r="BQ63" s="48" t="str">
        <f>IF(OR(NOT($AQ63),Log_Putaran!$C$30=""),"",$BL63*SUMPRODUCT($AL63:$AP63,Log_Putaran!$L$30:$P$30))</f>
        <v/>
      </c>
      <c r="BR63" s="48" t="str">
        <f>IF(OR(NOT($AQ63),Log_Putaran!$C$31=""),"",$BL63*SUMPRODUCT($AL63:$AP63,Log_Putaran!$L$31:$P$31))</f>
        <v/>
      </c>
      <c r="BS63" s="48" t="str">
        <f>IF(OR(NOT($AQ63),Log_Putaran!$C$32=""),"",$BL63*SUMPRODUCT($AL63:$AP63,Log_Putaran!$L$32:$P$32))</f>
        <v/>
      </c>
      <c r="BT63" s="48" t="str">
        <f>IF(OR(NOT($AQ63),Log_Putaran!$C$33=""),"",$BL63*SUMPRODUCT($AL63:$AP63,Log_Putaran!$L$33:$P$33))</f>
        <v/>
      </c>
      <c r="BU63" s="48" t="str">
        <f>IF(OR(NOT($AQ63),Log_Putaran!$C$34=""),"",$BL63*SUMPRODUCT($AL63:$AP63,Log_Putaran!$L$34:$P$34))</f>
        <v/>
      </c>
      <c r="BV63" s="48" t="str">
        <f>IF(OR(NOT($AQ63),Log_Putaran!$C$35=""),"",$BL63*SUMPRODUCT($AL63:$AP63,Log_Putaran!$L$35:$P$35))</f>
        <v/>
      </c>
      <c r="BW63" s="48" t="str">
        <f t="shared" si="55"/>
        <v/>
      </c>
      <c r="BX63" s="48" t="str">
        <f t="shared" si="56"/>
        <v/>
      </c>
      <c r="BY63" s="38" t="str">
        <f t="shared" si="57"/>
        <v/>
      </c>
      <c r="BZ63" s="49" t="str">
        <f>IF($AQ63,MAX(_DD!$B63:$AE63),"")</f>
        <v/>
      </c>
      <c r="CA63" s="36">
        <f t="shared" si="58"/>
        <v>-9.9999999999999997E+98</v>
      </c>
      <c r="CB63" s="36" t="str">
        <f t="shared" si="59"/>
        <v/>
      </c>
      <c r="CC63" s="36">
        <f t="shared" si="60"/>
        <v>-9.9999999999999997E+98</v>
      </c>
      <c r="CD63" s="36" t="str">
        <f t="shared" si="61"/>
        <v/>
      </c>
      <c r="CE63" s="36" t="str">
        <f t="shared" si="62"/>
        <v/>
      </c>
      <c r="CF63" s="36">
        <f t="shared" si="63"/>
        <v>-9.9999999999999997E+98</v>
      </c>
    </row>
    <row r="64" spans="1:84">
      <c r="A64" s="36" t="str">
        <f>Peserta!A64</f>
        <v>P59</v>
      </c>
      <c r="B64" s="36" t="str">
        <f>IF($C64&gt;0,INDEX(Input!$C:$C,$C64)&amp;"",IF(Peserta!B64="",$A64,Peserta!B64))</f>
        <v>P59</v>
      </c>
      <c r="C64" s="36">
        <f>SUMPRODUCT(MAX((_Bantu!$A$2:$A$2001=$A64)*ROW(_Bantu!$A$2:$A$2001)))</f>
        <v>0</v>
      </c>
      <c r="D64" s="36">
        <f>SUMPRODUCT(MAX((_Bantu!$C$2:$C$2001=$A64&amp;"|1")*ROW(_Bantu!$C$2:$C$2001)))</f>
        <v>0</v>
      </c>
      <c r="E64" s="47" t="str">
        <f>IF($D64=0,"",INDEX(_Bantu!D:D,$D64))</f>
        <v/>
      </c>
      <c r="F64" s="47" t="str">
        <f>IF($D64=0,"",INDEX(_Bantu!E:E,$D64))</f>
        <v/>
      </c>
      <c r="G64" s="47" t="str">
        <f>IF($D64=0,"",INDEX(_Bantu!F:F,$D64))</f>
        <v/>
      </c>
      <c r="H64" s="47" t="str">
        <f>IF($D64=0,"",INDEX(_Bantu!G:G,$D64))</f>
        <v/>
      </c>
      <c r="I64" s="47" t="str">
        <f>IF($D64=0,"",INDEX(_Bantu!H:H,$D64))</f>
        <v/>
      </c>
      <c r="J64" s="47" t="str">
        <f t="shared" si="32"/>
        <v/>
      </c>
      <c r="K64" s="36" t="str">
        <f t="shared" si="33"/>
        <v>Belum isi</v>
      </c>
      <c r="L64" s="36">
        <f>SUMPRODUCT(MAX((_Bantu!$C$2:$C$2001=$A64&amp;"|2")*ROW(_Bantu!$C$2:$C$2001)))</f>
        <v>0</v>
      </c>
      <c r="M64" s="47" t="str">
        <f>IF($L64=0,"",INDEX(_Bantu!D:D,$L64))</f>
        <v/>
      </c>
      <c r="N64" s="47" t="str">
        <f>IF($L64=0,"",INDEX(_Bantu!E:E,$L64))</f>
        <v/>
      </c>
      <c r="O64" s="47" t="str">
        <f>IF($L64=0,"",INDEX(_Bantu!F:F,$L64))</f>
        <v/>
      </c>
      <c r="P64" s="47" t="str">
        <f>IF($L64=0,"",INDEX(_Bantu!G:G,$L64))</f>
        <v/>
      </c>
      <c r="Q64" s="47" t="str">
        <f>IF($L64=0,"",INDEX(_Bantu!H:H,$L64))</f>
        <v/>
      </c>
      <c r="R64" s="47" t="str">
        <f t="shared" si="34"/>
        <v/>
      </c>
      <c r="S64" s="36" t="str">
        <f t="shared" si="35"/>
        <v>Belum isi</v>
      </c>
      <c r="T64" s="36">
        <f>SUMPRODUCT(MAX((_Bantu!$C$2:$C$2001=$A64&amp;"|3")*ROW(_Bantu!$C$2:$C$2001)))</f>
        <v>0</v>
      </c>
      <c r="U64" s="47" t="str">
        <f>IF($T64=0,"",INDEX(_Bantu!D:D,$T64))</f>
        <v/>
      </c>
      <c r="V64" s="47" t="str">
        <f>IF($T64=0,"",INDEX(_Bantu!E:E,$T64))</f>
        <v/>
      </c>
      <c r="W64" s="47" t="str">
        <f>IF($T64=0,"",INDEX(_Bantu!F:F,$T64))</f>
        <v/>
      </c>
      <c r="X64" s="47" t="str">
        <f>IF($T64=0,"",INDEX(_Bantu!G:G,$T64))</f>
        <v/>
      </c>
      <c r="Y64" s="47" t="str">
        <f>IF($T64=0,"",INDEX(_Bantu!H:H,$T64))</f>
        <v/>
      </c>
      <c r="Z64" s="47" t="str">
        <f t="shared" si="36"/>
        <v/>
      </c>
      <c r="AA64" s="36" t="str">
        <f t="shared" si="37"/>
        <v>Belum isi</v>
      </c>
      <c r="AB64" s="47">
        <f t="shared" si="38"/>
        <v>0</v>
      </c>
      <c r="AC64" s="47">
        <f t="shared" si="39"/>
        <v>0</v>
      </c>
      <c r="AD64" s="47">
        <f t="shared" si="40"/>
        <v>0</v>
      </c>
      <c r="AE64" s="47">
        <f t="shared" si="41"/>
        <v>0</v>
      </c>
      <c r="AF64" s="47">
        <f t="shared" si="42"/>
        <v>0</v>
      </c>
      <c r="AG64" s="47">
        <f t="shared" si="43"/>
        <v>0</v>
      </c>
      <c r="AH64" s="47">
        <f t="shared" si="44"/>
        <v>0</v>
      </c>
      <c r="AI64" s="47">
        <f t="shared" si="45"/>
        <v>0</v>
      </c>
      <c r="AJ64" s="47">
        <f t="shared" si="46"/>
        <v>0</v>
      </c>
      <c r="AK64" s="47">
        <f t="shared" si="47"/>
        <v>0</v>
      </c>
      <c r="AL64" s="47">
        <f t="shared" si="48"/>
        <v>0</v>
      </c>
      <c r="AM64" s="47">
        <f t="shared" si="49"/>
        <v>0</v>
      </c>
      <c r="AN64" s="47">
        <f t="shared" si="50"/>
        <v>0</v>
      </c>
      <c r="AO64" s="47">
        <f t="shared" si="51"/>
        <v>0</v>
      </c>
      <c r="AP64" s="47">
        <f t="shared" si="52"/>
        <v>0</v>
      </c>
      <c r="AQ64" s="36" t="b">
        <f t="shared" si="53"/>
        <v>0</v>
      </c>
      <c r="AR64" s="48" t="str">
        <f t="shared" si="54"/>
        <v/>
      </c>
      <c r="AS64" s="48" t="str">
        <f>IF(OR(NOT($AQ64),Log_Putaran!$C$6=""),"",$AR64*SUMPRODUCT($AB64:$AF64,Log_Putaran!$L$6:$P$6))</f>
        <v/>
      </c>
      <c r="AT64" s="48" t="str">
        <f>IF(OR(NOT($AQ64),Log_Putaran!$C$7=""),"",$AR64*SUMPRODUCT($AB64:$AF64,Log_Putaran!$L$7:$P$7))</f>
        <v/>
      </c>
      <c r="AU64" s="48" t="str">
        <f>IF(OR(NOT($AQ64),Log_Putaran!$C$8=""),"",$AR64*SUMPRODUCT($AB64:$AF64,Log_Putaran!$L$8:$P$8))</f>
        <v/>
      </c>
      <c r="AV64" s="48" t="str">
        <f>IF(OR(NOT($AQ64),Log_Putaran!$C$9=""),"",$AR64*SUMPRODUCT($AB64:$AF64,Log_Putaran!$L$9:$P$9))</f>
        <v/>
      </c>
      <c r="AW64" s="48" t="str">
        <f>IF(OR(NOT($AQ64),Log_Putaran!$C$10=""),"",$AR64*SUMPRODUCT($AB64:$AF64,Log_Putaran!$L$10:$P$10))</f>
        <v/>
      </c>
      <c r="AX64" s="48" t="str">
        <f>IF(OR(NOT($AQ64),Log_Putaran!$C$11=""),"",$AR64*SUMPRODUCT($AB64:$AF64,Log_Putaran!$L$11:$P$11))</f>
        <v/>
      </c>
      <c r="AY64" s="48" t="str">
        <f>IF(OR(NOT($AQ64),Log_Putaran!$C$12=""),"",$AR64*SUMPRODUCT($AB64:$AF64,Log_Putaran!$L$12:$P$12))</f>
        <v/>
      </c>
      <c r="AZ64" s="48" t="str">
        <f>IF(OR(NOT($AQ64),Log_Putaran!$C$13=""),"",$AR64*SUMPRODUCT($AB64:$AF64,Log_Putaran!$L$13:$P$13))</f>
        <v/>
      </c>
      <c r="BA64" s="48" t="str">
        <f>IF(OR(NOT($AQ64),Log_Putaran!$C$14=""),"",$AR64*SUMPRODUCT($AB64:$AF64,Log_Putaran!$L$14:$P$14))</f>
        <v/>
      </c>
      <c r="BB64" s="48" t="str">
        <f>IF(OR(NOT($AQ64),Log_Putaran!$C$15=""),"",$AR64*SUMPRODUCT($AB64:$AF64,Log_Putaran!$L$15:$P$15))</f>
        <v/>
      </c>
      <c r="BC64" s="48" t="str">
        <f>IF(OR(NOT($AQ64),Log_Putaran!$C$16=""),"",$BB64*SUMPRODUCT($AG64:$AK64,Log_Putaran!$L$16:$P$16))</f>
        <v/>
      </c>
      <c r="BD64" s="48" t="str">
        <f>IF(OR(NOT($AQ64),Log_Putaran!$C$17=""),"",$BB64*SUMPRODUCT($AG64:$AK64,Log_Putaran!$L$17:$P$17))</f>
        <v/>
      </c>
      <c r="BE64" s="48" t="str">
        <f>IF(OR(NOT($AQ64),Log_Putaran!$C$18=""),"",$BB64*SUMPRODUCT($AG64:$AK64,Log_Putaran!$L$18:$P$18))</f>
        <v/>
      </c>
      <c r="BF64" s="48" t="str">
        <f>IF(OR(NOT($AQ64),Log_Putaran!$C$19=""),"",$BB64*SUMPRODUCT($AG64:$AK64,Log_Putaran!$L$19:$P$19))</f>
        <v/>
      </c>
      <c r="BG64" s="48" t="str">
        <f>IF(OR(NOT($AQ64),Log_Putaran!$C$20=""),"",$BB64*SUMPRODUCT($AG64:$AK64,Log_Putaran!$L$20:$P$20))</f>
        <v/>
      </c>
      <c r="BH64" s="48" t="str">
        <f>IF(OR(NOT($AQ64),Log_Putaran!$C$21=""),"",$BB64*SUMPRODUCT($AG64:$AK64,Log_Putaran!$L$21:$P$21))</f>
        <v/>
      </c>
      <c r="BI64" s="48" t="str">
        <f>IF(OR(NOT($AQ64),Log_Putaran!$C$22=""),"",$BB64*SUMPRODUCT($AG64:$AK64,Log_Putaran!$L$22:$P$22))</f>
        <v/>
      </c>
      <c r="BJ64" s="48" t="str">
        <f>IF(OR(NOT($AQ64),Log_Putaran!$C$23=""),"",$BB64*SUMPRODUCT($AG64:$AK64,Log_Putaran!$L$23:$P$23))</f>
        <v/>
      </c>
      <c r="BK64" s="48" t="str">
        <f>IF(OR(NOT($AQ64),Log_Putaran!$C$24=""),"",$BB64*SUMPRODUCT($AG64:$AK64,Log_Putaran!$L$24:$P$24))</f>
        <v/>
      </c>
      <c r="BL64" s="48" t="str">
        <f>IF(OR(NOT($AQ64),Log_Putaran!$C$25=""),"",$BB64*SUMPRODUCT($AG64:$AK64,Log_Putaran!$L$25:$P$25))</f>
        <v/>
      </c>
      <c r="BM64" s="48" t="str">
        <f>IF(OR(NOT($AQ64),Log_Putaran!$C$26=""),"",$BL64*SUMPRODUCT($AL64:$AP64,Log_Putaran!$L$26:$P$26))</f>
        <v/>
      </c>
      <c r="BN64" s="48" t="str">
        <f>IF(OR(NOT($AQ64),Log_Putaran!$C$27=""),"",$BL64*SUMPRODUCT($AL64:$AP64,Log_Putaran!$L$27:$P$27))</f>
        <v/>
      </c>
      <c r="BO64" s="48" t="str">
        <f>IF(OR(NOT($AQ64),Log_Putaran!$C$28=""),"",$BL64*SUMPRODUCT($AL64:$AP64,Log_Putaran!$L$28:$P$28))</f>
        <v/>
      </c>
      <c r="BP64" s="48" t="str">
        <f>IF(OR(NOT($AQ64),Log_Putaran!$C$29=""),"",$BL64*SUMPRODUCT($AL64:$AP64,Log_Putaran!$L$29:$P$29))</f>
        <v/>
      </c>
      <c r="BQ64" s="48" t="str">
        <f>IF(OR(NOT($AQ64),Log_Putaran!$C$30=""),"",$BL64*SUMPRODUCT($AL64:$AP64,Log_Putaran!$L$30:$P$30))</f>
        <v/>
      </c>
      <c r="BR64" s="48" t="str">
        <f>IF(OR(NOT($AQ64),Log_Putaran!$C$31=""),"",$BL64*SUMPRODUCT($AL64:$AP64,Log_Putaran!$L$31:$P$31))</f>
        <v/>
      </c>
      <c r="BS64" s="48" t="str">
        <f>IF(OR(NOT($AQ64),Log_Putaran!$C$32=""),"",$BL64*SUMPRODUCT($AL64:$AP64,Log_Putaran!$L$32:$P$32))</f>
        <v/>
      </c>
      <c r="BT64" s="48" t="str">
        <f>IF(OR(NOT($AQ64),Log_Putaran!$C$33=""),"",$BL64*SUMPRODUCT($AL64:$AP64,Log_Putaran!$L$33:$P$33))</f>
        <v/>
      </c>
      <c r="BU64" s="48" t="str">
        <f>IF(OR(NOT($AQ64),Log_Putaran!$C$34=""),"",$BL64*SUMPRODUCT($AL64:$AP64,Log_Putaran!$L$34:$P$34))</f>
        <v/>
      </c>
      <c r="BV64" s="48" t="str">
        <f>IF(OR(NOT($AQ64),Log_Putaran!$C$35=""),"",$BL64*SUMPRODUCT($AL64:$AP64,Log_Putaran!$L$35:$P$35))</f>
        <v/>
      </c>
      <c r="BW64" s="48" t="str">
        <f t="shared" si="55"/>
        <v/>
      </c>
      <c r="BX64" s="48" t="str">
        <f t="shared" si="56"/>
        <v/>
      </c>
      <c r="BY64" s="38" t="str">
        <f t="shared" si="57"/>
        <v/>
      </c>
      <c r="BZ64" s="49" t="str">
        <f>IF($AQ64,MAX(_DD!$B64:$AE64),"")</f>
        <v/>
      </c>
      <c r="CA64" s="36">
        <f t="shared" si="58"/>
        <v>-9.9999999999999997E+98</v>
      </c>
      <c r="CB64" s="36" t="str">
        <f t="shared" si="59"/>
        <v/>
      </c>
      <c r="CC64" s="36">
        <f t="shared" si="60"/>
        <v>-9.9999999999999997E+98</v>
      </c>
      <c r="CD64" s="36" t="str">
        <f t="shared" si="61"/>
        <v/>
      </c>
      <c r="CE64" s="36" t="str">
        <f t="shared" si="62"/>
        <v/>
      </c>
      <c r="CF64" s="36">
        <f t="shared" si="63"/>
        <v>-9.9999999999999997E+98</v>
      </c>
    </row>
    <row r="65" spans="1:84">
      <c r="A65" s="36" t="str">
        <f>Peserta!A65</f>
        <v>P60</v>
      </c>
      <c r="B65" s="36" t="str">
        <f>IF($C65&gt;0,INDEX(Input!$C:$C,$C65)&amp;"",IF(Peserta!B65="",$A65,Peserta!B65))</f>
        <v>P60</v>
      </c>
      <c r="C65" s="36">
        <f>SUMPRODUCT(MAX((_Bantu!$A$2:$A$2001=$A65)*ROW(_Bantu!$A$2:$A$2001)))</f>
        <v>0</v>
      </c>
      <c r="D65" s="36">
        <f>SUMPRODUCT(MAX((_Bantu!$C$2:$C$2001=$A65&amp;"|1")*ROW(_Bantu!$C$2:$C$2001)))</f>
        <v>0</v>
      </c>
      <c r="E65" s="47" t="str">
        <f>IF($D65=0,"",INDEX(_Bantu!D:D,$D65))</f>
        <v/>
      </c>
      <c r="F65" s="47" t="str">
        <f>IF($D65=0,"",INDEX(_Bantu!E:E,$D65))</f>
        <v/>
      </c>
      <c r="G65" s="47" t="str">
        <f>IF($D65=0,"",INDEX(_Bantu!F:F,$D65))</f>
        <v/>
      </c>
      <c r="H65" s="47" t="str">
        <f>IF($D65=0,"",INDEX(_Bantu!G:G,$D65))</f>
        <v/>
      </c>
      <c r="I65" s="47" t="str">
        <f>IF($D65=0,"",INDEX(_Bantu!H:H,$D65))</f>
        <v/>
      </c>
      <c r="J65" s="47" t="str">
        <f t="shared" si="32"/>
        <v/>
      </c>
      <c r="K65" s="36" t="str">
        <f t="shared" si="33"/>
        <v>Belum isi</v>
      </c>
      <c r="L65" s="36">
        <f>SUMPRODUCT(MAX((_Bantu!$C$2:$C$2001=$A65&amp;"|2")*ROW(_Bantu!$C$2:$C$2001)))</f>
        <v>0</v>
      </c>
      <c r="M65" s="47" t="str">
        <f>IF($L65=0,"",INDEX(_Bantu!D:D,$L65))</f>
        <v/>
      </c>
      <c r="N65" s="47" t="str">
        <f>IF($L65=0,"",INDEX(_Bantu!E:E,$L65))</f>
        <v/>
      </c>
      <c r="O65" s="47" t="str">
        <f>IF($L65=0,"",INDEX(_Bantu!F:F,$L65))</f>
        <v/>
      </c>
      <c r="P65" s="47" t="str">
        <f>IF($L65=0,"",INDEX(_Bantu!G:G,$L65))</f>
        <v/>
      </c>
      <c r="Q65" s="47" t="str">
        <f>IF($L65=0,"",INDEX(_Bantu!H:H,$L65))</f>
        <v/>
      </c>
      <c r="R65" s="47" t="str">
        <f t="shared" si="34"/>
        <v/>
      </c>
      <c r="S65" s="36" t="str">
        <f t="shared" si="35"/>
        <v>Belum isi</v>
      </c>
      <c r="T65" s="36">
        <f>SUMPRODUCT(MAX((_Bantu!$C$2:$C$2001=$A65&amp;"|3")*ROW(_Bantu!$C$2:$C$2001)))</f>
        <v>0</v>
      </c>
      <c r="U65" s="47" t="str">
        <f>IF($T65=0,"",INDEX(_Bantu!D:D,$T65))</f>
        <v/>
      </c>
      <c r="V65" s="47" t="str">
        <f>IF($T65=0,"",INDEX(_Bantu!E:E,$T65))</f>
        <v/>
      </c>
      <c r="W65" s="47" t="str">
        <f>IF($T65=0,"",INDEX(_Bantu!F:F,$T65))</f>
        <v/>
      </c>
      <c r="X65" s="47" t="str">
        <f>IF($T65=0,"",INDEX(_Bantu!G:G,$T65))</f>
        <v/>
      </c>
      <c r="Y65" s="47" t="str">
        <f>IF($T65=0,"",INDEX(_Bantu!H:H,$T65))</f>
        <v/>
      </c>
      <c r="Z65" s="47" t="str">
        <f t="shared" si="36"/>
        <v/>
      </c>
      <c r="AA65" s="36" t="str">
        <f t="shared" si="37"/>
        <v>Belum isi</v>
      </c>
      <c r="AB65" s="47">
        <f t="shared" si="38"/>
        <v>0</v>
      </c>
      <c r="AC65" s="47">
        <f t="shared" si="39"/>
        <v>0</v>
      </c>
      <c r="AD65" s="47">
        <f t="shared" si="40"/>
        <v>0</v>
      </c>
      <c r="AE65" s="47">
        <f t="shared" si="41"/>
        <v>0</v>
      </c>
      <c r="AF65" s="47">
        <f t="shared" si="42"/>
        <v>0</v>
      </c>
      <c r="AG65" s="47">
        <f t="shared" si="43"/>
        <v>0</v>
      </c>
      <c r="AH65" s="47">
        <f t="shared" si="44"/>
        <v>0</v>
      </c>
      <c r="AI65" s="47">
        <f t="shared" si="45"/>
        <v>0</v>
      </c>
      <c r="AJ65" s="47">
        <f t="shared" si="46"/>
        <v>0</v>
      </c>
      <c r="AK65" s="47">
        <f t="shared" si="47"/>
        <v>0</v>
      </c>
      <c r="AL65" s="47">
        <f t="shared" si="48"/>
        <v>0</v>
      </c>
      <c r="AM65" s="47">
        <f t="shared" si="49"/>
        <v>0</v>
      </c>
      <c r="AN65" s="47">
        <f t="shared" si="50"/>
        <v>0</v>
      </c>
      <c r="AO65" s="47">
        <f t="shared" si="51"/>
        <v>0</v>
      </c>
      <c r="AP65" s="47">
        <f t="shared" si="52"/>
        <v>0</v>
      </c>
      <c r="AQ65" s="36" t="b">
        <f t="shared" si="53"/>
        <v>0</v>
      </c>
      <c r="AR65" s="48" t="str">
        <f t="shared" si="54"/>
        <v/>
      </c>
      <c r="AS65" s="48" t="str">
        <f>IF(OR(NOT($AQ65),Log_Putaran!$C$6=""),"",$AR65*SUMPRODUCT($AB65:$AF65,Log_Putaran!$L$6:$P$6))</f>
        <v/>
      </c>
      <c r="AT65" s="48" t="str">
        <f>IF(OR(NOT($AQ65),Log_Putaran!$C$7=""),"",$AR65*SUMPRODUCT($AB65:$AF65,Log_Putaran!$L$7:$P$7))</f>
        <v/>
      </c>
      <c r="AU65" s="48" t="str">
        <f>IF(OR(NOT($AQ65),Log_Putaran!$C$8=""),"",$AR65*SUMPRODUCT($AB65:$AF65,Log_Putaran!$L$8:$P$8))</f>
        <v/>
      </c>
      <c r="AV65" s="48" t="str">
        <f>IF(OR(NOT($AQ65),Log_Putaran!$C$9=""),"",$AR65*SUMPRODUCT($AB65:$AF65,Log_Putaran!$L$9:$P$9))</f>
        <v/>
      </c>
      <c r="AW65" s="48" t="str">
        <f>IF(OR(NOT($AQ65),Log_Putaran!$C$10=""),"",$AR65*SUMPRODUCT($AB65:$AF65,Log_Putaran!$L$10:$P$10))</f>
        <v/>
      </c>
      <c r="AX65" s="48" t="str">
        <f>IF(OR(NOT($AQ65),Log_Putaran!$C$11=""),"",$AR65*SUMPRODUCT($AB65:$AF65,Log_Putaran!$L$11:$P$11))</f>
        <v/>
      </c>
      <c r="AY65" s="48" t="str">
        <f>IF(OR(NOT($AQ65),Log_Putaran!$C$12=""),"",$AR65*SUMPRODUCT($AB65:$AF65,Log_Putaran!$L$12:$P$12))</f>
        <v/>
      </c>
      <c r="AZ65" s="48" t="str">
        <f>IF(OR(NOT($AQ65),Log_Putaran!$C$13=""),"",$AR65*SUMPRODUCT($AB65:$AF65,Log_Putaran!$L$13:$P$13))</f>
        <v/>
      </c>
      <c r="BA65" s="48" t="str">
        <f>IF(OR(NOT($AQ65),Log_Putaran!$C$14=""),"",$AR65*SUMPRODUCT($AB65:$AF65,Log_Putaran!$L$14:$P$14))</f>
        <v/>
      </c>
      <c r="BB65" s="48" t="str">
        <f>IF(OR(NOT($AQ65),Log_Putaran!$C$15=""),"",$AR65*SUMPRODUCT($AB65:$AF65,Log_Putaran!$L$15:$P$15))</f>
        <v/>
      </c>
      <c r="BC65" s="48" t="str">
        <f>IF(OR(NOT($AQ65),Log_Putaran!$C$16=""),"",$BB65*SUMPRODUCT($AG65:$AK65,Log_Putaran!$L$16:$P$16))</f>
        <v/>
      </c>
      <c r="BD65" s="48" t="str">
        <f>IF(OR(NOT($AQ65),Log_Putaran!$C$17=""),"",$BB65*SUMPRODUCT($AG65:$AK65,Log_Putaran!$L$17:$P$17))</f>
        <v/>
      </c>
      <c r="BE65" s="48" t="str">
        <f>IF(OR(NOT($AQ65),Log_Putaran!$C$18=""),"",$BB65*SUMPRODUCT($AG65:$AK65,Log_Putaran!$L$18:$P$18))</f>
        <v/>
      </c>
      <c r="BF65" s="48" t="str">
        <f>IF(OR(NOT($AQ65),Log_Putaran!$C$19=""),"",$BB65*SUMPRODUCT($AG65:$AK65,Log_Putaran!$L$19:$P$19))</f>
        <v/>
      </c>
      <c r="BG65" s="48" t="str">
        <f>IF(OR(NOT($AQ65),Log_Putaran!$C$20=""),"",$BB65*SUMPRODUCT($AG65:$AK65,Log_Putaran!$L$20:$P$20))</f>
        <v/>
      </c>
      <c r="BH65" s="48" t="str">
        <f>IF(OR(NOT($AQ65),Log_Putaran!$C$21=""),"",$BB65*SUMPRODUCT($AG65:$AK65,Log_Putaran!$L$21:$P$21))</f>
        <v/>
      </c>
      <c r="BI65" s="48" t="str">
        <f>IF(OR(NOT($AQ65),Log_Putaran!$C$22=""),"",$BB65*SUMPRODUCT($AG65:$AK65,Log_Putaran!$L$22:$P$22))</f>
        <v/>
      </c>
      <c r="BJ65" s="48" t="str">
        <f>IF(OR(NOT($AQ65),Log_Putaran!$C$23=""),"",$BB65*SUMPRODUCT($AG65:$AK65,Log_Putaran!$L$23:$P$23))</f>
        <v/>
      </c>
      <c r="BK65" s="48" t="str">
        <f>IF(OR(NOT($AQ65),Log_Putaran!$C$24=""),"",$BB65*SUMPRODUCT($AG65:$AK65,Log_Putaran!$L$24:$P$24))</f>
        <v/>
      </c>
      <c r="BL65" s="48" t="str">
        <f>IF(OR(NOT($AQ65),Log_Putaran!$C$25=""),"",$BB65*SUMPRODUCT($AG65:$AK65,Log_Putaran!$L$25:$P$25))</f>
        <v/>
      </c>
      <c r="BM65" s="48" t="str">
        <f>IF(OR(NOT($AQ65),Log_Putaran!$C$26=""),"",$BL65*SUMPRODUCT($AL65:$AP65,Log_Putaran!$L$26:$P$26))</f>
        <v/>
      </c>
      <c r="BN65" s="48" t="str">
        <f>IF(OR(NOT($AQ65),Log_Putaran!$C$27=""),"",$BL65*SUMPRODUCT($AL65:$AP65,Log_Putaran!$L$27:$P$27))</f>
        <v/>
      </c>
      <c r="BO65" s="48" t="str">
        <f>IF(OR(NOT($AQ65),Log_Putaran!$C$28=""),"",$BL65*SUMPRODUCT($AL65:$AP65,Log_Putaran!$L$28:$P$28))</f>
        <v/>
      </c>
      <c r="BP65" s="48" t="str">
        <f>IF(OR(NOT($AQ65),Log_Putaran!$C$29=""),"",$BL65*SUMPRODUCT($AL65:$AP65,Log_Putaran!$L$29:$P$29))</f>
        <v/>
      </c>
      <c r="BQ65" s="48" t="str">
        <f>IF(OR(NOT($AQ65),Log_Putaran!$C$30=""),"",$BL65*SUMPRODUCT($AL65:$AP65,Log_Putaran!$L$30:$P$30))</f>
        <v/>
      </c>
      <c r="BR65" s="48" t="str">
        <f>IF(OR(NOT($AQ65),Log_Putaran!$C$31=""),"",$BL65*SUMPRODUCT($AL65:$AP65,Log_Putaran!$L$31:$P$31))</f>
        <v/>
      </c>
      <c r="BS65" s="48" t="str">
        <f>IF(OR(NOT($AQ65),Log_Putaran!$C$32=""),"",$BL65*SUMPRODUCT($AL65:$AP65,Log_Putaran!$L$32:$P$32))</f>
        <v/>
      </c>
      <c r="BT65" s="48" t="str">
        <f>IF(OR(NOT($AQ65),Log_Putaran!$C$33=""),"",$BL65*SUMPRODUCT($AL65:$AP65,Log_Putaran!$L$33:$P$33))</f>
        <v/>
      </c>
      <c r="BU65" s="48" t="str">
        <f>IF(OR(NOT($AQ65),Log_Putaran!$C$34=""),"",$BL65*SUMPRODUCT($AL65:$AP65,Log_Putaran!$L$34:$P$34))</f>
        <v/>
      </c>
      <c r="BV65" s="48" t="str">
        <f>IF(OR(NOT($AQ65),Log_Putaran!$C$35=""),"",$BL65*SUMPRODUCT($AL65:$AP65,Log_Putaran!$L$35:$P$35))</f>
        <v/>
      </c>
      <c r="BW65" s="48" t="str">
        <f t="shared" si="55"/>
        <v/>
      </c>
      <c r="BX65" s="48" t="str">
        <f t="shared" si="56"/>
        <v/>
      </c>
      <c r="BY65" s="38" t="str">
        <f t="shared" si="57"/>
        <v/>
      </c>
      <c r="BZ65" s="49" t="str">
        <f>IF($AQ65,MAX(_DD!$B65:$AE65),"")</f>
        <v/>
      </c>
      <c r="CA65" s="36">
        <f t="shared" si="58"/>
        <v>-9.9999999999999997E+98</v>
      </c>
      <c r="CB65" s="36" t="str">
        <f t="shared" si="59"/>
        <v/>
      </c>
      <c r="CC65" s="36">
        <f t="shared" si="60"/>
        <v>-9.9999999999999997E+98</v>
      </c>
      <c r="CD65" s="36" t="str">
        <f t="shared" si="61"/>
        <v/>
      </c>
      <c r="CE65" s="36" t="str">
        <f t="shared" si="62"/>
        <v/>
      </c>
      <c r="CF65" s="36">
        <f t="shared" si="63"/>
        <v>-9.9999999999999997E+98</v>
      </c>
    </row>
  </sheetData>
  <conditionalFormatting sqref="K6:K65">
    <cfRule type="expression" dxfId="5" priority="2">
      <formula>AND(K6&lt;&gt;"OK",K6&lt;&gt;"Belum isi")</formula>
    </cfRule>
    <cfRule type="expression" dxfId="4" priority="3">
      <formula>K6="OK"</formula>
    </cfRule>
  </conditionalFormatting>
  <conditionalFormatting sqref="S6:S65">
    <cfRule type="expression" dxfId="3" priority="4">
      <formula>AND(S6&lt;&gt;"OK",S6&lt;&gt;"Belum isi")</formula>
    </cfRule>
    <cfRule type="expression" dxfId="2" priority="5">
      <formula>S6="OK"</formula>
    </cfRule>
  </conditionalFormatting>
  <conditionalFormatting sqref="AA6:AA65">
    <cfRule type="expression" dxfId="1" priority="6">
      <formula>AND(AA6&lt;&gt;"OK",AA6&lt;&gt;"Belum isi")</formula>
    </cfRule>
    <cfRule type="expression" dxfId="0" priority="7">
      <formula>AA6="OK"</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J31"/>
  <sheetViews>
    <sheetView showGridLines="0" zoomScaleNormal="100" workbookViewId="0">
      <selection activeCell="C1" sqref="C1:M1048576"/>
    </sheetView>
  </sheetViews>
  <sheetFormatPr defaultColWidth="8.7109375" defaultRowHeight="14.45"/>
  <cols>
    <col min="1" max="1" width="2" customWidth="1"/>
    <col min="2" max="2" width="20" customWidth="1"/>
    <col min="3" max="13" width="13" customWidth="1"/>
    <col min="14" max="39" width="9" customWidth="1"/>
  </cols>
  <sheetData>
    <row r="2" spans="1:36" ht="21">
      <c r="B2" s="12" t="s">
        <v>682</v>
      </c>
    </row>
    <row r="3" spans="1:36">
      <c r="B3" s="15" t="s">
        <v>683</v>
      </c>
      <c r="C3" s="43" t="s">
        <v>684</v>
      </c>
    </row>
    <row r="5" spans="1:36" ht="52.9">
      <c r="A5" s="22" t="s">
        <v>685</v>
      </c>
      <c r="B5" s="22" t="s">
        <v>522</v>
      </c>
      <c r="C5" s="22" t="s">
        <v>642</v>
      </c>
      <c r="D5" s="22" t="s">
        <v>643</v>
      </c>
      <c r="E5" s="22" t="s">
        <v>644</v>
      </c>
      <c r="F5" s="22" t="s">
        <v>645</v>
      </c>
      <c r="G5" s="22" t="s">
        <v>646</v>
      </c>
      <c r="H5" s="22" t="s">
        <v>647</v>
      </c>
      <c r="I5" s="22" t="s">
        <v>648</v>
      </c>
      <c r="J5" s="22" t="s">
        <v>649</v>
      </c>
      <c r="K5" s="22" t="s">
        <v>650</v>
      </c>
      <c r="L5" s="22" t="s">
        <v>651</v>
      </c>
      <c r="M5" s="22" t="s">
        <v>652</v>
      </c>
      <c r="N5" s="22" t="s">
        <v>653</v>
      </c>
      <c r="O5" s="22" t="s">
        <v>654</v>
      </c>
      <c r="P5" s="22" t="s">
        <v>655</v>
      </c>
      <c r="Q5" s="22" t="s">
        <v>656</v>
      </c>
      <c r="R5" s="22" t="s">
        <v>657</v>
      </c>
      <c r="S5" s="22" t="s">
        <v>658</v>
      </c>
      <c r="T5" s="22" t="s">
        <v>659</v>
      </c>
      <c r="U5" s="22" t="s">
        <v>660</v>
      </c>
      <c r="V5" s="22" t="s">
        <v>661</v>
      </c>
      <c r="W5" s="22" t="s">
        <v>662</v>
      </c>
      <c r="X5" s="22" t="s">
        <v>663</v>
      </c>
      <c r="Y5" s="22" t="s">
        <v>664</v>
      </c>
      <c r="Z5" s="22" t="s">
        <v>665</v>
      </c>
      <c r="AA5" s="22" t="s">
        <v>666</v>
      </c>
      <c r="AB5" s="22" t="s">
        <v>667</v>
      </c>
      <c r="AC5" s="22" t="s">
        <v>668</v>
      </c>
      <c r="AD5" s="22" t="s">
        <v>669</v>
      </c>
      <c r="AE5" s="22" t="s">
        <v>670</v>
      </c>
      <c r="AF5" s="22" t="s">
        <v>671</v>
      </c>
      <c r="AG5" s="22" t="s">
        <v>672</v>
      </c>
      <c r="AH5" s="50" t="s">
        <v>686</v>
      </c>
      <c r="AI5" s="50" t="s">
        <v>687</v>
      </c>
      <c r="AJ5" s="50" t="s">
        <v>688</v>
      </c>
    </row>
    <row r="6" spans="1:36">
      <c r="A6">
        <v>1</v>
      </c>
      <c r="B6" t="str">
        <f>IF(AI6="","",INDEX(Perhitungan!$B$6:$B$65,AI6))</f>
        <v/>
      </c>
      <c r="C6" s="51">
        <f>IF($AI6="",NA(),IF(INDEX(Perhitungan!$AR$6:$AR$65,$AI6)="",NA(),INDEX(Perhitungan!$AR$6:$AR$65,$AI6)))</f>
        <v>100000000</v>
      </c>
      <c r="D6" s="51">
        <f>IF($AI6="",NA(),IF(INDEX(Perhitungan!$AS$6:$AS$65,$AI6)="",NA(),INDEX(Perhitungan!$AS$6:$AS$65,$AI6)))</f>
        <v>100604999.99999999</v>
      </c>
      <c r="E6" s="51">
        <f>IF($AI6="",NA(),IF(INDEX(Perhitungan!$AT$6:$AT$65,$AI6)="",NA(),INDEX(Perhitungan!$AT$6:$AT$65,$AI6)))</f>
        <v>101052942.49999999</v>
      </c>
      <c r="F6" s="51" t="e">
        <f>IF($AI6="",NA(),IF(INDEX(Perhitungan!$AU$6:$AU$65,$AI6)="",NA(),INDEX(Perhitungan!$AU$6:$AU$65,$AI6)))</f>
        <v>#N/A</v>
      </c>
      <c r="G6" s="51" t="e">
        <f>IF($AI6="",NA(),IF(INDEX(Perhitungan!$AV$6:$AV$65,$AI6)="",NA(),INDEX(Perhitungan!$AV$6:$AV$65,$AI6)))</f>
        <v>#N/A</v>
      </c>
      <c r="H6" s="51" t="e">
        <f>IF($AI6="",NA(),IF(INDEX(Perhitungan!$AW$6:$AW$65,$AI6)="",NA(),INDEX(Perhitungan!$AW$6:$AW$65,$AI6)))</f>
        <v>#N/A</v>
      </c>
      <c r="I6" s="51" t="e">
        <f>IF($AI6="",NA(),IF(INDEX(Perhitungan!$AX$6:$AX$65,$AI6)="",NA(),INDEX(Perhitungan!$AX$6:$AX$65,$AI6)))</f>
        <v>#N/A</v>
      </c>
      <c r="J6" s="51" t="e">
        <f>IF($AI6="",NA(),IF(INDEX(Perhitungan!$AY$6:$AY$65,$AI6)="",NA(),INDEX(Perhitungan!$AY$6:$AY$65,$AI6)))</f>
        <v>#N/A</v>
      </c>
      <c r="K6" s="51" t="e">
        <f>IF($AI6="",NA(),IF(INDEX(Perhitungan!$AZ$6:$AZ$65,$AI6)="",NA(),INDEX(Perhitungan!$AZ$6:$AZ$65,$AI6)))</f>
        <v>#N/A</v>
      </c>
      <c r="L6" s="51" t="e">
        <f>IF($AI6="",NA(),IF(INDEX(Perhitungan!$BA$6:$BA$65,$AI6)="",NA(),INDEX(Perhitungan!$BA$6:$BA$65,$AI6)))</f>
        <v>#N/A</v>
      </c>
      <c r="M6" s="51" t="e">
        <f>IF($AI6="",NA(),IF(INDEX(Perhitungan!$BB$6:$BB$65,$AI6)="",NA(),INDEX(Perhitungan!$BB$6:$BB$65,$AI6)))</f>
        <v>#N/A</v>
      </c>
      <c r="N6" s="51" t="e">
        <f>IF($AI6="",NA(),IF(INDEX(Perhitungan!$BC$6:$BC$65,$AI6)="",NA(),INDEX(Perhitungan!$BC$6:$BC$65,$AI6)))</f>
        <v>#N/A</v>
      </c>
      <c r="O6" s="51" t="e">
        <f>IF($AI6="",NA(),IF(INDEX(Perhitungan!$BD$6:$BD$65,$AI6)="",NA(),INDEX(Perhitungan!$BD$6:$BD$65,$AI6)))</f>
        <v>#N/A</v>
      </c>
      <c r="P6" s="51" t="e">
        <f>IF($AI6="",NA(),IF(INDEX(Perhitungan!$BE$6:$BE$65,$AI6)="",NA(),INDEX(Perhitungan!$BE$6:$BE$65,$AI6)))</f>
        <v>#N/A</v>
      </c>
      <c r="Q6" s="51" t="e">
        <f>IF($AI6="",NA(),IF(INDEX(Perhitungan!$BF$6:$BF$65,$AI6)="",NA(),INDEX(Perhitungan!$BF$6:$BF$65,$AI6)))</f>
        <v>#N/A</v>
      </c>
      <c r="R6" s="51" t="e">
        <f>IF($AI6="",NA(),IF(INDEX(Perhitungan!$BG$6:$BG$65,$AI6)="",NA(),INDEX(Perhitungan!$BG$6:$BG$65,$AI6)))</f>
        <v>#N/A</v>
      </c>
      <c r="S6" s="51" t="e">
        <f>IF($AI6="",NA(),IF(INDEX(Perhitungan!$BH$6:$BH$65,$AI6)="",NA(),INDEX(Perhitungan!$BH$6:$BH$65,$AI6)))</f>
        <v>#N/A</v>
      </c>
      <c r="T6" s="51" t="e">
        <f>IF($AI6="",NA(),IF(INDEX(Perhitungan!$BI$6:$BI$65,$AI6)="",NA(),INDEX(Perhitungan!$BI$6:$BI$65,$AI6)))</f>
        <v>#N/A</v>
      </c>
      <c r="U6" s="51" t="e">
        <f>IF($AI6="",NA(),IF(INDEX(Perhitungan!$BJ$6:$BJ$65,$AI6)="",NA(),INDEX(Perhitungan!$BJ$6:$BJ$65,$AI6)))</f>
        <v>#N/A</v>
      </c>
      <c r="V6" s="51" t="e">
        <f>IF($AI6="",NA(),IF(INDEX(Perhitungan!$BK$6:$BK$65,$AI6)="",NA(),INDEX(Perhitungan!$BK$6:$BK$65,$AI6)))</f>
        <v>#N/A</v>
      </c>
      <c r="W6" s="51" t="e">
        <f>IF($AI6="",NA(),IF(INDEX(Perhitungan!$BL$6:$BL$65,$AI6)="",NA(),INDEX(Perhitungan!$BL$6:$BL$65,$AI6)))</f>
        <v>#N/A</v>
      </c>
      <c r="X6" s="51" t="e">
        <f>IF($AI6="",NA(),IF(INDEX(Perhitungan!$BM$6:$BM$65,$AI6)="",NA(),INDEX(Perhitungan!$BM$6:$BM$65,$AI6)))</f>
        <v>#N/A</v>
      </c>
      <c r="Y6" s="51" t="e">
        <f>IF($AI6="",NA(),IF(INDEX(Perhitungan!$BN$6:$BN$65,$AI6)="",NA(),INDEX(Perhitungan!$BN$6:$BN$65,$AI6)))</f>
        <v>#N/A</v>
      </c>
      <c r="Z6" s="51" t="e">
        <f>IF($AI6="",NA(),IF(INDEX(Perhitungan!$BO$6:$BO$65,$AI6)="",NA(),INDEX(Perhitungan!$BO$6:$BO$65,$AI6)))</f>
        <v>#N/A</v>
      </c>
      <c r="AA6" s="51" t="e">
        <f>IF($AI6="",NA(),IF(INDEX(Perhitungan!$BP$6:$BP$65,$AI6)="",NA(),INDEX(Perhitungan!$BP$6:$BP$65,$AI6)))</f>
        <v>#N/A</v>
      </c>
      <c r="AB6" s="51" t="e">
        <f>IF($AI6="",NA(),IF(INDEX(Perhitungan!$BQ$6:$BQ$65,$AI6)="",NA(),INDEX(Perhitungan!$BQ$6:$BQ$65,$AI6)))</f>
        <v>#N/A</v>
      </c>
      <c r="AC6" s="51" t="e">
        <f>IF($AI6="",NA(),IF(INDEX(Perhitungan!$BR$6:$BR$65,$AI6)="",NA(),INDEX(Perhitungan!$BR$6:$BR$65,$AI6)))</f>
        <v>#N/A</v>
      </c>
      <c r="AD6" s="51" t="e">
        <f>IF($AI6="",NA(),IF(INDEX(Perhitungan!$BS$6:$BS$65,$AI6)="",NA(),INDEX(Perhitungan!$BS$6:$BS$65,$AI6)))</f>
        <v>#N/A</v>
      </c>
      <c r="AE6" s="51" t="e">
        <f>IF($AI6="",NA(),IF(INDEX(Perhitungan!$BT$6:$BT$65,$AI6)="",NA(),INDEX(Perhitungan!$BT$6:$BT$65,$AI6)))</f>
        <v>#N/A</v>
      </c>
      <c r="AF6" s="51" t="e">
        <f>IF($AI6="",NA(),IF(INDEX(Perhitungan!$BU$6:$BU$65,$AI6)="",NA(),INDEX(Perhitungan!$BU$6:$BU$65,$AI6)))</f>
        <v>#N/A</v>
      </c>
      <c r="AG6" s="51" t="e">
        <f>IF($AI6="",NA(),IF(INDEX(Perhitungan!$BV$6:$BV$65,$AI6)="",NA(),INDEX(Perhitungan!$BV$6:$BV$65,$AI6)))</f>
        <v>#N/A</v>
      </c>
      <c r="AH6">
        <f>LARGE(Perhitungan!$CA$6:$CA$65,A6)</f>
        <v>101052942.49939999</v>
      </c>
      <c r="AI6">
        <f>IF(AH6&lt;-1E+98,"",MATCH(AH6,Perhitungan!$CA$6:$CA$65,0))</f>
        <v>1</v>
      </c>
    </row>
    <row r="7" spans="1:36">
      <c r="A7">
        <v>2</v>
      </c>
      <c r="B7" t="str">
        <f>IF(AI7="","",INDEX(Perhitungan!$B$6:$B$65,AI7))</f>
        <v>pandu</v>
      </c>
      <c r="C7" s="51">
        <f>IF($AI7="",NA(),IF(INDEX(Perhitungan!$AR$6:$AR$65,$AI7)="",NA(),INDEX(Perhitungan!$AR$6:$AR$65,$AI7)))</f>
        <v>100000000</v>
      </c>
      <c r="D7" s="51">
        <f>IF($AI7="",NA(),IF(INDEX(Perhitungan!$AS$6:$AS$65,$AI7)="",NA(),INDEX(Perhitungan!$AS$6:$AS$65,$AI7)))</f>
        <v>100000000</v>
      </c>
      <c r="E7" s="51">
        <f>IF($AI7="",NA(),IF(INDEX(Perhitungan!$AT$6:$AT$65,$AI7)="",NA(),INDEX(Perhitungan!$AT$6:$AT$65,$AI7)))</f>
        <v>99748175</v>
      </c>
      <c r="F7" s="51" t="e">
        <f>IF($AI7="",NA(),IF(INDEX(Perhitungan!$AU$6:$AU$65,$AI7)="",NA(),INDEX(Perhitungan!$AU$6:$AU$65,$AI7)))</f>
        <v>#N/A</v>
      </c>
      <c r="G7" s="51" t="e">
        <f>IF($AI7="",NA(),IF(INDEX(Perhitungan!$AV$6:$AV$65,$AI7)="",NA(),INDEX(Perhitungan!$AV$6:$AV$65,$AI7)))</f>
        <v>#N/A</v>
      </c>
      <c r="H7" s="51" t="e">
        <f>IF($AI7="",NA(),IF(INDEX(Perhitungan!$AW$6:$AW$65,$AI7)="",NA(),INDEX(Perhitungan!$AW$6:$AW$65,$AI7)))</f>
        <v>#N/A</v>
      </c>
      <c r="I7" s="51" t="e">
        <f>IF($AI7="",NA(),IF(INDEX(Perhitungan!$AX$6:$AX$65,$AI7)="",NA(),INDEX(Perhitungan!$AX$6:$AX$65,$AI7)))</f>
        <v>#N/A</v>
      </c>
      <c r="J7" s="51" t="e">
        <f>IF($AI7="",NA(),IF(INDEX(Perhitungan!$AY$6:$AY$65,$AI7)="",NA(),INDEX(Perhitungan!$AY$6:$AY$65,$AI7)))</f>
        <v>#N/A</v>
      </c>
      <c r="K7" s="51" t="e">
        <f>IF($AI7="",NA(),IF(INDEX(Perhitungan!$AZ$6:$AZ$65,$AI7)="",NA(),INDEX(Perhitungan!$AZ$6:$AZ$65,$AI7)))</f>
        <v>#N/A</v>
      </c>
      <c r="L7" s="51" t="e">
        <f>IF($AI7="",NA(),IF(INDEX(Perhitungan!$BA$6:$BA$65,$AI7)="",NA(),INDEX(Perhitungan!$BA$6:$BA$65,$AI7)))</f>
        <v>#N/A</v>
      </c>
      <c r="M7" s="51" t="e">
        <f>IF($AI7="",NA(),IF(INDEX(Perhitungan!$BB$6:$BB$65,$AI7)="",NA(),INDEX(Perhitungan!$BB$6:$BB$65,$AI7)))</f>
        <v>#N/A</v>
      </c>
      <c r="N7" s="51" t="e">
        <f>IF($AI7="",NA(),IF(INDEX(Perhitungan!$BC$6:$BC$65,$AI7)="",NA(),INDEX(Perhitungan!$BC$6:$BC$65,$AI7)))</f>
        <v>#N/A</v>
      </c>
      <c r="O7" s="51" t="e">
        <f>IF($AI7="",NA(),IF(INDEX(Perhitungan!$BD$6:$BD$65,$AI7)="",NA(),INDEX(Perhitungan!$BD$6:$BD$65,$AI7)))</f>
        <v>#N/A</v>
      </c>
      <c r="P7" s="51" t="e">
        <f>IF($AI7="",NA(),IF(INDEX(Perhitungan!$BE$6:$BE$65,$AI7)="",NA(),INDEX(Perhitungan!$BE$6:$BE$65,$AI7)))</f>
        <v>#N/A</v>
      </c>
      <c r="Q7" s="51" t="e">
        <f>IF($AI7="",NA(),IF(INDEX(Perhitungan!$BF$6:$BF$65,$AI7)="",NA(),INDEX(Perhitungan!$BF$6:$BF$65,$AI7)))</f>
        <v>#N/A</v>
      </c>
      <c r="R7" s="51" t="e">
        <f>IF($AI7="",NA(),IF(INDEX(Perhitungan!$BG$6:$BG$65,$AI7)="",NA(),INDEX(Perhitungan!$BG$6:$BG$65,$AI7)))</f>
        <v>#N/A</v>
      </c>
      <c r="S7" s="51" t="e">
        <f>IF($AI7="",NA(),IF(INDEX(Perhitungan!$BH$6:$BH$65,$AI7)="",NA(),INDEX(Perhitungan!$BH$6:$BH$65,$AI7)))</f>
        <v>#N/A</v>
      </c>
      <c r="T7" s="51" t="e">
        <f>IF($AI7="",NA(),IF(INDEX(Perhitungan!$BI$6:$BI$65,$AI7)="",NA(),INDEX(Perhitungan!$BI$6:$BI$65,$AI7)))</f>
        <v>#N/A</v>
      </c>
      <c r="U7" s="51" t="e">
        <f>IF($AI7="",NA(),IF(INDEX(Perhitungan!$BJ$6:$BJ$65,$AI7)="",NA(),INDEX(Perhitungan!$BJ$6:$BJ$65,$AI7)))</f>
        <v>#N/A</v>
      </c>
      <c r="V7" s="51" t="e">
        <f>IF($AI7="",NA(),IF(INDEX(Perhitungan!$BK$6:$BK$65,$AI7)="",NA(),INDEX(Perhitungan!$BK$6:$BK$65,$AI7)))</f>
        <v>#N/A</v>
      </c>
      <c r="W7" s="51" t="e">
        <f>IF($AI7="",NA(),IF(INDEX(Perhitungan!$BL$6:$BL$65,$AI7)="",NA(),INDEX(Perhitungan!$BL$6:$BL$65,$AI7)))</f>
        <v>#N/A</v>
      </c>
      <c r="X7" s="51" t="e">
        <f>IF($AI7="",NA(),IF(INDEX(Perhitungan!$BM$6:$BM$65,$AI7)="",NA(),INDEX(Perhitungan!$BM$6:$BM$65,$AI7)))</f>
        <v>#N/A</v>
      </c>
      <c r="Y7" s="51" t="e">
        <f>IF($AI7="",NA(),IF(INDEX(Perhitungan!$BN$6:$BN$65,$AI7)="",NA(),INDEX(Perhitungan!$BN$6:$BN$65,$AI7)))</f>
        <v>#N/A</v>
      </c>
      <c r="Z7" s="51" t="e">
        <f>IF($AI7="",NA(),IF(INDEX(Perhitungan!$BO$6:$BO$65,$AI7)="",NA(),INDEX(Perhitungan!$BO$6:$BO$65,$AI7)))</f>
        <v>#N/A</v>
      </c>
      <c r="AA7" s="51" t="e">
        <f>IF($AI7="",NA(),IF(INDEX(Perhitungan!$BP$6:$BP$65,$AI7)="",NA(),INDEX(Perhitungan!$BP$6:$BP$65,$AI7)))</f>
        <v>#N/A</v>
      </c>
      <c r="AB7" s="51" t="e">
        <f>IF($AI7="",NA(),IF(INDEX(Perhitungan!$BQ$6:$BQ$65,$AI7)="",NA(),INDEX(Perhitungan!$BQ$6:$BQ$65,$AI7)))</f>
        <v>#N/A</v>
      </c>
      <c r="AC7" s="51" t="e">
        <f>IF($AI7="",NA(),IF(INDEX(Perhitungan!$BR$6:$BR$65,$AI7)="",NA(),INDEX(Perhitungan!$BR$6:$BR$65,$AI7)))</f>
        <v>#N/A</v>
      </c>
      <c r="AD7" s="51" t="e">
        <f>IF($AI7="",NA(),IF(INDEX(Perhitungan!$BS$6:$BS$65,$AI7)="",NA(),INDEX(Perhitungan!$BS$6:$BS$65,$AI7)))</f>
        <v>#N/A</v>
      </c>
      <c r="AE7" s="51" t="e">
        <f>IF($AI7="",NA(),IF(INDEX(Perhitungan!$BT$6:$BT$65,$AI7)="",NA(),INDEX(Perhitungan!$BT$6:$BT$65,$AI7)))</f>
        <v>#N/A</v>
      </c>
      <c r="AF7" s="51" t="e">
        <f>IF($AI7="",NA(),IF(INDEX(Perhitungan!$BU$6:$BU$65,$AI7)="",NA(),INDEX(Perhitungan!$BU$6:$BU$65,$AI7)))</f>
        <v>#N/A</v>
      </c>
      <c r="AG7" s="51" t="e">
        <f>IF($AI7="",NA(),IF(INDEX(Perhitungan!$BV$6:$BV$65,$AI7)="",NA(),INDEX(Perhitungan!$BV$6:$BV$65,$AI7)))</f>
        <v>#N/A</v>
      </c>
      <c r="AH7">
        <f>LARGE(Perhitungan!$CA$6:$CA$65,A7)</f>
        <v>99748174.999300003</v>
      </c>
      <c r="AI7">
        <f>IF(AH7&lt;-1E+98,"",MATCH(AH7,Perhitungan!$CA$6:$CA$65,0))</f>
        <v>2</v>
      </c>
    </row>
    <row r="8" spans="1:36">
      <c r="A8">
        <v>3</v>
      </c>
      <c r="B8" t="str">
        <f>IF(AI8="","",INDEX(Perhitungan!$B$6:$B$65,AI8))</f>
        <v/>
      </c>
      <c r="C8" s="51" t="e">
        <f>IF($AI8="",NA(),IF(INDEX(Perhitungan!$AR$6:$AR$65,$AI8)="",NA(),INDEX(Perhitungan!$AR$6:$AR$65,$AI8)))</f>
        <v>#N/A</v>
      </c>
      <c r="D8" s="51" t="e">
        <f>IF($AI8="",NA(),IF(INDEX(Perhitungan!$AS$6:$AS$65,$AI8)="",NA(),INDEX(Perhitungan!$AS$6:$AS$65,$AI8)))</f>
        <v>#N/A</v>
      </c>
      <c r="E8" s="51" t="e">
        <f>IF($AI8="",NA(),IF(INDEX(Perhitungan!$AT$6:$AT$65,$AI8)="",NA(),INDEX(Perhitungan!$AT$6:$AT$65,$AI8)))</f>
        <v>#N/A</v>
      </c>
      <c r="F8" s="51" t="e">
        <f>IF($AI8="",NA(),IF(INDEX(Perhitungan!$AU$6:$AU$65,$AI8)="",NA(),INDEX(Perhitungan!$AU$6:$AU$65,$AI8)))</f>
        <v>#N/A</v>
      </c>
      <c r="G8" s="51" t="e">
        <f>IF($AI8="",NA(),IF(INDEX(Perhitungan!$AV$6:$AV$65,$AI8)="",NA(),INDEX(Perhitungan!$AV$6:$AV$65,$AI8)))</f>
        <v>#N/A</v>
      </c>
      <c r="H8" s="51" t="e">
        <f>IF($AI8="",NA(),IF(INDEX(Perhitungan!$AW$6:$AW$65,$AI8)="",NA(),INDEX(Perhitungan!$AW$6:$AW$65,$AI8)))</f>
        <v>#N/A</v>
      </c>
      <c r="I8" s="51" t="e">
        <f>IF($AI8="",NA(),IF(INDEX(Perhitungan!$AX$6:$AX$65,$AI8)="",NA(),INDEX(Perhitungan!$AX$6:$AX$65,$AI8)))</f>
        <v>#N/A</v>
      </c>
      <c r="J8" s="51" t="e">
        <f>IF($AI8="",NA(),IF(INDEX(Perhitungan!$AY$6:$AY$65,$AI8)="",NA(),INDEX(Perhitungan!$AY$6:$AY$65,$AI8)))</f>
        <v>#N/A</v>
      </c>
      <c r="K8" s="51" t="e">
        <f>IF($AI8="",NA(),IF(INDEX(Perhitungan!$AZ$6:$AZ$65,$AI8)="",NA(),INDEX(Perhitungan!$AZ$6:$AZ$65,$AI8)))</f>
        <v>#N/A</v>
      </c>
      <c r="L8" s="51" t="e">
        <f>IF($AI8="",NA(),IF(INDEX(Perhitungan!$BA$6:$BA$65,$AI8)="",NA(),INDEX(Perhitungan!$BA$6:$BA$65,$AI8)))</f>
        <v>#N/A</v>
      </c>
      <c r="M8" s="51" t="e">
        <f>IF($AI8="",NA(),IF(INDEX(Perhitungan!$BB$6:$BB$65,$AI8)="",NA(),INDEX(Perhitungan!$BB$6:$BB$65,$AI8)))</f>
        <v>#N/A</v>
      </c>
      <c r="N8" s="51" t="e">
        <f>IF($AI8="",NA(),IF(INDEX(Perhitungan!$BC$6:$BC$65,$AI8)="",NA(),INDEX(Perhitungan!$BC$6:$BC$65,$AI8)))</f>
        <v>#N/A</v>
      </c>
      <c r="O8" s="51" t="e">
        <f>IF($AI8="",NA(),IF(INDEX(Perhitungan!$BD$6:$BD$65,$AI8)="",NA(),INDEX(Perhitungan!$BD$6:$BD$65,$AI8)))</f>
        <v>#N/A</v>
      </c>
      <c r="P8" s="51" t="e">
        <f>IF($AI8="",NA(),IF(INDEX(Perhitungan!$BE$6:$BE$65,$AI8)="",NA(),INDEX(Perhitungan!$BE$6:$BE$65,$AI8)))</f>
        <v>#N/A</v>
      </c>
      <c r="Q8" s="51" t="e">
        <f>IF($AI8="",NA(),IF(INDEX(Perhitungan!$BF$6:$BF$65,$AI8)="",NA(),INDEX(Perhitungan!$BF$6:$BF$65,$AI8)))</f>
        <v>#N/A</v>
      </c>
      <c r="R8" s="51" t="e">
        <f>IF($AI8="",NA(),IF(INDEX(Perhitungan!$BG$6:$BG$65,$AI8)="",NA(),INDEX(Perhitungan!$BG$6:$BG$65,$AI8)))</f>
        <v>#N/A</v>
      </c>
      <c r="S8" s="51" t="e">
        <f>IF($AI8="",NA(),IF(INDEX(Perhitungan!$BH$6:$BH$65,$AI8)="",NA(),INDEX(Perhitungan!$BH$6:$BH$65,$AI8)))</f>
        <v>#N/A</v>
      </c>
      <c r="T8" s="51" t="e">
        <f>IF($AI8="",NA(),IF(INDEX(Perhitungan!$BI$6:$BI$65,$AI8)="",NA(),INDEX(Perhitungan!$BI$6:$BI$65,$AI8)))</f>
        <v>#N/A</v>
      </c>
      <c r="U8" s="51" t="e">
        <f>IF($AI8="",NA(),IF(INDEX(Perhitungan!$BJ$6:$BJ$65,$AI8)="",NA(),INDEX(Perhitungan!$BJ$6:$BJ$65,$AI8)))</f>
        <v>#N/A</v>
      </c>
      <c r="V8" s="51" t="e">
        <f>IF($AI8="",NA(),IF(INDEX(Perhitungan!$BK$6:$BK$65,$AI8)="",NA(),INDEX(Perhitungan!$BK$6:$BK$65,$AI8)))</f>
        <v>#N/A</v>
      </c>
      <c r="W8" s="51" t="e">
        <f>IF($AI8="",NA(),IF(INDEX(Perhitungan!$BL$6:$BL$65,$AI8)="",NA(),INDEX(Perhitungan!$BL$6:$BL$65,$AI8)))</f>
        <v>#N/A</v>
      </c>
      <c r="X8" s="51" t="e">
        <f>IF($AI8="",NA(),IF(INDEX(Perhitungan!$BM$6:$BM$65,$AI8)="",NA(),INDEX(Perhitungan!$BM$6:$BM$65,$AI8)))</f>
        <v>#N/A</v>
      </c>
      <c r="Y8" s="51" t="e">
        <f>IF($AI8="",NA(),IF(INDEX(Perhitungan!$BN$6:$BN$65,$AI8)="",NA(),INDEX(Perhitungan!$BN$6:$BN$65,$AI8)))</f>
        <v>#N/A</v>
      </c>
      <c r="Z8" s="51" t="e">
        <f>IF($AI8="",NA(),IF(INDEX(Perhitungan!$BO$6:$BO$65,$AI8)="",NA(),INDEX(Perhitungan!$BO$6:$BO$65,$AI8)))</f>
        <v>#N/A</v>
      </c>
      <c r="AA8" s="51" t="e">
        <f>IF($AI8="",NA(),IF(INDEX(Perhitungan!$BP$6:$BP$65,$AI8)="",NA(),INDEX(Perhitungan!$BP$6:$BP$65,$AI8)))</f>
        <v>#N/A</v>
      </c>
      <c r="AB8" s="51" t="e">
        <f>IF($AI8="",NA(),IF(INDEX(Perhitungan!$BQ$6:$BQ$65,$AI8)="",NA(),INDEX(Perhitungan!$BQ$6:$BQ$65,$AI8)))</f>
        <v>#N/A</v>
      </c>
      <c r="AC8" s="51" t="e">
        <f>IF($AI8="",NA(),IF(INDEX(Perhitungan!$BR$6:$BR$65,$AI8)="",NA(),INDEX(Perhitungan!$BR$6:$BR$65,$AI8)))</f>
        <v>#N/A</v>
      </c>
      <c r="AD8" s="51" t="e">
        <f>IF($AI8="",NA(),IF(INDEX(Perhitungan!$BS$6:$BS$65,$AI8)="",NA(),INDEX(Perhitungan!$BS$6:$BS$65,$AI8)))</f>
        <v>#N/A</v>
      </c>
      <c r="AE8" s="51" t="e">
        <f>IF($AI8="",NA(),IF(INDEX(Perhitungan!$BT$6:$BT$65,$AI8)="",NA(),INDEX(Perhitungan!$BT$6:$BT$65,$AI8)))</f>
        <v>#N/A</v>
      </c>
      <c r="AF8" s="51" t="e">
        <f>IF($AI8="",NA(),IF(INDEX(Perhitungan!$BU$6:$BU$65,$AI8)="",NA(),INDEX(Perhitungan!$BU$6:$BU$65,$AI8)))</f>
        <v>#N/A</v>
      </c>
      <c r="AG8" s="51" t="e">
        <f>IF($AI8="",NA(),IF(INDEX(Perhitungan!$BV$6:$BV$65,$AI8)="",NA(),INDEX(Perhitungan!$BV$6:$BV$65,$AI8)))</f>
        <v>#N/A</v>
      </c>
      <c r="AH8">
        <f>LARGE(Perhitungan!$CA$6:$CA$65,A8)</f>
        <v>-9.9999999999999997E+98</v>
      </c>
      <c r="AI8" t="str">
        <f>IF(AH8&lt;-1E+98,"",MATCH(AH8,Perhitungan!$CA$6:$CA$65,0))</f>
        <v/>
      </c>
    </row>
    <row r="9" spans="1:36">
      <c r="A9">
        <v>4</v>
      </c>
      <c r="B9" t="str">
        <f>IF(AI9="","",INDEX(Perhitungan!$B$6:$B$65,AI9))</f>
        <v/>
      </c>
      <c r="C9" s="51" t="e">
        <f>IF($AI9="",NA(),IF(INDEX(Perhitungan!$AR$6:$AR$65,$AI9)="",NA(),INDEX(Perhitungan!$AR$6:$AR$65,$AI9)))</f>
        <v>#N/A</v>
      </c>
      <c r="D9" s="51" t="e">
        <f>IF($AI9="",NA(),IF(INDEX(Perhitungan!$AS$6:$AS$65,$AI9)="",NA(),INDEX(Perhitungan!$AS$6:$AS$65,$AI9)))</f>
        <v>#N/A</v>
      </c>
      <c r="E9" s="51" t="e">
        <f>IF($AI9="",NA(),IF(INDEX(Perhitungan!$AT$6:$AT$65,$AI9)="",NA(),INDEX(Perhitungan!$AT$6:$AT$65,$AI9)))</f>
        <v>#N/A</v>
      </c>
      <c r="F9" s="51" t="e">
        <f>IF($AI9="",NA(),IF(INDEX(Perhitungan!$AU$6:$AU$65,$AI9)="",NA(),INDEX(Perhitungan!$AU$6:$AU$65,$AI9)))</f>
        <v>#N/A</v>
      </c>
      <c r="G9" s="51" t="e">
        <f>IF($AI9="",NA(),IF(INDEX(Perhitungan!$AV$6:$AV$65,$AI9)="",NA(),INDEX(Perhitungan!$AV$6:$AV$65,$AI9)))</f>
        <v>#N/A</v>
      </c>
      <c r="H9" s="51" t="e">
        <f>IF($AI9="",NA(),IF(INDEX(Perhitungan!$AW$6:$AW$65,$AI9)="",NA(),INDEX(Perhitungan!$AW$6:$AW$65,$AI9)))</f>
        <v>#N/A</v>
      </c>
      <c r="I9" s="51" t="e">
        <f>IF($AI9="",NA(),IF(INDEX(Perhitungan!$AX$6:$AX$65,$AI9)="",NA(),INDEX(Perhitungan!$AX$6:$AX$65,$AI9)))</f>
        <v>#N/A</v>
      </c>
      <c r="J9" s="51" t="e">
        <f>IF($AI9="",NA(),IF(INDEX(Perhitungan!$AY$6:$AY$65,$AI9)="",NA(),INDEX(Perhitungan!$AY$6:$AY$65,$AI9)))</f>
        <v>#N/A</v>
      </c>
      <c r="K9" s="51" t="e">
        <f>IF($AI9="",NA(),IF(INDEX(Perhitungan!$AZ$6:$AZ$65,$AI9)="",NA(),INDEX(Perhitungan!$AZ$6:$AZ$65,$AI9)))</f>
        <v>#N/A</v>
      </c>
      <c r="L9" s="51" t="e">
        <f>IF($AI9="",NA(),IF(INDEX(Perhitungan!$BA$6:$BA$65,$AI9)="",NA(),INDEX(Perhitungan!$BA$6:$BA$65,$AI9)))</f>
        <v>#N/A</v>
      </c>
      <c r="M9" s="51" t="e">
        <f>IF($AI9="",NA(),IF(INDEX(Perhitungan!$BB$6:$BB$65,$AI9)="",NA(),INDEX(Perhitungan!$BB$6:$BB$65,$AI9)))</f>
        <v>#N/A</v>
      </c>
      <c r="N9" s="51" t="e">
        <f>IF($AI9="",NA(),IF(INDEX(Perhitungan!$BC$6:$BC$65,$AI9)="",NA(),INDEX(Perhitungan!$BC$6:$BC$65,$AI9)))</f>
        <v>#N/A</v>
      </c>
      <c r="O9" s="51" t="e">
        <f>IF($AI9="",NA(),IF(INDEX(Perhitungan!$BD$6:$BD$65,$AI9)="",NA(),INDEX(Perhitungan!$BD$6:$BD$65,$AI9)))</f>
        <v>#N/A</v>
      </c>
      <c r="P9" s="51" t="e">
        <f>IF($AI9="",NA(),IF(INDEX(Perhitungan!$BE$6:$BE$65,$AI9)="",NA(),INDEX(Perhitungan!$BE$6:$BE$65,$AI9)))</f>
        <v>#N/A</v>
      </c>
      <c r="Q9" s="51" t="e">
        <f>IF($AI9="",NA(),IF(INDEX(Perhitungan!$BF$6:$BF$65,$AI9)="",NA(),INDEX(Perhitungan!$BF$6:$BF$65,$AI9)))</f>
        <v>#N/A</v>
      </c>
      <c r="R9" s="51" t="e">
        <f>IF($AI9="",NA(),IF(INDEX(Perhitungan!$BG$6:$BG$65,$AI9)="",NA(),INDEX(Perhitungan!$BG$6:$BG$65,$AI9)))</f>
        <v>#N/A</v>
      </c>
      <c r="S9" s="51" t="e">
        <f>IF($AI9="",NA(),IF(INDEX(Perhitungan!$BH$6:$BH$65,$AI9)="",NA(),INDEX(Perhitungan!$BH$6:$BH$65,$AI9)))</f>
        <v>#N/A</v>
      </c>
      <c r="T9" s="51" t="e">
        <f>IF($AI9="",NA(),IF(INDEX(Perhitungan!$BI$6:$BI$65,$AI9)="",NA(),INDEX(Perhitungan!$BI$6:$BI$65,$AI9)))</f>
        <v>#N/A</v>
      </c>
      <c r="U9" s="51" t="e">
        <f>IF($AI9="",NA(),IF(INDEX(Perhitungan!$BJ$6:$BJ$65,$AI9)="",NA(),INDEX(Perhitungan!$BJ$6:$BJ$65,$AI9)))</f>
        <v>#N/A</v>
      </c>
      <c r="V9" s="51" t="e">
        <f>IF($AI9="",NA(),IF(INDEX(Perhitungan!$BK$6:$BK$65,$AI9)="",NA(),INDEX(Perhitungan!$BK$6:$BK$65,$AI9)))</f>
        <v>#N/A</v>
      </c>
      <c r="W9" s="51" t="e">
        <f>IF($AI9="",NA(),IF(INDEX(Perhitungan!$BL$6:$BL$65,$AI9)="",NA(),INDEX(Perhitungan!$BL$6:$BL$65,$AI9)))</f>
        <v>#N/A</v>
      </c>
      <c r="X9" s="51" t="e">
        <f>IF($AI9="",NA(),IF(INDEX(Perhitungan!$BM$6:$BM$65,$AI9)="",NA(),INDEX(Perhitungan!$BM$6:$BM$65,$AI9)))</f>
        <v>#N/A</v>
      </c>
      <c r="Y9" s="51" t="e">
        <f>IF($AI9="",NA(),IF(INDEX(Perhitungan!$BN$6:$BN$65,$AI9)="",NA(),INDEX(Perhitungan!$BN$6:$BN$65,$AI9)))</f>
        <v>#N/A</v>
      </c>
      <c r="Z9" s="51" t="e">
        <f>IF($AI9="",NA(),IF(INDEX(Perhitungan!$BO$6:$BO$65,$AI9)="",NA(),INDEX(Perhitungan!$BO$6:$BO$65,$AI9)))</f>
        <v>#N/A</v>
      </c>
      <c r="AA9" s="51" t="e">
        <f>IF($AI9="",NA(),IF(INDEX(Perhitungan!$BP$6:$BP$65,$AI9)="",NA(),INDEX(Perhitungan!$BP$6:$BP$65,$AI9)))</f>
        <v>#N/A</v>
      </c>
      <c r="AB9" s="51" t="e">
        <f>IF($AI9="",NA(),IF(INDEX(Perhitungan!$BQ$6:$BQ$65,$AI9)="",NA(),INDEX(Perhitungan!$BQ$6:$BQ$65,$AI9)))</f>
        <v>#N/A</v>
      </c>
      <c r="AC9" s="51" t="e">
        <f>IF($AI9="",NA(),IF(INDEX(Perhitungan!$BR$6:$BR$65,$AI9)="",NA(),INDEX(Perhitungan!$BR$6:$BR$65,$AI9)))</f>
        <v>#N/A</v>
      </c>
      <c r="AD9" s="51" t="e">
        <f>IF($AI9="",NA(),IF(INDEX(Perhitungan!$BS$6:$BS$65,$AI9)="",NA(),INDEX(Perhitungan!$BS$6:$BS$65,$AI9)))</f>
        <v>#N/A</v>
      </c>
      <c r="AE9" s="51" t="e">
        <f>IF($AI9="",NA(),IF(INDEX(Perhitungan!$BT$6:$BT$65,$AI9)="",NA(),INDEX(Perhitungan!$BT$6:$BT$65,$AI9)))</f>
        <v>#N/A</v>
      </c>
      <c r="AF9" s="51" t="e">
        <f>IF($AI9="",NA(),IF(INDEX(Perhitungan!$BU$6:$BU$65,$AI9)="",NA(),INDEX(Perhitungan!$BU$6:$BU$65,$AI9)))</f>
        <v>#N/A</v>
      </c>
      <c r="AG9" s="51" t="e">
        <f>IF($AI9="",NA(),IF(INDEX(Perhitungan!$BV$6:$BV$65,$AI9)="",NA(),INDEX(Perhitungan!$BV$6:$BV$65,$AI9)))</f>
        <v>#N/A</v>
      </c>
      <c r="AH9">
        <f>LARGE(Perhitungan!$CA$6:$CA$65,A9)</f>
        <v>-9.9999999999999997E+98</v>
      </c>
      <c r="AI9" t="str">
        <f>IF(AH9&lt;-1E+98,"",MATCH(AH9,Perhitungan!$CA$6:$CA$65,0))</f>
        <v/>
      </c>
    </row>
    <row r="10" spans="1:36">
      <c r="A10">
        <v>5</v>
      </c>
      <c r="B10" t="str">
        <f>IF(AI10="","",INDEX(Perhitungan!$B$6:$B$65,AI10))</f>
        <v/>
      </c>
      <c r="C10" s="51" t="e">
        <f>IF($AI10="",NA(),IF(INDEX(Perhitungan!$AR$6:$AR$65,$AI10)="",NA(),INDEX(Perhitungan!$AR$6:$AR$65,$AI10)))</f>
        <v>#N/A</v>
      </c>
      <c r="D10" s="51" t="e">
        <f>IF($AI10="",NA(),IF(INDEX(Perhitungan!$AS$6:$AS$65,$AI10)="",NA(),INDEX(Perhitungan!$AS$6:$AS$65,$AI10)))</f>
        <v>#N/A</v>
      </c>
      <c r="E10" s="51" t="e">
        <f>IF($AI10="",NA(),IF(INDEX(Perhitungan!$AT$6:$AT$65,$AI10)="",NA(),INDEX(Perhitungan!$AT$6:$AT$65,$AI10)))</f>
        <v>#N/A</v>
      </c>
      <c r="F10" s="51" t="e">
        <f>IF($AI10="",NA(),IF(INDEX(Perhitungan!$AU$6:$AU$65,$AI10)="",NA(),INDEX(Perhitungan!$AU$6:$AU$65,$AI10)))</f>
        <v>#N/A</v>
      </c>
      <c r="G10" s="51" t="e">
        <f>IF($AI10="",NA(),IF(INDEX(Perhitungan!$AV$6:$AV$65,$AI10)="",NA(),INDEX(Perhitungan!$AV$6:$AV$65,$AI10)))</f>
        <v>#N/A</v>
      </c>
      <c r="H10" s="51" t="e">
        <f>IF($AI10="",NA(),IF(INDEX(Perhitungan!$AW$6:$AW$65,$AI10)="",NA(),INDEX(Perhitungan!$AW$6:$AW$65,$AI10)))</f>
        <v>#N/A</v>
      </c>
      <c r="I10" s="51" t="e">
        <f>IF($AI10="",NA(),IF(INDEX(Perhitungan!$AX$6:$AX$65,$AI10)="",NA(),INDEX(Perhitungan!$AX$6:$AX$65,$AI10)))</f>
        <v>#N/A</v>
      </c>
      <c r="J10" s="51" t="e">
        <f>IF($AI10="",NA(),IF(INDEX(Perhitungan!$AY$6:$AY$65,$AI10)="",NA(),INDEX(Perhitungan!$AY$6:$AY$65,$AI10)))</f>
        <v>#N/A</v>
      </c>
      <c r="K10" s="51" t="e">
        <f>IF($AI10="",NA(),IF(INDEX(Perhitungan!$AZ$6:$AZ$65,$AI10)="",NA(),INDEX(Perhitungan!$AZ$6:$AZ$65,$AI10)))</f>
        <v>#N/A</v>
      </c>
      <c r="L10" s="51" t="e">
        <f>IF($AI10="",NA(),IF(INDEX(Perhitungan!$BA$6:$BA$65,$AI10)="",NA(),INDEX(Perhitungan!$BA$6:$BA$65,$AI10)))</f>
        <v>#N/A</v>
      </c>
      <c r="M10" s="51" t="e">
        <f>IF($AI10="",NA(),IF(INDEX(Perhitungan!$BB$6:$BB$65,$AI10)="",NA(),INDEX(Perhitungan!$BB$6:$BB$65,$AI10)))</f>
        <v>#N/A</v>
      </c>
      <c r="N10" s="51" t="e">
        <f>IF($AI10="",NA(),IF(INDEX(Perhitungan!$BC$6:$BC$65,$AI10)="",NA(),INDEX(Perhitungan!$BC$6:$BC$65,$AI10)))</f>
        <v>#N/A</v>
      </c>
      <c r="O10" s="51" t="e">
        <f>IF($AI10="",NA(),IF(INDEX(Perhitungan!$BD$6:$BD$65,$AI10)="",NA(),INDEX(Perhitungan!$BD$6:$BD$65,$AI10)))</f>
        <v>#N/A</v>
      </c>
      <c r="P10" s="51" t="e">
        <f>IF($AI10="",NA(),IF(INDEX(Perhitungan!$BE$6:$BE$65,$AI10)="",NA(),INDEX(Perhitungan!$BE$6:$BE$65,$AI10)))</f>
        <v>#N/A</v>
      </c>
      <c r="Q10" s="51" t="e">
        <f>IF($AI10="",NA(),IF(INDEX(Perhitungan!$BF$6:$BF$65,$AI10)="",NA(),INDEX(Perhitungan!$BF$6:$BF$65,$AI10)))</f>
        <v>#N/A</v>
      </c>
      <c r="R10" s="51" t="e">
        <f>IF($AI10="",NA(),IF(INDEX(Perhitungan!$BG$6:$BG$65,$AI10)="",NA(),INDEX(Perhitungan!$BG$6:$BG$65,$AI10)))</f>
        <v>#N/A</v>
      </c>
      <c r="S10" s="51" t="e">
        <f>IF($AI10="",NA(),IF(INDEX(Perhitungan!$BH$6:$BH$65,$AI10)="",NA(),INDEX(Perhitungan!$BH$6:$BH$65,$AI10)))</f>
        <v>#N/A</v>
      </c>
      <c r="T10" s="51" t="e">
        <f>IF($AI10="",NA(),IF(INDEX(Perhitungan!$BI$6:$BI$65,$AI10)="",NA(),INDEX(Perhitungan!$BI$6:$BI$65,$AI10)))</f>
        <v>#N/A</v>
      </c>
      <c r="U10" s="51" t="e">
        <f>IF($AI10="",NA(),IF(INDEX(Perhitungan!$BJ$6:$BJ$65,$AI10)="",NA(),INDEX(Perhitungan!$BJ$6:$BJ$65,$AI10)))</f>
        <v>#N/A</v>
      </c>
      <c r="V10" s="51" t="e">
        <f>IF($AI10="",NA(),IF(INDEX(Perhitungan!$BK$6:$BK$65,$AI10)="",NA(),INDEX(Perhitungan!$BK$6:$BK$65,$AI10)))</f>
        <v>#N/A</v>
      </c>
      <c r="W10" s="51" t="e">
        <f>IF($AI10="",NA(),IF(INDEX(Perhitungan!$BL$6:$BL$65,$AI10)="",NA(),INDEX(Perhitungan!$BL$6:$BL$65,$AI10)))</f>
        <v>#N/A</v>
      </c>
      <c r="X10" s="51" t="e">
        <f>IF($AI10="",NA(),IF(INDEX(Perhitungan!$BM$6:$BM$65,$AI10)="",NA(),INDEX(Perhitungan!$BM$6:$BM$65,$AI10)))</f>
        <v>#N/A</v>
      </c>
      <c r="Y10" s="51" t="e">
        <f>IF($AI10="",NA(),IF(INDEX(Perhitungan!$BN$6:$BN$65,$AI10)="",NA(),INDEX(Perhitungan!$BN$6:$BN$65,$AI10)))</f>
        <v>#N/A</v>
      </c>
      <c r="Z10" s="51" t="e">
        <f>IF($AI10="",NA(),IF(INDEX(Perhitungan!$BO$6:$BO$65,$AI10)="",NA(),INDEX(Perhitungan!$BO$6:$BO$65,$AI10)))</f>
        <v>#N/A</v>
      </c>
      <c r="AA10" s="51" t="e">
        <f>IF($AI10="",NA(),IF(INDEX(Perhitungan!$BP$6:$BP$65,$AI10)="",NA(),INDEX(Perhitungan!$BP$6:$BP$65,$AI10)))</f>
        <v>#N/A</v>
      </c>
      <c r="AB10" s="51" t="e">
        <f>IF($AI10="",NA(),IF(INDEX(Perhitungan!$BQ$6:$BQ$65,$AI10)="",NA(),INDEX(Perhitungan!$BQ$6:$BQ$65,$AI10)))</f>
        <v>#N/A</v>
      </c>
      <c r="AC10" s="51" t="e">
        <f>IF($AI10="",NA(),IF(INDEX(Perhitungan!$BR$6:$BR$65,$AI10)="",NA(),INDEX(Perhitungan!$BR$6:$BR$65,$AI10)))</f>
        <v>#N/A</v>
      </c>
      <c r="AD10" s="51" t="e">
        <f>IF($AI10="",NA(),IF(INDEX(Perhitungan!$BS$6:$BS$65,$AI10)="",NA(),INDEX(Perhitungan!$BS$6:$BS$65,$AI10)))</f>
        <v>#N/A</v>
      </c>
      <c r="AE10" s="51" t="e">
        <f>IF($AI10="",NA(),IF(INDEX(Perhitungan!$BT$6:$BT$65,$AI10)="",NA(),INDEX(Perhitungan!$BT$6:$BT$65,$AI10)))</f>
        <v>#N/A</v>
      </c>
      <c r="AF10" s="51" t="e">
        <f>IF($AI10="",NA(),IF(INDEX(Perhitungan!$BU$6:$BU$65,$AI10)="",NA(),INDEX(Perhitungan!$BU$6:$BU$65,$AI10)))</f>
        <v>#N/A</v>
      </c>
      <c r="AG10" s="51" t="e">
        <f>IF($AI10="",NA(),IF(INDEX(Perhitungan!$BV$6:$BV$65,$AI10)="",NA(),INDEX(Perhitungan!$BV$6:$BV$65,$AI10)))</f>
        <v>#N/A</v>
      </c>
      <c r="AH10">
        <f>LARGE(Perhitungan!$CA$6:$CA$65,A10)</f>
        <v>-9.9999999999999997E+98</v>
      </c>
      <c r="AI10" t="str">
        <f>IF(AH10&lt;-1E+98,"",MATCH(AH10,Perhitungan!$CA$6:$CA$65,0))</f>
        <v/>
      </c>
    </row>
    <row r="11" spans="1:36">
      <c r="A11">
        <v>6</v>
      </c>
      <c r="B11" t="str">
        <f>IF(AI11="","",INDEX(Perhitungan!$B$6:$B$65,AI11))</f>
        <v/>
      </c>
      <c r="C11" s="51" t="e">
        <f>IF($AI11="",NA(),IF(INDEX(Perhitungan!$AR$6:$AR$65,$AI11)="",NA(),INDEX(Perhitungan!$AR$6:$AR$65,$AI11)))</f>
        <v>#N/A</v>
      </c>
      <c r="D11" s="51" t="e">
        <f>IF($AI11="",NA(),IF(INDEX(Perhitungan!$AS$6:$AS$65,$AI11)="",NA(),INDEX(Perhitungan!$AS$6:$AS$65,$AI11)))</f>
        <v>#N/A</v>
      </c>
      <c r="E11" s="51" t="e">
        <f>IF($AI11="",NA(),IF(INDEX(Perhitungan!$AT$6:$AT$65,$AI11)="",NA(),INDEX(Perhitungan!$AT$6:$AT$65,$AI11)))</f>
        <v>#N/A</v>
      </c>
      <c r="F11" s="51" t="e">
        <f>IF($AI11="",NA(),IF(INDEX(Perhitungan!$AU$6:$AU$65,$AI11)="",NA(),INDEX(Perhitungan!$AU$6:$AU$65,$AI11)))</f>
        <v>#N/A</v>
      </c>
      <c r="G11" s="51" t="e">
        <f>IF($AI11="",NA(),IF(INDEX(Perhitungan!$AV$6:$AV$65,$AI11)="",NA(),INDEX(Perhitungan!$AV$6:$AV$65,$AI11)))</f>
        <v>#N/A</v>
      </c>
      <c r="H11" s="51" t="e">
        <f>IF($AI11="",NA(),IF(INDEX(Perhitungan!$AW$6:$AW$65,$AI11)="",NA(),INDEX(Perhitungan!$AW$6:$AW$65,$AI11)))</f>
        <v>#N/A</v>
      </c>
      <c r="I11" s="51" t="e">
        <f>IF($AI11="",NA(),IF(INDEX(Perhitungan!$AX$6:$AX$65,$AI11)="",NA(),INDEX(Perhitungan!$AX$6:$AX$65,$AI11)))</f>
        <v>#N/A</v>
      </c>
      <c r="J11" s="51" t="e">
        <f>IF($AI11="",NA(),IF(INDEX(Perhitungan!$AY$6:$AY$65,$AI11)="",NA(),INDEX(Perhitungan!$AY$6:$AY$65,$AI11)))</f>
        <v>#N/A</v>
      </c>
      <c r="K11" s="51" t="e">
        <f>IF($AI11="",NA(),IF(INDEX(Perhitungan!$AZ$6:$AZ$65,$AI11)="",NA(),INDEX(Perhitungan!$AZ$6:$AZ$65,$AI11)))</f>
        <v>#N/A</v>
      </c>
      <c r="L11" s="51" t="e">
        <f>IF($AI11="",NA(),IF(INDEX(Perhitungan!$BA$6:$BA$65,$AI11)="",NA(),INDEX(Perhitungan!$BA$6:$BA$65,$AI11)))</f>
        <v>#N/A</v>
      </c>
      <c r="M11" s="51" t="e">
        <f>IF($AI11="",NA(),IF(INDEX(Perhitungan!$BB$6:$BB$65,$AI11)="",NA(),INDEX(Perhitungan!$BB$6:$BB$65,$AI11)))</f>
        <v>#N/A</v>
      </c>
      <c r="N11" s="51" t="e">
        <f>IF($AI11="",NA(),IF(INDEX(Perhitungan!$BC$6:$BC$65,$AI11)="",NA(),INDEX(Perhitungan!$BC$6:$BC$65,$AI11)))</f>
        <v>#N/A</v>
      </c>
      <c r="O11" s="51" t="e">
        <f>IF($AI11="",NA(),IF(INDEX(Perhitungan!$BD$6:$BD$65,$AI11)="",NA(),INDEX(Perhitungan!$BD$6:$BD$65,$AI11)))</f>
        <v>#N/A</v>
      </c>
      <c r="P11" s="51" t="e">
        <f>IF($AI11="",NA(),IF(INDEX(Perhitungan!$BE$6:$BE$65,$AI11)="",NA(),INDEX(Perhitungan!$BE$6:$BE$65,$AI11)))</f>
        <v>#N/A</v>
      </c>
      <c r="Q11" s="51" t="e">
        <f>IF($AI11="",NA(),IF(INDEX(Perhitungan!$BF$6:$BF$65,$AI11)="",NA(),INDEX(Perhitungan!$BF$6:$BF$65,$AI11)))</f>
        <v>#N/A</v>
      </c>
      <c r="R11" s="51" t="e">
        <f>IF($AI11="",NA(),IF(INDEX(Perhitungan!$BG$6:$BG$65,$AI11)="",NA(),INDEX(Perhitungan!$BG$6:$BG$65,$AI11)))</f>
        <v>#N/A</v>
      </c>
      <c r="S11" s="51" t="e">
        <f>IF($AI11="",NA(),IF(INDEX(Perhitungan!$BH$6:$BH$65,$AI11)="",NA(),INDEX(Perhitungan!$BH$6:$BH$65,$AI11)))</f>
        <v>#N/A</v>
      </c>
      <c r="T11" s="51" t="e">
        <f>IF($AI11="",NA(),IF(INDEX(Perhitungan!$BI$6:$BI$65,$AI11)="",NA(),INDEX(Perhitungan!$BI$6:$BI$65,$AI11)))</f>
        <v>#N/A</v>
      </c>
      <c r="U11" s="51" t="e">
        <f>IF($AI11="",NA(),IF(INDEX(Perhitungan!$BJ$6:$BJ$65,$AI11)="",NA(),INDEX(Perhitungan!$BJ$6:$BJ$65,$AI11)))</f>
        <v>#N/A</v>
      </c>
      <c r="V11" s="51" t="e">
        <f>IF($AI11="",NA(),IF(INDEX(Perhitungan!$BK$6:$BK$65,$AI11)="",NA(),INDEX(Perhitungan!$BK$6:$BK$65,$AI11)))</f>
        <v>#N/A</v>
      </c>
      <c r="W11" s="51" t="e">
        <f>IF($AI11="",NA(),IF(INDEX(Perhitungan!$BL$6:$BL$65,$AI11)="",NA(),INDEX(Perhitungan!$BL$6:$BL$65,$AI11)))</f>
        <v>#N/A</v>
      </c>
      <c r="X11" s="51" t="e">
        <f>IF($AI11="",NA(),IF(INDEX(Perhitungan!$BM$6:$BM$65,$AI11)="",NA(),INDEX(Perhitungan!$BM$6:$BM$65,$AI11)))</f>
        <v>#N/A</v>
      </c>
      <c r="Y11" s="51" t="e">
        <f>IF($AI11="",NA(),IF(INDEX(Perhitungan!$BN$6:$BN$65,$AI11)="",NA(),INDEX(Perhitungan!$BN$6:$BN$65,$AI11)))</f>
        <v>#N/A</v>
      </c>
      <c r="Z11" s="51" t="e">
        <f>IF($AI11="",NA(),IF(INDEX(Perhitungan!$BO$6:$BO$65,$AI11)="",NA(),INDEX(Perhitungan!$BO$6:$BO$65,$AI11)))</f>
        <v>#N/A</v>
      </c>
      <c r="AA11" s="51" t="e">
        <f>IF($AI11="",NA(),IF(INDEX(Perhitungan!$BP$6:$BP$65,$AI11)="",NA(),INDEX(Perhitungan!$BP$6:$BP$65,$AI11)))</f>
        <v>#N/A</v>
      </c>
      <c r="AB11" s="51" t="e">
        <f>IF($AI11="",NA(),IF(INDEX(Perhitungan!$BQ$6:$BQ$65,$AI11)="",NA(),INDEX(Perhitungan!$BQ$6:$BQ$65,$AI11)))</f>
        <v>#N/A</v>
      </c>
      <c r="AC11" s="51" t="e">
        <f>IF($AI11="",NA(),IF(INDEX(Perhitungan!$BR$6:$BR$65,$AI11)="",NA(),INDEX(Perhitungan!$BR$6:$BR$65,$AI11)))</f>
        <v>#N/A</v>
      </c>
      <c r="AD11" s="51" t="e">
        <f>IF($AI11="",NA(),IF(INDEX(Perhitungan!$BS$6:$BS$65,$AI11)="",NA(),INDEX(Perhitungan!$BS$6:$BS$65,$AI11)))</f>
        <v>#N/A</v>
      </c>
      <c r="AE11" s="51" t="e">
        <f>IF($AI11="",NA(),IF(INDEX(Perhitungan!$BT$6:$BT$65,$AI11)="",NA(),INDEX(Perhitungan!$BT$6:$BT$65,$AI11)))</f>
        <v>#N/A</v>
      </c>
      <c r="AF11" s="51" t="e">
        <f>IF($AI11="",NA(),IF(INDEX(Perhitungan!$BU$6:$BU$65,$AI11)="",NA(),INDEX(Perhitungan!$BU$6:$BU$65,$AI11)))</f>
        <v>#N/A</v>
      </c>
      <c r="AG11" s="51" t="e">
        <f>IF($AI11="",NA(),IF(INDEX(Perhitungan!$BV$6:$BV$65,$AI11)="",NA(),INDEX(Perhitungan!$BV$6:$BV$65,$AI11)))</f>
        <v>#N/A</v>
      </c>
      <c r="AH11">
        <f>LARGE(Perhitungan!$CA$6:$CA$65,A11)</f>
        <v>-9.9999999999999997E+98</v>
      </c>
      <c r="AI11" t="str">
        <f>IF(AH11&lt;-1E+98,"",MATCH(AH11,Perhitungan!$CA$6:$CA$65,0))</f>
        <v/>
      </c>
    </row>
    <row r="12" spans="1:36">
      <c r="A12">
        <v>7</v>
      </c>
      <c r="B12" t="str">
        <f>IF(AI12="","",INDEX(Perhitungan!$B$6:$B$65,AI12))</f>
        <v/>
      </c>
      <c r="C12" s="51" t="e">
        <f>IF($AI12="",NA(),IF(INDEX(Perhitungan!$AR$6:$AR$65,$AI12)="",NA(),INDEX(Perhitungan!$AR$6:$AR$65,$AI12)))</f>
        <v>#N/A</v>
      </c>
      <c r="D12" s="51" t="e">
        <f>IF($AI12="",NA(),IF(INDEX(Perhitungan!$AS$6:$AS$65,$AI12)="",NA(),INDEX(Perhitungan!$AS$6:$AS$65,$AI12)))</f>
        <v>#N/A</v>
      </c>
      <c r="E12" s="51" t="e">
        <f>IF($AI12="",NA(),IF(INDEX(Perhitungan!$AT$6:$AT$65,$AI12)="",NA(),INDEX(Perhitungan!$AT$6:$AT$65,$AI12)))</f>
        <v>#N/A</v>
      </c>
      <c r="F12" s="51" t="e">
        <f>IF($AI12="",NA(),IF(INDEX(Perhitungan!$AU$6:$AU$65,$AI12)="",NA(),INDEX(Perhitungan!$AU$6:$AU$65,$AI12)))</f>
        <v>#N/A</v>
      </c>
      <c r="G12" s="51" t="e">
        <f>IF($AI12="",NA(),IF(INDEX(Perhitungan!$AV$6:$AV$65,$AI12)="",NA(),INDEX(Perhitungan!$AV$6:$AV$65,$AI12)))</f>
        <v>#N/A</v>
      </c>
      <c r="H12" s="51" t="e">
        <f>IF($AI12="",NA(),IF(INDEX(Perhitungan!$AW$6:$AW$65,$AI12)="",NA(),INDEX(Perhitungan!$AW$6:$AW$65,$AI12)))</f>
        <v>#N/A</v>
      </c>
      <c r="I12" s="51" t="e">
        <f>IF($AI12="",NA(),IF(INDEX(Perhitungan!$AX$6:$AX$65,$AI12)="",NA(),INDEX(Perhitungan!$AX$6:$AX$65,$AI12)))</f>
        <v>#N/A</v>
      </c>
      <c r="J12" s="51" t="e">
        <f>IF($AI12="",NA(),IF(INDEX(Perhitungan!$AY$6:$AY$65,$AI12)="",NA(),INDEX(Perhitungan!$AY$6:$AY$65,$AI12)))</f>
        <v>#N/A</v>
      </c>
      <c r="K12" s="51" t="e">
        <f>IF($AI12="",NA(),IF(INDEX(Perhitungan!$AZ$6:$AZ$65,$AI12)="",NA(),INDEX(Perhitungan!$AZ$6:$AZ$65,$AI12)))</f>
        <v>#N/A</v>
      </c>
      <c r="L12" s="51" t="e">
        <f>IF($AI12="",NA(),IF(INDEX(Perhitungan!$BA$6:$BA$65,$AI12)="",NA(),INDEX(Perhitungan!$BA$6:$BA$65,$AI12)))</f>
        <v>#N/A</v>
      </c>
      <c r="M12" s="51" t="e">
        <f>IF($AI12="",NA(),IF(INDEX(Perhitungan!$BB$6:$BB$65,$AI12)="",NA(),INDEX(Perhitungan!$BB$6:$BB$65,$AI12)))</f>
        <v>#N/A</v>
      </c>
      <c r="N12" s="51" t="e">
        <f>IF($AI12="",NA(),IF(INDEX(Perhitungan!$BC$6:$BC$65,$AI12)="",NA(),INDEX(Perhitungan!$BC$6:$BC$65,$AI12)))</f>
        <v>#N/A</v>
      </c>
      <c r="O12" s="51" t="e">
        <f>IF($AI12="",NA(),IF(INDEX(Perhitungan!$BD$6:$BD$65,$AI12)="",NA(),INDEX(Perhitungan!$BD$6:$BD$65,$AI12)))</f>
        <v>#N/A</v>
      </c>
      <c r="P12" s="51" t="e">
        <f>IF($AI12="",NA(),IF(INDEX(Perhitungan!$BE$6:$BE$65,$AI12)="",NA(),INDEX(Perhitungan!$BE$6:$BE$65,$AI12)))</f>
        <v>#N/A</v>
      </c>
      <c r="Q12" s="51" t="e">
        <f>IF($AI12="",NA(),IF(INDEX(Perhitungan!$BF$6:$BF$65,$AI12)="",NA(),INDEX(Perhitungan!$BF$6:$BF$65,$AI12)))</f>
        <v>#N/A</v>
      </c>
      <c r="R12" s="51" t="e">
        <f>IF($AI12="",NA(),IF(INDEX(Perhitungan!$BG$6:$BG$65,$AI12)="",NA(),INDEX(Perhitungan!$BG$6:$BG$65,$AI12)))</f>
        <v>#N/A</v>
      </c>
      <c r="S12" s="51" t="e">
        <f>IF($AI12="",NA(),IF(INDEX(Perhitungan!$BH$6:$BH$65,$AI12)="",NA(),INDEX(Perhitungan!$BH$6:$BH$65,$AI12)))</f>
        <v>#N/A</v>
      </c>
      <c r="T12" s="51" t="e">
        <f>IF($AI12="",NA(),IF(INDEX(Perhitungan!$BI$6:$BI$65,$AI12)="",NA(),INDEX(Perhitungan!$BI$6:$BI$65,$AI12)))</f>
        <v>#N/A</v>
      </c>
      <c r="U12" s="51" t="e">
        <f>IF($AI12="",NA(),IF(INDEX(Perhitungan!$BJ$6:$BJ$65,$AI12)="",NA(),INDEX(Perhitungan!$BJ$6:$BJ$65,$AI12)))</f>
        <v>#N/A</v>
      </c>
      <c r="V12" s="51" t="e">
        <f>IF($AI12="",NA(),IF(INDEX(Perhitungan!$BK$6:$BK$65,$AI12)="",NA(),INDEX(Perhitungan!$BK$6:$BK$65,$AI12)))</f>
        <v>#N/A</v>
      </c>
      <c r="W12" s="51" t="e">
        <f>IF($AI12="",NA(),IF(INDEX(Perhitungan!$BL$6:$BL$65,$AI12)="",NA(),INDEX(Perhitungan!$BL$6:$BL$65,$AI12)))</f>
        <v>#N/A</v>
      </c>
      <c r="X12" s="51" t="e">
        <f>IF($AI12="",NA(),IF(INDEX(Perhitungan!$BM$6:$BM$65,$AI12)="",NA(),INDEX(Perhitungan!$BM$6:$BM$65,$AI12)))</f>
        <v>#N/A</v>
      </c>
      <c r="Y12" s="51" t="e">
        <f>IF($AI12="",NA(),IF(INDEX(Perhitungan!$BN$6:$BN$65,$AI12)="",NA(),INDEX(Perhitungan!$BN$6:$BN$65,$AI12)))</f>
        <v>#N/A</v>
      </c>
      <c r="Z12" s="51" t="e">
        <f>IF($AI12="",NA(),IF(INDEX(Perhitungan!$BO$6:$BO$65,$AI12)="",NA(),INDEX(Perhitungan!$BO$6:$BO$65,$AI12)))</f>
        <v>#N/A</v>
      </c>
      <c r="AA12" s="51" t="e">
        <f>IF($AI12="",NA(),IF(INDEX(Perhitungan!$BP$6:$BP$65,$AI12)="",NA(),INDEX(Perhitungan!$BP$6:$BP$65,$AI12)))</f>
        <v>#N/A</v>
      </c>
      <c r="AB12" s="51" t="e">
        <f>IF($AI12="",NA(),IF(INDEX(Perhitungan!$BQ$6:$BQ$65,$AI12)="",NA(),INDEX(Perhitungan!$BQ$6:$BQ$65,$AI12)))</f>
        <v>#N/A</v>
      </c>
      <c r="AC12" s="51" t="e">
        <f>IF($AI12="",NA(),IF(INDEX(Perhitungan!$BR$6:$BR$65,$AI12)="",NA(),INDEX(Perhitungan!$BR$6:$BR$65,$AI12)))</f>
        <v>#N/A</v>
      </c>
      <c r="AD12" s="51" t="e">
        <f>IF($AI12="",NA(),IF(INDEX(Perhitungan!$BS$6:$BS$65,$AI12)="",NA(),INDEX(Perhitungan!$BS$6:$BS$65,$AI12)))</f>
        <v>#N/A</v>
      </c>
      <c r="AE12" s="51" t="e">
        <f>IF($AI12="",NA(),IF(INDEX(Perhitungan!$BT$6:$BT$65,$AI12)="",NA(),INDEX(Perhitungan!$BT$6:$BT$65,$AI12)))</f>
        <v>#N/A</v>
      </c>
      <c r="AF12" s="51" t="e">
        <f>IF($AI12="",NA(),IF(INDEX(Perhitungan!$BU$6:$BU$65,$AI12)="",NA(),INDEX(Perhitungan!$BU$6:$BU$65,$AI12)))</f>
        <v>#N/A</v>
      </c>
      <c r="AG12" s="51" t="e">
        <f>IF($AI12="",NA(),IF(INDEX(Perhitungan!$BV$6:$BV$65,$AI12)="",NA(),INDEX(Perhitungan!$BV$6:$BV$65,$AI12)))</f>
        <v>#N/A</v>
      </c>
      <c r="AH12">
        <f>LARGE(Perhitungan!$CA$6:$CA$65,A12)</f>
        <v>-9.9999999999999997E+98</v>
      </c>
      <c r="AI12" t="str">
        <f>IF(AH12&lt;-1E+98,"",MATCH(AH12,Perhitungan!$CA$6:$CA$65,0))</f>
        <v/>
      </c>
    </row>
    <row r="13" spans="1:36">
      <c r="A13">
        <v>8</v>
      </c>
      <c r="B13" t="str">
        <f>IF(AI13="","",INDEX(Perhitungan!$B$6:$B$65,AI13))</f>
        <v/>
      </c>
      <c r="C13" s="51" t="e">
        <f>IF($AI13="",NA(),IF(INDEX(Perhitungan!$AR$6:$AR$65,$AI13)="",NA(),INDEX(Perhitungan!$AR$6:$AR$65,$AI13)))</f>
        <v>#N/A</v>
      </c>
      <c r="D13" s="51" t="e">
        <f>IF($AI13="",NA(),IF(INDEX(Perhitungan!$AS$6:$AS$65,$AI13)="",NA(),INDEX(Perhitungan!$AS$6:$AS$65,$AI13)))</f>
        <v>#N/A</v>
      </c>
      <c r="E13" s="51" t="e">
        <f>IF($AI13="",NA(),IF(INDEX(Perhitungan!$AT$6:$AT$65,$AI13)="",NA(),INDEX(Perhitungan!$AT$6:$AT$65,$AI13)))</f>
        <v>#N/A</v>
      </c>
      <c r="F13" s="51" t="e">
        <f>IF($AI13="",NA(),IF(INDEX(Perhitungan!$AU$6:$AU$65,$AI13)="",NA(),INDEX(Perhitungan!$AU$6:$AU$65,$AI13)))</f>
        <v>#N/A</v>
      </c>
      <c r="G13" s="51" t="e">
        <f>IF($AI13="",NA(),IF(INDEX(Perhitungan!$AV$6:$AV$65,$AI13)="",NA(),INDEX(Perhitungan!$AV$6:$AV$65,$AI13)))</f>
        <v>#N/A</v>
      </c>
      <c r="H13" s="51" t="e">
        <f>IF($AI13="",NA(),IF(INDEX(Perhitungan!$AW$6:$AW$65,$AI13)="",NA(),INDEX(Perhitungan!$AW$6:$AW$65,$AI13)))</f>
        <v>#N/A</v>
      </c>
      <c r="I13" s="51" t="e">
        <f>IF($AI13="",NA(),IF(INDEX(Perhitungan!$AX$6:$AX$65,$AI13)="",NA(),INDEX(Perhitungan!$AX$6:$AX$65,$AI13)))</f>
        <v>#N/A</v>
      </c>
      <c r="J13" s="51" t="e">
        <f>IF($AI13="",NA(),IF(INDEX(Perhitungan!$AY$6:$AY$65,$AI13)="",NA(),INDEX(Perhitungan!$AY$6:$AY$65,$AI13)))</f>
        <v>#N/A</v>
      </c>
      <c r="K13" s="51" t="e">
        <f>IF($AI13="",NA(),IF(INDEX(Perhitungan!$AZ$6:$AZ$65,$AI13)="",NA(),INDEX(Perhitungan!$AZ$6:$AZ$65,$AI13)))</f>
        <v>#N/A</v>
      </c>
      <c r="L13" s="51" t="e">
        <f>IF($AI13="",NA(),IF(INDEX(Perhitungan!$BA$6:$BA$65,$AI13)="",NA(),INDEX(Perhitungan!$BA$6:$BA$65,$AI13)))</f>
        <v>#N/A</v>
      </c>
      <c r="M13" s="51" t="e">
        <f>IF($AI13="",NA(),IF(INDEX(Perhitungan!$BB$6:$BB$65,$AI13)="",NA(),INDEX(Perhitungan!$BB$6:$BB$65,$AI13)))</f>
        <v>#N/A</v>
      </c>
      <c r="N13" s="51" t="e">
        <f>IF($AI13="",NA(),IF(INDEX(Perhitungan!$BC$6:$BC$65,$AI13)="",NA(),INDEX(Perhitungan!$BC$6:$BC$65,$AI13)))</f>
        <v>#N/A</v>
      </c>
      <c r="O13" s="51" t="e">
        <f>IF($AI13="",NA(),IF(INDEX(Perhitungan!$BD$6:$BD$65,$AI13)="",NA(),INDEX(Perhitungan!$BD$6:$BD$65,$AI13)))</f>
        <v>#N/A</v>
      </c>
      <c r="P13" s="51" t="e">
        <f>IF($AI13="",NA(),IF(INDEX(Perhitungan!$BE$6:$BE$65,$AI13)="",NA(),INDEX(Perhitungan!$BE$6:$BE$65,$AI13)))</f>
        <v>#N/A</v>
      </c>
      <c r="Q13" s="51" t="e">
        <f>IF($AI13="",NA(),IF(INDEX(Perhitungan!$BF$6:$BF$65,$AI13)="",NA(),INDEX(Perhitungan!$BF$6:$BF$65,$AI13)))</f>
        <v>#N/A</v>
      </c>
      <c r="R13" s="51" t="e">
        <f>IF($AI13="",NA(),IF(INDEX(Perhitungan!$BG$6:$BG$65,$AI13)="",NA(),INDEX(Perhitungan!$BG$6:$BG$65,$AI13)))</f>
        <v>#N/A</v>
      </c>
      <c r="S13" s="51" t="e">
        <f>IF($AI13="",NA(),IF(INDEX(Perhitungan!$BH$6:$BH$65,$AI13)="",NA(),INDEX(Perhitungan!$BH$6:$BH$65,$AI13)))</f>
        <v>#N/A</v>
      </c>
      <c r="T13" s="51" t="e">
        <f>IF($AI13="",NA(),IF(INDEX(Perhitungan!$BI$6:$BI$65,$AI13)="",NA(),INDEX(Perhitungan!$BI$6:$BI$65,$AI13)))</f>
        <v>#N/A</v>
      </c>
      <c r="U13" s="51" t="e">
        <f>IF($AI13="",NA(),IF(INDEX(Perhitungan!$BJ$6:$BJ$65,$AI13)="",NA(),INDEX(Perhitungan!$BJ$6:$BJ$65,$AI13)))</f>
        <v>#N/A</v>
      </c>
      <c r="V13" s="51" t="e">
        <f>IF($AI13="",NA(),IF(INDEX(Perhitungan!$BK$6:$BK$65,$AI13)="",NA(),INDEX(Perhitungan!$BK$6:$BK$65,$AI13)))</f>
        <v>#N/A</v>
      </c>
      <c r="W13" s="51" t="e">
        <f>IF($AI13="",NA(),IF(INDEX(Perhitungan!$BL$6:$BL$65,$AI13)="",NA(),INDEX(Perhitungan!$BL$6:$BL$65,$AI13)))</f>
        <v>#N/A</v>
      </c>
      <c r="X13" s="51" t="e">
        <f>IF($AI13="",NA(),IF(INDEX(Perhitungan!$BM$6:$BM$65,$AI13)="",NA(),INDEX(Perhitungan!$BM$6:$BM$65,$AI13)))</f>
        <v>#N/A</v>
      </c>
      <c r="Y13" s="51" t="e">
        <f>IF($AI13="",NA(),IF(INDEX(Perhitungan!$BN$6:$BN$65,$AI13)="",NA(),INDEX(Perhitungan!$BN$6:$BN$65,$AI13)))</f>
        <v>#N/A</v>
      </c>
      <c r="Z13" s="51" t="e">
        <f>IF($AI13="",NA(),IF(INDEX(Perhitungan!$BO$6:$BO$65,$AI13)="",NA(),INDEX(Perhitungan!$BO$6:$BO$65,$AI13)))</f>
        <v>#N/A</v>
      </c>
      <c r="AA13" s="51" t="e">
        <f>IF($AI13="",NA(),IF(INDEX(Perhitungan!$BP$6:$BP$65,$AI13)="",NA(),INDEX(Perhitungan!$BP$6:$BP$65,$AI13)))</f>
        <v>#N/A</v>
      </c>
      <c r="AB13" s="51" t="e">
        <f>IF($AI13="",NA(),IF(INDEX(Perhitungan!$BQ$6:$BQ$65,$AI13)="",NA(),INDEX(Perhitungan!$BQ$6:$BQ$65,$AI13)))</f>
        <v>#N/A</v>
      </c>
      <c r="AC13" s="51" t="e">
        <f>IF($AI13="",NA(),IF(INDEX(Perhitungan!$BR$6:$BR$65,$AI13)="",NA(),INDEX(Perhitungan!$BR$6:$BR$65,$AI13)))</f>
        <v>#N/A</v>
      </c>
      <c r="AD13" s="51" t="e">
        <f>IF($AI13="",NA(),IF(INDEX(Perhitungan!$BS$6:$BS$65,$AI13)="",NA(),INDEX(Perhitungan!$BS$6:$BS$65,$AI13)))</f>
        <v>#N/A</v>
      </c>
      <c r="AE13" s="51" t="e">
        <f>IF($AI13="",NA(),IF(INDEX(Perhitungan!$BT$6:$BT$65,$AI13)="",NA(),INDEX(Perhitungan!$BT$6:$BT$65,$AI13)))</f>
        <v>#N/A</v>
      </c>
      <c r="AF13" s="51" t="e">
        <f>IF($AI13="",NA(),IF(INDEX(Perhitungan!$BU$6:$BU$65,$AI13)="",NA(),INDEX(Perhitungan!$BU$6:$BU$65,$AI13)))</f>
        <v>#N/A</v>
      </c>
      <c r="AG13" s="51" t="e">
        <f>IF($AI13="",NA(),IF(INDEX(Perhitungan!$BV$6:$BV$65,$AI13)="",NA(),INDEX(Perhitungan!$BV$6:$BV$65,$AI13)))</f>
        <v>#N/A</v>
      </c>
      <c r="AH13">
        <f>LARGE(Perhitungan!$CA$6:$CA$65,A13)</f>
        <v>-9.9999999999999997E+98</v>
      </c>
      <c r="AI13" t="str">
        <f>IF(AH13&lt;-1E+98,"",MATCH(AH13,Perhitungan!$CA$6:$CA$65,0))</f>
        <v/>
      </c>
    </row>
    <row r="14" spans="1:36">
      <c r="A14">
        <v>9</v>
      </c>
      <c r="B14" t="str">
        <f>IF(AI14="","",INDEX(Perhitungan!$B$6:$B$65,AI14))</f>
        <v/>
      </c>
      <c r="C14" s="51" t="e">
        <f>IF($AI14="",NA(),IF(INDEX(Perhitungan!$AR$6:$AR$65,$AI14)="",NA(),INDEX(Perhitungan!$AR$6:$AR$65,$AI14)))</f>
        <v>#N/A</v>
      </c>
      <c r="D14" s="51" t="e">
        <f>IF($AI14="",NA(),IF(INDEX(Perhitungan!$AS$6:$AS$65,$AI14)="",NA(),INDEX(Perhitungan!$AS$6:$AS$65,$AI14)))</f>
        <v>#N/A</v>
      </c>
      <c r="E14" s="51" t="e">
        <f>IF($AI14="",NA(),IF(INDEX(Perhitungan!$AT$6:$AT$65,$AI14)="",NA(),INDEX(Perhitungan!$AT$6:$AT$65,$AI14)))</f>
        <v>#N/A</v>
      </c>
      <c r="F14" s="51" t="e">
        <f>IF($AI14="",NA(),IF(INDEX(Perhitungan!$AU$6:$AU$65,$AI14)="",NA(),INDEX(Perhitungan!$AU$6:$AU$65,$AI14)))</f>
        <v>#N/A</v>
      </c>
      <c r="G14" s="51" t="e">
        <f>IF($AI14="",NA(),IF(INDEX(Perhitungan!$AV$6:$AV$65,$AI14)="",NA(),INDEX(Perhitungan!$AV$6:$AV$65,$AI14)))</f>
        <v>#N/A</v>
      </c>
      <c r="H14" s="51" t="e">
        <f>IF($AI14="",NA(),IF(INDEX(Perhitungan!$AW$6:$AW$65,$AI14)="",NA(),INDEX(Perhitungan!$AW$6:$AW$65,$AI14)))</f>
        <v>#N/A</v>
      </c>
      <c r="I14" s="51" t="e">
        <f>IF($AI14="",NA(),IF(INDEX(Perhitungan!$AX$6:$AX$65,$AI14)="",NA(),INDEX(Perhitungan!$AX$6:$AX$65,$AI14)))</f>
        <v>#N/A</v>
      </c>
      <c r="J14" s="51" t="e">
        <f>IF($AI14="",NA(),IF(INDEX(Perhitungan!$AY$6:$AY$65,$AI14)="",NA(),INDEX(Perhitungan!$AY$6:$AY$65,$AI14)))</f>
        <v>#N/A</v>
      </c>
      <c r="K14" s="51" t="e">
        <f>IF($AI14="",NA(),IF(INDEX(Perhitungan!$AZ$6:$AZ$65,$AI14)="",NA(),INDEX(Perhitungan!$AZ$6:$AZ$65,$AI14)))</f>
        <v>#N/A</v>
      </c>
      <c r="L14" s="51" t="e">
        <f>IF($AI14="",NA(),IF(INDEX(Perhitungan!$BA$6:$BA$65,$AI14)="",NA(),INDEX(Perhitungan!$BA$6:$BA$65,$AI14)))</f>
        <v>#N/A</v>
      </c>
      <c r="M14" s="51" t="e">
        <f>IF($AI14="",NA(),IF(INDEX(Perhitungan!$BB$6:$BB$65,$AI14)="",NA(),INDEX(Perhitungan!$BB$6:$BB$65,$AI14)))</f>
        <v>#N/A</v>
      </c>
      <c r="N14" s="51" t="e">
        <f>IF($AI14="",NA(),IF(INDEX(Perhitungan!$BC$6:$BC$65,$AI14)="",NA(),INDEX(Perhitungan!$BC$6:$BC$65,$AI14)))</f>
        <v>#N/A</v>
      </c>
      <c r="O14" s="51" t="e">
        <f>IF($AI14="",NA(),IF(INDEX(Perhitungan!$BD$6:$BD$65,$AI14)="",NA(),INDEX(Perhitungan!$BD$6:$BD$65,$AI14)))</f>
        <v>#N/A</v>
      </c>
      <c r="P14" s="51" t="e">
        <f>IF($AI14="",NA(),IF(INDEX(Perhitungan!$BE$6:$BE$65,$AI14)="",NA(),INDEX(Perhitungan!$BE$6:$BE$65,$AI14)))</f>
        <v>#N/A</v>
      </c>
      <c r="Q14" s="51" t="e">
        <f>IF($AI14="",NA(),IF(INDEX(Perhitungan!$BF$6:$BF$65,$AI14)="",NA(),INDEX(Perhitungan!$BF$6:$BF$65,$AI14)))</f>
        <v>#N/A</v>
      </c>
      <c r="R14" s="51" t="e">
        <f>IF($AI14="",NA(),IF(INDEX(Perhitungan!$BG$6:$BG$65,$AI14)="",NA(),INDEX(Perhitungan!$BG$6:$BG$65,$AI14)))</f>
        <v>#N/A</v>
      </c>
      <c r="S14" s="51" t="e">
        <f>IF($AI14="",NA(),IF(INDEX(Perhitungan!$BH$6:$BH$65,$AI14)="",NA(),INDEX(Perhitungan!$BH$6:$BH$65,$AI14)))</f>
        <v>#N/A</v>
      </c>
      <c r="T14" s="51" t="e">
        <f>IF($AI14="",NA(),IF(INDEX(Perhitungan!$BI$6:$BI$65,$AI14)="",NA(),INDEX(Perhitungan!$BI$6:$BI$65,$AI14)))</f>
        <v>#N/A</v>
      </c>
      <c r="U14" s="51" t="e">
        <f>IF($AI14="",NA(),IF(INDEX(Perhitungan!$BJ$6:$BJ$65,$AI14)="",NA(),INDEX(Perhitungan!$BJ$6:$BJ$65,$AI14)))</f>
        <v>#N/A</v>
      </c>
      <c r="V14" s="51" t="e">
        <f>IF($AI14="",NA(),IF(INDEX(Perhitungan!$BK$6:$BK$65,$AI14)="",NA(),INDEX(Perhitungan!$BK$6:$BK$65,$AI14)))</f>
        <v>#N/A</v>
      </c>
      <c r="W14" s="51" t="e">
        <f>IF($AI14="",NA(),IF(INDEX(Perhitungan!$BL$6:$BL$65,$AI14)="",NA(),INDEX(Perhitungan!$BL$6:$BL$65,$AI14)))</f>
        <v>#N/A</v>
      </c>
      <c r="X14" s="51" t="e">
        <f>IF($AI14="",NA(),IF(INDEX(Perhitungan!$BM$6:$BM$65,$AI14)="",NA(),INDEX(Perhitungan!$BM$6:$BM$65,$AI14)))</f>
        <v>#N/A</v>
      </c>
      <c r="Y14" s="51" t="e">
        <f>IF($AI14="",NA(),IF(INDEX(Perhitungan!$BN$6:$BN$65,$AI14)="",NA(),INDEX(Perhitungan!$BN$6:$BN$65,$AI14)))</f>
        <v>#N/A</v>
      </c>
      <c r="Z14" s="51" t="e">
        <f>IF($AI14="",NA(),IF(INDEX(Perhitungan!$BO$6:$BO$65,$AI14)="",NA(),INDEX(Perhitungan!$BO$6:$BO$65,$AI14)))</f>
        <v>#N/A</v>
      </c>
      <c r="AA14" s="51" t="e">
        <f>IF($AI14="",NA(),IF(INDEX(Perhitungan!$BP$6:$BP$65,$AI14)="",NA(),INDEX(Perhitungan!$BP$6:$BP$65,$AI14)))</f>
        <v>#N/A</v>
      </c>
      <c r="AB14" s="51" t="e">
        <f>IF($AI14="",NA(),IF(INDEX(Perhitungan!$BQ$6:$BQ$65,$AI14)="",NA(),INDEX(Perhitungan!$BQ$6:$BQ$65,$AI14)))</f>
        <v>#N/A</v>
      </c>
      <c r="AC14" s="51" t="e">
        <f>IF($AI14="",NA(),IF(INDEX(Perhitungan!$BR$6:$BR$65,$AI14)="",NA(),INDEX(Perhitungan!$BR$6:$BR$65,$AI14)))</f>
        <v>#N/A</v>
      </c>
      <c r="AD14" s="51" t="e">
        <f>IF($AI14="",NA(),IF(INDEX(Perhitungan!$BS$6:$BS$65,$AI14)="",NA(),INDEX(Perhitungan!$BS$6:$BS$65,$AI14)))</f>
        <v>#N/A</v>
      </c>
      <c r="AE14" s="51" t="e">
        <f>IF($AI14="",NA(),IF(INDEX(Perhitungan!$BT$6:$BT$65,$AI14)="",NA(),INDEX(Perhitungan!$BT$6:$BT$65,$AI14)))</f>
        <v>#N/A</v>
      </c>
      <c r="AF14" s="51" t="e">
        <f>IF($AI14="",NA(),IF(INDEX(Perhitungan!$BU$6:$BU$65,$AI14)="",NA(),INDEX(Perhitungan!$BU$6:$BU$65,$AI14)))</f>
        <v>#N/A</v>
      </c>
      <c r="AG14" s="51" t="e">
        <f>IF($AI14="",NA(),IF(INDEX(Perhitungan!$BV$6:$BV$65,$AI14)="",NA(),INDEX(Perhitungan!$BV$6:$BV$65,$AI14)))</f>
        <v>#N/A</v>
      </c>
      <c r="AH14">
        <f>LARGE(Perhitungan!$CA$6:$CA$65,A14)</f>
        <v>-9.9999999999999997E+98</v>
      </c>
      <c r="AI14" t="str">
        <f>IF(AH14&lt;-1E+98,"",MATCH(AH14,Perhitungan!$CA$6:$CA$65,0))</f>
        <v/>
      </c>
    </row>
    <row r="15" spans="1:36">
      <c r="A15">
        <v>10</v>
      </c>
      <c r="B15" t="str">
        <f>IF(AI15="","",INDEX(Perhitungan!$B$6:$B$65,AI15))</f>
        <v/>
      </c>
      <c r="C15" s="51" t="e">
        <f>IF($AI15="",NA(),IF(INDEX(Perhitungan!$AR$6:$AR$65,$AI15)="",NA(),INDEX(Perhitungan!$AR$6:$AR$65,$AI15)))</f>
        <v>#N/A</v>
      </c>
      <c r="D15" s="51" t="e">
        <f>IF($AI15="",NA(),IF(INDEX(Perhitungan!$AS$6:$AS$65,$AI15)="",NA(),INDEX(Perhitungan!$AS$6:$AS$65,$AI15)))</f>
        <v>#N/A</v>
      </c>
      <c r="E15" s="51" t="e">
        <f>IF($AI15="",NA(),IF(INDEX(Perhitungan!$AT$6:$AT$65,$AI15)="",NA(),INDEX(Perhitungan!$AT$6:$AT$65,$AI15)))</f>
        <v>#N/A</v>
      </c>
      <c r="F15" s="51" t="e">
        <f>IF($AI15="",NA(),IF(INDEX(Perhitungan!$AU$6:$AU$65,$AI15)="",NA(),INDEX(Perhitungan!$AU$6:$AU$65,$AI15)))</f>
        <v>#N/A</v>
      </c>
      <c r="G15" s="51" t="e">
        <f>IF($AI15="",NA(),IF(INDEX(Perhitungan!$AV$6:$AV$65,$AI15)="",NA(),INDEX(Perhitungan!$AV$6:$AV$65,$AI15)))</f>
        <v>#N/A</v>
      </c>
      <c r="H15" s="51" t="e">
        <f>IF($AI15="",NA(),IF(INDEX(Perhitungan!$AW$6:$AW$65,$AI15)="",NA(),INDEX(Perhitungan!$AW$6:$AW$65,$AI15)))</f>
        <v>#N/A</v>
      </c>
      <c r="I15" s="51" t="e">
        <f>IF($AI15="",NA(),IF(INDEX(Perhitungan!$AX$6:$AX$65,$AI15)="",NA(),INDEX(Perhitungan!$AX$6:$AX$65,$AI15)))</f>
        <v>#N/A</v>
      </c>
      <c r="J15" s="51" t="e">
        <f>IF($AI15="",NA(),IF(INDEX(Perhitungan!$AY$6:$AY$65,$AI15)="",NA(),INDEX(Perhitungan!$AY$6:$AY$65,$AI15)))</f>
        <v>#N/A</v>
      </c>
      <c r="K15" s="51" t="e">
        <f>IF($AI15="",NA(),IF(INDEX(Perhitungan!$AZ$6:$AZ$65,$AI15)="",NA(),INDEX(Perhitungan!$AZ$6:$AZ$65,$AI15)))</f>
        <v>#N/A</v>
      </c>
      <c r="L15" s="51" t="e">
        <f>IF($AI15="",NA(),IF(INDEX(Perhitungan!$BA$6:$BA$65,$AI15)="",NA(),INDEX(Perhitungan!$BA$6:$BA$65,$AI15)))</f>
        <v>#N/A</v>
      </c>
      <c r="M15" s="51" t="e">
        <f>IF($AI15="",NA(),IF(INDEX(Perhitungan!$BB$6:$BB$65,$AI15)="",NA(),INDEX(Perhitungan!$BB$6:$BB$65,$AI15)))</f>
        <v>#N/A</v>
      </c>
      <c r="N15" s="51" t="e">
        <f>IF($AI15="",NA(),IF(INDEX(Perhitungan!$BC$6:$BC$65,$AI15)="",NA(),INDEX(Perhitungan!$BC$6:$BC$65,$AI15)))</f>
        <v>#N/A</v>
      </c>
      <c r="O15" s="51" t="e">
        <f>IF($AI15="",NA(),IF(INDEX(Perhitungan!$BD$6:$BD$65,$AI15)="",NA(),INDEX(Perhitungan!$BD$6:$BD$65,$AI15)))</f>
        <v>#N/A</v>
      </c>
      <c r="P15" s="51" t="e">
        <f>IF($AI15="",NA(),IF(INDEX(Perhitungan!$BE$6:$BE$65,$AI15)="",NA(),INDEX(Perhitungan!$BE$6:$BE$65,$AI15)))</f>
        <v>#N/A</v>
      </c>
      <c r="Q15" s="51" t="e">
        <f>IF($AI15="",NA(),IF(INDEX(Perhitungan!$BF$6:$BF$65,$AI15)="",NA(),INDEX(Perhitungan!$BF$6:$BF$65,$AI15)))</f>
        <v>#N/A</v>
      </c>
      <c r="R15" s="51" t="e">
        <f>IF($AI15="",NA(),IF(INDEX(Perhitungan!$BG$6:$BG$65,$AI15)="",NA(),INDEX(Perhitungan!$BG$6:$BG$65,$AI15)))</f>
        <v>#N/A</v>
      </c>
      <c r="S15" s="51" t="e">
        <f>IF($AI15="",NA(),IF(INDEX(Perhitungan!$BH$6:$BH$65,$AI15)="",NA(),INDEX(Perhitungan!$BH$6:$BH$65,$AI15)))</f>
        <v>#N/A</v>
      </c>
      <c r="T15" s="51" t="e">
        <f>IF($AI15="",NA(),IF(INDEX(Perhitungan!$BI$6:$BI$65,$AI15)="",NA(),INDEX(Perhitungan!$BI$6:$BI$65,$AI15)))</f>
        <v>#N/A</v>
      </c>
      <c r="U15" s="51" t="e">
        <f>IF($AI15="",NA(),IF(INDEX(Perhitungan!$BJ$6:$BJ$65,$AI15)="",NA(),INDEX(Perhitungan!$BJ$6:$BJ$65,$AI15)))</f>
        <v>#N/A</v>
      </c>
      <c r="V15" s="51" t="e">
        <f>IF($AI15="",NA(),IF(INDEX(Perhitungan!$BK$6:$BK$65,$AI15)="",NA(),INDEX(Perhitungan!$BK$6:$BK$65,$AI15)))</f>
        <v>#N/A</v>
      </c>
      <c r="W15" s="51" t="e">
        <f>IF($AI15="",NA(),IF(INDEX(Perhitungan!$BL$6:$BL$65,$AI15)="",NA(),INDEX(Perhitungan!$BL$6:$BL$65,$AI15)))</f>
        <v>#N/A</v>
      </c>
      <c r="X15" s="51" t="e">
        <f>IF($AI15="",NA(),IF(INDEX(Perhitungan!$BM$6:$BM$65,$AI15)="",NA(),INDEX(Perhitungan!$BM$6:$BM$65,$AI15)))</f>
        <v>#N/A</v>
      </c>
      <c r="Y15" s="51" t="e">
        <f>IF($AI15="",NA(),IF(INDEX(Perhitungan!$BN$6:$BN$65,$AI15)="",NA(),INDEX(Perhitungan!$BN$6:$BN$65,$AI15)))</f>
        <v>#N/A</v>
      </c>
      <c r="Z15" s="51" t="e">
        <f>IF($AI15="",NA(),IF(INDEX(Perhitungan!$BO$6:$BO$65,$AI15)="",NA(),INDEX(Perhitungan!$BO$6:$BO$65,$AI15)))</f>
        <v>#N/A</v>
      </c>
      <c r="AA15" s="51" t="e">
        <f>IF($AI15="",NA(),IF(INDEX(Perhitungan!$BP$6:$BP$65,$AI15)="",NA(),INDEX(Perhitungan!$BP$6:$BP$65,$AI15)))</f>
        <v>#N/A</v>
      </c>
      <c r="AB15" s="51" t="e">
        <f>IF($AI15="",NA(),IF(INDEX(Perhitungan!$BQ$6:$BQ$65,$AI15)="",NA(),INDEX(Perhitungan!$BQ$6:$BQ$65,$AI15)))</f>
        <v>#N/A</v>
      </c>
      <c r="AC15" s="51" t="e">
        <f>IF($AI15="",NA(),IF(INDEX(Perhitungan!$BR$6:$BR$65,$AI15)="",NA(),INDEX(Perhitungan!$BR$6:$BR$65,$AI15)))</f>
        <v>#N/A</v>
      </c>
      <c r="AD15" s="51" t="e">
        <f>IF($AI15="",NA(),IF(INDEX(Perhitungan!$BS$6:$BS$65,$AI15)="",NA(),INDEX(Perhitungan!$BS$6:$BS$65,$AI15)))</f>
        <v>#N/A</v>
      </c>
      <c r="AE15" s="51" t="e">
        <f>IF($AI15="",NA(),IF(INDEX(Perhitungan!$BT$6:$BT$65,$AI15)="",NA(),INDEX(Perhitungan!$BT$6:$BT$65,$AI15)))</f>
        <v>#N/A</v>
      </c>
      <c r="AF15" s="51" t="e">
        <f>IF($AI15="",NA(),IF(INDEX(Perhitungan!$BU$6:$BU$65,$AI15)="",NA(),INDEX(Perhitungan!$BU$6:$BU$65,$AI15)))</f>
        <v>#N/A</v>
      </c>
      <c r="AG15" s="51" t="e">
        <f>IF($AI15="",NA(),IF(INDEX(Perhitungan!$BV$6:$BV$65,$AI15)="",NA(),INDEX(Perhitungan!$BV$6:$BV$65,$AI15)))</f>
        <v>#N/A</v>
      </c>
      <c r="AH15">
        <f>LARGE(Perhitungan!$CA$6:$CA$65,A15)</f>
        <v>-9.9999999999999997E+98</v>
      </c>
      <c r="AI15" t="str">
        <f>IF(AH15&lt;-1E+98,"",MATCH(AH15,Perhitungan!$CA$6:$CA$65,0))</f>
        <v/>
      </c>
    </row>
    <row r="19" spans="1:33">
      <c r="A19" s="22" t="s">
        <v>8</v>
      </c>
      <c r="B19" s="22" t="s">
        <v>689</v>
      </c>
      <c r="C19" s="22" t="s">
        <v>642</v>
      </c>
      <c r="D19" s="22" t="s">
        <v>643</v>
      </c>
      <c r="E19" s="22" t="s">
        <v>644</v>
      </c>
      <c r="F19" s="22" t="s">
        <v>645</v>
      </c>
      <c r="G19" s="22" t="s">
        <v>646</v>
      </c>
      <c r="H19" s="22" t="s">
        <v>647</v>
      </c>
      <c r="I19" s="22" t="s">
        <v>648</v>
      </c>
      <c r="J19" s="22" t="s">
        <v>649</v>
      </c>
      <c r="K19" s="22" t="s">
        <v>650</v>
      </c>
      <c r="L19" s="22" t="s">
        <v>651</v>
      </c>
      <c r="M19" s="22" t="s">
        <v>652</v>
      </c>
      <c r="N19" s="22" t="s">
        <v>653</v>
      </c>
      <c r="O19" s="22" t="s">
        <v>654</v>
      </c>
      <c r="P19" s="22" t="s">
        <v>655</v>
      </c>
      <c r="Q19" s="22" t="s">
        <v>656</v>
      </c>
      <c r="R19" s="22" t="s">
        <v>657</v>
      </c>
      <c r="S19" s="22" t="s">
        <v>658</v>
      </c>
      <c r="T19" s="22" t="s">
        <v>659</v>
      </c>
      <c r="U19" s="22" t="s">
        <v>660</v>
      </c>
      <c r="V19" s="22" t="s">
        <v>661</v>
      </c>
      <c r="W19" s="22" t="s">
        <v>662</v>
      </c>
      <c r="X19" s="22" t="s">
        <v>663</v>
      </c>
      <c r="Y19" s="22" t="s">
        <v>664</v>
      </c>
      <c r="Z19" s="22" t="s">
        <v>665</v>
      </c>
      <c r="AA19" s="22" t="s">
        <v>666</v>
      </c>
      <c r="AB19" s="22" t="s">
        <v>667</v>
      </c>
      <c r="AC19" s="22" t="s">
        <v>668</v>
      </c>
      <c r="AD19" s="22" t="s">
        <v>669</v>
      </c>
      <c r="AE19" s="22" t="s">
        <v>670</v>
      </c>
      <c r="AF19" s="22" t="s">
        <v>671</v>
      </c>
      <c r="AG19" s="22" t="s">
        <v>672</v>
      </c>
    </row>
    <row r="20" spans="1:33">
      <c r="A20">
        <v>1</v>
      </c>
      <c r="B20" t="s">
        <v>14</v>
      </c>
      <c r="C20">
        <v>100</v>
      </c>
      <c r="D20" s="52">
        <f>IF(Log_Putaran!$C$6="",NA(),Log_Putaran!Q6)</f>
        <v>101.75</v>
      </c>
      <c r="E20" s="52">
        <f>IF(Log_Putaran!$C$7="",NA(),Log_Putaran!Q7)</f>
        <v>103.530625</v>
      </c>
      <c r="F20" s="52" t="e">
        <f>IF(Log_Putaran!$C$8="",NA(),Log_Putaran!Q8)</f>
        <v>#N/A</v>
      </c>
      <c r="G20" s="52" t="e">
        <f>IF(Log_Putaran!$C$9="",NA(),Log_Putaran!Q9)</f>
        <v>#N/A</v>
      </c>
      <c r="H20" s="52" t="e">
        <f>IF(Log_Putaran!$C$10="",NA(),Log_Putaran!Q10)</f>
        <v>#N/A</v>
      </c>
      <c r="I20" s="52" t="e">
        <f>IF(Log_Putaran!$C$11="",NA(),Log_Putaran!Q11)</f>
        <v>#N/A</v>
      </c>
      <c r="J20" s="52" t="e">
        <f>IF(Log_Putaran!$C$12="",NA(),Log_Putaran!Q12)</f>
        <v>#N/A</v>
      </c>
      <c r="K20" s="52" t="e">
        <f>IF(Log_Putaran!$C$13="",NA(),Log_Putaran!Q13)</f>
        <v>#N/A</v>
      </c>
      <c r="L20" s="52" t="e">
        <f>IF(Log_Putaran!$C$14="",NA(),Log_Putaran!Q14)</f>
        <v>#N/A</v>
      </c>
      <c r="M20" s="52" t="e">
        <f>IF(Log_Putaran!$C$15="",NA(),Log_Putaran!Q15)</f>
        <v>#N/A</v>
      </c>
      <c r="N20" s="52" t="e">
        <f>IF(Log_Putaran!$C$16="",NA(),Log_Putaran!Q16)</f>
        <v>#N/A</v>
      </c>
      <c r="O20" s="52" t="e">
        <f>IF(Log_Putaran!$C$17="",NA(),Log_Putaran!Q17)</f>
        <v>#N/A</v>
      </c>
      <c r="P20" s="52" t="e">
        <f>IF(Log_Putaran!$C$18="",NA(),Log_Putaran!Q18)</f>
        <v>#N/A</v>
      </c>
      <c r="Q20" s="52" t="e">
        <f>IF(Log_Putaran!$C$19="",NA(),Log_Putaran!Q19)</f>
        <v>#N/A</v>
      </c>
      <c r="R20" s="52" t="e">
        <f>IF(Log_Putaran!$C$20="",NA(),Log_Putaran!Q20)</f>
        <v>#N/A</v>
      </c>
      <c r="S20" s="52" t="e">
        <f>IF(Log_Putaran!$C$21="",NA(),Log_Putaran!Q21)</f>
        <v>#N/A</v>
      </c>
      <c r="T20" s="52" t="e">
        <f>IF(Log_Putaran!$C$22="",NA(),Log_Putaran!Q22)</f>
        <v>#N/A</v>
      </c>
      <c r="U20" s="52" t="e">
        <f>IF(Log_Putaran!$C$23="",NA(),Log_Putaran!Q23)</f>
        <v>#N/A</v>
      </c>
      <c r="V20" s="52" t="e">
        <f>IF(Log_Putaran!$C$24="",NA(),Log_Putaran!Q24)</f>
        <v>#N/A</v>
      </c>
      <c r="W20" s="52" t="e">
        <f>IF(Log_Putaran!$C$25="",NA(),Log_Putaran!Q25)</f>
        <v>#N/A</v>
      </c>
      <c r="X20" s="52" t="e">
        <f>IF(Log_Putaran!$C$26="",NA(),Log_Putaran!Q26)</f>
        <v>#N/A</v>
      </c>
      <c r="Y20" s="52" t="e">
        <f>IF(Log_Putaran!$C$27="",NA(),Log_Putaran!Q27)</f>
        <v>#N/A</v>
      </c>
      <c r="Z20" s="52" t="e">
        <f>IF(Log_Putaran!$C$28="",NA(),Log_Putaran!Q28)</f>
        <v>#N/A</v>
      </c>
      <c r="AA20" s="52" t="e">
        <f>IF(Log_Putaran!$C$29="",NA(),Log_Putaran!Q29)</f>
        <v>#N/A</v>
      </c>
      <c r="AB20" s="52" t="e">
        <f>IF(Log_Putaran!$C$30="",NA(),Log_Putaran!Q30)</f>
        <v>#N/A</v>
      </c>
      <c r="AC20" s="52" t="e">
        <f>IF(Log_Putaran!$C$31="",NA(),Log_Putaran!Q31)</f>
        <v>#N/A</v>
      </c>
      <c r="AD20" s="52" t="e">
        <f>IF(Log_Putaran!$C$32="",NA(),Log_Putaran!Q32)</f>
        <v>#N/A</v>
      </c>
      <c r="AE20" s="52" t="e">
        <f>IF(Log_Putaran!$C$33="",NA(),Log_Putaran!Q33)</f>
        <v>#N/A</v>
      </c>
      <c r="AF20" s="52" t="e">
        <f>IF(Log_Putaran!$C$34="",NA(),Log_Putaran!Q34)</f>
        <v>#N/A</v>
      </c>
      <c r="AG20" s="52" t="e">
        <f>IF(Log_Putaran!$C$35="",NA(),Log_Putaran!Q35)</f>
        <v>#N/A</v>
      </c>
    </row>
    <row r="21" spans="1:33">
      <c r="A21">
        <v>2</v>
      </c>
      <c r="B21" t="s">
        <v>15</v>
      </c>
      <c r="C21">
        <v>100</v>
      </c>
      <c r="D21" s="52">
        <f>IF(Log_Putaran!$C$6="",NA(),Log_Putaran!R6)</f>
        <v>97</v>
      </c>
      <c r="E21" s="52">
        <f>IF(Log_Putaran!$C$7="",NA(),Log_Putaran!R7)</f>
        <v>93.11999999999999</v>
      </c>
      <c r="F21" s="52" t="e">
        <f>IF(Log_Putaran!$C$8="",NA(),Log_Putaran!R8)</f>
        <v>#N/A</v>
      </c>
      <c r="G21" s="52" t="e">
        <f>IF(Log_Putaran!$C$9="",NA(),Log_Putaran!R9)</f>
        <v>#N/A</v>
      </c>
      <c r="H21" s="52" t="e">
        <f>IF(Log_Putaran!$C$10="",NA(),Log_Putaran!R10)</f>
        <v>#N/A</v>
      </c>
      <c r="I21" s="52" t="e">
        <f>IF(Log_Putaran!$C$11="",NA(),Log_Putaran!R11)</f>
        <v>#N/A</v>
      </c>
      <c r="J21" s="52" t="e">
        <f>IF(Log_Putaran!$C$12="",NA(),Log_Putaran!R12)</f>
        <v>#N/A</v>
      </c>
      <c r="K21" s="52" t="e">
        <f>IF(Log_Putaran!$C$13="",NA(),Log_Putaran!R13)</f>
        <v>#N/A</v>
      </c>
      <c r="L21" s="52" t="e">
        <f>IF(Log_Putaran!$C$14="",NA(),Log_Putaran!R14)</f>
        <v>#N/A</v>
      </c>
      <c r="M21" s="52" t="e">
        <f>IF(Log_Putaran!$C$15="",NA(),Log_Putaran!R15)</f>
        <v>#N/A</v>
      </c>
      <c r="N21" s="52" t="e">
        <f>IF(Log_Putaran!$C$16="",NA(),Log_Putaran!R16)</f>
        <v>#N/A</v>
      </c>
      <c r="O21" s="52" t="e">
        <f>IF(Log_Putaran!$C$17="",NA(),Log_Putaran!R17)</f>
        <v>#N/A</v>
      </c>
      <c r="P21" s="52" t="e">
        <f>IF(Log_Putaran!$C$18="",NA(),Log_Putaran!R18)</f>
        <v>#N/A</v>
      </c>
      <c r="Q21" s="52" t="e">
        <f>IF(Log_Putaran!$C$19="",NA(),Log_Putaran!R19)</f>
        <v>#N/A</v>
      </c>
      <c r="R21" s="52" t="e">
        <f>IF(Log_Putaran!$C$20="",NA(),Log_Putaran!R20)</f>
        <v>#N/A</v>
      </c>
      <c r="S21" s="52" t="e">
        <f>IF(Log_Putaran!$C$21="",NA(),Log_Putaran!R21)</f>
        <v>#N/A</v>
      </c>
      <c r="T21" s="52" t="e">
        <f>IF(Log_Putaran!$C$22="",NA(),Log_Putaran!R22)</f>
        <v>#N/A</v>
      </c>
      <c r="U21" s="52" t="e">
        <f>IF(Log_Putaran!$C$23="",NA(),Log_Putaran!R23)</f>
        <v>#N/A</v>
      </c>
      <c r="V21" s="52" t="e">
        <f>IF(Log_Putaran!$C$24="",NA(),Log_Putaran!R24)</f>
        <v>#N/A</v>
      </c>
      <c r="W21" s="52" t="e">
        <f>IF(Log_Putaran!$C$25="",NA(),Log_Putaran!R25)</f>
        <v>#N/A</v>
      </c>
      <c r="X21" s="52" t="e">
        <f>IF(Log_Putaran!$C$26="",NA(),Log_Putaran!R26)</f>
        <v>#N/A</v>
      </c>
      <c r="Y21" s="52" t="e">
        <f>IF(Log_Putaran!$C$27="",NA(),Log_Putaran!R27)</f>
        <v>#N/A</v>
      </c>
      <c r="Z21" s="52" t="e">
        <f>IF(Log_Putaran!$C$28="",NA(),Log_Putaran!R28)</f>
        <v>#N/A</v>
      </c>
      <c r="AA21" s="52" t="e">
        <f>IF(Log_Putaran!$C$29="",NA(),Log_Putaran!R29)</f>
        <v>#N/A</v>
      </c>
      <c r="AB21" s="52" t="e">
        <f>IF(Log_Putaran!$C$30="",NA(),Log_Putaran!R30)</f>
        <v>#N/A</v>
      </c>
      <c r="AC21" s="52" t="e">
        <f>IF(Log_Putaran!$C$31="",NA(),Log_Putaran!R31)</f>
        <v>#N/A</v>
      </c>
      <c r="AD21" s="52" t="e">
        <f>IF(Log_Putaran!$C$32="",NA(),Log_Putaran!R32)</f>
        <v>#N/A</v>
      </c>
      <c r="AE21" s="52" t="e">
        <f>IF(Log_Putaran!$C$33="",NA(),Log_Putaran!R33)</f>
        <v>#N/A</v>
      </c>
      <c r="AF21" s="52" t="e">
        <f>IF(Log_Putaran!$C$34="",NA(),Log_Putaran!R34)</f>
        <v>#N/A</v>
      </c>
      <c r="AG21" s="52" t="e">
        <f>IF(Log_Putaran!$C$35="",NA(),Log_Putaran!R35)</f>
        <v>#N/A</v>
      </c>
    </row>
    <row r="22" spans="1:33">
      <c r="A22">
        <v>3</v>
      </c>
      <c r="B22" t="s">
        <v>16</v>
      </c>
      <c r="C22">
        <v>100</v>
      </c>
      <c r="D22" s="52">
        <f>IF(Log_Putaran!$C$6="",NA(),Log_Putaran!S6)</f>
        <v>101.1</v>
      </c>
      <c r="E22" s="52">
        <f>IF(Log_Putaran!$C$7="",NA(),Log_Putaran!S7)</f>
        <v>102.21209999999998</v>
      </c>
      <c r="F22" s="52" t="e">
        <f>IF(Log_Putaran!$C$8="",NA(),Log_Putaran!S8)</f>
        <v>#N/A</v>
      </c>
      <c r="G22" s="52" t="e">
        <f>IF(Log_Putaran!$C$9="",NA(),Log_Putaran!S9)</f>
        <v>#N/A</v>
      </c>
      <c r="H22" s="52" t="e">
        <f>IF(Log_Putaran!$C$10="",NA(),Log_Putaran!S10)</f>
        <v>#N/A</v>
      </c>
      <c r="I22" s="52" t="e">
        <f>IF(Log_Putaran!$C$11="",NA(),Log_Putaran!S11)</f>
        <v>#N/A</v>
      </c>
      <c r="J22" s="52" t="e">
        <f>IF(Log_Putaran!$C$12="",NA(),Log_Putaran!S12)</f>
        <v>#N/A</v>
      </c>
      <c r="K22" s="52" t="e">
        <f>IF(Log_Putaran!$C$13="",NA(),Log_Putaran!S13)</f>
        <v>#N/A</v>
      </c>
      <c r="L22" s="52" t="e">
        <f>IF(Log_Putaran!$C$14="",NA(),Log_Putaran!S14)</f>
        <v>#N/A</v>
      </c>
      <c r="M22" s="52" t="e">
        <f>IF(Log_Putaran!$C$15="",NA(),Log_Putaran!S15)</f>
        <v>#N/A</v>
      </c>
      <c r="N22" s="52" t="e">
        <f>IF(Log_Putaran!$C$16="",NA(),Log_Putaran!S16)</f>
        <v>#N/A</v>
      </c>
      <c r="O22" s="52" t="e">
        <f>IF(Log_Putaran!$C$17="",NA(),Log_Putaran!S17)</f>
        <v>#N/A</v>
      </c>
      <c r="P22" s="52" t="e">
        <f>IF(Log_Putaran!$C$18="",NA(),Log_Putaran!S18)</f>
        <v>#N/A</v>
      </c>
      <c r="Q22" s="52" t="e">
        <f>IF(Log_Putaran!$C$19="",NA(),Log_Putaran!S19)</f>
        <v>#N/A</v>
      </c>
      <c r="R22" s="52" t="e">
        <f>IF(Log_Putaran!$C$20="",NA(),Log_Putaran!S20)</f>
        <v>#N/A</v>
      </c>
      <c r="S22" s="52" t="e">
        <f>IF(Log_Putaran!$C$21="",NA(),Log_Putaran!S21)</f>
        <v>#N/A</v>
      </c>
      <c r="T22" s="52" t="e">
        <f>IF(Log_Putaran!$C$22="",NA(),Log_Putaran!S22)</f>
        <v>#N/A</v>
      </c>
      <c r="U22" s="52" t="e">
        <f>IF(Log_Putaran!$C$23="",NA(),Log_Putaran!S23)</f>
        <v>#N/A</v>
      </c>
      <c r="V22" s="52" t="e">
        <f>IF(Log_Putaran!$C$24="",NA(),Log_Putaran!S24)</f>
        <v>#N/A</v>
      </c>
      <c r="W22" s="52" t="e">
        <f>IF(Log_Putaran!$C$25="",NA(),Log_Putaran!S25)</f>
        <v>#N/A</v>
      </c>
      <c r="X22" s="52" t="e">
        <f>IF(Log_Putaran!$C$26="",NA(),Log_Putaran!S26)</f>
        <v>#N/A</v>
      </c>
      <c r="Y22" s="52" t="e">
        <f>IF(Log_Putaran!$C$27="",NA(),Log_Putaran!S27)</f>
        <v>#N/A</v>
      </c>
      <c r="Z22" s="52" t="e">
        <f>IF(Log_Putaran!$C$28="",NA(),Log_Putaran!S28)</f>
        <v>#N/A</v>
      </c>
      <c r="AA22" s="52" t="e">
        <f>IF(Log_Putaran!$C$29="",NA(),Log_Putaran!S29)</f>
        <v>#N/A</v>
      </c>
      <c r="AB22" s="52" t="e">
        <f>IF(Log_Putaran!$C$30="",NA(),Log_Putaran!S30)</f>
        <v>#N/A</v>
      </c>
      <c r="AC22" s="52" t="e">
        <f>IF(Log_Putaran!$C$31="",NA(),Log_Putaran!S31)</f>
        <v>#N/A</v>
      </c>
      <c r="AD22" s="52" t="e">
        <f>IF(Log_Putaran!$C$32="",NA(),Log_Putaran!S32)</f>
        <v>#N/A</v>
      </c>
      <c r="AE22" s="52" t="e">
        <f>IF(Log_Putaran!$C$33="",NA(),Log_Putaran!S33)</f>
        <v>#N/A</v>
      </c>
      <c r="AF22" s="52" t="e">
        <f>IF(Log_Putaran!$C$34="",NA(),Log_Putaran!S34)</f>
        <v>#N/A</v>
      </c>
      <c r="AG22" s="52" t="e">
        <f>IF(Log_Putaran!$C$35="",NA(),Log_Putaran!S35)</f>
        <v>#N/A</v>
      </c>
    </row>
    <row r="23" spans="1:33">
      <c r="A23">
        <v>4</v>
      </c>
      <c r="B23" t="s">
        <v>17</v>
      </c>
      <c r="C23">
        <v>100</v>
      </c>
      <c r="D23" s="52">
        <f>IF(Log_Putaran!$C$6="",NA(),Log_Putaran!T6)</f>
        <v>102.2</v>
      </c>
      <c r="E23" s="52">
        <f>IF(Log_Putaran!$C$7="",NA(),Log_Putaran!T7)</f>
        <v>108.53640000000001</v>
      </c>
      <c r="F23" s="52" t="e">
        <f>IF(Log_Putaran!$C$8="",NA(),Log_Putaran!T8)</f>
        <v>#N/A</v>
      </c>
      <c r="G23" s="52" t="e">
        <f>IF(Log_Putaran!$C$9="",NA(),Log_Putaran!T9)</f>
        <v>#N/A</v>
      </c>
      <c r="H23" s="52" t="e">
        <f>IF(Log_Putaran!$C$10="",NA(),Log_Putaran!T10)</f>
        <v>#N/A</v>
      </c>
      <c r="I23" s="52" t="e">
        <f>IF(Log_Putaran!$C$11="",NA(),Log_Putaran!T11)</f>
        <v>#N/A</v>
      </c>
      <c r="J23" s="52" t="e">
        <f>IF(Log_Putaran!$C$12="",NA(),Log_Putaran!T12)</f>
        <v>#N/A</v>
      </c>
      <c r="K23" s="52" t="e">
        <f>IF(Log_Putaran!$C$13="",NA(),Log_Putaran!T13)</f>
        <v>#N/A</v>
      </c>
      <c r="L23" s="52" t="e">
        <f>IF(Log_Putaran!$C$14="",NA(),Log_Putaran!T14)</f>
        <v>#N/A</v>
      </c>
      <c r="M23" s="52" t="e">
        <f>IF(Log_Putaran!$C$15="",NA(),Log_Putaran!T15)</f>
        <v>#N/A</v>
      </c>
      <c r="N23" s="52" t="e">
        <f>IF(Log_Putaran!$C$16="",NA(),Log_Putaran!T16)</f>
        <v>#N/A</v>
      </c>
      <c r="O23" s="52" t="e">
        <f>IF(Log_Putaran!$C$17="",NA(),Log_Putaran!T17)</f>
        <v>#N/A</v>
      </c>
      <c r="P23" s="52" t="e">
        <f>IF(Log_Putaran!$C$18="",NA(),Log_Putaran!T18)</f>
        <v>#N/A</v>
      </c>
      <c r="Q23" s="52" t="e">
        <f>IF(Log_Putaran!$C$19="",NA(),Log_Putaran!T19)</f>
        <v>#N/A</v>
      </c>
      <c r="R23" s="52" t="e">
        <f>IF(Log_Putaran!$C$20="",NA(),Log_Putaran!T20)</f>
        <v>#N/A</v>
      </c>
      <c r="S23" s="52" t="e">
        <f>IF(Log_Putaran!$C$21="",NA(),Log_Putaran!T21)</f>
        <v>#N/A</v>
      </c>
      <c r="T23" s="52" t="e">
        <f>IF(Log_Putaran!$C$22="",NA(),Log_Putaran!T22)</f>
        <v>#N/A</v>
      </c>
      <c r="U23" s="52" t="e">
        <f>IF(Log_Putaran!$C$23="",NA(),Log_Putaran!T23)</f>
        <v>#N/A</v>
      </c>
      <c r="V23" s="52" t="e">
        <f>IF(Log_Putaran!$C$24="",NA(),Log_Putaran!T24)</f>
        <v>#N/A</v>
      </c>
      <c r="W23" s="52" t="e">
        <f>IF(Log_Putaran!$C$25="",NA(),Log_Putaran!T25)</f>
        <v>#N/A</v>
      </c>
      <c r="X23" s="52" t="e">
        <f>IF(Log_Putaran!$C$26="",NA(),Log_Putaran!T26)</f>
        <v>#N/A</v>
      </c>
      <c r="Y23" s="52" t="e">
        <f>IF(Log_Putaran!$C$27="",NA(),Log_Putaran!T27)</f>
        <v>#N/A</v>
      </c>
      <c r="Z23" s="52" t="e">
        <f>IF(Log_Putaran!$C$28="",NA(),Log_Putaran!T28)</f>
        <v>#N/A</v>
      </c>
      <c r="AA23" s="52" t="e">
        <f>IF(Log_Putaran!$C$29="",NA(),Log_Putaran!T29)</f>
        <v>#N/A</v>
      </c>
      <c r="AB23" s="52" t="e">
        <f>IF(Log_Putaran!$C$30="",NA(),Log_Putaran!T30)</f>
        <v>#N/A</v>
      </c>
      <c r="AC23" s="52" t="e">
        <f>IF(Log_Putaran!$C$31="",NA(),Log_Putaran!T31)</f>
        <v>#N/A</v>
      </c>
      <c r="AD23" s="52" t="e">
        <f>IF(Log_Putaran!$C$32="",NA(),Log_Putaran!T32)</f>
        <v>#N/A</v>
      </c>
      <c r="AE23" s="52" t="e">
        <f>IF(Log_Putaran!$C$33="",NA(),Log_Putaran!T33)</f>
        <v>#N/A</v>
      </c>
      <c r="AF23" s="52" t="e">
        <f>IF(Log_Putaran!$C$34="",NA(),Log_Putaran!T34)</f>
        <v>#N/A</v>
      </c>
      <c r="AG23" s="52" t="e">
        <f>IF(Log_Putaran!$C$35="",NA(),Log_Putaran!T35)</f>
        <v>#N/A</v>
      </c>
    </row>
    <row r="24" spans="1:33">
      <c r="A24">
        <v>5</v>
      </c>
      <c r="B24" t="s">
        <v>18</v>
      </c>
      <c r="C24">
        <v>100</v>
      </c>
      <c r="D24" s="52">
        <f>IF(Log_Putaran!$C$6="",NA(),Log_Putaran!U6)</f>
        <v>99.24</v>
      </c>
      <c r="E24" s="52">
        <f>IF(Log_Putaran!$C$7="",NA(),Log_Putaran!U7)</f>
        <v>97.989576</v>
      </c>
      <c r="F24" s="52" t="e">
        <f>IF(Log_Putaran!$C$8="",NA(),Log_Putaran!U8)</f>
        <v>#N/A</v>
      </c>
      <c r="G24" s="52" t="e">
        <f>IF(Log_Putaran!$C$9="",NA(),Log_Putaran!U9)</f>
        <v>#N/A</v>
      </c>
      <c r="H24" s="52" t="e">
        <f>IF(Log_Putaran!$C$10="",NA(),Log_Putaran!U10)</f>
        <v>#N/A</v>
      </c>
      <c r="I24" s="52" t="e">
        <f>IF(Log_Putaran!$C$11="",NA(),Log_Putaran!U11)</f>
        <v>#N/A</v>
      </c>
      <c r="J24" s="52" t="e">
        <f>IF(Log_Putaran!$C$12="",NA(),Log_Putaran!U12)</f>
        <v>#N/A</v>
      </c>
      <c r="K24" s="52" t="e">
        <f>IF(Log_Putaran!$C$13="",NA(),Log_Putaran!U13)</f>
        <v>#N/A</v>
      </c>
      <c r="L24" s="52" t="e">
        <f>IF(Log_Putaran!$C$14="",NA(),Log_Putaran!U14)</f>
        <v>#N/A</v>
      </c>
      <c r="M24" s="52" t="e">
        <f>IF(Log_Putaran!$C$15="",NA(),Log_Putaran!U15)</f>
        <v>#N/A</v>
      </c>
      <c r="N24" s="52" t="e">
        <f>IF(Log_Putaran!$C$16="",NA(),Log_Putaran!U16)</f>
        <v>#N/A</v>
      </c>
      <c r="O24" s="52" t="e">
        <f>IF(Log_Putaran!$C$17="",NA(),Log_Putaran!U17)</f>
        <v>#N/A</v>
      </c>
      <c r="P24" s="52" t="e">
        <f>IF(Log_Putaran!$C$18="",NA(),Log_Putaran!U18)</f>
        <v>#N/A</v>
      </c>
      <c r="Q24" s="52" t="e">
        <f>IF(Log_Putaran!$C$19="",NA(),Log_Putaran!U19)</f>
        <v>#N/A</v>
      </c>
      <c r="R24" s="52" t="e">
        <f>IF(Log_Putaran!$C$20="",NA(),Log_Putaran!U20)</f>
        <v>#N/A</v>
      </c>
      <c r="S24" s="52" t="e">
        <f>IF(Log_Putaran!$C$21="",NA(),Log_Putaran!U21)</f>
        <v>#N/A</v>
      </c>
      <c r="T24" s="52" t="e">
        <f>IF(Log_Putaran!$C$22="",NA(),Log_Putaran!U22)</f>
        <v>#N/A</v>
      </c>
      <c r="U24" s="52" t="e">
        <f>IF(Log_Putaran!$C$23="",NA(),Log_Putaran!U23)</f>
        <v>#N/A</v>
      </c>
      <c r="V24" s="52" t="e">
        <f>IF(Log_Putaran!$C$24="",NA(),Log_Putaran!U24)</f>
        <v>#N/A</v>
      </c>
      <c r="W24" s="52" t="e">
        <f>IF(Log_Putaran!$C$25="",NA(),Log_Putaran!U25)</f>
        <v>#N/A</v>
      </c>
      <c r="X24" s="52" t="e">
        <f>IF(Log_Putaran!$C$26="",NA(),Log_Putaran!U26)</f>
        <v>#N/A</v>
      </c>
      <c r="Y24" s="52" t="e">
        <f>IF(Log_Putaran!$C$27="",NA(),Log_Putaran!U27)</f>
        <v>#N/A</v>
      </c>
      <c r="Z24" s="52" t="e">
        <f>IF(Log_Putaran!$C$28="",NA(),Log_Putaran!U28)</f>
        <v>#N/A</v>
      </c>
      <c r="AA24" s="52" t="e">
        <f>IF(Log_Putaran!$C$29="",NA(),Log_Putaran!U29)</f>
        <v>#N/A</v>
      </c>
      <c r="AB24" s="52" t="e">
        <f>IF(Log_Putaran!$C$30="",NA(),Log_Putaran!U30)</f>
        <v>#N/A</v>
      </c>
      <c r="AC24" s="52" t="e">
        <f>IF(Log_Putaran!$C$31="",NA(),Log_Putaran!U31)</f>
        <v>#N/A</v>
      </c>
      <c r="AD24" s="52" t="e">
        <f>IF(Log_Putaran!$C$32="",NA(),Log_Putaran!U32)</f>
        <v>#N/A</v>
      </c>
      <c r="AE24" s="52" t="e">
        <f>IF(Log_Putaran!$C$33="",NA(),Log_Putaran!U33)</f>
        <v>#N/A</v>
      </c>
      <c r="AF24" s="52" t="e">
        <f>IF(Log_Putaran!$C$34="",NA(),Log_Putaran!U34)</f>
        <v>#N/A</v>
      </c>
      <c r="AG24" s="52" t="e">
        <f>IF(Log_Putaran!$C$35="",NA(),Log_Putaran!U35)</f>
        <v>#N/A</v>
      </c>
    </row>
    <row r="28" spans="1:33" ht="52.9">
      <c r="A28" s="50" t="s">
        <v>685</v>
      </c>
      <c r="B28" s="50" t="s">
        <v>522</v>
      </c>
      <c r="C28" s="50" t="s">
        <v>687</v>
      </c>
    </row>
    <row r="29" spans="1:33">
      <c r="A29">
        <v>1</v>
      </c>
      <c r="B29" t="str">
        <f>IF(C29="","",INDEX(Perhitungan!$B$6:$B$65,C29))</f>
        <v/>
      </c>
      <c r="C29">
        <f>IF(D29&lt;-1E+98,"",MATCH(D29,Perhitungan!$CF$6:$CF$65,0))</f>
        <v>1</v>
      </c>
      <c r="D29">
        <f>LARGE(Perhitungan!$CF$6:$CF$65,A29)</f>
        <v>101052942.49939999</v>
      </c>
    </row>
    <row r="30" spans="1:33">
      <c r="A30">
        <v>2</v>
      </c>
      <c r="B30" t="str">
        <f>IF(C30="","",INDEX(Perhitungan!$B$6:$B$65,C30))</f>
        <v>pandu</v>
      </c>
      <c r="C30">
        <f>IF(D30&lt;-1E+98,"",MATCH(D30,Perhitungan!$CF$6:$CF$65,0))</f>
        <v>2</v>
      </c>
      <c r="D30">
        <f>LARGE(Perhitungan!$CF$6:$CF$65,A30)</f>
        <v>99748174.999300003</v>
      </c>
    </row>
    <row r="31" spans="1:33">
      <c r="A31">
        <v>3</v>
      </c>
      <c r="B31" t="str">
        <f>IF(C31="","",INDEX(Perhitungan!$B$6:$B$65,C31))</f>
        <v/>
      </c>
      <c r="C31" t="str">
        <f>IF(D31&lt;-1E+98,"",MATCH(D31,Perhitungan!$CF$6:$CF$65,0))</f>
        <v/>
      </c>
      <c r="D31">
        <f>LARGE(Perhitungan!$CF$6:$CF$65,A31)</f>
        <v>-9.9999999999999997E+98</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01"/>
  <sheetViews>
    <sheetView zoomScaleNormal="100" workbookViewId="0"/>
  </sheetViews>
  <sheetFormatPr defaultColWidth="8.7109375" defaultRowHeight="14.45"/>
  <sheetData>
    <row r="1" spans="1:8" ht="39.6">
      <c r="A1" s="22" t="s">
        <v>521</v>
      </c>
      <c r="B1" s="22" t="s">
        <v>503</v>
      </c>
      <c r="C1" s="22" t="s">
        <v>690</v>
      </c>
      <c r="D1" s="22" t="s">
        <v>14</v>
      </c>
      <c r="E1" s="22" t="s">
        <v>15</v>
      </c>
      <c r="F1" s="22" t="s">
        <v>16</v>
      </c>
      <c r="G1" s="22" t="s">
        <v>17</v>
      </c>
      <c r="H1" s="22" t="s">
        <v>18</v>
      </c>
    </row>
    <row r="2" spans="1:8">
      <c r="A2" t="str">
        <f>IF(TRIM(Input!B2&amp;"")="","",UPPER(TRIM(Input!B2&amp;"")))</f>
        <v>P01</v>
      </c>
      <c r="B2">
        <f>IF(A2="","",IFERROR(VALUE(RIGHT(TRIM(Input!D2&amp;""),1)),0))</f>
        <v>1</v>
      </c>
      <c r="C2" t="str">
        <f t="shared" ref="C2:C65" si="0">IF(A2="","",A2&amp;"|"&amp;B2)</f>
        <v>P01|1</v>
      </c>
      <c r="D2">
        <f>IF(A2="","",IFERROR(VALUE(SUBSTITUTE(TRIM(Input!E2&amp;""),"%","")),0)/IF(AND(IFERROR(VALUE(SUBSTITUTE(TRIM(Input!E2&amp;""),"%","")),0)&gt;0,IFERROR(VALUE(SUBSTITUTE(TRIM(Input!E2&amp;""),"%","")),0)&lt;1),1,100))</f>
        <v>0.5</v>
      </c>
      <c r="E2">
        <f>IF(A2="","",IFERROR(VALUE(SUBSTITUTE(TRIM(Input!F2&amp;""),"%","")),0)/IF(AND(IFERROR(VALUE(SUBSTITUTE(TRIM(Input!F2&amp;""),"%","")),0)&gt;0,IFERROR(VALUE(SUBSTITUTE(TRIM(Input!F2&amp;""),"%","")),0)&lt;1),1,100))</f>
        <v>0.2</v>
      </c>
      <c r="F2">
        <f>IF(A2="","",IFERROR(VALUE(SUBSTITUTE(TRIM(Input!G2&amp;""),"%","")),0)/IF(AND(IFERROR(VALUE(SUBSTITUTE(TRIM(Input!G2&amp;""),"%","")),0)&gt;0,IFERROR(VALUE(SUBSTITUTE(TRIM(Input!G2&amp;""),"%","")),0)&lt;1),1,100))</f>
        <v>0.3</v>
      </c>
      <c r="G2">
        <f>IF(A2="","",IFERROR(VALUE(SUBSTITUTE(TRIM(Input!H2&amp;""),"%","")),0)/IF(AND(IFERROR(VALUE(SUBSTITUTE(TRIM(Input!H2&amp;""),"%","")),0)&gt;0,IFERROR(VALUE(SUBSTITUTE(TRIM(Input!H2&amp;""),"%","")),0)&lt;1),1,100))</f>
        <v>0</v>
      </c>
      <c r="H2">
        <f>IF(A2="","",IFERROR(VALUE(SUBSTITUTE(TRIM(Input!I2&amp;""),"%","")),0)/IF(AND(IFERROR(VALUE(SUBSTITUTE(TRIM(Input!I2&amp;""),"%","")),0)&gt;0,IFERROR(VALUE(SUBSTITUTE(TRIM(Input!I2&amp;""),"%","")),0)&lt;1),1,100))</f>
        <v>0</v>
      </c>
    </row>
    <row r="3" spans="1:8">
      <c r="A3" t="str">
        <f>IF(TRIM(Input!B3&amp;"")="","",UPPER(TRIM(Input!B3&amp;"")))</f>
        <v>P02</v>
      </c>
      <c r="B3">
        <f>IF(A3="","",IFERROR(VALUE(RIGHT(TRIM(Input!D3&amp;""),1)),0))</f>
        <v>1</v>
      </c>
      <c r="C3" t="str">
        <f t="shared" si="0"/>
        <v>P02|1</v>
      </c>
      <c r="D3">
        <f>IF(A3="","",IFERROR(VALUE(SUBSTITUTE(TRIM(Input!E3&amp;""),"%","")),0)/IF(AND(IFERROR(VALUE(SUBSTITUTE(TRIM(Input!E3&amp;""),"%","")),0)&gt;0,IFERROR(VALUE(SUBSTITUTE(TRIM(Input!E3&amp;""),"%","")),0)&lt;1),1,100))</f>
        <v>0.2</v>
      </c>
      <c r="E3">
        <f>IF(A3="","",IFERROR(VALUE(SUBSTITUTE(TRIM(Input!F3&amp;""),"%","")),0)/IF(AND(IFERROR(VALUE(SUBSTITUTE(TRIM(Input!F3&amp;""),"%","")),0)&gt;0,IFERROR(VALUE(SUBSTITUTE(TRIM(Input!F3&amp;""),"%","")),0)&lt;1),1,100))</f>
        <v>0.3</v>
      </c>
      <c r="F3">
        <f>IF(A3="","",IFERROR(VALUE(SUBSTITUTE(TRIM(Input!G3&amp;""),"%","")),0)/IF(AND(IFERROR(VALUE(SUBSTITUTE(TRIM(Input!G3&amp;""),"%","")),0)&gt;0,IFERROR(VALUE(SUBSTITUTE(TRIM(Input!G3&amp;""),"%","")),0)&lt;1),1,100))</f>
        <v>0.5</v>
      </c>
      <c r="G3">
        <f>IF(A3="","",IFERROR(VALUE(SUBSTITUTE(TRIM(Input!H3&amp;""),"%","")),0)/IF(AND(IFERROR(VALUE(SUBSTITUTE(TRIM(Input!H3&amp;""),"%","")),0)&gt;0,IFERROR(VALUE(SUBSTITUTE(TRIM(Input!H3&amp;""),"%","")),0)&lt;1),1,100))</f>
        <v>0</v>
      </c>
      <c r="H3">
        <f>IF(A3="","",IFERROR(VALUE(SUBSTITUTE(TRIM(Input!I3&amp;""),"%","")),0)/IF(AND(IFERROR(VALUE(SUBSTITUTE(TRIM(Input!I3&amp;""),"%","")),0)&gt;0,IFERROR(VALUE(SUBSTITUTE(TRIM(Input!I3&amp;""),"%","")),0)&lt;1),1,100))</f>
        <v>0</v>
      </c>
    </row>
    <row r="4" spans="1:8">
      <c r="A4" t="str">
        <f>IF(TRIM(Input!B4&amp;"")="","",UPPER(TRIM(Input!B4&amp;"")))</f>
        <v>P01</v>
      </c>
      <c r="B4">
        <f>IF(A4="","",IFERROR(VALUE(RIGHT(TRIM(Input!D4&amp;""),1)),0))</f>
        <v>2</v>
      </c>
      <c r="C4" t="str">
        <f t="shared" si="0"/>
        <v>P01|2</v>
      </c>
      <c r="D4">
        <f>IF(A4="","",IFERROR(VALUE(SUBSTITUTE(TRIM(Input!E4&amp;""),"%","")),0)/IF(AND(IFERROR(VALUE(SUBSTITUTE(TRIM(Input!E4&amp;""),"%","")),0)&gt;0,IFERROR(VALUE(SUBSTITUTE(TRIM(Input!E4&amp;""),"%","")),0)&lt;1),1,100))</f>
        <v>0</v>
      </c>
      <c r="E4">
        <f>IF(A4="","",IFERROR(VALUE(SUBSTITUTE(TRIM(Input!F4&amp;""),"%","")),0)/IF(AND(IFERROR(VALUE(SUBSTITUTE(TRIM(Input!F4&amp;""),"%","")),0)&gt;0,IFERROR(VALUE(SUBSTITUTE(TRIM(Input!F4&amp;""),"%","")),0)&lt;1),1,100))</f>
        <v>0</v>
      </c>
      <c r="F4">
        <f>IF(A4="","",IFERROR(VALUE(SUBSTITUTE(TRIM(Input!G4&amp;""),"%","")),0)/IF(AND(IFERROR(VALUE(SUBSTITUTE(TRIM(Input!G4&amp;""),"%","")),0)&gt;0,IFERROR(VALUE(SUBSTITUTE(TRIM(Input!G4&amp;""),"%","")),0)&lt;1),1,100))</f>
        <v>0</v>
      </c>
      <c r="G4">
        <f>IF(A4="","",IFERROR(VALUE(SUBSTITUTE(TRIM(Input!H4&amp;""),"%","")),0)/IF(AND(IFERROR(VALUE(SUBSTITUTE(TRIM(Input!H4&amp;""),"%","")),0)&gt;0,IFERROR(VALUE(SUBSTITUTE(TRIM(Input!H4&amp;""),"%","")),0)&lt;1),1,100))</f>
        <v>0</v>
      </c>
      <c r="H4">
        <f>IF(A4="","",IFERROR(VALUE(SUBSTITUTE(TRIM(Input!I4&amp;""),"%","")),0)/IF(AND(IFERROR(VALUE(SUBSTITUTE(TRIM(Input!I4&amp;""),"%","")),0)&gt;0,IFERROR(VALUE(SUBSTITUTE(TRIM(Input!I4&amp;""),"%","")),0)&lt;1),1,100))</f>
        <v>0</v>
      </c>
    </row>
    <row r="5" spans="1:8">
      <c r="A5" t="str">
        <f>IF(TRIM(Input!B5&amp;"")="","",UPPER(TRIM(Input!B5&amp;"")))</f>
        <v/>
      </c>
      <c r="B5" t="str">
        <f>IF(A5="","",IFERROR(VALUE(RIGHT(TRIM(Input!D5&amp;""),1)),0))</f>
        <v/>
      </c>
      <c r="C5" t="str">
        <f t="shared" si="0"/>
        <v/>
      </c>
      <c r="D5" t="str">
        <f>IF(A5="","",IFERROR(VALUE(SUBSTITUTE(TRIM(Input!E5&amp;""),"%","")),0)/IF(AND(IFERROR(VALUE(SUBSTITUTE(TRIM(Input!E5&amp;""),"%","")),0)&gt;0,IFERROR(VALUE(SUBSTITUTE(TRIM(Input!E5&amp;""),"%","")),0)&lt;1),1,100))</f>
        <v/>
      </c>
      <c r="E5" t="str">
        <f>IF(A5="","",IFERROR(VALUE(SUBSTITUTE(TRIM(Input!F5&amp;""),"%","")),0)/IF(AND(IFERROR(VALUE(SUBSTITUTE(TRIM(Input!F5&amp;""),"%","")),0)&gt;0,IFERROR(VALUE(SUBSTITUTE(TRIM(Input!F5&amp;""),"%","")),0)&lt;1),1,100))</f>
        <v/>
      </c>
      <c r="F5" t="str">
        <f>IF(A5="","",IFERROR(VALUE(SUBSTITUTE(TRIM(Input!G5&amp;""),"%","")),0)/IF(AND(IFERROR(VALUE(SUBSTITUTE(TRIM(Input!G5&amp;""),"%","")),0)&gt;0,IFERROR(VALUE(SUBSTITUTE(TRIM(Input!G5&amp;""),"%","")),0)&lt;1),1,100))</f>
        <v/>
      </c>
      <c r="G5" t="str">
        <f>IF(A5="","",IFERROR(VALUE(SUBSTITUTE(TRIM(Input!H5&amp;""),"%","")),0)/IF(AND(IFERROR(VALUE(SUBSTITUTE(TRIM(Input!H5&amp;""),"%","")),0)&gt;0,IFERROR(VALUE(SUBSTITUTE(TRIM(Input!H5&amp;""),"%","")),0)&lt;1),1,100))</f>
        <v/>
      </c>
      <c r="H5" t="str">
        <f>IF(A5="","",IFERROR(VALUE(SUBSTITUTE(TRIM(Input!I5&amp;""),"%","")),0)/IF(AND(IFERROR(VALUE(SUBSTITUTE(TRIM(Input!I5&amp;""),"%","")),0)&gt;0,IFERROR(VALUE(SUBSTITUTE(TRIM(Input!I5&amp;""),"%","")),0)&lt;1),1,100))</f>
        <v/>
      </c>
    </row>
    <row r="6" spans="1:8">
      <c r="A6" t="str">
        <f>IF(TRIM(Input!B6&amp;"")="","",UPPER(TRIM(Input!B6&amp;"")))</f>
        <v/>
      </c>
      <c r="B6" t="str">
        <f>IF(A6="","",IFERROR(VALUE(RIGHT(TRIM(Input!D6&amp;""),1)),0))</f>
        <v/>
      </c>
      <c r="C6" t="str">
        <f t="shared" si="0"/>
        <v/>
      </c>
      <c r="D6" t="str">
        <f>IF(A6="","",IFERROR(VALUE(SUBSTITUTE(TRIM(Input!E6&amp;""),"%","")),0)/IF(AND(IFERROR(VALUE(SUBSTITUTE(TRIM(Input!E6&amp;""),"%","")),0)&gt;0,IFERROR(VALUE(SUBSTITUTE(TRIM(Input!E6&amp;""),"%","")),0)&lt;1),1,100))</f>
        <v/>
      </c>
      <c r="E6" t="str">
        <f>IF(A6="","",IFERROR(VALUE(SUBSTITUTE(TRIM(Input!F6&amp;""),"%","")),0)/IF(AND(IFERROR(VALUE(SUBSTITUTE(TRIM(Input!F6&amp;""),"%","")),0)&gt;0,IFERROR(VALUE(SUBSTITUTE(TRIM(Input!F6&amp;""),"%","")),0)&lt;1),1,100))</f>
        <v/>
      </c>
      <c r="F6" t="str">
        <f>IF(A6="","",IFERROR(VALUE(SUBSTITUTE(TRIM(Input!G6&amp;""),"%","")),0)/IF(AND(IFERROR(VALUE(SUBSTITUTE(TRIM(Input!G6&amp;""),"%","")),0)&gt;0,IFERROR(VALUE(SUBSTITUTE(TRIM(Input!G6&amp;""),"%","")),0)&lt;1),1,100))</f>
        <v/>
      </c>
      <c r="G6" t="str">
        <f>IF(A6="","",IFERROR(VALUE(SUBSTITUTE(TRIM(Input!H6&amp;""),"%","")),0)/IF(AND(IFERROR(VALUE(SUBSTITUTE(TRIM(Input!H6&amp;""),"%","")),0)&gt;0,IFERROR(VALUE(SUBSTITUTE(TRIM(Input!H6&amp;""),"%","")),0)&lt;1),1,100))</f>
        <v/>
      </c>
      <c r="H6" t="str">
        <f>IF(A6="","",IFERROR(VALUE(SUBSTITUTE(TRIM(Input!I6&amp;""),"%","")),0)/IF(AND(IFERROR(VALUE(SUBSTITUTE(TRIM(Input!I6&amp;""),"%","")),0)&gt;0,IFERROR(VALUE(SUBSTITUTE(TRIM(Input!I6&amp;""),"%","")),0)&lt;1),1,100))</f>
        <v/>
      </c>
    </row>
    <row r="7" spans="1:8">
      <c r="A7" t="str">
        <f>IF(TRIM(Input!B7&amp;"")="","",UPPER(TRIM(Input!B7&amp;"")))</f>
        <v/>
      </c>
      <c r="B7" t="str">
        <f>IF(A7="","",IFERROR(VALUE(RIGHT(TRIM(Input!D7&amp;""),1)),0))</f>
        <v/>
      </c>
      <c r="C7" t="str">
        <f t="shared" si="0"/>
        <v/>
      </c>
      <c r="D7" t="str">
        <f>IF(A7="","",IFERROR(VALUE(SUBSTITUTE(TRIM(Input!E7&amp;""),"%","")),0)/IF(AND(IFERROR(VALUE(SUBSTITUTE(TRIM(Input!E7&amp;""),"%","")),0)&gt;0,IFERROR(VALUE(SUBSTITUTE(TRIM(Input!E7&amp;""),"%","")),0)&lt;1),1,100))</f>
        <v/>
      </c>
      <c r="E7" t="str">
        <f>IF(A7="","",IFERROR(VALUE(SUBSTITUTE(TRIM(Input!F7&amp;""),"%","")),0)/IF(AND(IFERROR(VALUE(SUBSTITUTE(TRIM(Input!F7&amp;""),"%","")),0)&gt;0,IFERROR(VALUE(SUBSTITUTE(TRIM(Input!F7&amp;""),"%","")),0)&lt;1),1,100))</f>
        <v/>
      </c>
      <c r="F7" t="str">
        <f>IF(A7="","",IFERROR(VALUE(SUBSTITUTE(TRIM(Input!G7&amp;""),"%","")),0)/IF(AND(IFERROR(VALUE(SUBSTITUTE(TRIM(Input!G7&amp;""),"%","")),0)&gt;0,IFERROR(VALUE(SUBSTITUTE(TRIM(Input!G7&amp;""),"%","")),0)&lt;1),1,100))</f>
        <v/>
      </c>
      <c r="G7" t="str">
        <f>IF(A7="","",IFERROR(VALUE(SUBSTITUTE(TRIM(Input!H7&amp;""),"%","")),0)/IF(AND(IFERROR(VALUE(SUBSTITUTE(TRIM(Input!H7&amp;""),"%","")),0)&gt;0,IFERROR(VALUE(SUBSTITUTE(TRIM(Input!H7&amp;""),"%","")),0)&lt;1),1,100))</f>
        <v/>
      </c>
      <c r="H7" t="str">
        <f>IF(A7="","",IFERROR(VALUE(SUBSTITUTE(TRIM(Input!I7&amp;""),"%","")),0)/IF(AND(IFERROR(VALUE(SUBSTITUTE(TRIM(Input!I7&amp;""),"%","")),0)&gt;0,IFERROR(VALUE(SUBSTITUTE(TRIM(Input!I7&amp;""),"%","")),0)&lt;1),1,100))</f>
        <v/>
      </c>
    </row>
    <row r="8" spans="1:8">
      <c r="A8" t="str">
        <f>IF(TRIM(Input!B8&amp;"")="","",UPPER(TRIM(Input!B8&amp;"")))</f>
        <v/>
      </c>
      <c r="B8" t="str">
        <f>IF(A8="","",IFERROR(VALUE(RIGHT(TRIM(Input!D8&amp;""),1)),0))</f>
        <v/>
      </c>
      <c r="C8" t="str">
        <f t="shared" si="0"/>
        <v/>
      </c>
      <c r="D8" t="str">
        <f>IF(A8="","",IFERROR(VALUE(SUBSTITUTE(TRIM(Input!E8&amp;""),"%","")),0)/IF(AND(IFERROR(VALUE(SUBSTITUTE(TRIM(Input!E8&amp;""),"%","")),0)&gt;0,IFERROR(VALUE(SUBSTITUTE(TRIM(Input!E8&amp;""),"%","")),0)&lt;1),1,100))</f>
        <v/>
      </c>
      <c r="E8" t="str">
        <f>IF(A8="","",IFERROR(VALUE(SUBSTITUTE(TRIM(Input!F8&amp;""),"%","")),0)/IF(AND(IFERROR(VALUE(SUBSTITUTE(TRIM(Input!F8&amp;""),"%","")),0)&gt;0,IFERROR(VALUE(SUBSTITUTE(TRIM(Input!F8&amp;""),"%","")),0)&lt;1),1,100))</f>
        <v/>
      </c>
      <c r="F8" t="str">
        <f>IF(A8="","",IFERROR(VALUE(SUBSTITUTE(TRIM(Input!G8&amp;""),"%","")),0)/IF(AND(IFERROR(VALUE(SUBSTITUTE(TRIM(Input!G8&amp;""),"%","")),0)&gt;0,IFERROR(VALUE(SUBSTITUTE(TRIM(Input!G8&amp;""),"%","")),0)&lt;1),1,100))</f>
        <v/>
      </c>
      <c r="G8" t="str">
        <f>IF(A8="","",IFERROR(VALUE(SUBSTITUTE(TRIM(Input!H8&amp;""),"%","")),0)/IF(AND(IFERROR(VALUE(SUBSTITUTE(TRIM(Input!H8&amp;""),"%","")),0)&gt;0,IFERROR(VALUE(SUBSTITUTE(TRIM(Input!H8&amp;""),"%","")),0)&lt;1),1,100))</f>
        <v/>
      </c>
      <c r="H8" t="str">
        <f>IF(A8="","",IFERROR(VALUE(SUBSTITUTE(TRIM(Input!I8&amp;""),"%","")),0)/IF(AND(IFERROR(VALUE(SUBSTITUTE(TRIM(Input!I8&amp;""),"%","")),0)&gt;0,IFERROR(VALUE(SUBSTITUTE(TRIM(Input!I8&amp;""),"%","")),0)&lt;1),1,100))</f>
        <v/>
      </c>
    </row>
    <row r="9" spans="1:8">
      <c r="A9" t="str">
        <f>IF(TRIM(Input!B9&amp;"")="","",UPPER(TRIM(Input!B9&amp;"")))</f>
        <v/>
      </c>
      <c r="B9" t="str">
        <f>IF(A9="","",IFERROR(VALUE(RIGHT(TRIM(Input!D9&amp;""),1)),0))</f>
        <v/>
      </c>
      <c r="C9" t="str">
        <f t="shared" si="0"/>
        <v/>
      </c>
      <c r="D9" t="str">
        <f>IF(A9="","",IFERROR(VALUE(SUBSTITUTE(TRIM(Input!E9&amp;""),"%","")),0)/IF(AND(IFERROR(VALUE(SUBSTITUTE(TRIM(Input!E9&amp;""),"%","")),0)&gt;0,IFERROR(VALUE(SUBSTITUTE(TRIM(Input!E9&amp;""),"%","")),0)&lt;1),1,100))</f>
        <v/>
      </c>
      <c r="E9" t="str">
        <f>IF(A9="","",IFERROR(VALUE(SUBSTITUTE(TRIM(Input!F9&amp;""),"%","")),0)/IF(AND(IFERROR(VALUE(SUBSTITUTE(TRIM(Input!F9&amp;""),"%","")),0)&gt;0,IFERROR(VALUE(SUBSTITUTE(TRIM(Input!F9&amp;""),"%","")),0)&lt;1),1,100))</f>
        <v/>
      </c>
      <c r="F9" t="str">
        <f>IF(A9="","",IFERROR(VALUE(SUBSTITUTE(TRIM(Input!G9&amp;""),"%","")),0)/IF(AND(IFERROR(VALUE(SUBSTITUTE(TRIM(Input!G9&amp;""),"%","")),0)&gt;0,IFERROR(VALUE(SUBSTITUTE(TRIM(Input!G9&amp;""),"%","")),0)&lt;1),1,100))</f>
        <v/>
      </c>
      <c r="G9" t="str">
        <f>IF(A9="","",IFERROR(VALUE(SUBSTITUTE(TRIM(Input!H9&amp;""),"%","")),0)/IF(AND(IFERROR(VALUE(SUBSTITUTE(TRIM(Input!H9&amp;""),"%","")),0)&gt;0,IFERROR(VALUE(SUBSTITUTE(TRIM(Input!H9&amp;""),"%","")),0)&lt;1),1,100))</f>
        <v/>
      </c>
      <c r="H9" t="str">
        <f>IF(A9="","",IFERROR(VALUE(SUBSTITUTE(TRIM(Input!I9&amp;""),"%","")),0)/IF(AND(IFERROR(VALUE(SUBSTITUTE(TRIM(Input!I9&amp;""),"%","")),0)&gt;0,IFERROR(VALUE(SUBSTITUTE(TRIM(Input!I9&amp;""),"%","")),0)&lt;1),1,100))</f>
        <v/>
      </c>
    </row>
    <row r="10" spans="1:8">
      <c r="A10" t="str">
        <f>IF(TRIM(Input!B10&amp;"")="","",UPPER(TRIM(Input!B10&amp;"")))</f>
        <v/>
      </c>
      <c r="B10" t="str">
        <f>IF(A10="","",IFERROR(VALUE(RIGHT(TRIM(Input!D10&amp;""),1)),0))</f>
        <v/>
      </c>
      <c r="C10" t="str">
        <f t="shared" si="0"/>
        <v/>
      </c>
      <c r="D10" t="str">
        <f>IF(A10="","",IFERROR(VALUE(SUBSTITUTE(TRIM(Input!E10&amp;""),"%","")),0)/IF(AND(IFERROR(VALUE(SUBSTITUTE(TRIM(Input!E10&amp;""),"%","")),0)&gt;0,IFERROR(VALUE(SUBSTITUTE(TRIM(Input!E10&amp;""),"%","")),0)&lt;1),1,100))</f>
        <v/>
      </c>
      <c r="E10" t="str">
        <f>IF(A10="","",IFERROR(VALUE(SUBSTITUTE(TRIM(Input!F10&amp;""),"%","")),0)/IF(AND(IFERROR(VALUE(SUBSTITUTE(TRIM(Input!F10&amp;""),"%","")),0)&gt;0,IFERROR(VALUE(SUBSTITUTE(TRIM(Input!F10&amp;""),"%","")),0)&lt;1),1,100))</f>
        <v/>
      </c>
      <c r="F10" t="str">
        <f>IF(A10="","",IFERROR(VALUE(SUBSTITUTE(TRIM(Input!G10&amp;""),"%","")),0)/IF(AND(IFERROR(VALUE(SUBSTITUTE(TRIM(Input!G10&amp;""),"%","")),0)&gt;0,IFERROR(VALUE(SUBSTITUTE(TRIM(Input!G10&amp;""),"%","")),0)&lt;1),1,100))</f>
        <v/>
      </c>
      <c r="G10" t="str">
        <f>IF(A10="","",IFERROR(VALUE(SUBSTITUTE(TRIM(Input!H10&amp;""),"%","")),0)/IF(AND(IFERROR(VALUE(SUBSTITUTE(TRIM(Input!H10&amp;""),"%","")),0)&gt;0,IFERROR(VALUE(SUBSTITUTE(TRIM(Input!H10&amp;""),"%","")),0)&lt;1),1,100))</f>
        <v/>
      </c>
      <c r="H10" t="str">
        <f>IF(A10="","",IFERROR(VALUE(SUBSTITUTE(TRIM(Input!I10&amp;""),"%","")),0)/IF(AND(IFERROR(VALUE(SUBSTITUTE(TRIM(Input!I10&amp;""),"%","")),0)&gt;0,IFERROR(VALUE(SUBSTITUTE(TRIM(Input!I10&amp;""),"%","")),0)&lt;1),1,100))</f>
        <v/>
      </c>
    </row>
    <row r="11" spans="1:8">
      <c r="A11" t="str">
        <f>IF(TRIM(Input!B11&amp;"")="","",UPPER(TRIM(Input!B11&amp;"")))</f>
        <v/>
      </c>
      <c r="B11" t="str">
        <f>IF(A11="","",IFERROR(VALUE(RIGHT(TRIM(Input!D11&amp;""),1)),0))</f>
        <v/>
      </c>
      <c r="C11" t="str">
        <f t="shared" si="0"/>
        <v/>
      </c>
      <c r="D11" t="str">
        <f>IF(A11="","",IFERROR(VALUE(SUBSTITUTE(TRIM(Input!E11&amp;""),"%","")),0)/IF(AND(IFERROR(VALUE(SUBSTITUTE(TRIM(Input!E11&amp;""),"%","")),0)&gt;0,IFERROR(VALUE(SUBSTITUTE(TRIM(Input!E11&amp;""),"%","")),0)&lt;1),1,100))</f>
        <v/>
      </c>
      <c r="E11" t="str">
        <f>IF(A11="","",IFERROR(VALUE(SUBSTITUTE(TRIM(Input!F11&amp;""),"%","")),0)/IF(AND(IFERROR(VALUE(SUBSTITUTE(TRIM(Input!F11&amp;""),"%","")),0)&gt;0,IFERROR(VALUE(SUBSTITUTE(TRIM(Input!F11&amp;""),"%","")),0)&lt;1),1,100))</f>
        <v/>
      </c>
      <c r="F11" t="str">
        <f>IF(A11="","",IFERROR(VALUE(SUBSTITUTE(TRIM(Input!G11&amp;""),"%","")),0)/IF(AND(IFERROR(VALUE(SUBSTITUTE(TRIM(Input!G11&amp;""),"%","")),0)&gt;0,IFERROR(VALUE(SUBSTITUTE(TRIM(Input!G11&amp;""),"%","")),0)&lt;1),1,100))</f>
        <v/>
      </c>
      <c r="G11" t="str">
        <f>IF(A11="","",IFERROR(VALUE(SUBSTITUTE(TRIM(Input!H11&amp;""),"%","")),0)/IF(AND(IFERROR(VALUE(SUBSTITUTE(TRIM(Input!H11&amp;""),"%","")),0)&gt;0,IFERROR(VALUE(SUBSTITUTE(TRIM(Input!H11&amp;""),"%","")),0)&lt;1),1,100))</f>
        <v/>
      </c>
      <c r="H11" t="str">
        <f>IF(A11="","",IFERROR(VALUE(SUBSTITUTE(TRIM(Input!I11&amp;""),"%","")),0)/IF(AND(IFERROR(VALUE(SUBSTITUTE(TRIM(Input!I11&amp;""),"%","")),0)&gt;0,IFERROR(VALUE(SUBSTITUTE(TRIM(Input!I11&amp;""),"%","")),0)&lt;1),1,100))</f>
        <v/>
      </c>
    </row>
    <row r="12" spans="1:8">
      <c r="A12" t="str">
        <f>IF(TRIM(Input!B12&amp;"")="","",UPPER(TRIM(Input!B12&amp;"")))</f>
        <v/>
      </c>
      <c r="B12" t="str">
        <f>IF(A12="","",IFERROR(VALUE(RIGHT(TRIM(Input!D12&amp;""),1)),0))</f>
        <v/>
      </c>
      <c r="C12" t="str">
        <f t="shared" si="0"/>
        <v/>
      </c>
      <c r="D12" t="str">
        <f>IF(A12="","",IFERROR(VALUE(SUBSTITUTE(TRIM(Input!E12&amp;""),"%","")),0)/IF(AND(IFERROR(VALUE(SUBSTITUTE(TRIM(Input!E12&amp;""),"%","")),0)&gt;0,IFERROR(VALUE(SUBSTITUTE(TRIM(Input!E12&amp;""),"%","")),0)&lt;1),1,100))</f>
        <v/>
      </c>
      <c r="E12" t="str">
        <f>IF(A12="","",IFERROR(VALUE(SUBSTITUTE(TRIM(Input!F12&amp;""),"%","")),0)/IF(AND(IFERROR(VALUE(SUBSTITUTE(TRIM(Input!F12&amp;""),"%","")),0)&gt;0,IFERROR(VALUE(SUBSTITUTE(TRIM(Input!F12&amp;""),"%","")),0)&lt;1),1,100))</f>
        <v/>
      </c>
      <c r="F12" t="str">
        <f>IF(A12="","",IFERROR(VALUE(SUBSTITUTE(TRIM(Input!G12&amp;""),"%","")),0)/IF(AND(IFERROR(VALUE(SUBSTITUTE(TRIM(Input!G12&amp;""),"%","")),0)&gt;0,IFERROR(VALUE(SUBSTITUTE(TRIM(Input!G12&amp;""),"%","")),0)&lt;1),1,100))</f>
        <v/>
      </c>
      <c r="G12" t="str">
        <f>IF(A12="","",IFERROR(VALUE(SUBSTITUTE(TRIM(Input!H12&amp;""),"%","")),0)/IF(AND(IFERROR(VALUE(SUBSTITUTE(TRIM(Input!H12&amp;""),"%","")),0)&gt;0,IFERROR(VALUE(SUBSTITUTE(TRIM(Input!H12&amp;""),"%","")),0)&lt;1),1,100))</f>
        <v/>
      </c>
      <c r="H12" t="str">
        <f>IF(A12="","",IFERROR(VALUE(SUBSTITUTE(TRIM(Input!I12&amp;""),"%","")),0)/IF(AND(IFERROR(VALUE(SUBSTITUTE(TRIM(Input!I12&amp;""),"%","")),0)&gt;0,IFERROR(VALUE(SUBSTITUTE(TRIM(Input!I12&amp;""),"%","")),0)&lt;1),1,100))</f>
        <v/>
      </c>
    </row>
    <row r="13" spans="1:8">
      <c r="A13" t="str">
        <f>IF(TRIM(Input!B13&amp;"")="","",UPPER(TRIM(Input!B13&amp;"")))</f>
        <v/>
      </c>
      <c r="B13" t="str">
        <f>IF(A13="","",IFERROR(VALUE(RIGHT(TRIM(Input!D13&amp;""),1)),0))</f>
        <v/>
      </c>
      <c r="C13" t="str">
        <f t="shared" si="0"/>
        <v/>
      </c>
      <c r="D13" t="str">
        <f>IF(A13="","",IFERROR(VALUE(SUBSTITUTE(TRIM(Input!E13&amp;""),"%","")),0)/IF(AND(IFERROR(VALUE(SUBSTITUTE(TRIM(Input!E13&amp;""),"%","")),0)&gt;0,IFERROR(VALUE(SUBSTITUTE(TRIM(Input!E13&amp;""),"%","")),0)&lt;1),1,100))</f>
        <v/>
      </c>
      <c r="E13" t="str">
        <f>IF(A13="","",IFERROR(VALUE(SUBSTITUTE(TRIM(Input!F13&amp;""),"%","")),0)/IF(AND(IFERROR(VALUE(SUBSTITUTE(TRIM(Input!F13&amp;""),"%","")),0)&gt;0,IFERROR(VALUE(SUBSTITUTE(TRIM(Input!F13&amp;""),"%","")),0)&lt;1),1,100))</f>
        <v/>
      </c>
      <c r="F13" t="str">
        <f>IF(A13="","",IFERROR(VALUE(SUBSTITUTE(TRIM(Input!G13&amp;""),"%","")),0)/IF(AND(IFERROR(VALUE(SUBSTITUTE(TRIM(Input!G13&amp;""),"%","")),0)&gt;0,IFERROR(VALUE(SUBSTITUTE(TRIM(Input!G13&amp;""),"%","")),0)&lt;1),1,100))</f>
        <v/>
      </c>
      <c r="G13" t="str">
        <f>IF(A13="","",IFERROR(VALUE(SUBSTITUTE(TRIM(Input!H13&amp;""),"%","")),0)/IF(AND(IFERROR(VALUE(SUBSTITUTE(TRIM(Input!H13&amp;""),"%","")),0)&gt;0,IFERROR(VALUE(SUBSTITUTE(TRIM(Input!H13&amp;""),"%","")),0)&lt;1),1,100))</f>
        <v/>
      </c>
      <c r="H13" t="str">
        <f>IF(A13="","",IFERROR(VALUE(SUBSTITUTE(TRIM(Input!I13&amp;""),"%","")),0)/IF(AND(IFERROR(VALUE(SUBSTITUTE(TRIM(Input!I13&amp;""),"%","")),0)&gt;0,IFERROR(VALUE(SUBSTITUTE(TRIM(Input!I13&amp;""),"%","")),0)&lt;1),1,100))</f>
        <v/>
      </c>
    </row>
    <row r="14" spans="1:8">
      <c r="A14" t="str">
        <f>IF(TRIM(Input!B14&amp;"")="","",UPPER(TRIM(Input!B14&amp;"")))</f>
        <v/>
      </c>
      <c r="B14" t="str">
        <f>IF(A14="","",IFERROR(VALUE(RIGHT(TRIM(Input!D14&amp;""),1)),0))</f>
        <v/>
      </c>
      <c r="C14" t="str">
        <f t="shared" si="0"/>
        <v/>
      </c>
      <c r="D14" t="str">
        <f>IF(A14="","",IFERROR(VALUE(SUBSTITUTE(TRIM(Input!E14&amp;""),"%","")),0)/IF(AND(IFERROR(VALUE(SUBSTITUTE(TRIM(Input!E14&amp;""),"%","")),0)&gt;0,IFERROR(VALUE(SUBSTITUTE(TRIM(Input!E14&amp;""),"%","")),0)&lt;1),1,100))</f>
        <v/>
      </c>
      <c r="E14" t="str">
        <f>IF(A14="","",IFERROR(VALUE(SUBSTITUTE(TRIM(Input!F14&amp;""),"%","")),0)/IF(AND(IFERROR(VALUE(SUBSTITUTE(TRIM(Input!F14&amp;""),"%","")),0)&gt;0,IFERROR(VALUE(SUBSTITUTE(TRIM(Input!F14&amp;""),"%","")),0)&lt;1),1,100))</f>
        <v/>
      </c>
      <c r="F14" t="str">
        <f>IF(A14="","",IFERROR(VALUE(SUBSTITUTE(TRIM(Input!G14&amp;""),"%","")),0)/IF(AND(IFERROR(VALUE(SUBSTITUTE(TRIM(Input!G14&amp;""),"%","")),0)&gt;0,IFERROR(VALUE(SUBSTITUTE(TRIM(Input!G14&amp;""),"%","")),0)&lt;1),1,100))</f>
        <v/>
      </c>
      <c r="G14" t="str">
        <f>IF(A14="","",IFERROR(VALUE(SUBSTITUTE(TRIM(Input!H14&amp;""),"%","")),0)/IF(AND(IFERROR(VALUE(SUBSTITUTE(TRIM(Input!H14&amp;""),"%","")),0)&gt;0,IFERROR(VALUE(SUBSTITUTE(TRIM(Input!H14&amp;""),"%","")),0)&lt;1),1,100))</f>
        <v/>
      </c>
      <c r="H14" t="str">
        <f>IF(A14="","",IFERROR(VALUE(SUBSTITUTE(TRIM(Input!I14&amp;""),"%","")),0)/IF(AND(IFERROR(VALUE(SUBSTITUTE(TRIM(Input!I14&amp;""),"%","")),0)&gt;0,IFERROR(VALUE(SUBSTITUTE(TRIM(Input!I14&amp;""),"%","")),0)&lt;1),1,100))</f>
        <v/>
      </c>
    </row>
    <row r="15" spans="1:8">
      <c r="A15" t="str">
        <f>IF(TRIM(Input!B15&amp;"")="","",UPPER(TRIM(Input!B15&amp;"")))</f>
        <v/>
      </c>
      <c r="B15" t="str">
        <f>IF(A15="","",IFERROR(VALUE(RIGHT(TRIM(Input!D15&amp;""),1)),0))</f>
        <v/>
      </c>
      <c r="C15" t="str">
        <f t="shared" si="0"/>
        <v/>
      </c>
      <c r="D15" t="str">
        <f>IF(A15="","",IFERROR(VALUE(SUBSTITUTE(TRIM(Input!E15&amp;""),"%","")),0)/IF(AND(IFERROR(VALUE(SUBSTITUTE(TRIM(Input!E15&amp;""),"%","")),0)&gt;0,IFERROR(VALUE(SUBSTITUTE(TRIM(Input!E15&amp;""),"%","")),0)&lt;1),1,100))</f>
        <v/>
      </c>
      <c r="E15" t="str">
        <f>IF(A15="","",IFERROR(VALUE(SUBSTITUTE(TRIM(Input!F15&amp;""),"%","")),0)/IF(AND(IFERROR(VALUE(SUBSTITUTE(TRIM(Input!F15&amp;""),"%","")),0)&gt;0,IFERROR(VALUE(SUBSTITUTE(TRIM(Input!F15&amp;""),"%","")),0)&lt;1),1,100))</f>
        <v/>
      </c>
      <c r="F15" t="str">
        <f>IF(A15="","",IFERROR(VALUE(SUBSTITUTE(TRIM(Input!G15&amp;""),"%","")),0)/IF(AND(IFERROR(VALUE(SUBSTITUTE(TRIM(Input!G15&amp;""),"%","")),0)&gt;0,IFERROR(VALUE(SUBSTITUTE(TRIM(Input!G15&amp;""),"%","")),0)&lt;1),1,100))</f>
        <v/>
      </c>
      <c r="G15" t="str">
        <f>IF(A15="","",IFERROR(VALUE(SUBSTITUTE(TRIM(Input!H15&amp;""),"%","")),0)/IF(AND(IFERROR(VALUE(SUBSTITUTE(TRIM(Input!H15&amp;""),"%","")),0)&gt;0,IFERROR(VALUE(SUBSTITUTE(TRIM(Input!H15&amp;""),"%","")),0)&lt;1),1,100))</f>
        <v/>
      </c>
      <c r="H15" t="str">
        <f>IF(A15="","",IFERROR(VALUE(SUBSTITUTE(TRIM(Input!I15&amp;""),"%","")),0)/IF(AND(IFERROR(VALUE(SUBSTITUTE(TRIM(Input!I15&amp;""),"%","")),0)&gt;0,IFERROR(VALUE(SUBSTITUTE(TRIM(Input!I15&amp;""),"%","")),0)&lt;1),1,100))</f>
        <v/>
      </c>
    </row>
    <row r="16" spans="1:8">
      <c r="A16" t="str">
        <f>IF(TRIM(Input!B16&amp;"")="","",UPPER(TRIM(Input!B16&amp;"")))</f>
        <v/>
      </c>
      <c r="B16" t="str">
        <f>IF(A16="","",IFERROR(VALUE(RIGHT(TRIM(Input!D16&amp;""),1)),0))</f>
        <v/>
      </c>
      <c r="C16" t="str">
        <f t="shared" si="0"/>
        <v/>
      </c>
      <c r="D16" t="str">
        <f>IF(A16="","",IFERROR(VALUE(SUBSTITUTE(TRIM(Input!E16&amp;""),"%","")),0)/IF(AND(IFERROR(VALUE(SUBSTITUTE(TRIM(Input!E16&amp;""),"%","")),0)&gt;0,IFERROR(VALUE(SUBSTITUTE(TRIM(Input!E16&amp;""),"%","")),0)&lt;1),1,100))</f>
        <v/>
      </c>
      <c r="E16" t="str">
        <f>IF(A16="","",IFERROR(VALUE(SUBSTITUTE(TRIM(Input!F16&amp;""),"%","")),0)/IF(AND(IFERROR(VALUE(SUBSTITUTE(TRIM(Input!F16&amp;""),"%","")),0)&gt;0,IFERROR(VALUE(SUBSTITUTE(TRIM(Input!F16&amp;""),"%","")),0)&lt;1),1,100))</f>
        <v/>
      </c>
      <c r="F16" t="str">
        <f>IF(A16="","",IFERROR(VALUE(SUBSTITUTE(TRIM(Input!G16&amp;""),"%","")),0)/IF(AND(IFERROR(VALUE(SUBSTITUTE(TRIM(Input!G16&amp;""),"%","")),0)&gt;0,IFERROR(VALUE(SUBSTITUTE(TRIM(Input!G16&amp;""),"%","")),0)&lt;1),1,100))</f>
        <v/>
      </c>
      <c r="G16" t="str">
        <f>IF(A16="","",IFERROR(VALUE(SUBSTITUTE(TRIM(Input!H16&amp;""),"%","")),0)/IF(AND(IFERROR(VALUE(SUBSTITUTE(TRIM(Input!H16&amp;""),"%","")),0)&gt;0,IFERROR(VALUE(SUBSTITUTE(TRIM(Input!H16&amp;""),"%","")),0)&lt;1),1,100))</f>
        <v/>
      </c>
      <c r="H16" t="str">
        <f>IF(A16="","",IFERROR(VALUE(SUBSTITUTE(TRIM(Input!I16&amp;""),"%","")),0)/IF(AND(IFERROR(VALUE(SUBSTITUTE(TRIM(Input!I16&amp;""),"%","")),0)&gt;0,IFERROR(VALUE(SUBSTITUTE(TRIM(Input!I16&amp;""),"%","")),0)&lt;1),1,100))</f>
        <v/>
      </c>
    </row>
    <row r="17" spans="1:8">
      <c r="A17" t="str">
        <f>IF(TRIM(Input!B17&amp;"")="","",UPPER(TRIM(Input!B17&amp;"")))</f>
        <v/>
      </c>
      <c r="B17" t="str">
        <f>IF(A17="","",IFERROR(VALUE(RIGHT(TRIM(Input!D17&amp;""),1)),0))</f>
        <v/>
      </c>
      <c r="C17" t="str">
        <f t="shared" si="0"/>
        <v/>
      </c>
      <c r="D17" t="str">
        <f>IF(A17="","",IFERROR(VALUE(SUBSTITUTE(TRIM(Input!E17&amp;""),"%","")),0)/IF(AND(IFERROR(VALUE(SUBSTITUTE(TRIM(Input!E17&amp;""),"%","")),0)&gt;0,IFERROR(VALUE(SUBSTITUTE(TRIM(Input!E17&amp;""),"%","")),0)&lt;1),1,100))</f>
        <v/>
      </c>
      <c r="E17" t="str">
        <f>IF(A17="","",IFERROR(VALUE(SUBSTITUTE(TRIM(Input!F17&amp;""),"%","")),0)/IF(AND(IFERROR(VALUE(SUBSTITUTE(TRIM(Input!F17&amp;""),"%","")),0)&gt;0,IFERROR(VALUE(SUBSTITUTE(TRIM(Input!F17&amp;""),"%","")),0)&lt;1),1,100))</f>
        <v/>
      </c>
      <c r="F17" t="str">
        <f>IF(A17="","",IFERROR(VALUE(SUBSTITUTE(TRIM(Input!G17&amp;""),"%","")),0)/IF(AND(IFERROR(VALUE(SUBSTITUTE(TRIM(Input!G17&amp;""),"%","")),0)&gt;0,IFERROR(VALUE(SUBSTITUTE(TRIM(Input!G17&amp;""),"%","")),0)&lt;1),1,100))</f>
        <v/>
      </c>
      <c r="G17" t="str">
        <f>IF(A17="","",IFERROR(VALUE(SUBSTITUTE(TRIM(Input!H17&amp;""),"%","")),0)/IF(AND(IFERROR(VALUE(SUBSTITUTE(TRIM(Input!H17&amp;""),"%","")),0)&gt;0,IFERROR(VALUE(SUBSTITUTE(TRIM(Input!H17&amp;""),"%","")),0)&lt;1),1,100))</f>
        <v/>
      </c>
      <c r="H17" t="str">
        <f>IF(A17="","",IFERROR(VALUE(SUBSTITUTE(TRIM(Input!I17&amp;""),"%","")),0)/IF(AND(IFERROR(VALUE(SUBSTITUTE(TRIM(Input!I17&amp;""),"%","")),0)&gt;0,IFERROR(VALUE(SUBSTITUTE(TRIM(Input!I17&amp;""),"%","")),0)&lt;1),1,100))</f>
        <v/>
      </c>
    </row>
    <row r="18" spans="1:8">
      <c r="A18" t="str">
        <f>IF(TRIM(Input!B18&amp;"")="","",UPPER(TRIM(Input!B18&amp;"")))</f>
        <v/>
      </c>
      <c r="B18" t="str">
        <f>IF(A18="","",IFERROR(VALUE(RIGHT(TRIM(Input!D18&amp;""),1)),0))</f>
        <v/>
      </c>
      <c r="C18" t="str">
        <f t="shared" si="0"/>
        <v/>
      </c>
      <c r="D18" t="str">
        <f>IF(A18="","",IFERROR(VALUE(SUBSTITUTE(TRIM(Input!E18&amp;""),"%","")),0)/IF(AND(IFERROR(VALUE(SUBSTITUTE(TRIM(Input!E18&amp;""),"%","")),0)&gt;0,IFERROR(VALUE(SUBSTITUTE(TRIM(Input!E18&amp;""),"%","")),0)&lt;1),1,100))</f>
        <v/>
      </c>
      <c r="E18" t="str">
        <f>IF(A18="","",IFERROR(VALUE(SUBSTITUTE(TRIM(Input!F18&amp;""),"%","")),0)/IF(AND(IFERROR(VALUE(SUBSTITUTE(TRIM(Input!F18&amp;""),"%","")),0)&gt;0,IFERROR(VALUE(SUBSTITUTE(TRIM(Input!F18&amp;""),"%","")),0)&lt;1),1,100))</f>
        <v/>
      </c>
      <c r="F18" t="str">
        <f>IF(A18="","",IFERROR(VALUE(SUBSTITUTE(TRIM(Input!G18&amp;""),"%","")),0)/IF(AND(IFERROR(VALUE(SUBSTITUTE(TRIM(Input!G18&amp;""),"%","")),0)&gt;0,IFERROR(VALUE(SUBSTITUTE(TRIM(Input!G18&amp;""),"%","")),0)&lt;1),1,100))</f>
        <v/>
      </c>
      <c r="G18" t="str">
        <f>IF(A18="","",IFERROR(VALUE(SUBSTITUTE(TRIM(Input!H18&amp;""),"%","")),0)/IF(AND(IFERROR(VALUE(SUBSTITUTE(TRIM(Input!H18&amp;""),"%","")),0)&gt;0,IFERROR(VALUE(SUBSTITUTE(TRIM(Input!H18&amp;""),"%","")),0)&lt;1),1,100))</f>
        <v/>
      </c>
      <c r="H18" t="str">
        <f>IF(A18="","",IFERROR(VALUE(SUBSTITUTE(TRIM(Input!I18&amp;""),"%","")),0)/IF(AND(IFERROR(VALUE(SUBSTITUTE(TRIM(Input!I18&amp;""),"%","")),0)&gt;0,IFERROR(VALUE(SUBSTITUTE(TRIM(Input!I18&amp;""),"%","")),0)&lt;1),1,100))</f>
        <v/>
      </c>
    </row>
    <row r="19" spans="1:8">
      <c r="A19" t="str">
        <f>IF(TRIM(Input!B19&amp;"")="","",UPPER(TRIM(Input!B19&amp;"")))</f>
        <v/>
      </c>
      <c r="B19" t="str">
        <f>IF(A19="","",IFERROR(VALUE(RIGHT(TRIM(Input!D19&amp;""),1)),0))</f>
        <v/>
      </c>
      <c r="C19" t="str">
        <f t="shared" si="0"/>
        <v/>
      </c>
      <c r="D19" t="str">
        <f>IF(A19="","",IFERROR(VALUE(SUBSTITUTE(TRIM(Input!E19&amp;""),"%","")),0)/IF(AND(IFERROR(VALUE(SUBSTITUTE(TRIM(Input!E19&amp;""),"%","")),0)&gt;0,IFERROR(VALUE(SUBSTITUTE(TRIM(Input!E19&amp;""),"%","")),0)&lt;1),1,100))</f>
        <v/>
      </c>
      <c r="E19" t="str">
        <f>IF(A19="","",IFERROR(VALUE(SUBSTITUTE(TRIM(Input!F19&amp;""),"%","")),0)/IF(AND(IFERROR(VALUE(SUBSTITUTE(TRIM(Input!F19&amp;""),"%","")),0)&gt;0,IFERROR(VALUE(SUBSTITUTE(TRIM(Input!F19&amp;""),"%","")),0)&lt;1),1,100))</f>
        <v/>
      </c>
      <c r="F19" t="str">
        <f>IF(A19="","",IFERROR(VALUE(SUBSTITUTE(TRIM(Input!G19&amp;""),"%","")),0)/IF(AND(IFERROR(VALUE(SUBSTITUTE(TRIM(Input!G19&amp;""),"%","")),0)&gt;0,IFERROR(VALUE(SUBSTITUTE(TRIM(Input!G19&amp;""),"%","")),0)&lt;1),1,100))</f>
        <v/>
      </c>
      <c r="G19" t="str">
        <f>IF(A19="","",IFERROR(VALUE(SUBSTITUTE(TRIM(Input!H19&amp;""),"%","")),0)/IF(AND(IFERROR(VALUE(SUBSTITUTE(TRIM(Input!H19&amp;""),"%","")),0)&gt;0,IFERROR(VALUE(SUBSTITUTE(TRIM(Input!H19&amp;""),"%","")),0)&lt;1),1,100))</f>
        <v/>
      </c>
      <c r="H19" t="str">
        <f>IF(A19="","",IFERROR(VALUE(SUBSTITUTE(TRIM(Input!I19&amp;""),"%","")),0)/IF(AND(IFERROR(VALUE(SUBSTITUTE(TRIM(Input!I19&amp;""),"%","")),0)&gt;0,IFERROR(VALUE(SUBSTITUTE(TRIM(Input!I19&amp;""),"%","")),0)&lt;1),1,100))</f>
        <v/>
      </c>
    </row>
    <row r="20" spans="1:8">
      <c r="A20" t="str">
        <f>IF(TRIM(Input!B20&amp;"")="","",UPPER(TRIM(Input!B20&amp;"")))</f>
        <v/>
      </c>
      <c r="B20" t="str">
        <f>IF(A20="","",IFERROR(VALUE(RIGHT(TRIM(Input!D20&amp;""),1)),0))</f>
        <v/>
      </c>
      <c r="C20" t="str">
        <f t="shared" si="0"/>
        <v/>
      </c>
      <c r="D20" t="str">
        <f>IF(A20="","",IFERROR(VALUE(SUBSTITUTE(TRIM(Input!E20&amp;""),"%","")),0)/IF(AND(IFERROR(VALUE(SUBSTITUTE(TRIM(Input!E20&amp;""),"%","")),0)&gt;0,IFERROR(VALUE(SUBSTITUTE(TRIM(Input!E20&amp;""),"%","")),0)&lt;1),1,100))</f>
        <v/>
      </c>
      <c r="E20" t="str">
        <f>IF(A20="","",IFERROR(VALUE(SUBSTITUTE(TRIM(Input!F20&amp;""),"%","")),0)/IF(AND(IFERROR(VALUE(SUBSTITUTE(TRIM(Input!F20&amp;""),"%","")),0)&gt;0,IFERROR(VALUE(SUBSTITUTE(TRIM(Input!F20&amp;""),"%","")),0)&lt;1),1,100))</f>
        <v/>
      </c>
      <c r="F20" t="str">
        <f>IF(A20="","",IFERROR(VALUE(SUBSTITUTE(TRIM(Input!G20&amp;""),"%","")),0)/IF(AND(IFERROR(VALUE(SUBSTITUTE(TRIM(Input!G20&amp;""),"%","")),0)&gt;0,IFERROR(VALUE(SUBSTITUTE(TRIM(Input!G20&amp;""),"%","")),0)&lt;1),1,100))</f>
        <v/>
      </c>
      <c r="G20" t="str">
        <f>IF(A20="","",IFERROR(VALUE(SUBSTITUTE(TRIM(Input!H20&amp;""),"%","")),0)/IF(AND(IFERROR(VALUE(SUBSTITUTE(TRIM(Input!H20&amp;""),"%","")),0)&gt;0,IFERROR(VALUE(SUBSTITUTE(TRIM(Input!H20&amp;""),"%","")),0)&lt;1),1,100))</f>
        <v/>
      </c>
      <c r="H20" t="str">
        <f>IF(A20="","",IFERROR(VALUE(SUBSTITUTE(TRIM(Input!I20&amp;""),"%","")),0)/IF(AND(IFERROR(VALUE(SUBSTITUTE(TRIM(Input!I20&amp;""),"%","")),0)&gt;0,IFERROR(VALUE(SUBSTITUTE(TRIM(Input!I20&amp;""),"%","")),0)&lt;1),1,100))</f>
        <v/>
      </c>
    </row>
    <row r="21" spans="1:8">
      <c r="A21" t="str">
        <f>IF(TRIM(Input!B21&amp;"")="","",UPPER(TRIM(Input!B21&amp;"")))</f>
        <v/>
      </c>
      <c r="B21" t="str">
        <f>IF(A21="","",IFERROR(VALUE(RIGHT(TRIM(Input!D21&amp;""),1)),0))</f>
        <v/>
      </c>
      <c r="C21" t="str">
        <f t="shared" si="0"/>
        <v/>
      </c>
      <c r="D21" t="str">
        <f>IF(A21="","",IFERROR(VALUE(SUBSTITUTE(TRIM(Input!E21&amp;""),"%","")),0)/IF(AND(IFERROR(VALUE(SUBSTITUTE(TRIM(Input!E21&amp;""),"%","")),0)&gt;0,IFERROR(VALUE(SUBSTITUTE(TRIM(Input!E21&amp;""),"%","")),0)&lt;1),1,100))</f>
        <v/>
      </c>
      <c r="E21" t="str">
        <f>IF(A21="","",IFERROR(VALUE(SUBSTITUTE(TRIM(Input!F21&amp;""),"%","")),0)/IF(AND(IFERROR(VALUE(SUBSTITUTE(TRIM(Input!F21&amp;""),"%","")),0)&gt;0,IFERROR(VALUE(SUBSTITUTE(TRIM(Input!F21&amp;""),"%","")),0)&lt;1),1,100))</f>
        <v/>
      </c>
      <c r="F21" t="str">
        <f>IF(A21="","",IFERROR(VALUE(SUBSTITUTE(TRIM(Input!G21&amp;""),"%","")),0)/IF(AND(IFERROR(VALUE(SUBSTITUTE(TRIM(Input!G21&amp;""),"%","")),0)&gt;0,IFERROR(VALUE(SUBSTITUTE(TRIM(Input!G21&amp;""),"%","")),0)&lt;1),1,100))</f>
        <v/>
      </c>
      <c r="G21" t="str">
        <f>IF(A21="","",IFERROR(VALUE(SUBSTITUTE(TRIM(Input!H21&amp;""),"%","")),0)/IF(AND(IFERROR(VALUE(SUBSTITUTE(TRIM(Input!H21&amp;""),"%","")),0)&gt;0,IFERROR(VALUE(SUBSTITUTE(TRIM(Input!H21&amp;""),"%","")),0)&lt;1),1,100))</f>
        <v/>
      </c>
      <c r="H21" t="str">
        <f>IF(A21="","",IFERROR(VALUE(SUBSTITUTE(TRIM(Input!I21&amp;""),"%","")),0)/IF(AND(IFERROR(VALUE(SUBSTITUTE(TRIM(Input!I21&amp;""),"%","")),0)&gt;0,IFERROR(VALUE(SUBSTITUTE(TRIM(Input!I21&amp;""),"%","")),0)&lt;1),1,100))</f>
        <v/>
      </c>
    </row>
    <row r="22" spans="1:8">
      <c r="A22" t="str">
        <f>IF(TRIM(Input!B22&amp;"")="","",UPPER(TRIM(Input!B22&amp;"")))</f>
        <v/>
      </c>
      <c r="B22" t="str">
        <f>IF(A22="","",IFERROR(VALUE(RIGHT(TRIM(Input!D22&amp;""),1)),0))</f>
        <v/>
      </c>
      <c r="C22" t="str">
        <f t="shared" si="0"/>
        <v/>
      </c>
      <c r="D22" t="str">
        <f>IF(A22="","",IFERROR(VALUE(SUBSTITUTE(TRIM(Input!E22&amp;""),"%","")),0)/IF(AND(IFERROR(VALUE(SUBSTITUTE(TRIM(Input!E22&amp;""),"%","")),0)&gt;0,IFERROR(VALUE(SUBSTITUTE(TRIM(Input!E22&amp;""),"%","")),0)&lt;1),1,100))</f>
        <v/>
      </c>
      <c r="E22" t="str">
        <f>IF(A22="","",IFERROR(VALUE(SUBSTITUTE(TRIM(Input!F22&amp;""),"%","")),0)/IF(AND(IFERROR(VALUE(SUBSTITUTE(TRIM(Input!F22&amp;""),"%","")),0)&gt;0,IFERROR(VALUE(SUBSTITUTE(TRIM(Input!F22&amp;""),"%","")),0)&lt;1),1,100))</f>
        <v/>
      </c>
      <c r="F22" t="str">
        <f>IF(A22="","",IFERROR(VALUE(SUBSTITUTE(TRIM(Input!G22&amp;""),"%","")),0)/IF(AND(IFERROR(VALUE(SUBSTITUTE(TRIM(Input!G22&amp;""),"%","")),0)&gt;0,IFERROR(VALUE(SUBSTITUTE(TRIM(Input!G22&amp;""),"%","")),0)&lt;1),1,100))</f>
        <v/>
      </c>
      <c r="G22" t="str">
        <f>IF(A22="","",IFERROR(VALUE(SUBSTITUTE(TRIM(Input!H22&amp;""),"%","")),0)/IF(AND(IFERROR(VALUE(SUBSTITUTE(TRIM(Input!H22&amp;""),"%","")),0)&gt;0,IFERROR(VALUE(SUBSTITUTE(TRIM(Input!H22&amp;""),"%","")),0)&lt;1),1,100))</f>
        <v/>
      </c>
      <c r="H22" t="str">
        <f>IF(A22="","",IFERROR(VALUE(SUBSTITUTE(TRIM(Input!I22&amp;""),"%","")),0)/IF(AND(IFERROR(VALUE(SUBSTITUTE(TRIM(Input!I22&amp;""),"%","")),0)&gt;0,IFERROR(VALUE(SUBSTITUTE(TRIM(Input!I22&amp;""),"%","")),0)&lt;1),1,100))</f>
        <v/>
      </c>
    </row>
    <row r="23" spans="1:8">
      <c r="A23" t="str">
        <f>IF(TRIM(Input!B23&amp;"")="","",UPPER(TRIM(Input!B23&amp;"")))</f>
        <v/>
      </c>
      <c r="B23" t="str">
        <f>IF(A23="","",IFERROR(VALUE(RIGHT(TRIM(Input!D23&amp;""),1)),0))</f>
        <v/>
      </c>
      <c r="C23" t="str">
        <f t="shared" si="0"/>
        <v/>
      </c>
      <c r="D23" t="str">
        <f>IF(A23="","",IFERROR(VALUE(SUBSTITUTE(TRIM(Input!E23&amp;""),"%","")),0)/IF(AND(IFERROR(VALUE(SUBSTITUTE(TRIM(Input!E23&amp;""),"%","")),0)&gt;0,IFERROR(VALUE(SUBSTITUTE(TRIM(Input!E23&amp;""),"%","")),0)&lt;1),1,100))</f>
        <v/>
      </c>
      <c r="E23" t="str">
        <f>IF(A23="","",IFERROR(VALUE(SUBSTITUTE(TRIM(Input!F23&amp;""),"%","")),0)/IF(AND(IFERROR(VALUE(SUBSTITUTE(TRIM(Input!F23&amp;""),"%","")),0)&gt;0,IFERROR(VALUE(SUBSTITUTE(TRIM(Input!F23&amp;""),"%","")),0)&lt;1),1,100))</f>
        <v/>
      </c>
      <c r="F23" t="str">
        <f>IF(A23="","",IFERROR(VALUE(SUBSTITUTE(TRIM(Input!G23&amp;""),"%","")),0)/IF(AND(IFERROR(VALUE(SUBSTITUTE(TRIM(Input!G23&amp;""),"%","")),0)&gt;0,IFERROR(VALUE(SUBSTITUTE(TRIM(Input!G23&amp;""),"%","")),0)&lt;1),1,100))</f>
        <v/>
      </c>
      <c r="G23" t="str">
        <f>IF(A23="","",IFERROR(VALUE(SUBSTITUTE(TRIM(Input!H23&amp;""),"%","")),0)/IF(AND(IFERROR(VALUE(SUBSTITUTE(TRIM(Input!H23&amp;""),"%","")),0)&gt;0,IFERROR(VALUE(SUBSTITUTE(TRIM(Input!H23&amp;""),"%","")),0)&lt;1),1,100))</f>
        <v/>
      </c>
      <c r="H23" t="str">
        <f>IF(A23="","",IFERROR(VALUE(SUBSTITUTE(TRIM(Input!I23&amp;""),"%","")),0)/IF(AND(IFERROR(VALUE(SUBSTITUTE(TRIM(Input!I23&amp;""),"%","")),0)&gt;0,IFERROR(VALUE(SUBSTITUTE(TRIM(Input!I23&amp;""),"%","")),0)&lt;1),1,100))</f>
        <v/>
      </c>
    </row>
    <row r="24" spans="1:8">
      <c r="A24" t="str">
        <f>IF(TRIM(Input!B24&amp;"")="","",UPPER(TRIM(Input!B24&amp;"")))</f>
        <v/>
      </c>
      <c r="B24" t="str">
        <f>IF(A24="","",IFERROR(VALUE(RIGHT(TRIM(Input!D24&amp;""),1)),0))</f>
        <v/>
      </c>
      <c r="C24" t="str">
        <f t="shared" si="0"/>
        <v/>
      </c>
      <c r="D24" t="str">
        <f>IF(A24="","",IFERROR(VALUE(SUBSTITUTE(TRIM(Input!E24&amp;""),"%","")),0)/IF(AND(IFERROR(VALUE(SUBSTITUTE(TRIM(Input!E24&amp;""),"%","")),0)&gt;0,IFERROR(VALUE(SUBSTITUTE(TRIM(Input!E24&amp;""),"%","")),0)&lt;1),1,100))</f>
        <v/>
      </c>
      <c r="E24" t="str">
        <f>IF(A24="","",IFERROR(VALUE(SUBSTITUTE(TRIM(Input!F24&amp;""),"%","")),0)/IF(AND(IFERROR(VALUE(SUBSTITUTE(TRIM(Input!F24&amp;""),"%","")),0)&gt;0,IFERROR(VALUE(SUBSTITUTE(TRIM(Input!F24&amp;""),"%","")),0)&lt;1),1,100))</f>
        <v/>
      </c>
      <c r="F24" t="str">
        <f>IF(A24="","",IFERROR(VALUE(SUBSTITUTE(TRIM(Input!G24&amp;""),"%","")),0)/IF(AND(IFERROR(VALUE(SUBSTITUTE(TRIM(Input!G24&amp;""),"%","")),0)&gt;0,IFERROR(VALUE(SUBSTITUTE(TRIM(Input!G24&amp;""),"%","")),0)&lt;1),1,100))</f>
        <v/>
      </c>
      <c r="G24" t="str">
        <f>IF(A24="","",IFERROR(VALUE(SUBSTITUTE(TRIM(Input!H24&amp;""),"%","")),0)/IF(AND(IFERROR(VALUE(SUBSTITUTE(TRIM(Input!H24&amp;""),"%","")),0)&gt;0,IFERROR(VALUE(SUBSTITUTE(TRIM(Input!H24&amp;""),"%","")),0)&lt;1),1,100))</f>
        <v/>
      </c>
      <c r="H24" t="str">
        <f>IF(A24="","",IFERROR(VALUE(SUBSTITUTE(TRIM(Input!I24&amp;""),"%","")),0)/IF(AND(IFERROR(VALUE(SUBSTITUTE(TRIM(Input!I24&amp;""),"%","")),0)&gt;0,IFERROR(VALUE(SUBSTITUTE(TRIM(Input!I24&amp;""),"%","")),0)&lt;1),1,100))</f>
        <v/>
      </c>
    </row>
    <row r="25" spans="1:8">
      <c r="A25" t="str">
        <f>IF(TRIM(Input!B25&amp;"")="","",UPPER(TRIM(Input!B25&amp;"")))</f>
        <v/>
      </c>
      <c r="B25" t="str">
        <f>IF(A25="","",IFERROR(VALUE(RIGHT(TRIM(Input!D25&amp;""),1)),0))</f>
        <v/>
      </c>
      <c r="C25" t="str">
        <f t="shared" si="0"/>
        <v/>
      </c>
      <c r="D25" t="str">
        <f>IF(A25="","",IFERROR(VALUE(SUBSTITUTE(TRIM(Input!E25&amp;""),"%","")),0)/IF(AND(IFERROR(VALUE(SUBSTITUTE(TRIM(Input!E25&amp;""),"%","")),0)&gt;0,IFERROR(VALUE(SUBSTITUTE(TRIM(Input!E25&amp;""),"%","")),0)&lt;1),1,100))</f>
        <v/>
      </c>
      <c r="E25" t="str">
        <f>IF(A25="","",IFERROR(VALUE(SUBSTITUTE(TRIM(Input!F25&amp;""),"%","")),0)/IF(AND(IFERROR(VALUE(SUBSTITUTE(TRIM(Input!F25&amp;""),"%","")),0)&gt;0,IFERROR(VALUE(SUBSTITUTE(TRIM(Input!F25&amp;""),"%","")),0)&lt;1),1,100))</f>
        <v/>
      </c>
      <c r="F25" t="str">
        <f>IF(A25="","",IFERROR(VALUE(SUBSTITUTE(TRIM(Input!G25&amp;""),"%","")),0)/IF(AND(IFERROR(VALUE(SUBSTITUTE(TRIM(Input!G25&amp;""),"%","")),0)&gt;0,IFERROR(VALUE(SUBSTITUTE(TRIM(Input!G25&amp;""),"%","")),0)&lt;1),1,100))</f>
        <v/>
      </c>
      <c r="G25" t="str">
        <f>IF(A25="","",IFERROR(VALUE(SUBSTITUTE(TRIM(Input!H25&amp;""),"%","")),0)/IF(AND(IFERROR(VALUE(SUBSTITUTE(TRIM(Input!H25&amp;""),"%","")),0)&gt;0,IFERROR(VALUE(SUBSTITUTE(TRIM(Input!H25&amp;""),"%","")),0)&lt;1),1,100))</f>
        <v/>
      </c>
      <c r="H25" t="str">
        <f>IF(A25="","",IFERROR(VALUE(SUBSTITUTE(TRIM(Input!I25&amp;""),"%","")),0)/IF(AND(IFERROR(VALUE(SUBSTITUTE(TRIM(Input!I25&amp;""),"%","")),0)&gt;0,IFERROR(VALUE(SUBSTITUTE(TRIM(Input!I25&amp;""),"%","")),0)&lt;1),1,100))</f>
        <v/>
      </c>
    </row>
    <row r="26" spans="1:8">
      <c r="A26" t="str">
        <f>IF(TRIM(Input!B26&amp;"")="","",UPPER(TRIM(Input!B26&amp;"")))</f>
        <v/>
      </c>
      <c r="B26" t="str">
        <f>IF(A26="","",IFERROR(VALUE(RIGHT(TRIM(Input!D26&amp;""),1)),0))</f>
        <v/>
      </c>
      <c r="C26" t="str">
        <f t="shared" si="0"/>
        <v/>
      </c>
      <c r="D26" t="str">
        <f>IF(A26="","",IFERROR(VALUE(SUBSTITUTE(TRIM(Input!E26&amp;""),"%","")),0)/IF(AND(IFERROR(VALUE(SUBSTITUTE(TRIM(Input!E26&amp;""),"%","")),0)&gt;0,IFERROR(VALUE(SUBSTITUTE(TRIM(Input!E26&amp;""),"%","")),0)&lt;1),1,100))</f>
        <v/>
      </c>
      <c r="E26" t="str">
        <f>IF(A26="","",IFERROR(VALUE(SUBSTITUTE(TRIM(Input!F26&amp;""),"%","")),0)/IF(AND(IFERROR(VALUE(SUBSTITUTE(TRIM(Input!F26&amp;""),"%","")),0)&gt;0,IFERROR(VALUE(SUBSTITUTE(TRIM(Input!F26&amp;""),"%","")),0)&lt;1),1,100))</f>
        <v/>
      </c>
      <c r="F26" t="str">
        <f>IF(A26="","",IFERROR(VALUE(SUBSTITUTE(TRIM(Input!G26&amp;""),"%","")),0)/IF(AND(IFERROR(VALUE(SUBSTITUTE(TRIM(Input!G26&amp;""),"%","")),0)&gt;0,IFERROR(VALUE(SUBSTITUTE(TRIM(Input!G26&amp;""),"%","")),0)&lt;1),1,100))</f>
        <v/>
      </c>
      <c r="G26" t="str">
        <f>IF(A26="","",IFERROR(VALUE(SUBSTITUTE(TRIM(Input!H26&amp;""),"%","")),0)/IF(AND(IFERROR(VALUE(SUBSTITUTE(TRIM(Input!H26&amp;""),"%","")),0)&gt;0,IFERROR(VALUE(SUBSTITUTE(TRIM(Input!H26&amp;""),"%","")),0)&lt;1),1,100))</f>
        <v/>
      </c>
      <c r="H26" t="str">
        <f>IF(A26="","",IFERROR(VALUE(SUBSTITUTE(TRIM(Input!I26&amp;""),"%","")),0)/IF(AND(IFERROR(VALUE(SUBSTITUTE(TRIM(Input!I26&amp;""),"%","")),0)&gt;0,IFERROR(VALUE(SUBSTITUTE(TRIM(Input!I26&amp;""),"%","")),0)&lt;1),1,100))</f>
        <v/>
      </c>
    </row>
    <row r="27" spans="1:8">
      <c r="A27" t="str">
        <f>IF(TRIM(Input!B27&amp;"")="","",UPPER(TRIM(Input!B27&amp;"")))</f>
        <v/>
      </c>
      <c r="B27" t="str">
        <f>IF(A27="","",IFERROR(VALUE(RIGHT(TRIM(Input!D27&amp;""),1)),0))</f>
        <v/>
      </c>
      <c r="C27" t="str">
        <f t="shared" si="0"/>
        <v/>
      </c>
      <c r="D27" t="str">
        <f>IF(A27="","",IFERROR(VALUE(SUBSTITUTE(TRIM(Input!E27&amp;""),"%","")),0)/IF(AND(IFERROR(VALUE(SUBSTITUTE(TRIM(Input!E27&amp;""),"%","")),0)&gt;0,IFERROR(VALUE(SUBSTITUTE(TRIM(Input!E27&amp;""),"%","")),0)&lt;1),1,100))</f>
        <v/>
      </c>
      <c r="E27" t="str">
        <f>IF(A27="","",IFERROR(VALUE(SUBSTITUTE(TRIM(Input!F27&amp;""),"%","")),0)/IF(AND(IFERROR(VALUE(SUBSTITUTE(TRIM(Input!F27&amp;""),"%","")),0)&gt;0,IFERROR(VALUE(SUBSTITUTE(TRIM(Input!F27&amp;""),"%","")),0)&lt;1),1,100))</f>
        <v/>
      </c>
      <c r="F27" t="str">
        <f>IF(A27="","",IFERROR(VALUE(SUBSTITUTE(TRIM(Input!G27&amp;""),"%","")),0)/IF(AND(IFERROR(VALUE(SUBSTITUTE(TRIM(Input!G27&amp;""),"%","")),0)&gt;0,IFERROR(VALUE(SUBSTITUTE(TRIM(Input!G27&amp;""),"%","")),0)&lt;1),1,100))</f>
        <v/>
      </c>
      <c r="G27" t="str">
        <f>IF(A27="","",IFERROR(VALUE(SUBSTITUTE(TRIM(Input!H27&amp;""),"%","")),0)/IF(AND(IFERROR(VALUE(SUBSTITUTE(TRIM(Input!H27&amp;""),"%","")),0)&gt;0,IFERROR(VALUE(SUBSTITUTE(TRIM(Input!H27&amp;""),"%","")),0)&lt;1),1,100))</f>
        <v/>
      </c>
      <c r="H27" t="str">
        <f>IF(A27="","",IFERROR(VALUE(SUBSTITUTE(TRIM(Input!I27&amp;""),"%","")),0)/IF(AND(IFERROR(VALUE(SUBSTITUTE(TRIM(Input!I27&amp;""),"%","")),0)&gt;0,IFERROR(VALUE(SUBSTITUTE(TRIM(Input!I27&amp;""),"%","")),0)&lt;1),1,100))</f>
        <v/>
      </c>
    </row>
    <row r="28" spans="1:8">
      <c r="A28" t="str">
        <f>IF(TRIM(Input!B28&amp;"")="","",UPPER(TRIM(Input!B28&amp;"")))</f>
        <v/>
      </c>
      <c r="B28" t="str">
        <f>IF(A28="","",IFERROR(VALUE(RIGHT(TRIM(Input!D28&amp;""),1)),0))</f>
        <v/>
      </c>
      <c r="C28" t="str">
        <f t="shared" si="0"/>
        <v/>
      </c>
      <c r="D28" t="str">
        <f>IF(A28="","",IFERROR(VALUE(SUBSTITUTE(TRIM(Input!E28&amp;""),"%","")),0)/IF(AND(IFERROR(VALUE(SUBSTITUTE(TRIM(Input!E28&amp;""),"%","")),0)&gt;0,IFERROR(VALUE(SUBSTITUTE(TRIM(Input!E28&amp;""),"%","")),0)&lt;1),1,100))</f>
        <v/>
      </c>
      <c r="E28" t="str">
        <f>IF(A28="","",IFERROR(VALUE(SUBSTITUTE(TRIM(Input!F28&amp;""),"%","")),0)/IF(AND(IFERROR(VALUE(SUBSTITUTE(TRIM(Input!F28&amp;""),"%","")),0)&gt;0,IFERROR(VALUE(SUBSTITUTE(TRIM(Input!F28&amp;""),"%","")),0)&lt;1),1,100))</f>
        <v/>
      </c>
      <c r="F28" t="str">
        <f>IF(A28="","",IFERROR(VALUE(SUBSTITUTE(TRIM(Input!G28&amp;""),"%","")),0)/IF(AND(IFERROR(VALUE(SUBSTITUTE(TRIM(Input!G28&amp;""),"%","")),0)&gt;0,IFERROR(VALUE(SUBSTITUTE(TRIM(Input!G28&amp;""),"%","")),0)&lt;1),1,100))</f>
        <v/>
      </c>
      <c r="G28" t="str">
        <f>IF(A28="","",IFERROR(VALUE(SUBSTITUTE(TRIM(Input!H28&amp;""),"%","")),0)/IF(AND(IFERROR(VALUE(SUBSTITUTE(TRIM(Input!H28&amp;""),"%","")),0)&gt;0,IFERROR(VALUE(SUBSTITUTE(TRIM(Input!H28&amp;""),"%","")),0)&lt;1),1,100))</f>
        <v/>
      </c>
      <c r="H28" t="str">
        <f>IF(A28="","",IFERROR(VALUE(SUBSTITUTE(TRIM(Input!I28&amp;""),"%","")),0)/IF(AND(IFERROR(VALUE(SUBSTITUTE(TRIM(Input!I28&amp;""),"%","")),0)&gt;0,IFERROR(VALUE(SUBSTITUTE(TRIM(Input!I28&amp;""),"%","")),0)&lt;1),1,100))</f>
        <v/>
      </c>
    </row>
    <row r="29" spans="1:8">
      <c r="A29" t="str">
        <f>IF(TRIM(Input!B29&amp;"")="","",UPPER(TRIM(Input!B29&amp;"")))</f>
        <v/>
      </c>
      <c r="B29" t="str">
        <f>IF(A29="","",IFERROR(VALUE(RIGHT(TRIM(Input!D29&amp;""),1)),0))</f>
        <v/>
      </c>
      <c r="C29" t="str">
        <f t="shared" si="0"/>
        <v/>
      </c>
      <c r="D29" t="str">
        <f>IF(A29="","",IFERROR(VALUE(SUBSTITUTE(TRIM(Input!E29&amp;""),"%","")),0)/IF(AND(IFERROR(VALUE(SUBSTITUTE(TRIM(Input!E29&amp;""),"%","")),0)&gt;0,IFERROR(VALUE(SUBSTITUTE(TRIM(Input!E29&amp;""),"%","")),0)&lt;1),1,100))</f>
        <v/>
      </c>
      <c r="E29" t="str">
        <f>IF(A29="","",IFERROR(VALUE(SUBSTITUTE(TRIM(Input!F29&amp;""),"%","")),0)/IF(AND(IFERROR(VALUE(SUBSTITUTE(TRIM(Input!F29&amp;""),"%","")),0)&gt;0,IFERROR(VALUE(SUBSTITUTE(TRIM(Input!F29&amp;""),"%","")),0)&lt;1),1,100))</f>
        <v/>
      </c>
      <c r="F29" t="str">
        <f>IF(A29="","",IFERROR(VALUE(SUBSTITUTE(TRIM(Input!G29&amp;""),"%","")),0)/IF(AND(IFERROR(VALUE(SUBSTITUTE(TRIM(Input!G29&amp;""),"%","")),0)&gt;0,IFERROR(VALUE(SUBSTITUTE(TRIM(Input!G29&amp;""),"%","")),0)&lt;1),1,100))</f>
        <v/>
      </c>
      <c r="G29" t="str">
        <f>IF(A29="","",IFERROR(VALUE(SUBSTITUTE(TRIM(Input!H29&amp;""),"%","")),0)/IF(AND(IFERROR(VALUE(SUBSTITUTE(TRIM(Input!H29&amp;""),"%","")),0)&gt;0,IFERROR(VALUE(SUBSTITUTE(TRIM(Input!H29&amp;""),"%","")),0)&lt;1),1,100))</f>
        <v/>
      </c>
      <c r="H29" t="str">
        <f>IF(A29="","",IFERROR(VALUE(SUBSTITUTE(TRIM(Input!I29&amp;""),"%","")),0)/IF(AND(IFERROR(VALUE(SUBSTITUTE(TRIM(Input!I29&amp;""),"%","")),0)&gt;0,IFERROR(VALUE(SUBSTITUTE(TRIM(Input!I29&amp;""),"%","")),0)&lt;1),1,100))</f>
        <v/>
      </c>
    </row>
    <row r="30" spans="1:8">
      <c r="A30" t="str">
        <f>IF(TRIM(Input!B30&amp;"")="","",UPPER(TRIM(Input!B30&amp;"")))</f>
        <v/>
      </c>
      <c r="B30" t="str">
        <f>IF(A30="","",IFERROR(VALUE(RIGHT(TRIM(Input!D30&amp;""),1)),0))</f>
        <v/>
      </c>
      <c r="C30" t="str">
        <f t="shared" si="0"/>
        <v/>
      </c>
      <c r="D30" t="str">
        <f>IF(A30="","",IFERROR(VALUE(SUBSTITUTE(TRIM(Input!E30&amp;""),"%","")),0)/IF(AND(IFERROR(VALUE(SUBSTITUTE(TRIM(Input!E30&amp;""),"%","")),0)&gt;0,IFERROR(VALUE(SUBSTITUTE(TRIM(Input!E30&amp;""),"%","")),0)&lt;1),1,100))</f>
        <v/>
      </c>
      <c r="E30" t="str">
        <f>IF(A30="","",IFERROR(VALUE(SUBSTITUTE(TRIM(Input!F30&amp;""),"%","")),0)/IF(AND(IFERROR(VALUE(SUBSTITUTE(TRIM(Input!F30&amp;""),"%","")),0)&gt;0,IFERROR(VALUE(SUBSTITUTE(TRIM(Input!F30&amp;""),"%","")),0)&lt;1),1,100))</f>
        <v/>
      </c>
      <c r="F30" t="str">
        <f>IF(A30="","",IFERROR(VALUE(SUBSTITUTE(TRIM(Input!G30&amp;""),"%","")),0)/IF(AND(IFERROR(VALUE(SUBSTITUTE(TRIM(Input!G30&amp;""),"%","")),0)&gt;0,IFERROR(VALUE(SUBSTITUTE(TRIM(Input!G30&amp;""),"%","")),0)&lt;1),1,100))</f>
        <v/>
      </c>
      <c r="G30" t="str">
        <f>IF(A30="","",IFERROR(VALUE(SUBSTITUTE(TRIM(Input!H30&amp;""),"%","")),0)/IF(AND(IFERROR(VALUE(SUBSTITUTE(TRIM(Input!H30&amp;""),"%","")),0)&gt;0,IFERROR(VALUE(SUBSTITUTE(TRIM(Input!H30&amp;""),"%","")),0)&lt;1),1,100))</f>
        <v/>
      </c>
      <c r="H30" t="str">
        <f>IF(A30="","",IFERROR(VALUE(SUBSTITUTE(TRIM(Input!I30&amp;""),"%","")),0)/IF(AND(IFERROR(VALUE(SUBSTITUTE(TRIM(Input!I30&amp;""),"%","")),0)&gt;0,IFERROR(VALUE(SUBSTITUTE(TRIM(Input!I30&amp;""),"%","")),0)&lt;1),1,100))</f>
        <v/>
      </c>
    </row>
    <row r="31" spans="1:8">
      <c r="A31" t="str">
        <f>IF(TRIM(Input!B31&amp;"")="","",UPPER(TRIM(Input!B31&amp;"")))</f>
        <v/>
      </c>
      <c r="B31" t="str">
        <f>IF(A31="","",IFERROR(VALUE(RIGHT(TRIM(Input!D31&amp;""),1)),0))</f>
        <v/>
      </c>
      <c r="C31" t="str">
        <f t="shared" si="0"/>
        <v/>
      </c>
      <c r="D31" t="str">
        <f>IF(A31="","",IFERROR(VALUE(SUBSTITUTE(TRIM(Input!E31&amp;""),"%","")),0)/IF(AND(IFERROR(VALUE(SUBSTITUTE(TRIM(Input!E31&amp;""),"%","")),0)&gt;0,IFERROR(VALUE(SUBSTITUTE(TRIM(Input!E31&amp;""),"%","")),0)&lt;1),1,100))</f>
        <v/>
      </c>
      <c r="E31" t="str">
        <f>IF(A31="","",IFERROR(VALUE(SUBSTITUTE(TRIM(Input!F31&amp;""),"%","")),0)/IF(AND(IFERROR(VALUE(SUBSTITUTE(TRIM(Input!F31&amp;""),"%","")),0)&gt;0,IFERROR(VALUE(SUBSTITUTE(TRIM(Input!F31&amp;""),"%","")),0)&lt;1),1,100))</f>
        <v/>
      </c>
      <c r="F31" t="str">
        <f>IF(A31="","",IFERROR(VALUE(SUBSTITUTE(TRIM(Input!G31&amp;""),"%","")),0)/IF(AND(IFERROR(VALUE(SUBSTITUTE(TRIM(Input!G31&amp;""),"%","")),0)&gt;0,IFERROR(VALUE(SUBSTITUTE(TRIM(Input!G31&amp;""),"%","")),0)&lt;1),1,100))</f>
        <v/>
      </c>
      <c r="G31" t="str">
        <f>IF(A31="","",IFERROR(VALUE(SUBSTITUTE(TRIM(Input!H31&amp;""),"%","")),0)/IF(AND(IFERROR(VALUE(SUBSTITUTE(TRIM(Input!H31&amp;""),"%","")),0)&gt;0,IFERROR(VALUE(SUBSTITUTE(TRIM(Input!H31&amp;""),"%","")),0)&lt;1),1,100))</f>
        <v/>
      </c>
      <c r="H31" t="str">
        <f>IF(A31="","",IFERROR(VALUE(SUBSTITUTE(TRIM(Input!I31&amp;""),"%","")),0)/IF(AND(IFERROR(VALUE(SUBSTITUTE(TRIM(Input!I31&amp;""),"%","")),0)&gt;0,IFERROR(VALUE(SUBSTITUTE(TRIM(Input!I31&amp;""),"%","")),0)&lt;1),1,100))</f>
        <v/>
      </c>
    </row>
    <row r="32" spans="1:8">
      <c r="A32" t="str">
        <f>IF(TRIM(Input!B32&amp;"")="","",UPPER(TRIM(Input!B32&amp;"")))</f>
        <v/>
      </c>
      <c r="B32" t="str">
        <f>IF(A32="","",IFERROR(VALUE(RIGHT(TRIM(Input!D32&amp;""),1)),0))</f>
        <v/>
      </c>
      <c r="C32" t="str">
        <f t="shared" si="0"/>
        <v/>
      </c>
      <c r="D32" t="str">
        <f>IF(A32="","",IFERROR(VALUE(SUBSTITUTE(TRIM(Input!E32&amp;""),"%","")),0)/IF(AND(IFERROR(VALUE(SUBSTITUTE(TRIM(Input!E32&amp;""),"%","")),0)&gt;0,IFERROR(VALUE(SUBSTITUTE(TRIM(Input!E32&amp;""),"%","")),0)&lt;1),1,100))</f>
        <v/>
      </c>
      <c r="E32" t="str">
        <f>IF(A32="","",IFERROR(VALUE(SUBSTITUTE(TRIM(Input!F32&amp;""),"%","")),0)/IF(AND(IFERROR(VALUE(SUBSTITUTE(TRIM(Input!F32&amp;""),"%","")),0)&gt;0,IFERROR(VALUE(SUBSTITUTE(TRIM(Input!F32&amp;""),"%","")),0)&lt;1),1,100))</f>
        <v/>
      </c>
      <c r="F32" t="str">
        <f>IF(A32="","",IFERROR(VALUE(SUBSTITUTE(TRIM(Input!G32&amp;""),"%","")),0)/IF(AND(IFERROR(VALUE(SUBSTITUTE(TRIM(Input!G32&amp;""),"%","")),0)&gt;0,IFERROR(VALUE(SUBSTITUTE(TRIM(Input!G32&amp;""),"%","")),0)&lt;1),1,100))</f>
        <v/>
      </c>
      <c r="G32" t="str">
        <f>IF(A32="","",IFERROR(VALUE(SUBSTITUTE(TRIM(Input!H32&amp;""),"%","")),0)/IF(AND(IFERROR(VALUE(SUBSTITUTE(TRIM(Input!H32&amp;""),"%","")),0)&gt;0,IFERROR(VALUE(SUBSTITUTE(TRIM(Input!H32&amp;""),"%","")),0)&lt;1),1,100))</f>
        <v/>
      </c>
      <c r="H32" t="str">
        <f>IF(A32="","",IFERROR(VALUE(SUBSTITUTE(TRIM(Input!I32&amp;""),"%","")),0)/IF(AND(IFERROR(VALUE(SUBSTITUTE(TRIM(Input!I32&amp;""),"%","")),0)&gt;0,IFERROR(VALUE(SUBSTITUTE(TRIM(Input!I32&amp;""),"%","")),0)&lt;1),1,100))</f>
        <v/>
      </c>
    </row>
    <row r="33" spans="1:8">
      <c r="A33" t="str">
        <f>IF(TRIM(Input!B33&amp;"")="","",UPPER(TRIM(Input!B33&amp;"")))</f>
        <v/>
      </c>
      <c r="B33" t="str">
        <f>IF(A33="","",IFERROR(VALUE(RIGHT(TRIM(Input!D33&amp;""),1)),0))</f>
        <v/>
      </c>
      <c r="C33" t="str">
        <f t="shared" si="0"/>
        <v/>
      </c>
      <c r="D33" t="str">
        <f>IF(A33="","",IFERROR(VALUE(SUBSTITUTE(TRIM(Input!E33&amp;""),"%","")),0)/IF(AND(IFERROR(VALUE(SUBSTITUTE(TRIM(Input!E33&amp;""),"%","")),0)&gt;0,IFERROR(VALUE(SUBSTITUTE(TRIM(Input!E33&amp;""),"%","")),0)&lt;1),1,100))</f>
        <v/>
      </c>
      <c r="E33" t="str">
        <f>IF(A33="","",IFERROR(VALUE(SUBSTITUTE(TRIM(Input!F33&amp;""),"%","")),0)/IF(AND(IFERROR(VALUE(SUBSTITUTE(TRIM(Input!F33&amp;""),"%","")),0)&gt;0,IFERROR(VALUE(SUBSTITUTE(TRIM(Input!F33&amp;""),"%","")),0)&lt;1),1,100))</f>
        <v/>
      </c>
      <c r="F33" t="str">
        <f>IF(A33="","",IFERROR(VALUE(SUBSTITUTE(TRIM(Input!G33&amp;""),"%","")),0)/IF(AND(IFERROR(VALUE(SUBSTITUTE(TRIM(Input!G33&amp;""),"%","")),0)&gt;0,IFERROR(VALUE(SUBSTITUTE(TRIM(Input!G33&amp;""),"%","")),0)&lt;1),1,100))</f>
        <v/>
      </c>
      <c r="G33" t="str">
        <f>IF(A33="","",IFERROR(VALUE(SUBSTITUTE(TRIM(Input!H33&amp;""),"%","")),0)/IF(AND(IFERROR(VALUE(SUBSTITUTE(TRIM(Input!H33&amp;""),"%","")),0)&gt;0,IFERROR(VALUE(SUBSTITUTE(TRIM(Input!H33&amp;""),"%","")),0)&lt;1),1,100))</f>
        <v/>
      </c>
      <c r="H33" t="str">
        <f>IF(A33="","",IFERROR(VALUE(SUBSTITUTE(TRIM(Input!I33&amp;""),"%","")),0)/IF(AND(IFERROR(VALUE(SUBSTITUTE(TRIM(Input!I33&amp;""),"%","")),0)&gt;0,IFERROR(VALUE(SUBSTITUTE(TRIM(Input!I33&amp;""),"%","")),0)&lt;1),1,100))</f>
        <v/>
      </c>
    </row>
    <row r="34" spans="1:8">
      <c r="A34" t="str">
        <f>IF(TRIM(Input!B34&amp;"")="","",UPPER(TRIM(Input!B34&amp;"")))</f>
        <v/>
      </c>
      <c r="B34" t="str">
        <f>IF(A34="","",IFERROR(VALUE(RIGHT(TRIM(Input!D34&amp;""),1)),0))</f>
        <v/>
      </c>
      <c r="C34" t="str">
        <f t="shared" si="0"/>
        <v/>
      </c>
      <c r="D34" t="str">
        <f>IF(A34="","",IFERROR(VALUE(SUBSTITUTE(TRIM(Input!E34&amp;""),"%","")),0)/IF(AND(IFERROR(VALUE(SUBSTITUTE(TRIM(Input!E34&amp;""),"%","")),0)&gt;0,IFERROR(VALUE(SUBSTITUTE(TRIM(Input!E34&amp;""),"%","")),0)&lt;1),1,100))</f>
        <v/>
      </c>
      <c r="E34" t="str">
        <f>IF(A34="","",IFERROR(VALUE(SUBSTITUTE(TRIM(Input!F34&amp;""),"%","")),0)/IF(AND(IFERROR(VALUE(SUBSTITUTE(TRIM(Input!F34&amp;""),"%","")),0)&gt;0,IFERROR(VALUE(SUBSTITUTE(TRIM(Input!F34&amp;""),"%","")),0)&lt;1),1,100))</f>
        <v/>
      </c>
      <c r="F34" t="str">
        <f>IF(A34="","",IFERROR(VALUE(SUBSTITUTE(TRIM(Input!G34&amp;""),"%","")),0)/IF(AND(IFERROR(VALUE(SUBSTITUTE(TRIM(Input!G34&amp;""),"%","")),0)&gt;0,IFERROR(VALUE(SUBSTITUTE(TRIM(Input!G34&amp;""),"%","")),0)&lt;1),1,100))</f>
        <v/>
      </c>
      <c r="G34" t="str">
        <f>IF(A34="","",IFERROR(VALUE(SUBSTITUTE(TRIM(Input!H34&amp;""),"%","")),0)/IF(AND(IFERROR(VALUE(SUBSTITUTE(TRIM(Input!H34&amp;""),"%","")),0)&gt;0,IFERROR(VALUE(SUBSTITUTE(TRIM(Input!H34&amp;""),"%","")),0)&lt;1),1,100))</f>
        <v/>
      </c>
      <c r="H34" t="str">
        <f>IF(A34="","",IFERROR(VALUE(SUBSTITUTE(TRIM(Input!I34&amp;""),"%","")),0)/IF(AND(IFERROR(VALUE(SUBSTITUTE(TRIM(Input!I34&amp;""),"%","")),0)&gt;0,IFERROR(VALUE(SUBSTITUTE(TRIM(Input!I34&amp;""),"%","")),0)&lt;1),1,100))</f>
        <v/>
      </c>
    </row>
    <row r="35" spans="1:8">
      <c r="A35" t="str">
        <f>IF(TRIM(Input!B35&amp;"")="","",UPPER(TRIM(Input!B35&amp;"")))</f>
        <v/>
      </c>
      <c r="B35" t="str">
        <f>IF(A35="","",IFERROR(VALUE(RIGHT(TRIM(Input!D35&amp;""),1)),0))</f>
        <v/>
      </c>
      <c r="C35" t="str">
        <f t="shared" si="0"/>
        <v/>
      </c>
      <c r="D35" t="str">
        <f>IF(A35="","",IFERROR(VALUE(SUBSTITUTE(TRIM(Input!E35&amp;""),"%","")),0)/IF(AND(IFERROR(VALUE(SUBSTITUTE(TRIM(Input!E35&amp;""),"%","")),0)&gt;0,IFERROR(VALUE(SUBSTITUTE(TRIM(Input!E35&amp;""),"%","")),0)&lt;1),1,100))</f>
        <v/>
      </c>
      <c r="E35" t="str">
        <f>IF(A35="","",IFERROR(VALUE(SUBSTITUTE(TRIM(Input!F35&amp;""),"%","")),0)/IF(AND(IFERROR(VALUE(SUBSTITUTE(TRIM(Input!F35&amp;""),"%","")),0)&gt;0,IFERROR(VALUE(SUBSTITUTE(TRIM(Input!F35&amp;""),"%","")),0)&lt;1),1,100))</f>
        <v/>
      </c>
      <c r="F35" t="str">
        <f>IF(A35="","",IFERROR(VALUE(SUBSTITUTE(TRIM(Input!G35&amp;""),"%","")),0)/IF(AND(IFERROR(VALUE(SUBSTITUTE(TRIM(Input!G35&amp;""),"%","")),0)&gt;0,IFERROR(VALUE(SUBSTITUTE(TRIM(Input!G35&amp;""),"%","")),0)&lt;1),1,100))</f>
        <v/>
      </c>
      <c r="G35" t="str">
        <f>IF(A35="","",IFERROR(VALUE(SUBSTITUTE(TRIM(Input!H35&amp;""),"%","")),0)/IF(AND(IFERROR(VALUE(SUBSTITUTE(TRIM(Input!H35&amp;""),"%","")),0)&gt;0,IFERROR(VALUE(SUBSTITUTE(TRIM(Input!H35&amp;""),"%","")),0)&lt;1),1,100))</f>
        <v/>
      </c>
      <c r="H35" t="str">
        <f>IF(A35="","",IFERROR(VALUE(SUBSTITUTE(TRIM(Input!I35&amp;""),"%","")),0)/IF(AND(IFERROR(VALUE(SUBSTITUTE(TRIM(Input!I35&amp;""),"%","")),0)&gt;0,IFERROR(VALUE(SUBSTITUTE(TRIM(Input!I35&amp;""),"%","")),0)&lt;1),1,100))</f>
        <v/>
      </c>
    </row>
    <row r="36" spans="1:8">
      <c r="A36" t="str">
        <f>IF(TRIM(Input!B36&amp;"")="","",UPPER(TRIM(Input!B36&amp;"")))</f>
        <v/>
      </c>
      <c r="B36" t="str">
        <f>IF(A36="","",IFERROR(VALUE(RIGHT(TRIM(Input!D36&amp;""),1)),0))</f>
        <v/>
      </c>
      <c r="C36" t="str">
        <f t="shared" si="0"/>
        <v/>
      </c>
      <c r="D36" t="str">
        <f>IF(A36="","",IFERROR(VALUE(SUBSTITUTE(TRIM(Input!E36&amp;""),"%","")),0)/IF(AND(IFERROR(VALUE(SUBSTITUTE(TRIM(Input!E36&amp;""),"%","")),0)&gt;0,IFERROR(VALUE(SUBSTITUTE(TRIM(Input!E36&amp;""),"%","")),0)&lt;1),1,100))</f>
        <v/>
      </c>
      <c r="E36" t="str">
        <f>IF(A36="","",IFERROR(VALUE(SUBSTITUTE(TRIM(Input!F36&amp;""),"%","")),0)/IF(AND(IFERROR(VALUE(SUBSTITUTE(TRIM(Input!F36&amp;""),"%","")),0)&gt;0,IFERROR(VALUE(SUBSTITUTE(TRIM(Input!F36&amp;""),"%","")),0)&lt;1),1,100))</f>
        <v/>
      </c>
      <c r="F36" t="str">
        <f>IF(A36="","",IFERROR(VALUE(SUBSTITUTE(TRIM(Input!G36&amp;""),"%","")),0)/IF(AND(IFERROR(VALUE(SUBSTITUTE(TRIM(Input!G36&amp;""),"%","")),0)&gt;0,IFERROR(VALUE(SUBSTITUTE(TRIM(Input!G36&amp;""),"%","")),0)&lt;1),1,100))</f>
        <v/>
      </c>
      <c r="G36" t="str">
        <f>IF(A36="","",IFERROR(VALUE(SUBSTITUTE(TRIM(Input!H36&amp;""),"%","")),0)/IF(AND(IFERROR(VALUE(SUBSTITUTE(TRIM(Input!H36&amp;""),"%","")),0)&gt;0,IFERROR(VALUE(SUBSTITUTE(TRIM(Input!H36&amp;""),"%","")),0)&lt;1),1,100))</f>
        <v/>
      </c>
      <c r="H36" t="str">
        <f>IF(A36="","",IFERROR(VALUE(SUBSTITUTE(TRIM(Input!I36&amp;""),"%","")),0)/IF(AND(IFERROR(VALUE(SUBSTITUTE(TRIM(Input!I36&amp;""),"%","")),0)&gt;0,IFERROR(VALUE(SUBSTITUTE(TRIM(Input!I36&amp;""),"%","")),0)&lt;1),1,100))</f>
        <v/>
      </c>
    </row>
    <row r="37" spans="1:8">
      <c r="A37" t="str">
        <f>IF(TRIM(Input!B37&amp;"")="","",UPPER(TRIM(Input!B37&amp;"")))</f>
        <v/>
      </c>
      <c r="B37" t="str">
        <f>IF(A37="","",IFERROR(VALUE(RIGHT(TRIM(Input!D37&amp;""),1)),0))</f>
        <v/>
      </c>
      <c r="C37" t="str">
        <f t="shared" si="0"/>
        <v/>
      </c>
      <c r="D37" t="str">
        <f>IF(A37="","",IFERROR(VALUE(SUBSTITUTE(TRIM(Input!E37&amp;""),"%","")),0)/IF(AND(IFERROR(VALUE(SUBSTITUTE(TRIM(Input!E37&amp;""),"%","")),0)&gt;0,IFERROR(VALUE(SUBSTITUTE(TRIM(Input!E37&amp;""),"%","")),0)&lt;1),1,100))</f>
        <v/>
      </c>
      <c r="E37" t="str">
        <f>IF(A37="","",IFERROR(VALUE(SUBSTITUTE(TRIM(Input!F37&amp;""),"%","")),0)/IF(AND(IFERROR(VALUE(SUBSTITUTE(TRIM(Input!F37&amp;""),"%","")),0)&gt;0,IFERROR(VALUE(SUBSTITUTE(TRIM(Input!F37&amp;""),"%","")),0)&lt;1),1,100))</f>
        <v/>
      </c>
      <c r="F37" t="str">
        <f>IF(A37="","",IFERROR(VALUE(SUBSTITUTE(TRIM(Input!G37&amp;""),"%","")),0)/IF(AND(IFERROR(VALUE(SUBSTITUTE(TRIM(Input!G37&amp;""),"%","")),0)&gt;0,IFERROR(VALUE(SUBSTITUTE(TRIM(Input!G37&amp;""),"%","")),0)&lt;1),1,100))</f>
        <v/>
      </c>
      <c r="G37" t="str">
        <f>IF(A37="","",IFERROR(VALUE(SUBSTITUTE(TRIM(Input!H37&amp;""),"%","")),0)/IF(AND(IFERROR(VALUE(SUBSTITUTE(TRIM(Input!H37&amp;""),"%","")),0)&gt;0,IFERROR(VALUE(SUBSTITUTE(TRIM(Input!H37&amp;""),"%","")),0)&lt;1),1,100))</f>
        <v/>
      </c>
      <c r="H37" t="str">
        <f>IF(A37="","",IFERROR(VALUE(SUBSTITUTE(TRIM(Input!I37&amp;""),"%","")),0)/IF(AND(IFERROR(VALUE(SUBSTITUTE(TRIM(Input!I37&amp;""),"%","")),0)&gt;0,IFERROR(VALUE(SUBSTITUTE(TRIM(Input!I37&amp;""),"%","")),0)&lt;1),1,100))</f>
        <v/>
      </c>
    </row>
    <row r="38" spans="1:8">
      <c r="A38" t="str">
        <f>IF(TRIM(Input!B38&amp;"")="","",UPPER(TRIM(Input!B38&amp;"")))</f>
        <v/>
      </c>
      <c r="B38" t="str">
        <f>IF(A38="","",IFERROR(VALUE(RIGHT(TRIM(Input!D38&amp;""),1)),0))</f>
        <v/>
      </c>
      <c r="C38" t="str">
        <f t="shared" si="0"/>
        <v/>
      </c>
      <c r="D38" t="str">
        <f>IF(A38="","",IFERROR(VALUE(SUBSTITUTE(TRIM(Input!E38&amp;""),"%","")),0)/IF(AND(IFERROR(VALUE(SUBSTITUTE(TRIM(Input!E38&amp;""),"%","")),0)&gt;0,IFERROR(VALUE(SUBSTITUTE(TRIM(Input!E38&amp;""),"%","")),0)&lt;1),1,100))</f>
        <v/>
      </c>
      <c r="E38" t="str">
        <f>IF(A38="","",IFERROR(VALUE(SUBSTITUTE(TRIM(Input!F38&amp;""),"%","")),0)/IF(AND(IFERROR(VALUE(SUBSTITUTE(TRIM(Input!F38&amp;""),"%","")),0)&gt;0,IFERROR(VALUE(SUBSTITUTE(TRIM(Input!F38&amp;""),"%","")),0)&lt;1),1,100))</f>
        <v/>
      </c>
      <c r="F38" t="str">
        <f>IF(A38="","",IFERROR(VALUE(SUBSTITUTE(TRIM(Input!G38&amp;""),"%","")),0)/IF(AND(IFERROR(VALUE(SUBSTITUTE(TRIM(Input!G38&amp;""),"%","")),0)&gt;0,IFERROR(VALUE(SUBSTITUTE(TRIM(Input!G38&amp;""),"%","")),0)&lt;1),1,100))</f>
        <v/>
      </c>
      <c r="G38" t="str">
        <f>IF(A38="","",IFERROR(VALUE(SUBSTITUTE(TRIM(Input!H38&amp;""),"%","")),0)/IF(AND(IFERROR(VALUE(SUBSTITUTE(TRIM(Input!H38&amp;""),"%","")),0)&gt;0,IFERROR(VALUE(SUBSTITUTE(TRIM(Input!H38&amp;""),"%","")),0)&lt;1),1,100))</f>
        <v/>
      </c>
      <c r="H38" t="str">
        <f>IF(A38="","",IFERROR(VALUE(SUBSTITUTE(TRIM(Input!I38&amp;""),"%","")),0)/IF(AND(IFERROR(VALUE(SUBSTITUTE(TRIM(Input!I38&amp;""),"%","")),0)&gt;0,IFERROR(VALUE(SUBSTITUTE(TRIM(Input!I38&amp;""),"%","")),0)&lt;1),1,100))</f>
        <v/>
      </c>
    </row>
    <row r="39" spans="1:8">
      <c r="A39" t="str">
        <f>IF(TRIM(Input!B39&amp;"")="","",UPPER(TRIM(Input!B39&amp;"")))</f>
        <v/>
      </c>
      <c r="B39" t="str">
        <f>IF(A39="","",IFERROR(VALUE(RIGHT(TRIM(Input!D39&amp;""),1)),0))</f>
        <v/>
      </c>
      <c r="C39" t="str">
        <f t="shared" si="0"/>
        <v/>
      </c>
      <c r="D39" t="str">
        <f>IF(A39="","",IFERROR(VALUE(SUBSTITUTE(TRIM(Input!E39&amp;""),"%","")),0)/IF(AND(IFERROR(VALUE(SUBSTITUTE(TRIM(Input!E39&amp;""),"%","")),0)&gt;0,IFERROR(VALUE(SUBSTITUTE(TRIM(Input!E39&amp;""),"%","")),0)&lt;1),1,100))</f>
        <v/>
      </c>
      <c r="E39" t="str">
        <f>IF(A39="","",IFERROR(VALUE(SUBSTITUTE(TRIM(Input!F39&amp;""),"%","")),0)/IF(AND(IFERROR(VALUE(SUBSTITUTE(TRIM(Input!F39&amp;""),"%","")),0)&gt;0,IFERROR(VALUE(SUBSTITUTE(TRIM(Input!F39&amp;""),"%","")),0)&lt;1),1,100))</f>
        <v/>
      </c>
      <c r="F39" t="str">
        <f>IF(A39="","",IFERROR(VALUE(SUBSTITUTE(TRIM(Input!G39&amp;""),"%","")),0)/IF(AND(IFERROR(VALUE(SUBSTITUTE(TRIM(Input!G39&amp;""),"%","")),0)&gt;0,IFERROR(VALUE(SUBSTITUTE(TRIM(Input!G39&amp;""),"%","")),0)&lt;1),1,100))</f>
        <v/>
      </c>
      <c r="G39" t="str">
        <f>IF(A39="","",IFERROR(VALUE(SUBSTITUTE(TRIM(Input!H39&amp;""),"%","")),0)/IF(AND(IFERROR(VALUE(SUBSTITUTE(TRIM(Input!H39&amp;""),"%","")),0)&gt;0,IFERROR(VALUE(SUBSTITUTE(TRIM(Input!H39&amp;""),"%","")),0)&lt;1),1,100))</f>
        <v/>
      </c>
      <c r="H39" t="str">
        <f>IF(A39="","",IFERROR(VALUE(SUBSTITUTE(TRIM(Input!I39&amp;""),"%","")),0)/IF(AND(IFERROR(VALUE(SUBSTITUTE(TRIM(Input!I39&amp;""),"%","")),0)&gt;0,IFERROR(VALUE(SUBSTITUTE(TRIM(Input!I39&amp;""),"%","")),0)&lt;1),1,100))</f>
        <v/>
      </c>
    </row>
    <row r="40" spans="1:8">
      <c r="A40" t="str">
        <f>IF(TRIM(Input!B40&amp;"")="","",UPPER(TRIM(Input!B40&amp;"")))</f>
        <v/>
      </c>
      <c r="B40" t="str">
        <f>IF(A40="","",IFERROR(VALUE(RIGHT(TRIM(Input!D40&amp;""),1)),0))</f>
        <v/>
      </c>
      <c r="C40" t="str">
        <f t="shared" si="0"/>
        <v/>
      </c>
      <c r="D40" t="str">
        <f>IF(A40="","",IFERROR(VALUE(SUBSTITUTE(TRIM(Input!E40&amp;""),"%","")),0)/IF(AND(IFERROR(VALUE(SUBSTITUTE(TRIM(Input!E40&amp;""),"%","")),0)&gt;0,IFERROR(VALUE(SUBSTITUTE(TRIM(Input!E40&amp;""),"%","")),0)&lt;1),1,100))</f>
        <v/>
      </c>
      <c r="E40" t="str">
        <f>IF(A40="","",IFERROR(VALUE(SUBSTITUTE(TRIM(Input!F40&amp;""),"%","")),0)/IF(AND(IFERROR(VALUE(SUBSTITUTE(TRIM(Input!F40&amp;""),"%","")),0)&gt;0,IFERROR(VALUE(SUBSTITUTE(TRIM(Input!F40&amp;""),"%","")),0)&lt;1),1,100))</f>
        <v/>
      </c>
      <c r="F40" t="str">
        <f>IF(A40="","",IFERROR(VALUE(SUBSTITUTE(TRIM(Input!G40&amp;""),"%","")),0)/IF(AND(IFERROR(VALUE(SUBSTITUTE(TRIM(Input!G40&amp;""),"%","")),0)&gt;0,IFERROR(VALUE(SUBSTITUTE(TRIM(Input!G40&amp;""),"%","")),0)&lt;1),1,100))</f>
        <v/>
      </c>
      <c r="G40" t="str">
        <f>IF(A40="","",IFERROR(VALUE(SUBSTITUTE(TRIM(Input!H40&amp;""),"%","")),0)/IF(AND(IFERROR(VALUE(SUBSTITUTE(TRIM(Input!H40&amp;""),"%","")),0)&gt;0,IFERROR(VALUE(SUBSTITUTE(TRIM(Input!H40&amp;""),"%","")),0)&lt;1),1,100))</f>
        <v/>
      </c>
      <c r="H40" t="str">
        <f>IF(A40="","",IFERROR(VALUE(SUBSTITUTE(TRIM(Input!I40&amp;""),"%","")),0)/IF(AND(IFERROR(VALUE(SUBSTITUTE(TRIM(Input!I40&amp;""),"%","")),0)&gt;0,IFERROR(VALUE(SUBSTITUTE(TRIM(Input!I40&amp;""),"%","")),0)&lt;1),1,100))</f>
        <v/>
      </c>
    </row>
    <row r="41" spans="1:8">
      <c r="A41" t="str">
        <f>IF(TRIM(Input!B41&amp;"")="","",UPPER(TRIM(Input!B41&amp;"")))</f>
        <v/>
      </c>
      <c r="B41" t="str">
        <f>IF(A41="","",IFERROR(VALUE(RIGHT(TRIM(Input!D41&amp;""),1)),0))</f>
        <v/>
      </c>
      <c r="C41" t="str">
        <f t="shared" si="0"/>
        <v/>
      </c>
      <c r="D41" t="str">
        <f>IF(A41="","",IFERROR(VALUE(SUBSTITUTE(TRIM(Input!E41&amp;""),"%","")),0)/IF(AND(IFERROR(VALUE(SUBSTITUTE(TRIM(Input!E41&amp;""),"%","")),0)&gt;0,IFERROR(VALUE(SUBSTITUTE(TRIM(Input!E41&amp;""),"%","")),0)&lt;1),1,100))</f>
        <v/>
      </c>
      <c r="E41" t="str">
        <f>IF(A41="","",IFERROR(VALUE(SUBSTITUTE(TRIM(Input!F41&amp;""),"%","")),0)/IF(AND(IFERROR(VALUE(SUBSTITUTE(TRIM(Input!F41&amp;""),"%","")),0)&gt;0,IFERROR(VALUE(SUBSTITUTE(TRIM(Input!F41&amp;""),"%","")),0)&lt;1),1,100))</f>
        <v/>
      </c>
      <c r="F41" t="str">
        <f>IF(A41="","",IFERROR(VALUE(SUBSTITUTE(TRIM(Input!G41&amp;""),"%","")),0)/IF(AND(IFERROR(VALUE(SUBSTITUTE(TRIM(Input!G41&amp;""),"%","")),0)&gt;0,IFERROR(VALUE(SUBSTITUTE(TRIM(Input!G41&amp;""),"%","")),0)&lt;1),1,100))</f>
        <v/>
      </c>
      <c r="G41" t="str">
        <f>IF(A41="","",IFERROR(VALUE(SUBSTITUTE(TRIM(Input!H41&amp;""),"%","")),0)/IF(AND(IFERROR(VALUE(SUBSTITUTE(TRIM(Input!H41&amp;""),"%","")),0)&gt;0,IFERROR(VALUE(SUBSTITUTE(TRIM(Input!H41&amp;""),"%","")),0)&lt;1),1,100))</f>
        <v/>
      </c>
      <c r="H41" t="str">
        <f>IF(A41="","",IFERROR(VALUE(SUBSTITUTE(TRIM(Input!I41&amp;""),"%","")),0)/IF(AND(IFERROR(VALUE(SUBSTITUTE(TRIM(Input!I41&amp;""),"%","")),0)&gt;0,IFERROR(VALUE(SUBSTITUTE(TRIM(Input!I41&amp;""),"%","")),0)&lt;1),1,100))</f>
        <v/>
      </c>
    </row>
    <row r="42" spans="1:8">
      <c r="A42" t="str">
        <f>IF(TRIM(Input!B42&amp;"")="","",UPPER(TRIM(Input!B42&amp;"")))</f>
        <v/>
      </c>
      <c r="B42" t="str">
        <f>IF(A42="","",IFERROR(VALUE(RIGHT(TRIM(Input!D42&amp;""),1)),0))</f>
        <v/>
      </c>
      <c r="C42" t="str">
        <f t="shared" si="0"/>
        <v/>
      </c>
      <c r="D42" t="str">
        <f>IF(A42="","",IFERROR(VALUE(SUBSTITUTE(TRIM(Input!E42&amp;""),"%","")),0)/IF(AND(IFERROR(VALUE(SUBSTITUTE(TRIM(Input!E42&amp;""),"%","")),0)&gt;0,IFERROR(VALUE(SUBSTITUTE(TRIM(Input!E42&amp;""),"%","")),0)&lt;1),1,100))</f>
        <v/>
      </c>
      <c r="E42" t="str">
        <f>IF(A42="","",IFERROR(VALUE(SUBSTITUTE(TRIM(Input!F42&amp;""),"%","")),0)/IF(AND(IFERROR(VALUE(SUBSTITUTE(TRIM(Input!F42&amp;""),"%","")),0)&gt;0,IFERROR(VALUE(SUBSTITUTE(TRIM(Input!F42&amp;""),"%","")),0)&lt;1),1,100))</f>
        <v/>
      </c>
      <c r="F42" t="str">
        <f>IF(A42="","",IFERROR(VALUE(SUBSTITUTE(TRIM(Input!G42&amp;""),"%","")),0)/IF(AND(IFERROR(VALUE(SUBSTITUTE(TRIM(Input!G42&amp;""),"%","")),0)&gt;0,IFERROR(VALUE(SUBSTITUTE(TRIM(Input!G42&amp;""),"%","")),0)&lt;1),1,100))</f>
        <v/>
      </c>
      <c r="G42" t="str">
        <f>IF(A42="","",IFERROR(VALUE(SUBSTITUTE(TRIM(Input!H42&amp;""),"%","")),0)/IF(AND(IFERROR(VALUE(SUBSTITUTE(TRIM(Input!H42&amp;""),"%","")),0)&gt;0,IFERROR(VALUE(SUBSTITUTE(TRIM(Input!H42&amp;""),"%","")),0)&lt;1),1,100))</f>
        <v/>
      </c>
      <c r="H42" t="str">
        <f>IF(A42="","",IFERROR(VALUE(SUBSTITUTE(TRIM(Input!I42&amp;""),"%","")),0)/IF(AND(IFERROR(VALUE(SUBSTITUTE(TRIM(Input!I42&amp;""),"%","")),0)&gt;0,IFERROR(VALUE(SUBSTITUTE(TRIM(Input!I42&amp;""),"%","")),0)&lt;1),1,100))</f>
        <v/>
      </c>
    </row>
    <row r="43" spans="1:8">
      <c r="A43" t="str">
        <f>IF(TRIM(Input!B43&amp;"")="","",UPPER(TRIM(Input!B43&amp;"")))</f>
        <v/>
      </c>
      <c r="B43" t="str">
        <f>IF(A43="","",IFERROR(VALUE(RIGHT(TRIM(Input!D43&amp;""),1)),0))</f>
        <v/>
      </c>
      <c r="C43" t="str">
        <f t="shared" si="0"/>
        <v/>
      </c>
      <c r="D43" t="str">
        <f>IF(A43="","",IFERROR(VALUE(SUBSTITUTE(TRIM(Input!E43&amp;""),"%","")),0)/IF(AND(IFERROR(VALUE(SUBSTITUTE(TRIM(Input!E43&amp;""),"%","")),0)&gt;0,IFERROR(VALUE(SUBSTITUTE(TRIM(Input!E43&amp;""),"%","")),0)&lt;1),1,100))</f>
        <v/>
      </c>
      <c r="E43" t="str">
        <f>IF(A43="","",IFERROR(VALUE(SUBSTITUTE(TRIM(Input!F43&amp;""),"%","")),0)/IF(AND(IFERROR(VALUE(SUBSTITUTE(TRIM(Input!F43&amp;""),"%","")),0)&gt;0,IFERROR(VALUE(SUBSTITUTE(TRIM(Input!F43&amp;""),"%","")),0)&lt;1),1,100))</f>
        <v/>
      </c>
      <c r="F43" t="str">
        <f>IF(A43="","",IFERROR(VALUE(SUBSTITUTE(TRIM(Input!G43&amp;""),"%","")),0)/IF(AND(IFERROR(VALUE(SUBSTITUTE(TRIM(Input!G43&amp;""),"%","")),0)&gt;0,IFERROR(VALUE(SUBSTITUTE(TRIM(Input!G43&amp;""),"%","")),0)&lt;1),1,100))</f>
        <v/>
      </c>
      <c r="G43" t="str">
        <f>IF(A43="","",IFERROR(VALUE(SUBSTITUTE(TRIM(Input!H43&amp;""),"%","")),0)/IF(AND(IFERROR(VALUE(SUBSTITUTE(TRIM(Input!H43&amp;""),"%","")),0)&gt;0,IFERROR(VALUE(SUBSTITUTE(TRIM(Input!H43&amp;""),"%","")),0)&lt;1),1,100))</f>
        <v/>
      </c>
      <c r="H43" t="str">
        <f>IF(A43="","",IFERROR(VALUE(SUBSTITUTE(TRIM(Input!I43&amp;""),"%","")),0)/IF(AND(IFERROR(VALUE(SUBSTITUTE(TRIM(Input!I43&amp;""),"%","")),0)&gt;0,IFERROR(VALUE(SUBSTITUTE(TRIM(Input!I43&amp;""),"%","")),0)&lt;1),1,100))</f>
        <v/>
      </c>
    </row>
    <row r="44" spans="1:8">
      <c r="A44" t="str">
        <f>IF(TRIM(Input!B44&amp;"")="","",UPPER(TRIM(Input!B44&amp;"")))</f>
        <v/>
      </c>
      <c r="B44" t="str">
        <f>IF(A44="","",IFERROR(VALUE(RIGHT(TRIM(Input!D44&amp;""),1)),0))</f>
        <v/>
      </c>
      <c r="C44" t="str">
        <f t="shared" si="0"/>
        <v/>
      </c>
      <c r="D44" t="str">
        <f>IF(A44="","",IFERROR(VALUE(SUBSTITUTE(TRIM(Input!E44&amp;""),"%","")),0)/IF(AND(IFERROR(VALUE(SUBSTITUTE(TRIM(Input!E44&amp;""),"%","")),0)&gt;0,IFERROR(VALUE(SUBSTITUTE(TRIM(Input!E44&amp;""),"%","")),0)&lt;1),1,100))</f>
        <v/>
      </c>
      <c r="E44" t="str">
        <f>IF(A44="","",IFERROR(VALUE(SUBSTITUTE(TRIM(Input!F44&amp;""),"%","")),0)/IF(AND(IFERROR(VALUE(SUBSTITUTE(TRIM(Input!F44&amp;""),"%","")),0)&gt;0,IFERROR(VALUE(SUBSTITUTE(TRIM(Input!F44&amp;""),"%","")),0)&lt;1),1,100))</f>
        <v/>
      </c>
      <c r="F44" t="str">
        <f>IF(A44="","",IFERROR(VALUE(SUBSTITUTE(TRIM(Input!G44&amp;""),"%","")),0)/IF(AND(IFERROR(VALUE(SUBSTITUTE(TRIM(Input!G44&amp;""),"%","")),0)&gt;0,IFERROR(VALUE(SUBSTITUTE(TRIM(Input!G44&amp;""),"%","")),0)&lt;1),1,100))</f>
        <v/>
      </c>
      <c r="G44" t="str">
        <f>IF(A44="","",IFERROR(VALUE(SUBSTITUTE(TRIM(Input!H44&amp;""),"%","")),0)/IF(AND(IFERROR(VALUE(SUBSTITUTE(TRIM(Input!H44&amp;""),"%","")),0)&gt;0,IFERROR(VALUE(SUBSTITUTE(TRIM(Input!H44&amp;""),"%","")),0)&lt;1),1,100))</f>
        <v/>
      </c>
      <c r="H44" t="str">
        <f>IF(A44="","",IFERROR(VALUE(SUBSTITUTE(TRIM(Input!I44&amp;""),"%","")),0)/IF(AND(IFERROR(VALUE(SUBSTITUTE(TRIM(Input!I44&amp;""),"%","")),0)&gt;0,IFERROR(VALUE(SUBSTITUTE(TRIM(Input!I44&amp;""),"%","")),0)&lt;1),1,100))</f>
        <v/>
      </c>
    </row>
    <row r="45" spans="1:8">
      <c r="A45" t="str">
        <f>IF(TRIM(Input!B45&amp;"")="","",UPPER(TRIM(Input!B45&amp;"")))</f>
        <v/>
      </c>
      <c r="B45" t="str">
        <f>IF(A45="","",IFERROR(VALUE(RIGHT(TRIM(Input!D45&amp;""),1)),0))</f>
        <v/>
      </c>
      <c r="C45" t="str">
        <f t="shared" si="0"/>
        <v/>
      </c>
      <c r="D45" t="str">
        <f>IF(A45="","",IFERROR(VALUE(SUBSTITUTE(TRIM(Input!E45&amp;""),"%","")),0)/IF(AND(IFERROR(VALUE(SUBSTITUTE(TRIM(Input!E45&amp;""),"%","")),0)&gt;0,IFERROR(VALUE(SUBSTITUTE(TRIM(Input!E45&amp;""),"%","")),0)&lt;1),1,100))</f>
        <v/>
      </c>
      <c r="E45" t="str">
        <f>IF(A45="","",IFERROR(VALUE(SUBSTITUTE(TRIM(Input!F45&amp;""),"%","")),0)/IF(AND(IFERROR(VALUE(SUBSTITUTE(TRIM(Input!F45&amp;""),"%","")),0)&gt;0,IFERROR(VALUE(SUBSTITUTE(TRIM(Input!F45&amp;""),"%","")),0)&lt;1),1,100))</f>
        <v/>
      </c>
      <c r="F45" t="str">
        <f>IF(A45="","",IFERROR(VALUE(SUBSTITUTE(TRIM(Input!G45&amp;""),"%","")),0)/IF(AND(IFERROR(VALUE(SUBSTITUTE(TRIM(Input!G45&amp;""),"%","")),0)&gt;0,IFERROR(VALUE(SUBSTITUTE(TRIM(Input!G45&amp;""),"%","")),0)&lt;1),1,100))</f>
        <v/>
      </c>
      <c r="G45" t="str">
        <f>IF(A45="","",IFERROR(VALUE(SUBSTITUTE(TRIM(Input!H45&amp;""),"%","")),0)/IF(AND(IFERROR(VALUE(SUBSTITUTE(TRIM(Input!H45&amp;""),"%","")),0)&gt;0,IFERROR(VALUE(SUBSTITUTE(TRIM(Input!H45&amp;""),"%","")),0)&lt;1),1,100))</f>
        <v/>
      </c>
      <c r="H45" t="str">
        <f>IF(A45="","",IFERROR(VALUE(SUBSTITUTE(TRIM(Input!I45&amp;""),"%","")),0)/IF(AND(IFERROR(VALUE(SUBSTITUTE(TRIM(Input!I45&amp;""),"%","")),0)&gt;0,IFERROR(VALUE(SUBSTITUTE(TRIM(Input!I45&amp;""),"%","")),0)&lt;1),1,100))</f>
        <v/>
      </c>
    </row>
    <row r="46" spans="1:8">
      <c r="A46" t="str">
        <f>IF(TRIM(Input!B46&amp;"")="","",UPPER(TRIM(Input!B46&amp;"")))</f>
        <v/>
      </c>
      <c r="B46" t="str">
        <f>IF(A46="","",IFERROR(VALUE(RIGHT(TRIM(Input!D46&amp;""),1)),0))</f>
        <v/>
      </c>
      <c r="C46" t="str">
        <f t="shared" si="0"/>
        <v/>
      </c>
      <c r="D46" t="str">
        <f>IF(A46="","",IFERROR(VALUE(SUBSTITUTE(TRIM(Input!E46&amp;""),"%","")),0)/IF(AND(IFERROR(VALUE(SUBSTITUTE(TRIM(Input!E46&amp;""),"%","")),0)&gt;0,IFERROR(VALUE(SUBSTITUTE(TRIM(Input!E46&amp;""),"%","")),0)&lt;1),1,100))</f>
        <v/>
      </c>
      <c r="E46" t="str">
        <f>IF(A46="","",IFERROR(VALUE(SUBSTITUTE(TRIM(Input!F46&amp;""),"%","")),0)/IF(AND(IFERROR(VALUE(SUBSTITUTE(TRIM(Input!F46&amp;""),"%","")),0)&gt;0,IFERROR(VALUE(SUBSTITUTE(TRIM(Input!F46&amp;""),"%","")),0)&lt;1),1,100))</f>
        <v/>
      </c>
      <c r="F46" t="str">
        <f>IF(A46="","",IFERROR(VALUE(SUBSTITUTE(TRIM(Input!G46&amp;""),"%","")),0)/IF(AND(IFERROR(VALUE(SUBSTITUTE(TRIM(Input!G46&amp;""),"%","")),0)&gt;0,IFERROR(VALUE(SUBSTITUTE(TRIM(Input!G46&amp;""),"%","")),0)&lt;1),1,100))</f>
        <v/>
      </c>
      <c r="G46" t="str">
        <f>IF(A46="","",IFERROR(VALUE(SUBSTITUTE(TRIM(Input!H46&amp;""),"%","")),0)/IF(AND(IFERROR(VALUE(SUBSTITUTE(TRIM(Input!H46&amp;""),"%","")),0)&gt;0,IFERROR(VALUE(SUBSTITUTE(TRIM(Input!H46&amp;""),"%","")),0)&lt;1),1,100))</f>
        <v/>
      </c>
      <c r="H46" t="str">
        <f>IF(A46="","",IFERROR(VALUE(SUBSTITUTE(TRIM(Input!I46&amp;""),"%","")),0)/IF(AND(IFERROR(VALUE(SUBSTITUTE(TRIM(Input!I46&amp;""),"%","")),0)&gt;0,IFERROR(VALUE(SUBSTITUTE(TRIM(Input!I46&amp;""),"%","")),0)&lt;1),1,100))</f>
        <v/>
      </c>
    </row>
    <row r="47" spans="1:8">
      <c r="A47" t="str">
        <f>IF(TRIM(Input!B47&amp;"")="","",UPPER(TRIM(Input!B47&amp;"")))</f>
        <v/>
      </c>
      <c r="B47" t="str">
        <f>IF(A47="","",IFERROR(VALUE(RIGHT(TRIM(Input!D47&amp;""),1)),0))</f>
        <v/>
      </c>
      <c r="C47" t="str">
        <f t="shared" si="0"/>
        <v/>
      </c>
      <c r="D47" t="str">
        <f>IF(A47="","",IFERROR(VALUE(SUBSTITUTE(TRIM(Input!E47&amp;""),"%","")),0)/IF(AND(IFERROR(VALUE(SUBSTITUTE(TRIM(Input!E47&amp;""),"%","")),0)&gt;0,IFERROR(VALUE(SUBSTITUTE(TRIM(Input!E47&amp;""),"%","")),0)&lt;1),1,100))</f>
        <v/>
      </c>
      <c r="E47" t="str">
        <f>IF(A47="","",IFERROR(VALUE(SUBSTITUTE(TRIM(Input!F47&amp;""),"%","")),0)/IF(AND(IFERROR(VALUE(SUBSTITUTE(TRIM(Input!F47&amp;""),"%","")),0)&gt;0,IFERROR(VALUE(SUBSTITUTE(TRIM(Input!F47&amp;""),"%","")),0)&lt;1),1,100))</f>
        <v/>
      </c>
      <c r="F47" t="str">
        <f>IF(A47="","",IFERROR(VALUE(SUBSTITUTE(TRIM(Input!G47&amp;""),"%","")),0)/IF(AND(IFERROR(VALUE(SUBSTITUTE(TRIM(Input!G47&amp;""),"%","")),0)&gt;0,IFERROR(VALUE(SUBSTITUTE(TRIM(Input!G47&amp;""),"%","")),0)&lt;1),1,100))</f>
        <v/>
      </c>
      <c r="G47" t="str">
        <f>IF(A47="","",IFERROR(VALUE(SUBSTITUTE(TRIM(Input!H47&amp;""),"%","")),0)/IF(AND(IFERROR(VALUE(SUBSTITUTE(TRIM(Input!H47&amp;""),"%","")),0)&gt;0,IFERROR(VALUE(SUBSTITUTE(TRIM(Input!H47&amp;""),"%","")),0)&lt;1),1,100))</f>
        <v/>
      </c>
      <c r="H47" t="str">
        <f>IF(A47="","",IFERROR(VALUE(SUBSTITUTE(TRIM(Input!I47&amp;""),"%","")),0)/IF(AND(IFERROR(VALUE(SUBSTITUTE(TRIM(Input!I47&amp;""),"%","")),0)&gt;0,IFERROR(VALUE(SUBSTITUTE(TRIM(Input!I47&amp;""),"%","")),0)&lt;1),1,100))</f>
        <v/>
      </c>
    </row>
    <row r="48" spans="1:8">
      <c r="A48" t="str">
        <f>IF(TRIM(Input!B48&amp;"")="","",UPPER(TRIM(Input!B48&amp;"")))</f>
        <v/>
      </c>
      <c r="B48" t="str">
        <f>IF(A48="","",IFERROR(VALUE(RIGHT(TRIM(Input!D48&amp;""),1)),0))</f>
        <v/>
      </c>
      <c r="C48" t="str">
        <f t="shared" si="0"/>
        <v/>
      </c>
      <c r="D48" t="str">
        <f>IF(A48="","",IFERROR(VALUE(SUBSTITUTE(TRIM(Input!E48&amp;""),"%","")),0)/IF(AND(IFERROR(VALUE(SUBSTITUTE(TRIM(Input!E48&amp;""),"%","")),0)&gt;0,IFERROR(VALUE(SUBSTITUTE(TRIM(Input!E48&amp;""),"%","")),0)&lt;1),1,100))</f>
        <v/>
      </c>
      <c r="E48" t="str">
        <f>IF(A48="","",IFERROR(VALUE(SUBSTITUTE(TRIM(Input!F48&amp;""),"%","")),0)/IF(AND(IFERROR(VALUE(SUBSTITUTE(TRIM(Input!F48&amp;""),"%","")),0)&gt;0,IFERROR(VALUE(SUBSTITUTE(TRIM(Input!F48&amp;""),"%","")),0)&lt;1),1,100))</f>
        <v/>
      </c>
      <c r="F48" t="str">
        <f>IF(A48="","",IFERROR(VALUE(SUBSTITUTE(TRIM(Input!G48&amp;""),"%","")),0)/IF(AND(IFERROR(VALUE(SUBSTITUTE(TRIM(Input!G48&amp;""),"%","")),0)&gt;0,IFERROR(VALUE(SUBSTITUTE(TRIM(Input!G48&amp;""),"%","")),0)&lt;1),1,100))</f>
        <v/>
      </c>
      <c r="G48" t="str">
        <f>IF(A48="","",IFERROR(VALUE(SUBSTITUTE(TRIM(Input!H48&amp;""),"%","")),0)/IF(AND(IFERROR(VALUE(SUBSTITUTE(TRIM(Input!H48&amp;""),"%","")),0)&gt;0,IFERROR(VALUE(SUBSTITUTE(TRIM(Input!H48&amp;""),"%","")),0)&lt;1),1,100))</f>
        <v/>
      </c>
      <c r="H48" t="str">
        <f>IF(A48="","",IFERROR(VALUE(SUBSTITUTE(TRIM(Input!I48&amp;""),"%","")),0)/IF(AND(IFERROR(VALUE(SUBSTITUTE(TRIM(Input!I48&amp;""),"%","")),0)&gt;0,IFERROR(VALUE(SUBSTITUTE(TRIM(Input!I48&amp;""),"%","")),0)&lt;1),1,100))</f>
        <v/>
      </c>
    </row>
    <row r="49" spans="1:8">
      <c r="A49" t="str">
        <f>IF(TRIM(Input!B49&amp;"")="","",UPPER(TRIM(Input!B49&amp;"")))</f>
        <v/>
      </c>
      <c r="B49" t="str">
        <f>IF(A49="","",IFERROR(VALUE(RIGHT(TRIM(Input!D49&amp;""),1)),0))</f>
        <v/>
      </c>
      <c r="C49" t="str">
        <f t="shared" si="0"/>
        <v/>
      </c>
      <c r="D49" t="str">
        <f>IF(A49="","",IFERROR(VALUE(SUBSTITUTE(TRIM(Input!E49&amp;""),"%","")),0)/IF(AND(IFERROR(VALUE(SUBSTITUTE(TRIM(Input!E49&amp;""),"%","")),0)&gt;0,IFERROR(VALUE(SUBSTITUTE(TRIM(Input!E49&amp;""),"%","")),0)&lt;1),1,100))</f>
        <v/>
      </c>
      <c r="E49" t="str">
        <f>IF(A49="","",IFERROR(VALUE(SUBSTITUTE(TRIM(Input!F49&amp;""),"%","")),0)/IF(AND(IFERROR(VALUE(SUBSTITUTE(TRIM(Input!F49&amp;""),"%","")),0)&gt;0,IFERROR(VALUE(SUBSTITUTE(TRIM(Input!F49&amp;""),"%","")),0)&lt;1),1,100))</f>
        <v/>
      </c>
      <c r="F49" t="str">
        <f>IF(A49="","",IFERROR(VALUE(SUBSTITUTE(TRIM(Input!G49&amp;""),"%","")),0)/IF(AND(IFERROR(VALUE(SUBSTITUTE(TRIM(Input!G49&amp;""),"%","")),0)&gt;0,IFERROR(VALUE(SUBSTITUTE(TRIM(Input!G49&amp;""),"%","")),0)&lt;1),1,100))</f>
        <v/>
      </c>
      <c r="G49" t="str">
        <f>IF(A49="","",IFERROR(VALUE(SUBSTITUTE(TRIM(Input!H49&amp;""),"%","")),0)/IF(AND(IFERROR(VALUE(SUBSTITUTE(TRIM(Input!H49&amp;""),"%","")),0)&gt;0,IFERROR(VALUE(SUBSTITUTE(TRIM(Input!H49&amp;""),"%","")),0)&lt;1),1,100))</f>
        <v/>
      </c>
      <c r="H49" t="str">
        <f>IF(A49="","",IFERROR(VALUE(SUBSTITUTE(TRIM(Input!I49&amp;""),"%","")),0)/IF(AND(IFERROR(VALUE(SUBSTITUTE(TRIM(Input!I49&amp;""),"%","")),0)&gt;0,IFERROR(VALUE(SUBSTITUTE(TRIM(Input!I49&amp;""),"%","")),0)&lt;1),1,100))</f>
        <v/>
      </c>
    </row>
    <row r="50" spans="1:8">
      <c r="A50" t="str">
        <f>IF(TRIM(Input!B50&amp;"")="","",UPPER(TRIM(Input!B50&amp;"")))</f>
        <v/>
      </c>
      <c r="B50" t="str">
        <f>IF(A50="","",IFERROR(VALUE(RIGHT(TRIM(Input!D50&amp;""),1)),0))</f>
        <v/>
      </c>
      <c r="C50" t="str">
        <f t="shared" si="0"/>
        <v/>
      </c>
      <c r="D50" t="str">
        <f>IF(A50="","",IFERROR(VALUE(SUBSTITUTE(TRIM(Input!E50&amp;""),"%","")),0)/IF(AND(IFERROR(VALUE(SUBSTITUTE(TRIM(Input!E50&amp;""),"%","")),0)&gt;0,IFERROR(VALUE(SUBSTITUTE(TRIM(Input!E50&amp;""),"%","")),0)&lt;1),1,100))</f>
        <v/>
      </c>
      <c r="E50" t="str">
        <f>IF(A50="","",IFERROR(VALUE(SUBSTITUTE(TRIM(Input!F50&amp;""),"%","")),0)/IF(AND(IFERROR(VALUE(SUBSTITUTE(TRIM(Input!F50&amp;""),"%","")),0)&gt;0,IFERROR(VALUE(SUBSTITUTE(TRIM(Input!F50&amp;""),"%","")),0)&lt;1),1,100))</f>
        <v/>
      </c>
      <c r="F50" t="str">
        <f>IF(A50="","",IFERROR(VALUE(SUBSTITUTE(TRIM(Input!G50&amp;""),"%","")),0)/IF(AND(IFERROR(VALUE(SUBSTITUTE(TRIM(Input!G50&amp;""),"%","")),0)&gt;0,IFERROR(VALUE(SUBSTITUTE(TRIM(Input!G50&amp;""),"%","")),0)&lt;1),1,100))</f>
        <v/>
      </c>
      <c r="G50" t="str">
        <f>IF(A50="","",IFERROR(VALUE(SUBSTITUTE(TRIM(Input!H50&amp;""),"%","")),0)/IF(AND(IFERROR(VALUE(SUBSTITUTE(TRIM(Input!H50&amp;""),"%","")),0)&gt;0,IFERROR(VALUE(SUBSTITUTE(TRIM(Input!H50&amp;""),"%","")),0)&lt;1),1,100))</f>
        <v/>
      </c>
      <c r="H50" t="str">
        <f>IF(A50="","",IFERROR(VALUE(SUBSTITUTE(TRIM(Input!I50&amp;""),"%","")),0)/IF(AND(IFERROR(VALUE(SUBSTITUTE(TRIM(Input!I50&amp;""),"%","")),0)&gt;0,IFERROR(VALUE(SUBSTITUTE(TRIM(Input!I50&amp;""),"%","")),0)&lt;1),1,100))</f>
        <v/>
      </c>
    </row>
    <row r="51" spans="1:8">
      <c r="A51" t="str">
        <f>IF(TRIM(Input!B51&amp;"")="","",UPPER(TRIM(Input!B51&amp;"")))</f>
        <v/>
      </c>
      <c r="B51" t="str">
        <f>IF(A51="","",IFERROR(VALUE(RIGHT(TRIM(Input!D51&amp;""),1)),0))</f>
        <v/>
      </c>
      <c r="C51" t="str">
        <f t="shared" si="0"/>
        <v/>
      </c>
      <c r="D51" t="str">
        <f>IF(A51="","",IFERROR(VALUE(SUBSTITUTE(TRIM(Input!E51&amp;""),"%","")),0)/IF(AND(IFERROR(VALUE(SUBSTITUTE(TRIM(Input!E51&amp;""),"%","")),0)&gt;0,IFERROR(VALUE(SUBSTITUTE(TRIM(Input!E51&amp;""),"%","")),0)&lt;1),1,100))</f>
        <v/>
      </c>
      <c r="E51" t="str">
        <f>IF(A51="","",IFERROR(VALUE(SUBSTITUTE(TRIM(Input!F51&amp;""),"%","")),0)/IF(AND(IFERROR(VALUE(SUBSTITUTE(TRIM(Input!F51&amp;""),"%","")),0)&gt;0,IFERROR(VALUE(SUBSTITUTE(TRIM(Input!F51&amp;""),"%","")),0)&lt;1),1,100))</f>
        <v/>
      </c>
      <c r="F51" t="str">
        <f>IF(A51="","",IFERROR(VALUE(SUBSTITUTE(TRIM(Input!G51&amp;""),"%","")),0)/IF(AND(IFERROR(VALUE(SUBSTITUTE(TRIM(Input!G51&amp;""),"%","")),0)&gt;0,IFERROR(VALUE(SUBSTITUTE(TRIM(Input!G51&amp;""),"%","")),0)&lt;1),1,100))</f>
        <v/>
      </c>
      <c r="G51" t="str">
        <f>IF(A51="","",IFERROR(VALUE(SUBSTITUTE(TRIM(Input!H51&amp;""),"%","")),0)/IF(AND(IFERROR(VALUE(SUBSTITUTE(TRIM(Input!H51&amp;""),"%","")),0)&gt;0,IFERROR(VALUE(SUBSTITUTE(TRIM(Input!H51&amp;""),"%","")),0)&lt;1),1,100))</f>
        <v/>
      </c>
      <c r="H51" t="str">
        <f>IF(A51="","",IFERROR(VALUE(SUBSTITUTE(TRIM(Input!I51&amp;""),"%","")),0)/IF(AND(IFERROR(VALUE(SUBSTITUTE(TRIM(Input!I51&amp;""),"%","")),0)&gt;0,IFERROR(VALUE(SUBSTITUTE(TRIM(Input!I51&amp;""),"%","")),0)&lt;1),1,100))</f>
        <v/>
      </c>
    </row>
    <row r="52" spans="1:8">
      <c r="A52" t="str">
        <f>IF(TRIM(Input!B52&amp;"")="","",UPPER(TRIM(Input!B52&amp;"")))</f>
        <v/>
      </c>
      <c r="B52" t="str">
        <f>IF(A52="","",IFERROR(VALUE(RIGHT(TRIM(Input!D52&amp;""),1)),0))</f>
        <v/>
      </c>
      <c r="C52" t="str">
        <f t="shared" si="0"/>
        <v/>
      </c>
      <c r="D52" t="str">
        <f>IF(A52="","",IFERROR(VALUE(SUBSTITUTE(TRIM(Input!E52&amp;""),"%","")),0)/IF(AND(IFERROR(VALUE(SUBSTITUTE(TRIM(Input!E52&amp;""),"%","")),0)&gt;0,IFERROR(VALUE(SUBSTITUTE(TRIM(Input!E52&amp;""),"%","")),0)&lt;1),1,100))</f>
        <v/>
      </c>
      <c r="E52" t="str">
        <f>IF(A52="","",IFERROR(VALUE(SUBSTITUTE(TRIM(Input!F52&amp;""),"%","")),0)/IF(AND(IFERROR(VALUE(SUBSTITUTE(TRIM(Input!F52&amp;""),"%","")),0)&gt;0,IFERROR(VALUE(SUBSTITUTE(TRIM(Input!F52&amp;""),"%","")),0)&lt;1),1,100))</f>
        <v/>
      </c>
      <c r="F52" t="str">
        <f>IF(A52="","",IFERROR(VALUE(SUBSTITUTE(TRIM(Input!G52&amp;""),"%","")),0)/IF(AND(IFERROR(VALUE(SUBSTITUTE(TRIM(Input!G52&amp;""),"%","")),0)&gt;0,IFERROR(VALUE(SUBSTITUTE(TRIM(Input!G52&amp;""),"%","")),0)&lt;1),1,100))</f>
        <v/>
      </c>
      <c r="G52" t="str">
        <f>IF(A52="","",IFERROR(VALUE(SUBSTITUTE(TRIM(Input!H52&amp;""),"%","")),0)/IF(AND(IFERROR(VALUE(SUBSTITUTE(TRIM(Input!H52&amp;""),"%","")),0)&gt;0,IFERROR(VALUE(SUBSTITUTE(TRIM(Input!H52&amp;""),"%","")),0)&lt;1),1,100))</f>
        <v/>
      </c>
      <c r="H52" t="str">
        <f>IF(A52="","",IFERROR(VALUE(SUBSTITUTE(TRIM(Input!I52&amp;""),"%","")),0)/IF(AND(IFERROR(VALUE(SUBSTITUTE(TRIM(Input!I52&amp;""),"%","")),0)&gt;0,IFERROR(VALUE(SUBSTITUTE(TRIM(Input!I52&amp;""),"%","")),0)&lt;1),1,100))</f>
        <v/>
      </c>
    </row>
    <row r="53" spans="1:8">
      <c r="A53" t="str">
        <f>IF(TRIM(Input!B53&amp;"")="","",UPPER(TRIM(Input!B53&amp;"")))</f>
        <v/>
      </c>
      <c r="B53" t="str">
        <f>IF(A53="","",IFERROR(VALUE(RIGHT(TRIM(Input!D53&amp;""),1)),0))</f>
        <v/>
      </c>
      <c r="C53" t="str">
        <f t="shared" si="0"/>
        <v/>
      </c>
      <c r="D53" t="str">
        <f>IF(A53="","",IFERROR(VALUE(SUBSTITUTE(TRIM(Input!E53&amp;""),"%","")),0)/IF(AND(IFERROR(VALUE(SUBSTITUTE(TRIM(Input!E53&amp;""),"%","")),0)&gt;0,IFERROR(VALUE(SUBSTITUTE(TRIM(Input!E53&amp;""),"%","")),0)&lt;1),1,100))</f>
        <v/>
      </c>
      <c r="E53" t="str">
        <f>IF(A53="","",IFERROR(VALUE(SUBSTITUTE(TRIM(Input!F53&amp;""),"%","")),0)/IF(AND(IFERROR(VALUE(SUBSTITUTE(TRIM(Input!F53&amp;""),"%","")),0)&gt;0,IFERROR(VALUE(SUBSTITUTE(TRIM(Input!F53&amp;""),"%","")),0)&lt;1),1,100))</f>
        <v/>
      </c>
      <c r="F53" t="str">
        <f>IF(A53="","",IFERROR(VALUE(SUBSTITUTE(TRIM(Input!G53&amp;""),"%","")),0)/IF(AND(IFERROR(VALUE(SUBSTITUTE(TRIM(Input!G53&amp;""),"%","")),0)&gt;0,IFERROR(VALUE(SUBSTITUTE(TRIM(Input!G53&amp;""),"%","")),0)&lt;1),1,100))</f>
        <v/>
      </c>
      <c r="G53" t="str">
        <f>IF(A53="","",IFERROR(VALUE(SUBSTITUTE(TRIM(Input!H53&amp;""),"%","")),0)/IF(AND(IFERROR(VALUE(SUBSTITUTE(TRIM(Input!H53&amp;""),"%","")),0)&gt;0,IFERROR(VALUE(SUBSTITUTE(TRIM(Input!H53&amp;""),"%","")),0)&lt;1),1,100))</f>
        <v/>
      </c>
      <c r="H53" t="str">
        <f>IF(A53="","",IFERROR(VALUE(SUBSTITUTE(TRIM(Input!I53&amp;""),"%","")),0)/IF(AND(IFERROR(VALUE(SUBSTITUTE(TRIM(Input!I53&amp;""),"%","")),0)&gt;0,IFERROR(VALUE(SUBSTITUTE(TRIM(Input!I53&amp;""),"%","")),0)&lt;1),1,100))</f>
        <v/>
      </c>
    </row>
    <row r="54" spans="1:8">
      <c r="A54" t="str">
        <f>IF(TRIM(Input!B54&amp;"")="","",UPPER(TRIM(Input!B54&amp;"")))</f>
        <v/>
      </c>
      <c r="B54" t="str">
        <f>IF(A54="","",IFERROR(VALUE(RIGHT(TRIM(Input!D54&amp;""),1)),0))</f>
        <v/>
      </c>
      <c r="C54" t="str">
        <f t="shared" si="0"/>
        <v/>
      </c>
      <c r="D54" t="str">
        <f>IF(A54="","",IFERROR(VALUE(SUBSTITUTE(TRIM(Input!E54&amp;""),"%","")),0)/IF(AND(IFERROR(VALUE(SUBSTITUTE(TRIM(Input!E54&amp;""),"%","")),0)&gt;0,IFERROR(VALUE(SUBSTITUTE(TRIM(Input!E54&amp;""),"%","")),0)&lt;1),1,100))</f>
        <v/>
      </c>
      <c r="E54" t="str">
        <f>IF(A54="","",IFERROR(VALUE(SUBSTITUTE(TRIM(Input!F54&amp;""),"%","")),0)/IF(AND(IFERROR(VALUE(SUBSTITUTE(TRIM(Input!F54&amp;""),"%","")),0)&gt;0,IFERROR(VALUE(SUBSTITUTE(TRIM(Input!F54&amp;""),"%","")),0)&lt;1),1,100))</f>
        <v/>
      </c>
      <c r="F54" t="str">
        <f>IF(A54="","",IFERROR(VALUE(SUBSTITUTE(TRIM(Input!G54&amp;""),"%","")),0)/IF(AND(IFERROR(VALUE(SUBSTITUTE(TRIM(Input!G54&amp;""),"%","")),0)&gt;0,IFERROR(VALUE(SUBSTITUTE(TRIM(Input!G54&amp;""),"%","")),0)&lt;1),1,100))</f>
        <v/>
      </c>
      <c r="G54" t="str">
        <f>IF(A54="","",IFERROR(VALUE(SUBSTITUTE(TRIM(Input!H54&amp;""),"%","")),0)/IF(AND(IFERROR(VALUE(SUBSTITUTE(TRIM(Input!H54&amp;""),"%","")),0)&gt;0,IFERROR(VALUE(SUBSTITUTE(TRIM(Input!H54&amp;""),"%","")),0)&lt;1),1,100))</f>
        <v/>
      </c>
      <c r="H54" t="str">
        <f>IF(A54="","",IFERROR(VALUE(SUBSTITUTE(TRIM(Input!I54&amp;""),"%","")),0)/IF(AND(IFERROR(VALUE(SUBSTITUTE(TRIM(Input!I54&amp;""),"%","")),0)&gt;0,IFERROR(VALUE(SUBSTITUTE(TRIM(Input!I54&amp;""),"%","")),0)&lt;1),1,100))</f>
        <v/>
      </c>
    </row>
    <row r="55" spans="1:8">
      <c r="A55" t="str">
        <f>IF(TRIM(Input!B55&amp;"")="","",UPPER(TRIM(Input!B55&amp;"")))</f>
        <v/>
      </c>
      <c r="B55" t="str">
        <f>IF(A55="","",IFERROR(VALUE(RIGHT(TRIM(Input!D55&amp;""),1)),0))</f>
        <v/>
      </c>
      <c r="C55" t="str">
        <f t="shared" si="0"/>
        <v/>
      </c>
      <c r="D55" t="str">
        <f>IF(A55="","",IFERROR(VALUE(SUBSTITUTE(TRIM(Input!E55&amp;""),"%","")),0)/IF(AND(IFERROR(VALUE(SUBSTITUTE(TRIM(Input!E55&amp;""),"%","")),0)&gt;0,IFERROR(VALUE(SUBSTITUTE(TRIM(Input!E55&amp;""),"%","")),0)&lt;1),1,100))</f>
        <v/>
      </c>
      <c r="E55" t="str">
        <f>IF(A55="","",IFERROR(VALUE(SUBSTITUTE(TRIM(Input!F55&amp;""),"%","")),0)/IF(AND(IFERROR(VALUE(SUBSTITUTE(TRIM(Input!F55&amp;""),"%","")),0)&gt;0,IFERROR(VALUE(SUBSTITUTE(TRIM(Input!F55&amp;""),"%","")),0)&lt;1),1,100))</f>
        <v/>
      </c>
      <c r="F55" t="str">
        <f>IF(A55="","",IFERROR(VALUE(SUBSTITUTE(TRIM(Input!G55&amp;""),"%","")),0)/IF(AND(IFERROR(VALUE(SUBSTITUTE(TRIM(Input!G55&amp;""),"%","")),0)&gt;0,IFERROR(VALUE(SUBSTITUTE(TRIM(Input!G55&amp;""),"%","")),0)&lt;1),1,100))</f>
        <v/>
      </c>
      <c r="G55" t="str">
        <f>IF(A55="","",IFERROR(VALUE(SUBSTITUTE(TRIM(Input!H55&amp;""),"%","")),0)/IF(AND(IFERROR(VALUE(SUBSTITUTE(TRIM(Input!H55&amp;""),"%","")),0)&gt;0,IFERROR(VALUE(SUBSTITUTE(TRIM(Input!H55&amp;""),"%","")),0)&lt;1),1,100))</f>
        <v/>
      </c>
      <c r="H55" t="str">
        <f>IF(A55="","",IFERROR(VALUE(SUBSTITUTE(TRIM(Input!I55&amp;""),"%","")),0)/IF(AND(IFERROR(VALUE(SUBSTITUTE(TRIM(Input!I55&amp;""),"%","")),0)&gt;0,IFERROR(VALUE(SUBSTITUTE(TRIM(Input!I55&amp;""),"%","")),0)&lt;1),1,100))</f>
        <v/>
      </c>
    </row>
    <row r="56" spans="1:8">
      <c r="A56" t="str">
        <f>IF(TRIM(Input!B56&amp;"")="","",UPPER(TRIM(Input!B56&amp;"")))</f>
        <v/>
      </c>
      <c r="B56" t="str">
        <f>IF(A56="","",IFERROR(VALUE(RIGHT(TRIM(Input!D56&amp;""),1)),0))</f>
        <v/>
      </c>
      <c r="C56" t="str">
        <f t="shared" si="0"/>
        <v/>
      </c>
      <c r="D56" t="str">
        <f>IF(A56="","",IFERROR(VALUE(SUBSTITUTE(TRIM(Input!E56&amp;""),"%","")),0)/IF(AND(IFERROR(VALUE(SUBSTITUTE(TRIM(Input!E56&amp;""),"%","")),0)&gt;0,IFERROR(VALUE(SUBSTITUTE(TRIM(Input!E56&amp;""),"%","")),0)&lt;1),1,100))</f>
        <v/>
      </c>
      <c r="E56" t="str">
        <f>IF(A56="","",IFERROR(VALUE(SUBSTITUTE(TRIM(Input!F56&amp;""),"%","")),0)/IF(AND(IFERROR(VALUE(SUBSTITUTE(TRIM(Input!F56&amp;""),"%","")),0)&gt;0,IFERROR(VALUE(SUBSTITUTE(TRIM(Input!F56&amp;""),"%","")),0)&lt;1),1,100))</f>
        <v/>
      </c>
      <c r="F56" t="str">
        <f>IF(A56="","",IFERROR(VALUE(SUBSTITUTE(TRIM(Input!G56&amp;""),"%","")),0)/IF(AND(IFERROR(VALUE(SUBSTITUTE(TRIM(Input!G56&amp;""),"%","")),0)&gt;0,IFERROR(VALUE(SUBSTITUTE(TRIM(Input!G56&amp;""),"%","")),0)&lt;1),1,100))</f>
        <v/>
      </c>
      <c r="G56" t="str">
        <f>IF(A56="","",IFERROR(VALUE(SUBSTITUTE(TRIM(Input!H56&amp;""),"%","")),0)/IF(AND(IFERROR(VALUE(SUBSTITUTE(TRIM(Input!H56&amp;""),"%","")),0)&gt;0,IFERROR(VALUE(SUBSTITUTE(TRIM(Input!H56&amp;""),"%","")),0)&lt;1),1,100))</f>
        <v/>
      </c>
      <c r="H56" t="str">
        <f>IF(A56="","",IFERROR(VALUE(SUBSTITUTE(TRIM(Input!I56&amp;""),"%","")),0)/IF(AND(IFERROR(VALUE(SUBSTITUTE(TRIM(Input!I56&amp;""),"%","")),0)&gt;0,IFERROR(VALUE(SUBSTITUTE(TRIM(Input!I56&amp;""),"%","")),0)&lt;1),1,100))</f>
        <v/>
      </c>
    </row>
    <row r="57" spans="1:8">
      <c r="A57" t="str">
        <f>IF(TRIM(Input!B57&amp;"")="","",UPPER(TRIM(Input!B57&amp;"")))</f>
        <v/>
      </c>
      <c r="B57" t="str">
        <f>IF(A57="","",IFERROR(VALUE(RIGHT(TRIM(Input!D57&amp;""),1)),0))</f>
        <v/>
      </c>
      <c r="C57" t="str">
        <f t="shared" si="0"/>
        <v/>
      </c>
      <c r="D57" t="str">
        <f>IF(A57="","",IFERROR(VALUE(SUBSTITUTE(TRIM(Input!E57&amp;""),"%","")),0)/IF(AND(IFERROR(VALUE(SUBSTITUTE(TRIM(Input!E57&amp;""),"%","")),0)&gt;0,IFERROR(VALUE(SUBSTITUTE(TRIM(Input!E57&amp;""),"%","")),0)&lt;1),1,100))</f>
        <v/>
      </c>
      <c r="E57" t="str">
        <f>IF(A57="","",IFERROR(VALUE(SUBSTITUTE(TRIM(Input!F57&amp;""),"%","")),0)/IF(AND(IFERROR(VALUE(SUBSTITUTE(TRIM(Input!F57&amp;""),"%","")),0)&gt;0,IFERROR(VALUE(SUBSTITUTE(TRIM(Input!F57&amp;""),"%","")),0)&lt;1),1,100))</f>
        <v/>
      </c>
      <c r="F57" t="str">
        <f>IF(A57="","",IFERROR(VALUE(SUBSTITUTE(TRIM(Input!G57&amp;""),"%","")),0)/IF(AND(IFERROR(VALUE(SUBSTITUTE(TRIM(Input!G57&amp;""),"%","")),0)&gt;0,IFERROR(VALUE(SUBSTITUTE(TRIM(Input!G57&amp;""),"%","")),0)&lt;1),1,100))</f>
        <v/>
      </c>
      <c r="G57" t="str">
        <f>IF(A57="","",IFERROR(VALUE(SUBSTITUTE(TRIM(Input!H57&amp;""),"%","")),0)/IF(AND(IFERROR(VALUE(SUBSTITUTE(TRIM(Input!H57&amp;""),"%","")),0)&gt;0,IFERROR(VALUE(SUBSTITUTE(TRIM(Input!H57&amp;""),"%","")),0)&lt;1),1,100))</f>
        <v/>
      </c>
      <c r="H57" t="str">
        <f>IF(A57="","",IFERROR(VALUE(SUBSTITUTE(TRIM(Input!I57&amp;""),"%","")),0)/IF(AND(IFERROR(VALUE(SUBSTITUTE(TRIM(Input!I57&amp;""),"%","")),0)&gt;0,IFERROR(VALUE(SUBSTITUTE(TRIM(Input!I57&amp;""),"%","")),0)&lt;1),1,100))</f>
        <v/>
      </c>
    </row>
    <row r="58" spans="1:8">
      <c r="A58" t="str">
        <f>IF(TRIM(Input!B58&amp;"")="","",UPPER(TRIM(Input!B58&amp;"")))</f>
        <v/>
      </c>
      <c r="B58" t="str">
        <f>IF(A58="","",IFERROR(VALUE(RIGHT(TRIM(Input!D58&amp;""),1)),0))</f>
        <v/>
      </c>
      <c r="C58" t="str">
        <f t="shared" si="0"/>
        <v/>
      </c>
      <c r="D58" t="str">
        <f>IF(A58="","",IFERROR(VALUE(SUBSTITUTE(TRIM(Input!E58&amp;""),"%","")),0)/IF(AND(IFERROR(VALUE(SUBSTITUTE(TRIM(Input!E58&amp;""),"%","")),0)&gt;0,IFERROR(VALUE(SUBSTITUTE(TRIM(Input!E58&amp;""),"%","")),0)&lt;1),1,100))</f>
        <v/>
      </c>
      <c r="E58" t="str">
        <f>IF(A58="","",IFERROR(VALUE(SUBSTITUTE(TRIM(Input!F58&amp;""),"%","")),0)/IF(AND(IFERROR(VALUE(SUBSTITUTE(TRIM(Input!F58&amp;""),"%","")),0)&gt;0,IFERROR(VALUE(SUBSTITUTE(TRIM(Input!F58&amp;""),"%","")),0)&lt;1),1,100))</f>
        <v/>
      </c>
      <c r="F58" t="str">
        <f>IF(A58="","",IFERROR(VALUE(SUBSTITUTE(TRIM(Input!G58&amp;""),"%","")),0)/IF(AND(IFERROR(VALUE(SUBSTITUTE(TRIM(Input!G58&amp;""),"%","")),0)&gt;0,IFERROR(VALUE(SUBSTITUTE(TRIM(Input!G58&amp;""),"%","")),0)&lt;1),1,100))</f>
        <v/>
      </c>
      <c r="G58" t="str">
        <f>IF(A58="","",IFERROR(VALUE(SUBSTITUTE(TRIM(Input!H58&amp;""),"%","")),0)/IF(AND(IFERROR(VALUE(SUBSTITUTE(TRIM(Input!H58&amp;""),"%","")),0)&gt;0,IFERROR(VALUE(SUBSTITUTE(TRIM(Input!H58&amp;""),"%","")),0)&lt;1),1,100))</f>
        <v/>
      </c>
      <c r="H58" t="str">
        <f>IF(A58="","",IFERROR(VALUE(SUBSTITUTE(TRIM(Input!I58&amp;""),"%","")),0)/IF(AND(IFERROR(VALUE(SUBSTITUTE(TRIM(Input!I58&amp;""),"%","")),0)&gt;0,IFERROR(VALUE(SUBSTITUTE(TRIM(Input!I58&amp;""),"%","")),0)&lt;1),1,100))</f>
        <v/>
      </c>
    </row>
    <row r="59" spans="1:8">
      <c r="A59" t="str">
        <f>IF(TRIM(Input!B59&amp;"")="","",UPPER(TRIM(Input!B59&amp;"")))</f>
        <v/>
      </c>
      <c r="B59" t="str">
        <f>IF(A59="","",IFERROR(VALUE(RIGHT(TRIM(Input!D59&amp;""),1)),0))</f>
        <v/>
      </c>
      <c r="C59" t="str">
        <f t="shared" si="0"/>
        <v/>
      </c>
      <c r="D59" t="str">
        <f>IF(A59="","",IFERROR(VALUE(SUBSTITUTE(TRIM(Input!E59&amp;""),"%","")),0)/IF(AND(IFERROR(VALUE(SUBSTITUTE(TRIM(Input!E59&amp;""),"%","")),0)&gt;0,IFERROR(VALUE(SUBSTITUTE(TRIM(Input!E59&amp;""),"%","")),0)&lt;1),1,100))</f>
        <v/>
      </c>
      <c r="E59" t="str">
        <f>IF(A59="","",IFERROR(VALUE(SUBSTITUTE(TRIM(Input!F59&amp;""),"%","")),0)/IF(AND(IFERROR(VALUE(SUBSTITUTE(TRIM(Input!F59&amp;""),"%","")),0)&gt;0,IFERROR(VALUE(SUBSTITUTE(TRIM(Input!F59&amp;""),"%","")),0)&lt;1),1,100))</f>
        <v/>
      </c>
      <c r="F59" t="str">
        <f>IF(A59="","",IFERROR(VALUE(SUBSTITUTE(TRIM(Input!G59&amp;""),"%","")),0)/IF(AND(IFERROR(VALUE(SUBSTITUTE(TRIM(Input!G59&amp;""),"%","")),0)&gt;0,IFERROR(VALUE(SUBSTITUTE(TRIM(Input!G59&amp;""),"%","")),0)&lt;1),1,100))</f>
        <v/>
      </c>
      <c r="G59" t="str">
        <f>IF(A59="","",IFERROR(VALUE(SUBSTITUTE(TRIM(Input!H59&amp;""),"%","")),0)/IF(AND(IFERROR(VALUE(SUBSTITUTE(TRIM(Input!H59&amp;""),"%","")),0)&gt;0,IFERROR(VALUE(SUBSTITUTE(TRIM(Input!H59&amp;""),"%","")),0)&lt;1),1,100))</f>
        <v/>
      </c>
      <c r="H59" t="str">
        <f>IF(A59="","",IFERROR(VALUE(SUBSTITUTE(TRIM(Input!I59&amp;""),"%","")),0)/IF(AND(IFERROR(VALUE(SUBSTITUTE(TRIM(Input!I59&amp;""),"%","")),0)&gt;0,IFERROR(VALUE(SUBSTITUTE(TRIM(Input!I59&amp;""),"%","")),0)&lt;1),1,100))</f>
        <v/>
      </c>
    </row>
    <row r="60" spans="1:8">
      <c r="A60" t="str">
        <f>IF(TRIM(Input!B60&amp;"")="","",UPPER(TRIM(Input!B60&amp;"")))</f>
        <v/>
      </c>
      <c r="B60" t="str">
        <f>IF(A60="","",IFERROR(VALUE(RIGHT(TRIM(Input!D60&amp;""),1)),0))</f>
        <v/>
      </c>
      <c r="C60" t="str">
        <f t="shared" si="0"/>
        <v/>
      </c>
      <c r="D60" t="str">
        <f>IF(A60="","",IFERROR(VALUE(SUBSTITUTE(TRIM(Input!E60&amp;""),"%","")),0)/IF(AND(IFERROR(VALUE(SUBSTITUTE(TRIM(Input!E60&amp;""),"%","")),0)&gt;0,IFERROR(VALUE(SUBSTITUTE(TRIM(Input!E60&amp;""),"%","")),0)&lt;1),1,100))</f>
        <v/>
      </c>
      <c r="E60" t="str">
        <f>IF(A60="","",IFERROR(VALUE(SUBSTITUTE(TRIM(Input!F60&amp;""),"%","")),0)/IF(AND(IFERROR(VALUE(SUBSTITUTE(TRIM(Input!F60&amp;""),"%","")),0)&gt;0,IFERROR(VALUE(SUBSTITUTE(TRIM(Input!F60&amp;""),"%","")),0)&lt;1),1,100))</f>
        <v/>
      </c>
      <c r="F60" t="str">
        <f>IF(A60="","",IFERROR(VALUE(SUBSTITUTE(TRIM(Input!G60&amp;""),"%","")),0)/IF(AND(IFERROR(VALUE(SUBSTITUTE(TRIM(Input!G60&amp;""),"%","")),0)&gt;0,IFERROR(VALUE(SUBSTITUTE(TRIM(Input!G60&amp;""),"%","")),0)&lt;1),1,100))</f>
        <v/>
      </c>
      <c r="G60" t="str">
        <f>IF(A60="","",IFERROR(VALUE(SUBSTITUTE(TRIM(Input!H60&amp;""),"%","")),0)/IF(AND(IFERROR(VALUE(SUBSTITUTE(TRIM(Input!H60&amp;""),"%","")),0)&gt;0,IFERROR(VALUE(SUBSTITUTE(TRIM(Input!H60&amp;""),"%","")),0)&lt;1),1,100))</f>
        <v/>
      </c>
      <c r="H60" t="str">
        <f>IF(A60="","",IFERROR(VALUE(SUBSTITUTE(TRIM(Input!I60&amp;""),"%","")),0)/IF(AND(IFERROR(VALUE(SUBSTITUTE(TRIM(Input!I60&amp;""),"%","")),0)&gt;0,IFERROR(VALUE(SUBSTITUTE(TRIM(Input!I60&amp;""),"%","")),0)&lt;1),1,100))</f>
        <v/>
      </c>
    </row>
    <row r="61" spans="1:8">
      <c r="A61" t="str">
        <f>IF(TRIM(Input!B61&amp;"")="","",UPPER(TRIM(Input!B61&amp;"")))</f>
        <v/>
      </c>
      <c r="B61" t="str">
        <f>IF(A61="","",IFERROR(VALUE(RIGHT(TRIM(Input!D61&amp;""),1)),0))</f>
        <v/>
      </c>
      <c r="C61" t="str">
        <f t="shared" si="0"/>
        <v/>
      </c>
      <c r="D61" t="str">
        <f>IF(A61="","",IFERROR(VALUE(SUBSTITUTE(TRIM(Input!E61&amp;""),"%","")),0)/IF(AND(IFERROR(VALUE(SUBSTITUTE(TRIM(Input!E61&amp;""),"%","")),0)&gt;0,IFERROR(VALUE(SUBSTITUTE(TRIM(Input!E61&amp;""),"%","")),0)&lt;1),1,100))</f>
        <v/>
      </c>
      <c r="E61" t="str">
        <f>IF(A61="","",IFERROR(VALUE(SUBSTITUTE(TRIM(Input!F61&amp;""),"%","")),0)/IF(AND(IFERROR(VALUE(SUBSTITUTE(TRIM(Input!F61&amp;""),"%","")),0)&gt;0,IFERROR(VALUE(SUBSTITUTE(TRIM(Input!F61&amp;""),"%","")),0)&lt;1),1,100))</f>
        <v/>
      </c>
      <c r="F61" t="str">
        <f>IF(A61="","",IFERROR(VALUE(SUBSTITUTE(TRIM(Input!G61&amp;""),"%","")),0)/IF(AND(IFERROR(VALUE(SUBSTITUTE(TRIM(Input!G61&amp;""),"%","")),0)&gt;0,IFERROR(VALUE(SUBSTITUTE(TRIM(Input!G61&amp;""),"%","")),0)&lt;1),1,100))</f>
        <v/>
      </c>
      <c r="G61" t="str">
        <f>IF(A61="","",IFERROR(VALUE(SUBSTITUTE(TRIM(Input!H61&amp;""),"%","")),0)/IF(AND(IFERROR(VALUE(SUBSTITUTE(TRIM(Input!H61&amp;""),"%","")),0)&gt;0,IFERROR(VALUE(SUBSTITUTE(TRIM(Input!H61&amp;""),"%","")),0)&lt;1),1,100))</f>
        <v/>
      </c>
      <c r="H61" t="str">
        <f>IF(A61="","",IFERROR(VALUE(SUBSTITUTE(TRIM(Input!I61&amp;""),"%","")),0)/IF(AND(IFERROR(VALUE(SUBSTITUTE(TRIM(Input!I61&amp;""),"%","")),0)&gt;0,IFERROR(VALUE(SUBSTITUTE(TRIM(Input!I61&amp;""),"%","")),0)&lt;1),1,100))</f>
        <v/>
      </c>
    </row>
    <row r="62" spans="1:8">
      <c r="A62" t="str">
        <f>IF(TRIM(Input!B62&amp;"")="","",UPPER(TRIM(Input!B62&amp;"")))</f>
        <v/>
      </c>
      <c r="B62" t="str">
        <f>IF(A62="","",IFERROR(VALUE(RIGHT(TRIM(Input!D62&amp;""),1)),0))</f>
        <v/>
      </c>
      <c r="C62" t="str">
        <f t="shared" si="0"/>
        <v/>
      </c>
      <c r="D62" t="str">
        <f>IF(A62="","",IFERROR(VALUE(SUBSTITUTE(TRIM(Input!E62&amp;""),"%","")),0)/IF(AND(IFERROR(VALUE(SUBSTITUTE(TRIM(Input!E62&amp;""),"%","")),0)&gt;0,IFERROR(VALUE(SUBSTITUTE(TRIM(Input!E62&amp;""),"%","")),0)&lt;1),1,100))</f>
        <v/>
      </c>
      <c r="E62" t="str">
        <f>IF(A62="","",IFERROR(VALUE(SUBSTITUTE(TRIM(Input!F62&amp;""),"%","")),0)/IF(AND(IFERROR(VALUE(SUBSTITUTE(TRIM(Input!F62&amp;""),"%","")),0)&gt;0,IFERROR(VALUE(SUBSTITUTE(TRIM(Input!F62&amp;""),"%","")),0)&lt;1),1,100))</f>
        <v/>
      </c>
      <c r="F62" t="str">
        <f>IF(A62="","",IFERROR(VALUE(SUBSTITUTE(TRIM(Input!G62&amp;""),"%","")),0)/IF(AND(IFERROR(VALUE(SUBSTITUTE(TRIM(Input!G62&amp;""),"%","")),0)&gt;0,IFERROR(VALUE(SUBSTITUTE(TRIM(Input!G62&amp;""),"%","")),0)&lt;1),1,100))</f>
        <v/>
      </c>
      <c r="G62" t="str">
        <f>IF(A62="","",IFERROR(VALUE(SUBSTITUTE(TRIM(Input!H62&amp;""),"%","")),0)/IF(AND(IFERROR(VALUE(SUBSTITUTE(TRIM(Input!H62&amp;""),"%","")),0)&gt;0,IFERROR(VALUE(SUBSTITUTE(TRIM(Input!H62&amp;""),"%","")),0)&lt;1),1,100))</f>
        <v/>
      </c>
      <c r="H62" t="str">
        <f>IF(A62="","",IFERROR(VALUE(SUBSTITUTE(TRIM(Input!I62&amp;""),"%","")),0)/IF(AND(IFERROR(VALUE(SUBSTITUTE(TRIM(Input!I62&amp;""),"%","")),0)&gt;0,IFERROR(VALUE(SUBSTITUTE(TRIM(Input!I62&amp;""),"%","")),0)&lt;1),1,100))</f>
        <v/>
      </c>
    </row>
    <row r="63" spans="1:8">
      <c r="A63" t="str">
        <f>IF(TRIM(Input!B63&amp;"")="","",UPPER(TRIM(Input!B63&amp;"")))</f>
        <v/>
      </c>
      <c r="B63" t="str">
        <f>IF(A63="","",IFERROR(VALUE(RIGHT(TRIM(Input!D63&amp;""),1)),0))</f>
        <v/>
      </c>
      <c r="C63" t="str">
        <f t="shared" si="0"/>
        <v/>
      </c>
      <c r="D63" t="str">
        <f>IF(A63="","",IFERROR(VALUE(SUBSTITUTE(TRIM(Input!E63&amp;""),"%","")),0)/IF(AND(IFERROR(VALUE(SUBSTITUTE(TRIM(Input!E63&amp;""),"%","")),0)&gt;0,IFERROR(VALUE(SUBSTITUTE(TRIM(Input!E63&amp;""),"%","")),0)&lt;1),1,100))</f>
        <v/>
      </c>
      <c r="E63" t="str">
        <f>IF(A63="","",IFERROR(VALUE(SUBSTITUTE(TRIM(Input!F63&amp;""),"%","")),0)/IF(AND(IFERROR(VALUE(SUBSTITUTE(TRIM(Input!F63&amp;""),"%","")),0)&gt;0,IFERROR(VALUE(SUBSTITUTE(TRIM(Input!F63&amp;""),"%","")),0)&lt;1),1,100))</f>
        <v/>
      </c>
      <c r="F63" t="str">
        <f>IF(A63="","",IFERROR(VALUE(SUBSTITUTE(TRIM(Input!G63&amp;""),"%","")),0)/IF(AND(IFERROR(VALUE(SUBSTITUTE(TRIM(Input!G63&amp;""),"%","")),0)&gt;0,IFERROR(VALUE(SUBSTITUTE(TRIM(Input!G63&amp;""),"%","")),0)&lt;1),1,100))</f>
        <v/>
      </c>
      <c r="G63" t="str">
        <f>IF(A63="","",IFERROR(VALUE(SUBSTITUTE(TRIM(Input!H63&amp;""),"%","")),0)/IF(AND(IFERROR(VALUE(SUBSTITUTE(TRIM(Input!H63&amp;""),"%","")),0)&gt;0,IFERROR(VALUE(SUBSTITUTE(TRIM(Input!H63&amp;""),"%","")),0)&lt;1),1,100))</f>
        <v/>
      </c>
      <c r="H63" t="str">
        <f>IF(A63="","",IFERROR(VALUE(SUBSTITUTE(TRIM(Input!I63&amp;""),"%","")),0)/IF(AND(IFERROR(VALUE(SUBSTITUTE(TRIM(Input!I63&amp;""),"%","")),0)&gt;0,IFERROR(VALUE(SUBSTITUTE(TRIM(Input!I63&amp;""),"%","")),0)&lt;1),1,100))</f>
        <v/>
      </c>
    </row>
    <row r="64" spans="1:8">
      <c r="A64" t="str">
        <f>IF(TRIM(Input!B64&amp;"")="","",UPPER(TRIM(Input!B64&amp;"")))</f>
        <v/>
      </c>
      <c r="B64" t="str">
        <f>IF(A64="","",IFERROR(VALUE(RIGHT(TRIM(Input!D64&amp;""),1)),0))</f>
        <v/>
      </c>
      <c r="C64" t="str">
        <f t="shared" si="0"/>
        <v/>
      </c>
      <c r="D64" t="str">
        <f>IF(A64="","",IFERROR(VALUE(SUBSTITUTE(TRIM(Input!E64&amp;""),"%","")),0)/IF(AND(IFERROR(VALUE(SUBSTITUTE(TRIM(Input!E64&amp;""),"%","")),0)&gt;0,IFERROR(VALUE(SUBSTITUTE(TRIM(Input!E64&amp;""),"%","")),0)&lt;1),1,100))</f>
        <v/>
      </c>
      <c r="E64" t="str">
        <f>IF(A64="","",IFERROR(VALUE(SUBSTITUTE(TRIM(Input!F64&amp;""),"%","")),0)/IF(AND(IFERROR(VALUE(SUBSTITUTE(TRIM(Input!F64&amp;""),"%","")),0)&gt;0,IFERROR(VALUE(SUBSTITUTE(TRIM(Input!F64&amp;""),"%","")),0)&lt;1),1,100))</f>
        <v/>
      </c>
      <c r="F64" t="str">
        <f>IF(A64="","",IFERROR(VALUE(SUBSTITUTE(TRIM(Input!G64&amp;""),"%","")),0)/IF(AND(IFERROR(VALUE(SUBSTITUTE(TRIM(Input!G64&amp;""),"%","")),0)&gt;0,IFERROR(VALUE(SUBSTITUTE(TRIM(Input!G64&amp;""),"%","")),0)&lt;1),1,100))</f>
        <v/>
      </c>
      <c r="G64" t="str">
        <f>IF(A64="","",IFERROR(VALUE(SUBSTITUTE(TRIM(Input!H64&amp;""),"%","")),0)/IF(AND(IFERROR(VALUE(SUBSTITUTE(TRIM(Input!H64&amp;""),"%","")),0)&gt;0,IFERROR(VALUE(SUBSTITUTE(TRIM(Input!H64&amp;""),"%","")),0)&lt;1),1,100))</f>
        <v/>
      </c>
      <c r="H64" t="str">
        <f>IF(A64="","",IFERROR(VALUE(SUBSTITUTE(TRIM(Input!I64&amp;""),"%","")),0)/IF(AND(IFERROR(VALUE(SUBSTITUTE(TRIM(Input!I64&amp;""),"%","")),0)&gt;0,IFERROR(VALUE(SUBSTITUTE(TRIM(Input!I64&amp;""),"%","")),0)&lt;1),1,100))</f>
        <v/>
      </c>
    </row>
    <row r="65" spans="1:8">
      <c r="A65" t="str">
        <f>IF(TRIM(Input!B65&amp;"")="","",UPPER(TRIM(Input!B65&amp;"")))</f>
        <v/>
      </c>
      <c r="B65" t="str">
        <f>IF(A65="","",IFERROR(VALUE(RIGHT(TRIM(Input!D65&amp;""),1)),0))</f>
        <v/>
      </c>
      <c r="C65" t="str">
        <f t="shared" si="0"/>
        <v/>
      </c>
      <c r="D65" t="str">
        <f>IF(A65="","",IFERROR(VALUE(SUBSTITUTE(TRIM(Input!E65&amp;""),"%","")),0)/IF(AND(IFERROR(VALUE(SUBSTITUTE(TRIM(Input!E65&amp;""),"%","")),0)&gt;0,IFERROR(VALUE(SUBSTITUTE(TRIM(Input!E65&amp;""),"%","")),0)&lt;1),1,100))</f>
        <v/>
      </c>
      <c r="E65" t="str">
        <f>IF(A65="","",IFERROR(VALUE(SUBSTITUTE(TRIM(Input!F65&amp;""),"%","")),0)/IF(AND(IFERROR(VALUE(SUBSTITUTE(TRIM(Input!F65&amp;""),"%","")),0)&gt;0,IFERROR(VALUE(SUBSTITUTE(TRIM(Input!F65&amp;""),"%","")),0)&lt;1),1,100))</f>
        <v/>
      </c>
      <c r="F65" t="str">
        <f>IF(A65="","",IFERROR(VALUE(SUBSTITUTE(TRIM(Input!G65&amp;""),"%","")),0)/IF(AND(IFERROR(VALUE(SUBSTITUTE(TRIM(Input!G65&amp;""),"%","")),0)&gt;0,IFERROR(VALUE(SUBSTITUTE(TRIM(Input!G65&amp;""),"%","")),0)&lt;1),1,100))</f>
        <v/>
      </c>
      <c r="G65" t="str">
        <f>IF(A65="","",IFERROR(VALUE(SUBSTITUTE(TRIM(Input!H65&amp;""),"%","")),0)/IF(AND(IFERROR(VALUE(SUBSTITUTE(TRIM(Input!H65&amp;""),"%","")),0)&gt;0,IFERROR(VALUE(SUBSTITUTE(TRIM(Input!H65&amp;""),"%","")),0)&lt;1),1,100))</f>
        <v/>
      </c>
      <c r="H65" t="str">
        <f>IF(A65="","",IFERROR(VALUE(SUBSTITUTE(TRIM(Input!I65&amp;""),"%","")),0)/IF(AND(IFERROR(VALUE(SUBSTITUTE(TRIM(Input!I65&amp;""),"%","")),0)&gt;0,IFERROR(VALUE(SUBSTITUTE(TRIM(Input!I65&amp;""),"%","")),0)&lt;1),1,100))</f>
        <v/>
      </c>
    </row>
    <row r="66" spans="1:8">
      <c r="A66" t="str">
        <f>IF(TRIM(Input!B66&amp;"")="","",UPPER(TRIM(Input!B66&amp;"")))</f>
        <v/>
      </c>
      <c r="B66" t="str">
        <f>IF(A66="","",IFERROR(VALUE(RIGHT(TRIM(Input!D66&amp;""),1)),0))</f>
        <v/>
      </c>
      <c r="C66" t="str">
        <f t="shared" ref="C66:C129" si="1">IF(A66="","",A66&amp;"|"&amp;B66)</f>
        <v/>
      </c>
      <c r="D66" t="str">
        <f>IF(A66="","",IFERROR(VALUE(SUBSTITUTE(TRIM(Input!E66&amp;""),"%","")),0)/IF(AND(IFERROR(VALUE(SUBSTITUTE(TRIM(Input!E66&amp;""),"%","")),0)&gt;0,IFERROR(VALUE(SUBSTITUTE(TRIM(Input!E66&amp;""),"%","")),0)&lt;1),1,100))</f>
        <v/>
      </c>
      <c r="E66" t="str">
        <f>IF(A66="","",IFERROR(VALUE(SUBSTITUTE(TRIM(Input!F66&amp;""),"%","")),0)/IF(AND(IFERROR(VALUE(SUBSTITUTE(TRIM(Input!F66&amp;""),"%","")),0)&gt;0,IFERROR(VALUE(SUBSTITUTE(TRIM(Input!F66&amp;""),"%","")),0)&lt;1),1,100))</f>
        <v/>
      </c>
      <c r="F66" t="str">
        <f>IF(A66="","",IFERROR(VALUE(SUBSTITUTE(TRIM(Input!G66&amp;""),"%","")),0)/IF(AND(IFERROR(VALUE(SUBSTITUTE(TRIM(Input!G66&amp;""),"%","")),0)&gt;0,IFERROR(VALUE(SUBSTITUTE(TRIM(Input!G66&amp;""),"%","")),0)&lt;1),1,100))</f>
        <v/>
      </c>
      <c r="G66" t="str">
        <f>IF(A66="","",IFERROR(VALUE(SUBSTITUTE(TRIM(Input!H66&amp;""),"%","")),0)/IF(AND(IFERROR(VALUE(SUBSTITUTE(TRIM(Input!H66&amp;""),"%","")),0)&gt;0,IFERROR(VALUE(SUBSTITUTE(TRIM(Input!H66&amp;""),"%","")),0)&lt;1),1,100))</f>
        <v/>
      </c>
      <c r="H66" t="str">
        <f>IF(A66="","",IFERROR(VALUE(SUBSTITUTE(TRIM(Input!I66&amp;""),"%","")),0)/IF(AND(IFERROR(VALUE(SUBSTITUTE(TRIM(Input!I66&amp;""),"%","")),0)&gt;0,IFERROR(VALUE(SUBSTITUTE(TRIM(Input!I66&amp;""),"%","")),0)&lt;1),1,100))</f>
        <v/>
      </c>
    </row>
    <row r="67" spans="1:8">
      <c r="A67" t="str">
        <f>IF(TRIM(Input!B67&amp;"")="","",UPPER(TRIM(Input!B67&amp;"")))</f>
        <v/>
      </c>
      <c r="B67" t="str">
        <f>IF(A67="","",IFERROR(VALUE(RIGHT(TRIM(Input!D67&amp;""),1)),0))</f>
        <v/>
      </c>
      <c r="C67" t="str">
        <f t="shared" si="1"/>
        <v/>
      </c>
      <c r="D67" t="str">
        <f>IF(A67="","",IFERROR(VALUE(SUBSTITUTE(TRIM(Input!E67&amp;""),"%","")),0)/IF(AND(IFERROR(VALUE(SUBSTITUTE(TRIM(Input!E67&amp;""),"%","")),0)&gt;0,IFERROR(VALUE(SUBSTITUTE(TRIM(Input!E67&amp;""),"%","")),0)&lt;1),1,100))</f>
        <v/>
      </c>
      <c r="E67" t="str">
        <f>IF(A67="","",IFERROR(VALUE(SUBSTITUTE(TRIM(Input!F67&amp;""),"%","")),0)/IF(AND(IFERROR(VALUE(SUBSTITUTE(TRIM(Input!F67&amp;""),"%","")),0)&gt;0,IFERROR(VALUE(SUBSTITUTE(TRIM(Input!F67&amp;""),"%","")),0)&lt;1),1,100))</f>
        <v/>
      </c>
      <c r="F67" t="str">
        <f>IF(A67="","",IFERROR(VALUE(SUBSTITUTE(TRIM(Input!G67&amp;""),"%","")),0)/IF(AND(IFERROR(VALUE(SUBSTITUTE(TRIM(Input!G67&amp;""),"%","")),0)&gt;0,IFERROR(VALUE(SUBSTITUTE(TRIM(Input!G67&amp;""),"%","")),0)&lt;1),1,100))</f>
        <v/>
      </c>
      <c r="G67" t="str">
        <f>IF(A67="","",IFERROR(VALUE(SUBSTITUTE(TRIM(Input!H67&amp;""),"%","")),0)/IF(AND(IFERROR(VALUE(SUBSTITUTE(TRIM(Input!H67&amp;""),"%","")),0)&gt;0,IFERROR(VALUE(SUBSTITUTE(TRIM(Input!H67&amp;""),"%","")),0)&lt;1),1,100))</f>
        <v/>
      </c>
      <c r="H67" t="str">
        <f>IF(A67="","",IFERROR(VALUE(SUBSTITUTE(TRIM(Input!I67&amp;""),"%","")),0)/IF(AND(IFERROR(VALUE(SUBSTITUTE(TRIM(Input!I67&amp;""),"%","")),0)&gt;0,IFERROR(VALUE(SUBSTITUTE(TRIM(Input!I67&amp;""),"%","")),0)&lt;1),1,100))</f>
        <v/>
      </c>
    </row>
    <row r="68" spans="1:8">
      <c r="A68" t="str">
        <f>IF(TRIM(Input!B68&amp;"")="","",UPPER(TRIM(Input!B68&amp;"")))</f>
        <v/>
      </c>
      <c r="B68" t="str">
        <f>IF(A68="","",IFERROR(VALUE(RIGHT(TRIM(Input!D68&amp;""),1)),0))</f>
        <v/>
      </c>
      <c r="C68" t="str">
        <f t="shared" si="1"/>
        <v/>
      </c>
      <c r="D68" t="str">
        <f>IF(A68="","",IFERROR(VALUE(SUBSTITUTE(TRIM(Input!E68&amp;""),"%","")),0)/IF(AND(IFERROR(VALUE(SUBSTITUTE(TRIM(Input!E68&amp;""),"%","")),0)&gt;0,IFERROR(VALUE(SUBSTITUTE(TRIM(Input!E68&amp;""),"%","")),0)&lt;1),1,100))</f>
        <v/>
      </c>
      <c r="E68" t="str">
        <f>IF(A68="","",IFERROR(VALUE(SUBSTITUTE(TRIM(Input!F68&amp;""),"%","")),0)/IF(AND(IFERROR(VALUE(SUBSTITUTE(TRIM(Input!F68&amp;""),"%","")),0)&gt;0,IFERROR(VALUE(SUBSTITUTE(TRIM(Input!F68&amp;""),"%","")),0)&lt;1),1,100))</f>
        <v/>
      </c>
      <c r="F68" t="str">
        <f>IF(A68="","",IFERROR(VALUE(SUBSTITUTE(TRIM(Input!G68&amp;""),"%","")),0)/IF(AND(IFERROR(VALUE(SUBSTITUTE(TRIM(Input!G68&amp;""),"%","")),0)&gt;0,IFERROR(VALUE(SUBSTITUTE(TRIM(Input!G68&amp;""),"%","")),0)&lt;1),1,100))</f>
        <v/>
      </c>
      <c r="G68" t="str">
        <f>IF(A68="","",IFERROR(VALUE(SUBSTITUTE(TRIM(Input!H68&amp;""),"%","")),0)/IF(AND(IFERROR(VALUE(SUBSTITUTE(TRIM(Input!H68&amp;""),"%","")),0)&gt;0,IFERROR(VALUE(SUBSTITUTE(TRIM(Input!H68&amp;""),"%","")),0)&lt;1),1,100))</f>
        <v/>
      </c>
      <c r="H68" t="str">
        <f>IF(A68="","",IFERROR(VALUE(SUBSTITUTE(TRIM(Input!I68&amp;""),"%","")),0)/IF(AND(IFERROR(VALUE(SUBSTITUTE(TRIM(Input!I68&amp;""),"%","")),0)&gt;0,IFERROR(VALUE(SUBSTITUTE(TRIM(Input!I68&amp;""),"%","")),0)&lt;1),1,100))</f>
        <v/>
      </c>
    </row>
    <row r="69" spans="1:8">
      <c r="A69" t="str">
        <f>IF(TRIM(Input!B69&amp;"")="","",UPPER(TRIM(Input!B69&amp;"")))</f>
        <v/>
      </c>
      <c r="B69" t="str">
        <f>IF(A69="","",IFERROR(VALUE(RIGHT(TRIM(Input!D69&amp;""),1)),0))</f>
        <v/>
      </c>
      <c r="C69" t="str">
        <f t="shared" si="1"/>
        <v/>
      </c>
      <c r="D69" t="str">
        <f>IF(A69="","",IFERROR(VALUE(SUBSTITUTE(TRIM(Input!E69&amp;""),"%","")),0)/IF(AND(IFERROR(VALUE(SUBSTITUTE(TRIM(Input!E69&amp;""),"%","")),0)&gt;0,IFERROR(VALUE(SUBSTITUTE(TRIM(Input!E69&amp;""),"%","")),0)&lt;1),1,100))</f>
        <v/>
      </c>
      <c r="E69" t="str">
        <f>IF(A69="","",IFERROR(VALUE(SUBSTITUTE(TRIM(Input!F69&amp;""),"%","")),0)/IF(AND(IFERROR(VALUE(SUBSTITUTE(TRIM(Input!F69&amp;""),"%","")),0)&gt;0,IFERROR(VALUE(SUBSTITUTE(TRIM(Input!F69&amp;""),"%","")),0)&lt;1),1,100))</f>
        <v/>
      </c>
      <c r="F69" t="str">
        <f>IF(A69="","",IFERROR(VALUE(SUBSTITUTE(TRIM(Input!G69&amp;""),"%","")),0)/IF(AND(IFERROR(VALUE(SUBSTITUTE(TRIM(Input!G69&amp;""),"%","")),0)&gt;0,IFERROR(VALUE(SUBSTITUTE(TRIM(Input!G69&amp;""),"%","")),0)&lt;1),1,100))</f>
        <v/>
      </c>
      <c r="G69" t="str">
        <f>IF(A69="","",IFERROR(VALUE(SUBSTITUTE(TRIM(Input!H69&amp;""),"%","")),0)/IF(AND(IFERROR(VALUE(SUBSTITUTE(TRIM(Input!H69&amp;""),"%","")),0)&gt;0,IFERROR(VALUE(SUBSTITUTE(TRIM(Input!H69&amp;""),"%","")),0)&lt;1),1,100))</f>
        <v/>
      </c>
      <c r="H69" t="str">
        <f>IF(A69="","",IFERROR(VALUE(SUBSTITUTE(TRIM(Input!I69&amp;""),"%","")),0)/IF(AND(IFERROR(VALUE(SUBSTITUTE(TRIM(Input!I69&amp;""),"%","")),0)&gt;0,IFERROR(VALUE(SUBSTITUTE(TRIM(Input!I69&amp;""),"%","")),0)&lt;1),1,100))</f>
        <v/>
      </c>
    </row>
    <row r="70" spans="1:8">
      <c r="A70" t="str">
        <f>IF(TRIM(Input!B70&amp;"")="","",UPPER(TRIM(Input!B70&amp;"")))</f>
        <v/>
      </c>
      <c r="B70" t="str">
        <f>IF(A70="","",IFERROR(VALUE(RIGHT(TRIM(Input!D70&amp;""),1)),0))</f>
        <v/>
      </c>
      <c r="C70" t="str">
        <f t="shared" si="1"/>
        <v/>
      </c>
      <c r="D70" t="str">
        <f>IF(A70="","",IFERROR(VALUE(SUBSTITUTE(TRIM(Input!E70&amp;""),"%","")),0)/IF(AND(IFERROR(VALUE(SUBSTITUTE(TRIM(Input!E70&amp;""),"%","")),0)&gt;0,IFERROR(VALUE(SUBSTITUTE(TRIM(Input!E70&amp;""),"%","")),0)&lt;1),1,100))</f>
        <v/>
      </c>
      <c r="E70" t="str">
        <f>IF(A70="","",IFERROR(VALUE(SUBSTITUTE(TRIM(Input!F70&amp;""),"%","")),0)/IF(AND(IFERROR(VALUE(SUBSTITUTE(TRIM(Input!F70&amp;""),"%","")),0)&gt;0,IFERROR(VALUE(SUBSTITUTE(TRIM(Input!F70&amp;""),"%","")),0)&lt;1),1,100))</f>
        <v/>
      </c>
      <c r="F70" t="str">
        <f>IF(A70="","",IFERROR(VALUE(SUBSTITUTE(TRIM(Input!G70&amp;""),"%","")),0)/IF(AND(IFERROR(VALUE(SUBSTITUTE(TRIM(Input!G70&amp;""),"%","")),0)&gt;0,IFERROR(VALUE(SUBSTITUTE(TRIM(Input!G70&amp;""),"%","")),0)&lt;1),1,100))</f>
        <v/>
      </c>
      <c r="G70" t="str">
        <f>IF(A70="","",IFERROR(VALUE(SUBSTITUTE(TRIM(Input!H70&amp;""),"%","")),0)/IF(AND(IFERROR(VALUE(SUBSTITUTE(TRIM(Input!H70&amp;""),"%","")),0)&gt;0,IFERROR(VALUE(SUBSTITUTE(TRIM(Input!H70&amp;""),"%","")),0)&lt;1),1,100))</f>
        <v/>
      </c>
      <c r="H70" t="str">
        <f>IF(A70="","",IFERROR(VALUE(SUBSTITUTE(TRIM(Input!I70&amp;""),"%","")),0)/IF(AND(IFERROR(VALUE(SUBSTITUTE(TRIM(Input!I70&amp;""),"%","")),0)&gt;0,IFERROR(VALUE(SUBSTITUTE(TRIM(Input!I70&amp;""),"%","")),0)&lt;1),1,100))</f>
        <v/>
      </c>
    </row>
    <row r="71" spans="1:8">
      <c r="A71" t="str">
        <f>IF(TRIM(Input!B71&amp;"")="","",UPPER(TRIM(Input!B71&amp;"")))</f>
        <v/>
      </c>
      <c r="B71" t="str">
        <f>IF(A71="","",IFERROR(VALUE(RIGHT(TRIM(Input!D71&amp;""),1)),0))</f>
        <v/>
      </c>
      <c r="C71" t="str">
        <f t="shared" si="1"/>
        <v/>
      </c>
      <c r="D71" t="str">
        <f>IF(A71="","",IFERROR(VALUE(SUBSTITUTE(TRIM(Input!E71&amp;""),"%","")),0)/IF(AND(IFERROR(VALUE(SUBSTITUTE(TRIM(Input!E71&amp;""),"%","")),0)&gt;0,IFERROR(VALUE(SUBSTITUTE(TRIM(Input!E71&amp;""),"%","")),0)&lt;1),1,100))</f>
        <v/>
      </c>
      <c r="E71" t="str">
        <f>IF(A71="","",IFERROR(VALUE(SUBSTITUTE(TRIM(Input!F71&amp;""),"%","")),0)/IF(AND(IFERROR(VALUE(SUBSTITUTE(TRIM(Input!F71&amp;""),"%","")),0)&gt;0,IFERROR(VALUE(SUBSTITUTE(TRIM(Input!F71&amp;""),"%","")),0)&lt;1),1,100))</f>
        <v/>
      </c>
      <c r="F71" t="str">
        <f>IF(A71="","",IFERROR(VALUE(SUBSTITUTE(TRIM(Input!G71&amp;""),"%","")),0)/IF(AND(IFERROR(VALUE(SUBSTITUTE(TRIM(Input!G71&amp;""),"%","")),0)&gt;0,IFERROR(VALUE(SUBSTITUTE(TRIM(Input!G71&amp;""),"%","")),0)&lt;1),1,100))</f>
        <v/>
      </c>
      <c r="G71" t="str">
        <f>IF(A71="","",IFERROR(VALUE(SUBSTITUTE(TRIM(Input!H71&amp;""),"%","")),0)/IF(AND(IFERROR(VALUE(SUBSTITUTE(TRIM(Input!H71&amp;""),"%","")),0)&gt;0,IFERROR(VALUE(SUBSTITUTE(TRIM(Input!H71&amp;""),"%","")),0)&lt;1),1,100))</f>
        <v/>
      </c>
      <c r="H71" t="str">
        <f>IF(A71="","",IFERROR(VALUE(SUBSTITUTE(TRIM(Input!I71&amp;""),"%","")),0)/IF(AND(IFERROR(VALUE(SUBSTITUTE(TRIM(Input!I71&amp;""),"%","")),0)&gt;0,IFERROR(VALUE(SUBSTITUTE(TRIM(Input!I71&amp;""),"%","")),0)&lt;1),1,100))</f>
        <v/>
      </c>
    </row>
    <row r="72" spans="1:8">
      <c r="A72" t="str">
        <f>IF(TRIM(Input!B72&amp;"")="","",UPPER(TRIM(Input!B72&amp;"")))</f>
        <v/>
      </c>
      <c r="B72" t="str">
        <f>IF(A72="","",IFERROR(VALUE(RIGHT(TRIM(Input!D72&amp;""),1)),0))</f>
        <v/>
      </c>
      <c r="C72" t="str">
        <f t="shared" si="1"/>
        <v/>
      </c>
      <c r="D72" t="str">
        <f>IF(A72="","",IFERROR(VALUE(SUBSTITUTE(TRIM(Input!E72&amp;""),"%","")),0)/IF(AND(IFERROR(VALUE(SUBSTITUTE(TRIM(Input!E72&amp;""),"%","")),0)&gt;0,IFERROR(VALUE(SUBSTITUTE(TRIM(Input!E72&amp;""),"%","")),0)&lt;1),1,100))</f>
        <v/>
      </c>
      <c r="E72" t="str">
        <f>IF(A72="","",IFERROR(VALUE(SUBSTITUTE(TRIM(Input!F72&amp;""),"%","")),0)/IF(AND(IFERROR(VALUE(SUBSTITUTE(TRIM(Input!F72&amp;""),"%","")),0)&gt;0,IFERROR(VALUE(SUBSTITUTE(TRIM(Input!F72&amp;""),"%","")),0)&lt;1),1,100))</f>
        <v/>
      </c>
      <c r="F72" t="str">
        <f>IF(A72="","",IFERROR(VALUE(SUBSTITUTE(TRIM(Input!G72&amp;""),"%","")),0)/IF(AND(IFERROR(VALUE(SUBSTITUTE(TRIM(Input!G72&amp;""),"%","")),0)&gt;0,IFERROR(VALUE(SUBSTITUTE(TRIM(Input!G72&amp;""),"%","")),0)&lt;1),1,100))</f>
        <v/>
      </c>
      <c r="G72" t="str">
        <f>IF(A72="","",IFERROR(VALUE(SUBSTITUTE(TRIM(Input!H72&amp;""),"%","")),0)/IF(AND(IFERROR(VALUE(SUBSTITUTE(TRIM(Input!H72&amp;""),"%","")),0)&gt;0,IFERROR(VALUE(SUBSTITUTE(TRIM(Input!H72&amp;""),"%","")),0)&lt;1),1,100))</f>
        <v/>
      </c>
      <c r="H72" t="str">
        <f>IF(A72="","",IFERROR(VALUE(SUBSTITUTE(TRIM(Input!I72&amp;""),"%","")),0)/IF(AND(IFERROR(VALUE(SUBSTITUTE(TRIM(Input!I72&amp;""),"%","")),0)&gt;0,IFERROR(VALUE(SUBSTITUTE(TRIM(Input!I72&amp;""),"%","")),0)&lt;1),1,100))</f>
        <v/>
      </c>
    </row>
    <row r="73" spans="1:8">
      <c r="A73" t="str">
        <f>IF(TRIM(Input!B73&amp;"")="","",UPPER(TRIM(Input!B73&amp;"")))</f>
        <v/>
      </c>
      <c r="B73" t="str">
        <f>IF(A73="","",IFERROR(VALUE(RIGHT(TRIM(Input!D73&amp;""),1)),0))</f>
        <v/>
      </c>
      <c r="C73" t="str">
        <f t="shared" si="1"/>
        <v/>
      </c>
      <c r="D73" t="str">
        <f>IF(A73="","",IFERROR(VALUE(SUBSTITUTE(TRIM(Input!E73&amp;""),"%","")),0)/IF(AND(IFERROR(VALUE(SUBSTITUTE(TRIM(Input!E73&amp;""),"%","")),0)&gt;0,IFERROR(VALUE(SUBSTITUTE(TRIM(Input!E73&amp;""),"%","")),0)&lt;1),1,100))</f>
        <v/>
      </c>
      <c r="E73" t="str">
        <f>IF(A73="","",IFERROR(VALUE(SUBSTITUTE(TRIM(Input!F73&amp;""),"%","")),0)/IF(AND(IFERROR(VALUE(SUBSTITUTE(TRIM(Input!F73&amp;""),"%","")),0)&gt;0,IFERROR(VALUE(SUBSTITUTE(TRIM(Input!F73&amp;""),"%","")),0)&lt;1),1,100))</f>
        <v/>
      </c>
      <c r="F73" t="str">
        <f>IF(A73="","",IFERROR(VALUE(SUBSTITUTE(TRIM(Input!G73&amp;""),"%","")),0)/IF(AND(IFERROR(VALUE(SUBSTITUTE(TRIM(Input!G73&amp;""),"%","")),0)&gt;0,IFERROR(VALUE(SUBSTITUTE(TRIM(Input!G73&amp;""),"%","")),0)&lt;1),1,100))</f>
        <v/>
      </c>
      <c r="G73" t="str">
        <f>IF(A73="","",IFERROR(VALUE(SUBSTITUTE(TRIM(Input!H73&amp;""),"%","")),0)/IF(AND(IFERROR(VALUE(SUBSTITUTE(TRIM(Input!H73&amp;""),"%","")),0)&gt;0,IFERROR(VALUE(SUBSTITUTE(TRIM(Input!H73&amp;""),"%","")),0)&lt;1),1,100))</f>
        <v/>
      </c>
      <c r="H73" t="str">
        <f>IF(A73="","",IFERROR(VALUE(SUBSTITUTE(TRIM(Input!I73&amp;""),"%","")),0)/IF(AND(IFERROR(VALUE(SUBSTITUTE(TRIM(Input!I73&amp;""),"%","")),0)&gt;0,IFERROR(VALUE(SUBSTITUTE(TRIM(Input!I73&amp;""),"%","")),0)&lt;1),1,100))</f>
        <v/>
      </c>
    </row>
    <row r="74" spans="1:8">
      <c r="A74" t="str">
        <f>IF(TRIM(Input!B74&amp;"")="","",UPPER(TRIM(Input!B74&amp;"")))</f>
        <v/>
      </c>
      <c r="B74" t="str">
        <f>IF(A74="","",IFERROR(VALUE(RIGHT(TRIM(Input!D74&amp;""),1)),0))</f>
        <v/>
      </c>
      <c r="C74" t="str">
        <f t="shared" si="1"/>
        <v/>
      </c>
      <c r="D74" t="str">
        <f>IF(A74="","",IFERROR(VALUE(SUBSTITUTE(TRIM(Input!E74&amp;""),"%","")),0)/IF(AND(IFERROR(VALUE(SUBSTITUTE(TRIM(Input!E74&amp;""),"%","")),0)&gt;0,IFERROR(VALUE(SUBSTITUTE(TRIM(Input!E74&amp;""),"%","")),0)&lt;1),1,100))</f>
        <v/>
      </c>
      <c r="E74" t="str">
        <f>IF(A74="","",IFERROR(VALUE(SUBSTITUTE(TRIM(Input!F74&amp;""),"%","")),0)/IF(AND(IFERROR(VALUE(SUBSTITUTE(TRIM(Input!F74&amp;""),"%","")),0)&gt;0,IFERROR(VALUE(SUBSTITUTE(TRIM(Input!F74&amp;""),"%","")),0)&lt;1),1,100))</f>
        <v/>
      </c>
      <c r="F74" t="str">
        <f>IF(A74="","",IFERROR(VALUE(SUBSTITUTE(TRIM(Input!G74&amp;""),"%","")),0)/IF(AND(IFERROR(VALUE(SUBSTITUTE(TRIM(Input!G74&amp;""),"%","")),0)&gt;0,IFERROR(VALUE(SUBSTITUTE(TRIM(Input!G74&amp;""),"%","")),0)&lt;1),1,100))</f>
        <v/>
      </c>
      <c r="G74" t="str">
        <f>IF(A74="","",IFERROR(VALUE(SUBSTITUTE(TRIM(Input!H74&amp;""),"%","")),0)/IF(AND(IFERROR(VALUE(SUBSTITUTE(TRIM(Input!H74&amp;""),"%","")),0)&gt;0,IFERROR(VALUE(SUBSTITUTE(TRIM(Input!H74&amp;""),"%","")),0)&lt;1),1,100))</f>
        <v/>
      </c>
      <c r="H74" t="str">
        <f>IF(A74="","",IFERROR(VALUE(SUBSTITUTE(TRIM(Input!I74&amp;""),"%","")),0)/IF(AND(IFERROR(VALUE(SUBSTITUTE(TRIM(Input!I74&amp;""),"%","")),0)&gt;0,IFERROR(VALUE(SUBSTITUTE(TRIM(Input!I74&amp;""),"%","")),0)&lt;1),1,100))</f>
        <v/>
      </c>
    </row>
    <row r="75" spans="1:8">
      <c r="A75" t="str">
        <f>IF(TRIM(Input!B75&amp;"")="","",UPPER(TRIM(Input!B75&amp;"")))</f>
        <v/>
      </c>
      <c r="B75" t="str">
        <f>IF(A75="","",IFERROR(VALUE(RIGHT(TRIM(Input!D75&amp;""),1)),0))</f>
        <v/>
      </c>
      <c r="C75" t="str">
        <f t="shared" si="1"/>
        <v/>
      </c>
      <c r="D75" t="str">
        <f>IF(A75="","",IFERROR(VALUE(SUBSTITUTE(TRIM(Input!E75&amp;""),"%","")),0)/IF(AND(IFERROR(VALUE(SUBSTITUTE(TRIM(Input!E75&amp;""),"%","")),0)&gt;0,IFERROR(VALUE(SUBSTITUTE(TRIM(Input!E75&amp;""),"%","")),0)&lt;1),1,100))</f>
        <v/>
      </c>
      <c r="E75" t="str">
        <f>IF(A75="","",IFERROR(VALUE(SUBSTITUTE(TRIM(Input!F75&amp;""),"%","")),0)/IF(AND(IFERROR(VALUE(SUBSTITUTE(TRIM(Input!F75&amp;""),"%","")),0)&gt;0,IFERROR(VALUE(SUBSTITUTE(TRIM(Input!F75&amp;""),"%","")),0)&lt;1),1,100))</f>
        <v/>
      </c>
      <c r="F75" t="str">
        <f>IF(A75="","",IFERROR(VALUE(SUBSTITUTE(TRIM(Input!G75&amp;""),"%","")),0)/IF(AND(IFERROR(VALUE(SUBSTITUTE(TRIM(Input!G75&amp;""),"%","")),0)&gt;0,IFERROR(VALUE(SUBSTITUTE(TRIM(Input!G75&amp;""),"%","")),0)&lt;1),1,100))</f>
        <v/>
      </c>
      <c r="G75" t="str">
        <f>IF(A75="","",IFERROR(VALUE(SUBSTITUTE(TRIM(Input!H75&amp;""),"%","")),0)/IF(AND(IFERROR(VALUE(SUBSTITUTE(TRIM(Input!H75&amp;""),"%","")),0)&gt;0,IFERROR(VALUE(SUBSTITUTE(TRIM(Input!H75&amp;""),"%","")),0)&lt;1),1,100))</f>
        <v/>
      </c>
      <c r="H75" t="str">
        <f>IF(A75="","",IFERROR(VALUE(SUBSTITUTE(TRIM(Input!I75&amp;""),"%","")),0)/IF(AND(IFERROR(VALUE(SUBSTITUTE(TRIM(Input!I75&amp;""),"%","")),0)&gt;0,IFERROR(VALUE(SUBSTITUTE(TRIM(Input!I75&amp;""),"%","")),0)&lt;1),1,100))</f>
        <v/>
      </c>
    </row>
    <row r="76" spans="1:8">
      <c r="A76" t="str">
        <f>IF(TRIM(Input!B76&amp;"")="","",UPPER(TRIM(Input!B76&amp;"")))</f>
        <v/>
      </c>
      <c r="B76" t="str">
        <f>IF(A76="","",IFERROR(VALUE(RIGHT(TRIM(Input!D76&amp;""),1)),0))</f>
        <v/>
      </c>
      <c r="C76" t="str">
        <f t="shared" si="1"/>
        <v/>
      </c>
      <c r="D76" t="str">
        <f>IF(A76="","",IFERROR(VALUE(SUBSTITUTE(TRIM(Input!E76&amp;""),"%","")),0)/IF(AND(IFERROR(VALUE(SUBSTITUTE(TRIM(Input!E76&amp;""),"%","")),0)&gt;0,IFERROR(VALUE(SUBSTITUTE(TRIM(Input!E76&amp;""),"%","")),0)&lt;1),1,100))</f>
        <v/>
      </c>
      <c r="E76" t="str">
        <f>IF(A76="","",IFERROR(VALUE(SUBSTITUTE(TRIM(Input!F76&amp;""),"%","")),0)/IF(AND(IFERROR(VALUE(SUBSTITUTE(TRIM(Input!F76&amp;""),"%","")),0)&gt;0,IFERROR(VALUE(SUBSTITUTE(TRIM(Input!F76&amp;""),"%","")),0)&lt;1),1,100))</f>
        <v/>
      </c>
      <c r="F76" t="str">
        <f>IF(A76="","",IFERROR(VALUE(SUBSTITUTE(TRIM(Input!G76&amp;""),"%","")),0)/IF(AND(IFERROR(VALUE(SUBSTITUTE(TRIM(Input!G76&amp;""),"%","")),0)&gt;0,IFERROR(VALUE(SUBSTITUTE(TRIM(Input!G76&amp;""),"%","")),0)&lt;1),1,100))</f>
        <v/>
      </c>
      <c r="G76" t="str">
        <f>IF(A76="","",IFERROR(VALUE(SUBSTITUTE(TRIM(Input!H76&amp;""),"%","")),0)/IF(AND(IFERROR(VALUE(SUBSTITUTE(TRIM(Input!H76&amp;""),"%","")),0)&gt;0,IFERROR(VALUE(SUBSTITUTE(TRIM(Input!H76&amp;""),"%","")),0)&lt;1),1,100))</f>
        <v/>
      </c>
      <c r="H76" t="str">
        <f>IF(A76="","",IFERROR(VALUE(SUBSTITUTE(TRIM(Input!I76&amp;""),"%","")),0)/IF(AND(IFERROR(VALUE(SUBSTITUTE(TRIM(Input!I76&amp;""),"%","")),0)&gt;0,IFERROR(VALUE(SUBSTITUTE(TRIM(Input!I76&amp;""),"%","")),0)&lt;1),1,100))</f>
        <v/>
      </c>
    </row>
    <row r="77" spans="1:8">
      <c r="A77" t="str">
        <f>IF(TRIM(Input!B77&amp;"")="","",UPPER(TRIM(Input!B77&amp;"")))</f>
        <v/>
      </c>
      <c r="B77" t="str">
        <f>IF(A77="","",IFERROR(VALUE(RIGHT(TRIM(Input!D77&amp;""),1)),0))</f>
        <v/>
      </c>
      <c r="C77" t="str">
        <f t="shared" si="1"/>
        <v/>
      </c>
      <c r="D77" t="str">
        <f>IF(A77="","",IFERROR(VALUE(SUBSTITUTE(TRIM(Input!E77&amp;""),"%","")),0)/IF(AND(IFERROR(VALUE(SUBSTITUTE(TRIM(Input!E77&amp;""),"%","")),0)&gt;0,IFERROR(VALUE(SUBSTITUTE(TRIM(Input!E77&amp;""),"%","")),0)&lt;1),1,100))</f>
        <v/>
      </c>
      <c r="E77" t="str">
        <f>IF(A77="","",IFERROR(VALUE(SUBSTITUTE(TRIM(Input!F77&amp;""),"%","")),0)/IF(AND(IFERROR(VALUE(SUBSTITUTE(TRIM(Input!F77&amp;""),"%","")),0)&gt;0,IFERROR(VALUE(SUBSTITUTE(TRIM(Input!F77&amp;""),"%","")),0)&lt;1),1,100))</f>
        <v/>
      </c>
      <c r="F77" t="str">
        <f>IF(A77="","",IFERROR(VALUE(SUBSTITUTE(TRIM(Input!G77&amp;""),"%","")),0)/IF(AND(IFERROR(VALUE(SUBSTITUTE(TRIM(Input!G77&amp;""),"%","")),0)&gt;0,IFERROR(VALUE(SUBSTITUTE(TRIM(Input!G77&amp;""),"%","")),0)&lt;1),1,100))</f>
        <v/>
      </c>
      <c r="G77" t="str">
        <f>IF(A77="","",IFERROR(VALUE(SUBSTITUTE(TRIM(Input!H77&amp;""),"%","")),0)/IF(AND(IFERROR(VALUE(SUBSTITUTE(TRIM(Input!H77&amp;""),"%","")),0)&gt;0,IFERROR(VALUE(SUBSTITUTE(TRIM(Input!H77&amp;""),"%","")),0)&lt;1),1,100))</f>
        <v/>
      </c>
      <c r="H77" t="str">
        <f>IF(A77="","",IFERROR(VALUE(SUBSTITUTE(TRIM(Input!I77&amp;""),"%","")),0)/IF(AND(IFERROR(VALUE(SUBSTITUTE(TRIM(Input!I77&amp;""),"%","")),0)&gt;0,IFERROR(VALUE(SUBSTITUTE(TRIM(Input!I77&amp;""),"%","")),0)&lt;1),1,100))</f>
        <v/>
      </c>
    </row>
    <row r="78" spans="1:8">
      <c r="A78" t="str">
        <f>IF(TRIM(Input!B78&amp;"")="","",UPPER(TRIM(Input!B78&amp;"")))</f>
        <v/>
      </c>
      <c r="B78" t="str">
        <f>IF(A78="","",IFERROR(VALUE(RIGHT(TRIM(Input!D78&amp;""),1)),0))</f>
        <v/>
      </c>
      <c r="C78" t="str">
        <f t="shared" si="1"/>
        <v/>
      </c>
      <c r="D78" t="str">
        <f>IF(A78="","",IFERROR(VALUE(SUBSTITUTE(TRIM(Input!E78&amp;""),"%","")),0)/IF(AND(IFERROR(VALUE(SUBSTITUTE(TRIM(Input!E78&amp;""),"%","")),0)&gt;0,IFERROR(VALUE(SUBSTITUTE(TRIM(Input!E78&amp;""),"%","")),0)&lt;1),1,100))</f>
        <v/>
      </c>
      <c r="E78" t="str">
        <f>IF(A78="","",IFERROR(VALUE(SUBSTITUTE(TRIM(Input!F78&amp;""),"%","")),0)/IF(AND(IFERROR(VALUE(SUBSTITUTE(TRIM(Input!F78&amp;""),"%","")),0)&gt;0,IFERROR(VALUE(SUBSTITUTE(TRIM(Input!F78&amp;""),"%","")),0)&lt;1),1,100))</f>
        <v/>
      </c>
      <c r="F78" t="str">
        <f>IF(A78="","",IFERROR(VALUE(SUBSTITUTE(TRIM(Input!G78&amp;""),"%","")),0)/IF(AND(IFERROR(VALUE(SUBSTITUTE(TRIM(Input!G78&amp;""),"%","")),0)&gt;0,IFERROR(VALUE(SUBSTITUTE(TRIM(Input!G78&amp;""),"%","")),0)&lt;1),1,100))</f>
        <v/>
      </c>
      <c r="G78" t="str">
        <f>IF(A78="","",IFERROR(VALUE(SUBSTITUTE(TRIM(Input!H78&amp;""),"%","")),0)/IF(AND(IFERROR(VALUE(SUBSTITUTE(TRIM(Input!H78&amp;""),"%","")),0)&gt;0,IFERROR(VALUE(SUBSTITUTE(TRIM(Input!H78&amp;""),"%","")),0)&lt;1),1,100))</f>
        <v/>
      </c>
      <c r="H78" t="str">
        <f>IF(A78="","",IFERROR(VALUE(SUBSTITUTE(TRIM(Input!I78&amp;""),"%","")),0)/IF(AND(IFERROR(VALUE(SUBSTITUTE(TRIM(Input!I78&amp;""),"%","")),0)&gt;0,IFERROR(VALUE(SUBSTITUTE(TRIM(Input!I78&amp;""),"%","")),0)&lt;1),1,100))</f>
        <v/>
      </c>
    </row>
    <row r="79" spans="1:8">
      <c r="A79" t="str">
        <f>IF(TRIM(Input!B79&amp;"")="","",UPPER(TRIM(Input!B79&amp;"")))</f>
        <v/>
      </c>
      <c r="B79" t="str">
        <f>IF(A79="","",IFERROR(VALUE(RIGHT(TRIM(Input!D79&amp;""),1)),0))</f>
        <v/>
      </c>
      <c r="C79" t="str">
        <f t="shared" si="1"/>
        <v/>
      </c>
      <c r="D79" t="str">
        <f>IF(A79="","",IFERROR(VALUE(SUBSTITUTE(TRIM(Input!E79&amp;""),"%","")),0)/IF(AND(IFERROR(VALUE(SUBSTITUTE(TRIM(Input!E79&amp;""),"%","")),0)&gt;0,IFERROR(VALUE(SUBSTITUTE(TRIM(Input!E79&amp;""),"%","")),0)&lt;1),1,100))</f>
        <v/>
      </c>
      <c r="E79" t="str">
        <f>IF(A79="","",IFERROR(VALUE(SUBSTITUTE(TRIM(Input!F79&amp;""),"%","")),0)/IF(AND(IFERROR(VALUE(SUBSTITUTE(TRIM(Input!F79&amp;""),"%","")),0)&gt;0,IFERROR(VALUE(SUBSTITUTE(TRIM(Input!F79&amp;""),"%","")),0)&lt;1),1,100))</f>
        <v/>
      </c>
      <c r="F79" t="str">
        <f>IF(A79="","",IFERROR(VALUE(SUBSTITUTE(TRIM(Input!G79&amp;""),"%","")),0)/IF(AND(IFERROR(VALUE(SUBSTITUTE(TRIM(Input!G79&amp;""),"%","")),0)&gt;0,IFERROR(VALUE(SUBSTITUTE(TRIM(Input!G79&amp;""),"%","")),0)&lt;1),1,100))</f>
        <v/>
      </c>
      <c r="G79" t="str">
        <f>IF(A79="","",IFERROR(VALUE(SUBSTITUTE(TRIM(Input!H79&amp;""),"%","")),0)/IF(AND(IFERROR(VALUE(SUBSTITUTE(TRIM(Input!H79&amp;""),"%","")),0)&gt;0,IFERROR(VALUE(SUBSTITUTE(TRIM(Input!H79&amp;""),"%","")),0)&lt;1),1,100))</f>
        <v/>
      </c>
      <c r="H79" t="str">
        <f>IF(A79="","",IFERROR(VALUE(SUBSTITUTE(TRIM(Input!I79&amp;""),"%","")),0)/IF(AND(IFERROR(VALUE(SUBSTITUTE(TRIM(Input!I79&amp;""),"%","")),0)&gt;0,IFERROR(VALUE(SUBSTITUTE(TRIM(Input!I79&amp;""),"%","")),0)&lt;1),1,100))</f>
        <v/>
      </c>
    </row>
    <row r="80" spans="1:8">
      <c r="A80" t="str">
        <f>IF(TRIM(Input!B80&amp;"")="","",UPPER(TRIM(Input!B80&amp;"")))</f>
        <v/>
      </c>
      <c r="B80" t="str">
        <f>IF(A80="","",IFERROR(VALUE(RIGHT(TRIM(Input!D80&amp;""),1)),0))</f>
        <v/>
      </c>
      <c r="C80" t="str">
        <f t="shared" si="1"/>
        <v/>
      </c>
      <c r="D80" t="str">
        <f>IF(A80="","",IFERROR(VALUE(SUBSTITUTE(TRIM(Input!E80&amp;""),"%","")),0)/IF(AND(IFERROR(VALUE(SUBSTITUTE(TRIM(Input!E80&amp;""),"%","")),0)&gt;0,IFERROR(VALUE(SUBSTITUTE(TRIM(Input!E80&amp;""),"%","")),0)&lt;1),1,100))</f>
        <v/>
      </c>
      <c r="E80" t="str">
        <f>IF(A80="","",IFERROR(VALUE(SUBSTITUTE(TRIM(Input!F80&amp;""),"%","")),0)/IF(AND(IFERROR(VALUE(SUBSTITUTE(TRIM(Input!F80&amp;""),"%","")),0)&gt;0,IFERROR(VALUE(SUBSTITUTE(TRIM(Input!F80&amp;""),"%","")),0)&lt;1),1,100))</f>
        <v/>
      </c>
      <c r="F80" t="str">
        <f>IF(A80="","",IFERROR(VALUE(SUBSTITUTE(TRIM(Input!G80&amp;""),"%","")),0)/IF(AND(IFERROR(VALUE(SUBSTITUTE(TRIM(Input!G80&amp;""),"%","")),0)&gt;0,IFERROR(VALUE(SUBSTITUTE(TRIM(Input!G80&amp;""),"%","")),0)&lt;1),1,100))</f>
        <v/>
      </c>
      <c r="G80" t="str">
        <f>IF(A80="","",IFERROR(VALUE(SUBSTITUTE(TRIM(Input!H80&amp;""),"%","")),0)/IF(AND(IFERROR(VALUE(SUBSTITUTE(TRIM(Input!H80&amp;""),"%","")),0)&gt;0,IFERROR(VALUE(SUBSTITUTE(TRIM(Input!H80&amp;""),"%","")),0)&lt;1),1,100))</f>
        <v/>
      </c>
      <c r="H80" t="str">
        <f>IF(A80="","",IFERROR(VALUE(SUBSTITUTE(TRIM(Input!I80&amp;""),"%","")),0)/IF(AND(IFERROR(VALUE(SUBSTITUTE(TRIM(Input!I80&amp;""),"%","")),0)&gt;0,IFERROR(VALUE(SUBSTITUTE(TRIM(Input!I80&amp;""),"%","")),0)&lt;1),1,100))</f>
        <v/>
      </c>
    </row>
    <row r="81" spans="1:8">
      <c r="A81" t="str">
        <f>IF(TRIM(Input!B81&amp;"")="","",UPPER(TRIM(Input!B81&amp;"")))</f>
        <v/>
      </c>
      <c r="B81" t="str">
        <f>IF(A81="","",IFERROR(VALUE(RIGHT(TRIM(Input!D81&amp;""),1)),0))</f>
        <v/>
      </c>
      <c r="C81" t="str">
        <f t="shared" si="1"/>
        <v/>
      </c>
      <c r="D81" t="str">
        <f>IF(A81="","",IFERROR(VALUE(SUBSTITUTE(TRIM(Input!E81&amp;""),"%","")),0)/IF(AND(IFERROR(VALUE(SUBSTITUTE(TRIM(Input!E81&amp;""),"%","")),0)&gt;0,IFERROR(VALUE(SUBSTITUTE(TRIM(Input!E81&amp;""),"%","")),0)&lt;1),1,100))</f>
        <v/>
      </c>
      <c r="E81" t="str">
        <f>IF(A81="","",IFERROR(VALUE(SUBSTITUTE(TRIM(Input!F81&amp;""),"%","")),0)/IF(AND(IFERROR(VALUE(SUBSTITUTE(TRIM(Input!F81&amp;""),"%","")),0)&gt;0,IFERROR(VALUE(SUBSTITUTE(TRIM(Input!F81&amp;""),"%","")),0)&lt;1),1,100))</f>
        <v/>
      </c>
      <c r="F81" t="str">
        <f>IF(A81="","",IFERROR(VALUE(SUBSTITUTE(TRIM(Input!G81&amp;""),"%","")),0)/IF(AND(IFERROR(VALUE(SUBSTITUTE(TRIM(Input!G81&amp;""),"%","")),0)&gt;0,IFERROR(VALUE(SUBSTITUTE(TRIM(Input!G81&amp;""),"%","")),0)&lt;1),1,100))</f>
        <v/>
      </c>
      <c r="G81" t="str">
        <f>IF(A81="","",IFERROR(VALUE(SUBSTITUTE(TRIM(Input!H81&amp;""),"%","")),0)/IF(AND(IFERROR(VALUE(SUBSTITUTE(TRIM(Input!H81&amp;""),"%","")),0)&gt;0,IFERROR(VALUE(SUBSTITUTE(TRIM(Input!H81&amp;""),"%","")),0)&lt;1),1,100))</f>
        <v/>
      </c>
      <c r="H81" t="str">
        <f>IF(A81="","",IFERROR(VALUE(SUBSTITUTE(TRIM(Input!I81&amp;""),"%","")),0)/IF(AND(IFERROR(VALUE(SUBSTITUTE(TRIM(Input!I81&amp;""),"%","")),0)&gt;0,IFERROR(VALUE(SUBSTITUTE(TRIM(Input!I81&amp;""),"%","")),0)&lt;1),1,100))</f>
        <v/>
      </c>
    </row>
    <row r="82" spans="1:8">
      <c r="A82" t="str">
        <f>IF(TRIM(Input!B82&amp;"")="","",UPPER(TRIM(Input!B82&amp;"")))</f>
        <v/>
      </c>
      <c r="B82" t="str">
        <f>IF(A82="","",IFERROR(VALUE(RIGHT(TRIM(Input!D82&amp;""),1)),0))</f>
        <v/>
      </c>
      <c r="C82" t="str">
        <f t="shared" si="1"/>
        <v/>
      </c>
      <c r="D82" t="str">
        <f>IF(A82="","",IFERROR(VALUE(SUBSTITUTE(TRIM(Input!E82&amp;""),"%","")),0)/IF(AND(IFERROR(VALUE(SUBSTITUTE(TRIM(Input!E82&amp;""),"%","")),0)&gt;0,IFERROR(VALUE(SUBSTITUTE(TRIM(Input!E82&amp;""),"%","")),0)&lt;1),1,100))</f>
        <v/>
      </c>
      <c r="E82" t="str">
        <f>IF(A82="","",IFERROR(VALUE(SUBSTITUTE(TRIM(Input!F82&amp;""),"%","")),0)/IF(AND(IFERROR(VALUE(SUBSTITUTE(TRIM(Input!F82&amp;""),"%","")),0)&gt;0,IFERROR(VALUE(SUBSTITUTE(TRIM(Input!F82&amp;""),"%","")),0)&lt;1),1,100))</f>
        <v/>
      </c>
      <c r="F82" t="str">
        <f>IF(A82="","",IFERROR(VALUE(SUBSTITUTE(TRIM(Input!G82&amp;""),"%","")),0)/IF(AND(IFERROR(VALUE(SUBSTITUTE(TRIM(Input!G82&amp;""),"%","")),0)&gt;0,IFERROR(VALUE(SUBSTITUTE(TRIM(Input!G82&amp;""),"%","")),0)&lt;1),1,100))</f>
        <v/>
      </c>
      <c r="G82" t="str">
        <f>IF(A82="","",IFERROR(VALUE(SUBSTITUTE(TRIM(Input!H82&amp;""),"%","")),0)/IF(AND(IFERROR(VALUE(SUBSTITUTE(TRIM(Input!H82&amp;""),"%","")),0)&gt;0,IFERROR(VALUE(SUBSTITUTE(TRIM(Input!H82&amp;""),"%","")),0)&lt;1),1,100))</f>
        <v/>
      </c>
      <c r="H82" t="str">
        <f>IF(A82="","",IFERROR(VALUE(SUBSTITUTE(TRIM(Input!I82&amp;""),"%","")),0)/IF(AND(IFERROR(VALUE(SUBSTITUTE(TRIM(Input!I82&amp;""),"%","")),0)&gt;0,IFERROR(VALUE(SUBSTITUTE(TRIM(Input!I82&amp;""),"%","")),0)&lt;1),1,100))</f>
        <v/>
      </c>
    </row>
    <row r="83" spans="1:8">
      <c r="A83" t="str">
        <f>IF(TRIM(Input!B83&amp;"")="","",UPPER(TRIM(Input!B83&amp;"")))</f>
        <v/>
      </c>
      <c r="B83" t="str">
        <f>IF(A83="","",IFERROR(VALUE(RIGHT(TRIM(Input!D83&amp;""),1)),0))</f>
        <v/>
      </c>
      <c r="C83" t="str">
        <f t="shared" si="1"/>
        <v/>
      </c>
      <c r="D83" t="str">
        <f>IF(A83="","",IFERROR(VALUE(SUBSTITUTE(TRIM(Input!E83&amp;""),"%","")),0)/IF(AND(IFERROR(VALUE(SUBSTITUTE(TRIM(Input!E83&amp;""),"%","")),0)&gt;0,IFERROR(VALUE(SUBSTITUTE(TRIM(Input!E83&amp;""),"%","")),0)&lt;1),1,100))</f>
        <v/>
      </c>
      <c r="E83" t="str">
        <f>IF(A83="","",IFERROR(VALUE(SUBSTITUTE(TRIM(Input!F83&amp;""),"%","")),0)/IF(AND(IFERROR(VALUE(SUBSTITUTE(TRIM(Input!F83&amp;""),"%","")),0)&gt;0,IFERROR(VALUE(SUBSTITUTE(TRIM(Input!F83&amp;""),"%","")),0)&lt;1),1,100))</f>
        <v/>
      </c>
      <c r="F83" t="str">
        <f>IF(A83="","",IFERROR(VALUE(SUBSTITUTE(TRIM(Input!G83&amp;""),"%","")),0)/IF(AND(IFERROR(VALUE(SUBSTITUTE(TRIM(Input!G83&amp;""),"%","")),0)&gt;0,IFERROR(VALUE(SUBSTITUTE(TRIM(Input!G83&amp;""),"%","")),0)&lt;1),1,100))</f>
        <v/>
      </c>
      <c r="G83" t="str">
        <f>IF(A83="","",IFERROR(VALUE(SUBSTITUTE(TRIM(Input!H83&amp;""),"%","")),0)/IF(AND(IFERROR(VALUE(SUBSTITUTE(TRIM(Input!H83&amp;""),"%","")),0)&gt;0,IFERROR(VALUE(SUBSTITUTE(TRIM(Input!H83&amp;""),"%","")),0)&lt;1),1,100))</f>
        <v/>
      </c>
      <c r="H83" t="str">
        <f>IF(A83="","",IFERROR(VALUE(SUBSTITUTE(TRIM(Input!I83&amp;""),"%","")),0)/IF(AND(IFERROR(VALUE(SUBSTITUTE(TRIM(Input!I83&amp;""),"%","")),0)&gt;0,IFERROR(VALUE(SUBSTITUTE(TRIM(Input!I83&amp;""),"%","")),0)&lt;1),1,100))</f>
        <v/>
      </c>
    </row>
    <row r="84" spans="1:8">
      <c r="A84" t="str">
        <f>IF(TRIM(Input!B84&amp;"")="","",UPPER(TRIM(Input!B84&amp;"")))</f>
        <v/>
      </c>
      <c r="B84" t="str">
        <f>IF(A84="","",IFERROR(VALUE(RIGHT(TRIM(Input!D84&amp;""),1)),0))</f>
        <v/>
      </c>
      <c r="C84" t="str">
        <f t="shared" si="1"/>
        <v/>
      </c>
      <c r="D84" t="str">
        <f>IF(A84="","",IFERROR(VALUE(SUBSTITUTE(TRIM(Input!E84&amp;""),"%","")),0)/IF(AND(IFERROR(VALUE(SUBSTITUTE(TRIM(Input!E84&amp;""),"%","")),0)&gt;0,IFERROR(VALUE(SUBSTITUTE(TRIM(Input!E84&amp;""),"%","")),0)&lt;1),1,100))</f>
        <v/>
      </c>
      <c r="E84" t="str">
        <f>IF(A84="","",IFERROR(VALUE(SUBSTITUTE(TRIM(Input!F84&amp;""),"%","")),0)/IF(AND(IFERROR(VALUE(SUBSTITUTE(TRIM(Input!F84&amp;""),"%","")),0)&gt;0,IFERROR(VALUE(SUBSTITUTE(TRIM(Input!F84&amp;""),"%","")),0)&lt;1),1,100))</f>
        <v/>
      </c>
      <c r="F84" t="str">
        <f>IF(A84="","",IFERROR(VALUE(SUBSTITUTE(TRIM(Input!G84&amp;""),"%","")),0)/IF(AND(IFERROR(VALUE(SUBSTITUTE(TRIM(Input!G84&amp;""),"%","")),0)&gt;0,IFERROR(VALUE(SUBSTITUTE(TRIM(Input!G84&amp;""),"%","")),0)&lt;1),1,100))</f>
        <v/>
      </c>
      <c r="G84" t="str">
        <f>IF(A84="","",IFERROR(VALUE(SUBSTITUTE(TRIM(Input!H84&amp;""),"%","")),0)/IF(AND(IFERROR(VALUE(SUBSTITUTE(TRIM(Input!H84&amp;""),"%","")),0)&gt;0,IFERROR(VALUE(SUBSTITUTE(TRIM(Input!H84&amp;""),"%","")),0)&lt;1),1,100))</f>
        <v/>
      </c>
      <c r="H84" t="str">
        <f>IF(A84="","",IFERROR(VALUE(SUBSTITUTE(TRIM(Input!I84&amp;""),"%","")),0)/IF(AND(IFERROR(VALUE(SUBSTITUTE(TRIM(Input!I84&amp;""),"%","")),0)&gt;0,IFERROR(VALUE(SUBSTITUTE(TRIM(Input!I84&amp;""),"%","")),0)&lt;1),1,100))</f>
        <v/>
      </c>
    </row>
    <row r="85" spans="1:8">
      <c r="A85" t="str">
        <f>IF(TRIM(Input!B85&amp;"")="","",UPPER(TRIM(Input!B85&amp;"")))</f>
        <v/>
      </c>
      <c r="B85" t="str">
        <f>IF(A85="","",IFERROR(VALUE(RIGHT(TRIM(Input!D85&amp;""),1)),0))</f>
        <v/>
      </c>
      <c r="C85" t="str">
        <f t="shared" si="1"/>
        <v/>
      </c>
      <c r="D85" t="str">
        <f>IF(A85="","",IFERROR(VALUE(SUBSTITUTE(TRIM(Input!E85&amp;""),"%","")),0)/IF(AND(IFERROR(VALUE(SUBSTITUTE(TRIM(Input!E85&amp;""),"%","")),0)&gt;0,IFERROR(VALUE(SUBSTITUTE(TRIM(Input!E85&amp;""),"%","")),0)&lt;1),1,100))</f>
        <v/>
      </c>
      <c r="E85" t="str">
        <f>IF(A85="","",IFERROR(VALUE(SUBSTITUTE(TRIM(Input!F85&amp;""),"%","")),0)/IF(AND(IFERROR(VALUE(SUBSTITUTE(TRIM(Input!F85&amp;""),"%","")),0)&gt;0,IFERROR(VALUE(SUBSTITUTE(TRIM(Input!F85&amp;""),"%","")),0)&lt;1),1,100))</f>
        <v/>
      </c>
      <c r="F85" t="str">
        <f>IF(A85="","",IFERROR(VALUE(SUBSTITUTE(TRIM(Input!G85&amp;""),"%","")),0)/IF(AND(IFERROR(VALUE(SUBSTITUTE(TRIM(Input!G85&amp;""),"%","")),0)&gt;0,IFERROR(VALUE(SUBSTITUTE(TRIM(Input!G85&amp;""),"%","")),0)&lt;1),1,100))</f>
        <v/>
      </c>
      <c r="G85" t="str">
        <f>IF(A85="","",IFERROR(VALUE(SUBSTITUTE(TRIM(Input!H85&amp;""),"%","")),0)/IF(AND(IFERROR(VALUE(SUBSTITUTE(TRIM(Input!H85&amp;""),"%","")),0)&gt;0,IFERROR(VALUE(SUBSTITUTE(TRIM(Input!H85&amp;""),"%","")),0)&lt;1),1,100))</f>
        <v/>
      </c>
      <c r="H85" t="str">
        <f>IF(A85="","",IFERROR(VALUE(SUBSTITUTE(TRIM(Input!I85&amp;""),"%","")),0)/IF(AND(IFERROR(VALUE(SUBSTITUTE(TRIM(Input!I85&amp;""),"%","")),0)&gt;0,IFERROR(VALUE(SUBSTITUTE(TRIM(Input!I85&amp;""),"%","")),0)&lt;1),1,100))</f>
        <v/>
      </c>
    </row>
    <row r="86" spans="1:8">
      <c r="A86" t="str">
        <f>IF(TRIM(Input!B86&amp;"")="","",UPPER(TRIM(Input!B86&amp;"")))</f>
        <v/>
      </c>
      <c r="B86" t="str">
        <f>IF(A86="","",IFERROR(VALUE(RIGHT(TRIM(Input!D86&amp;""),1)),0))</f>
        <v/>
      </c>
      <c r="C86" t="str">
        <f t="shared" si="1"/>
        <v/>
      </c>
      <c r="D86" t="str">
        <f>IF(A86="","",IFERROR(VALUE(SUBSTITUTE(TRIM(Input!E86&amp;""),"%","")),0)/IF(AND(IFERROR(VALUE(SUBSTITUTE(TRIM(Input!E86&amp;""),"%","")),0)&gt;0,IFERROR(VALUE(SUBSTITUTE(TRIM(Input!E86&amp;""),"%","")),0)&lt;1),1,100))</f>
        <v/>
      </c>
      <c r="E86" t="str">
        <f>IF(A86="","",IFERROR(VALUE(SUBSTITUTE(TRIM(Input!F86&amp;""),"%","")),0)/IF(AND(IFERROR(VALUE(SUBSTITUTE(TRIM(Input!F86&amp;""),"%","")),0)&gt;0,IFERROR(VALUE(SUBSTITUTE(TRIM(Input!F86&amp;""),"%","")),0)&lt;1),1,100))</f>
        <v/>
      </c>
      <c r="F86" t="str">
        <f>IF(A86="","",IFERROR(VALUE(SUBSTITUTE(TRIM(Input!G86&amp;""),"%","")),0)/IF(AND(IFERROR(VALUE(SUBSTITUTE(TRIM(Input!G86&amp;""),"%","")),0)&gt;0,IFERROR(VALUE(SUBSTITUTE(TRIM(Input!G86&amp;""),"%","")),0)&lt;1),1,100))</f>
        <v/>
      </c>
      <c r="G86" t="str">
        <f>IF(A86="","",IFERROR(VALUE(SUBSTITUTE(TRIM(Input!H86&amp;""),"%","")),0)/IF(AND(IFERROR(VALUE(SUBSTITUTE(TRIM(Input!H86&amp;""),"%","")),0)&gt;0,IFERROR(VALUE(SUBSTITUTE(TRIM(Input!H86&amp;""),"%","")),0)&lt;1),1,100))</f>
        <v/>
      </c>
      <c r="H86" t="str">
        <f>IF(A86="","",IFERROR(VALUE(SUBSTITUTE(TRIM(Input!I86&amp;""),"%","")),0)/IF(AND(IFERROR(VALUE(SUBSTITUTE(TRIM(Input!I86&amp;""),"%","")),0)&gt;0,IFERROR(VALUE(SUBSTITUTE(TRIM(Input!I86&amp;""),"%","")),0)&lt;1),1,100))</f>
        <v/>
      </c>
    </row>
    <row r="87" spans="1:8">
      <c r="A87" t="str">
        <f>IF(TRIM(Input!B87&amp;"")="","",UPPER(TRIM(Input!B87&amp;"")))</f>
        <v/>
      </c>
      <c r="B87" t="str">
        <f>IF(A87="","",IFERROR(VALUE(RIGHT(TRIM(Input!D87&amp;""),1)),0))</f>
        <v/>
      </c>
      <c r="C87" t="str">
        <f t="shared" si="1"/>
        <v/>
      </c>
      <c r="D87" t="str">
        <f>IF(A87="","",IFERROR(VALUE(SUBSTITUTE(TRIM(Input!E87&amp;""),"%","")),0)/IF(AND(IFERROR(VALUE(SUBSTITUTE(TRIM(Input!E87&amp;""),"%","")),0)&gt;0,IFERROR(VALUE(SUBSTITUTE(TRIM(Input!E87&amp;""),"%","")),0)&lt;1),1,100))</f>
        <v/>
      </c>
      <c r="E87" t="str">
        <f>IF(A87="","",IFERROR(VALUE(SUBSTITUTE(TRIM(Input!F87&amp;""),"%","")),0)/IF(AND(IFERROR(VALUE(SUBSTITUTE(TRIM(Input!F87&amp;""),"%","")),0)&gt;0,IFERROR(VALUE(SUBSTITUTE(TRIM(Input!F87&amp;""),"%","")),0)&lt;1),1,100))</f>
        <v/>
      </c>
      <c r="F87" t="str">
        <f>IF(A87="","",IFERROR(VALUE(SUBSTITUTE(TRIM(Input!G87&amp;""),"%","")),0)/IF(AND(IFERROR(VALUE(SUBSTITUTE(TRIM(Input!G87&amp;""),"%","")),0)&gt;0,IFERROR(VALUE(SUBSTITUTE(TRIM(Input!G87&amp;""),"%","")),0)&lt;1),1,100))</f>
        <v/>
      </c>
      <c r="G87" t="str">
        <f>IF(A87="","",IFERROR(VALUE(SUBSTITUTE(TRIM(Input!H87&amp;""),"%","")),0)/IF(AND(IFERROR(VALUE(SUBSTITUTE(TRIM(Input!H87&amp;""),"%","")),0)&gt;0,IFERROR(VALUE(SUBSTITUTE(TRIM(Input!H87&amp;""),"%","")),0)&lt;1),1,100))</f>
        <v/>
      </c>
      <c r="H87" t="str">
        <f>IF(A87="","",IFERROR(VALUE(SUBSTITUTE(TRIM(Input!I87&amp;""),"%","")),0)/IF(AND(IFERROR(VALUE(SUBSTITUTE(TRIM(Input!I87&amp;""),"%","")),0)&gt;0,IFERROR(VALUE(SUBSTITUTE(TRIM(Input!I87&amp;""),"%","")),0)&lt;1),1,100))</f>
        <v/>
      </c>
    </row>
    <row r="88" spans="1:8">
      <c r="A88" t="str">
        <f>IF(TRIM(Input!B88&amp;"")="","",UPPER(TRIM(Input!B88&amp;"")))</f>
        <v/>
      </c>
      <c r="B88" t="str">
        <f>IF(A88="","",IFERROR(VALUE(RIGHT(TRIM(Input!D88&amp;""),1)),0))</f>
        <v/>
      </c>
      <c r="C88" t="str">
        <f t="shared" si="1"/>
        <v/>
      </c>
      <c r="D88" t="str">
        <f>IF(A88="","",IFERROR(VALUE(SUBSTITUTE(TRIM(Input!E88&amp;""),"%","")),0)/IF(AND(IFERROR(VALUE(SUBSTITUTE(TRIM(Input!E88&amp;""),"%","")),0)&gt;0,IFERROR(VALUE(SUBSTITUTE(TRIM(Input!E88&amp;""),"%","")),0)&lt;1),1,100))</f>
        <v/>
      </c>
      <c r="E88" t="str">
        <f>IF(A88="","",IFERROR(VALUE(SUBSTITUTE(TRIM(Input!F88&amp;""),"%","")),0)/IF(AND(IFERROR(VALUE(SUBSTITUTE(TRIM(Input!F88&amp;""),"%","")),0)&gt;0,IFERROR(VALUE(SUBSTITUTE(TRIM(Input!F88&amp;""),"%","")),0)&lt;1),1,100))</f>
        <v/>
      </c>
      <c r="F88" t="str">
        <f>IF(A88="","",IFERROR(VALUE(SUBSTITUTE(TRIM(Input!G88&amp;""),"%","")),0)/IF(AND(IFERROR(VALUE(SUBSTITUTE(TRIM(Input!G88&amp;""),"%","")),0)&gt;0,IFERROR(VALUE(SUBSTITUTE(TRIM(Input!G88&amp;""),"%","")),0)&lt;1),1,100))</f>
        <v/>
      </c>
      <c r="G88" t="str">
        <f>IF(A88="","",IFERROR(VALUE(SUBSTITUTE(TRIM(Input!H88&amp;""),"%","")),0)/IF(AND(IFERROR(VALUE(SUBSTITUTE(TRIM(Input!H88&amp;""),"%","")),0)&gt;0,IFERROR(VALUE(SUBSTITUTE(TRIM(Input!H88&amp;""),"%","")),0)&lt;1),1,100))</f>
        <v/>
      </c>
      <c r="H88" t="str">
        <f>IF(A88="","",IFERROR(VALUE(SUBSTITUTE(TRIM(Input!I88&amp;""),"%","")),0)/IF(AND(IFERROR(VALUE(SUBSTITUTE(TRIM(Input!I88&amp;""),"%","")),0)&gt;0,IFERROR(VALUE(SUBSTITUTE(TRIM(Input!I88&amp;""),"%","")),0)&lt;1),1,100))</f>
        <v/>
      </c>
    </row>
    <row r="89" spans="1:8">
      <c r="A89" t="str">
        <f>IF(TRIM(Input!B89&amp;"")="","",UPPER(TRIM(Input!B89&amp;"")))</f>
        <v/>
      </c>
      <c r="B89" t="str">
        <f>IF(A89="","",IFERROR(VALUE(RIGHT(TRIM(Input!D89&amp;""),1)),0))</f>
        <v/>
      </c>
      <c r="C89" t="str">
        <f t="shared" si="1"/>
        <v/>
      </c>
      <c r="D89" t="str">
        <f>IF(A89="","",IFERROR(VALUE(SUBSTITUTE(TRIM(Input!E89&amp;""),"%","")),0)/IF(AND(IFERROR(VALUE(SUBSTITUTE(TRIM(Input!E89&amp;""),"%","")),0)&gt;0,IFERROR(VALUE(SUBSTITUTE(TRIM(Input!E89&amp;""),"%","")),0)&lt;1),1,100))</f>
        <v/>
      </c>
      <c r="E89" t="str">
        <f>IF(A89="","",IFERROR(VALUE(SUBSTITUTE(TRIM(Input!F89&amp;""),"%","")),0)/IF(AND(IFERROR(VALUE(SUBSTITUTE(TRIM(Input!F89&amp;""),"%","")),0)&gt;0,IFERROR(VALUE(SUBSTITUTE(TRIM(Input!F89&amp;""),"%","")),0)&lt;1),1,100))</f>
        <v/>
      </c>
      <c r="F89" t="str">
        <f>IF(A89="","",IFERROR(VALUE(SUBSTITUTE(TRIM(Input!G89&amp;""),"%","")),0)/IF(AND(IFERROR(VALUE(SUBSTITUTE(TRIM(Input!G89&amp;""),"%","")),0)&gt;0,IFERROR(VALUE(SUBSTITUTE(TRIM(Input!G89&amp;""),"%","")),0)&lt;1),1,100))</f>
        <v/>
      </c>
      <c r="G89" t="str">
        <f>IF(A89="","",IFERROR(VALUE(SUBSTITUTE(TRIM(Input!H89&amp;""),"%","")),0)/IF(AND(IFERROR(VALUE(SUBSTITUTE(TRIM(Input!H89&amp;""),"%","")),0)&gt;0,IFERROR(VALUE(SUBSTITUTE(TRIM(Input!H89&amp;""),"%","")),0)&lt;1),1,100))</f>
        <v/>
      </c>
      <c r="H89" t="str">
        <f>IF(A89="","",IFERROR(VALUE(SUBSTITUTE(TRIM(Input!I89&amp;""),"%","")),0)/IF(AND(IFERROR(VALUE(SUBSTITUTE(TRIM(Input!I89&amp;""),"%","")),0)&gt;0,IFERROR(VALUE(SUBSTITUTE(TRIM(Input!I89&amp;""),"%","")),0)&lt;1),1,100))</f>
        <v/>
      </c>
    </row>
    <row r="90" spans="1:8">
      <c r="A90" t="str">
        <f>IF(TRIM(Input!B90&amp;"")="","",UPPER(TRIM(Input!B90&amp;"")))</f>
        <v/>
      </c>
      <c r="B90" t="str">
        <f>IF(A90="","",IFERROR(VALUE(RIGHT(TRIM(Input!D90&amp;""),1)),0))</f>
        <v/>
      </c>
      <c r="C90" t="str">
        <f t="shared" si="1"/>
        <v/>
      </c>
      <c r="D90" t="str">
        <f>IF(A90="","",IFERROR(VALUE(SUBSTITUTE(TRIM(Input!E90&amp;""),"%","")),0)/IF(AND(IFERROR(VALUE(SUBSTITUTE(TRIM(Input!E90&amp;""),"%","")),0)&gt;0,IFERROR(VALUE(SUBSTITUTE(TRIM(Input!E90&amp;""),"%","")),0)&lt;1),1,100))</f>
        <v/>
      </c>
      <c r="E90" t="str">
        <f>IF(A90="","",IFERROR(VALUE(SUBSTITUTE(TRIM(Input!F90&amp;""),"%","")),0)/IF(AND(IFERROR(VALUE(SUBSTITUTE(TRIM(Input!F90&amp;""),"%","")),0)&gt;0,IFERROR(VALUE(SUBSTITUTE(TRIM(Input!F90&amp;""),"%","")),0)&lt;1),1,100))</f>
        <v/>
      </c>
      <c r="F90" t="str">
        <f>IF(A90="","",IFERROR(VALUE(SUBSTITUTE(TRIM(Input!G90&amp;""),"%","")),0)/IF(AND(IFERROR(VALUE(SUBSTITUTE(TRIM(Input!G90&amp;""),"%","")),0)&gt;0,IFERROR(VALUE(SUBSTITUTE(TRIM(Input!G90&amp;""),"%","")),0)&lt;1),1,100))</f>
        <v/>
      </c>
      <c r="G90" t="str">
        <f>IF(A90="","",IFERROR(VALUE(SUBSTITUTE(TRIM(Input!H90&amp;""),"%","")),0)/IF(AND(IFERROR(VALUE(SUBSTITUTE(TRIM(Input!H90&amp;""),"%","")),0)&gt;0,IFERROR(VALUE(SUBSTITUTE(TRIM(Input!H90&amp;""),"%","")),0)&lt;1),1,100))</f>
        <v/>
      </c>
      <c r="H90" t="str">
        <f>IF(A90="","",IFERROR(VALUE(SUBSTITUTE(TRIM(Input!I90&amp;""),"%","")),0)/IF(AND(IFERROR(VALUE(SUBSTITUTE(TRIM(Input!I90&amp;""),"%","")),0)&gt;0,IFERROR(VALUE(SUBSTITUTE(TRIM(Input!I90&amp;""),"%","")),0)&lt;1),1,100))</f>
        <v/>
      </c>
    </row>
    <row r="91" spans="1:8">
      <c r="A91" t="str">
        <f>IF(TRIM(Input!B91&amp;"")="","",UPPER(TRIM(Input!B91&amp;"")))</f>
        <v/>
      </c>
      <c r="B91" t="str">
        <f>IF(A91="","",IFERROR(VALUE(RIGHT(TRIM(Input!D91&amp;""),1)),0))</f>
        <v/>
      </c>
      <c r="C91" t="str">
        <f t="shared" si="1"/>
        <v/>
      </c>
      <c r="D91" t="str">
        <f>IF(A91="","",IFERROR(VALUE(SUBSTITUTE(TRIM(Input!E91&amp;""),"%","")),0)/IF(AND(IFERROR(VALUE(SUBSTITUTE(TRIM(Input!E91&amp;""),"%","")),0)&gt;0,IFERROR(VALUE(SUBSTITUTE(TRIM(Input!E91&amp;""),"%","")),0)&lt;1),1,100))</f>
        <v/>
      </c>
      <c r="E91" t="str">
        <f>IF(A91="","",IFERROR(VALUE(SUBSTITUTE(TRIM(Input!F91&amp;""),"%","")),0)/IF(AND(IFERROR(VALUE(SUBSTITUTE(TRIM(Input!F91&amp;""),"%","")),0)&gt;0,IFERROR(VALUE(SUBSTITUTE(TRIM(Input!F91&amp;""),"%","")),0)&lt;1),1,100))</f>
        <v/>
      </c>
      <c r="F91" t="str">
        <f>IF(A91="","",IFERROR(VALUE(SUBSTITUTE(TRIM(Input!G91&amp;""),"%","")),0)/IF(AND(IFERROR(VALUE(SUBSTITUTE(TRIM(Input!G91&amp;""),"%","")),0)&gt;0,IFERROR(VALUE(SUBSTITUTE(TRIM(Input!G91&amp;""),"%","")),0)&lt;1),1,100))</f>
        <v/>
      </c>
      <c r="G91" t="str">
        <f>IF(A91="","",IFERROR(VALUE(SUBSTITUTE(TRIM(Input!H91&amp;""),"%","")),0)/IF(AND(IFERROR(VALUE(SUBSTITUTE(TRIM(Input!H91&amp;""),"%","")),0)&gt;0,IFERROR(VALUE(SUBSTITUTE(TRIM(Input!H91&amp;""),"%","")),0)&lt;1),1,100))</f>
        <v/>
      </c>
      <c r="H91" t="str">
        <f>IF(A91="","",IFERROR(VALUE(SUBSTITUTE(TRIM(Input!I91&amp;""),"%","")),0)/IF(AND(IFERROR(VALUE(SUBSTITUTE(TRIM(Input!I91&amp;""),"%","")),0)&gt;0,IFERROR(VALUE(SUBSTITUTE(TRIM(Input!I91&amp;""),"%","")),0)&lt;1),1,100))</f>
        <v/>
      </c>
    </row>
    <row r="92" spans="1:8">
      <c r="A92" t="str">
        <f>IF(TRIM(Input!B92&amp;"")="","",UPPER(TRIM(Input!B92&amp;"")))</f>
        <v/>
      </c>
      <c r="B92" t="str">
        <f>IF(A92="","",IFERROR(VALUE(RIGHT(TRIM(Input!D92&amp;""),1)),0))</f>
        <v/>
      </c>
      <c r="C92" t="str">
        <f t="shared" si="1"/>
        <v/>
      </c>
      <c r="D92" t="str">
        <f>IF(A92="","",IFERROR(VALUE(SUBSTITUTE(TRIM(Input!E92&amp;""),"%","")),0)/IF(AND(IFERROR(VALUE(SUBSTITUTE(TRIM(Input!E92&amp;""),"%","")),0)&gt;0,IFERROR(VALUE(SUBSTITUTE(TRIM(Input!E92&amp;""),"%","")),0)&lt;1),1,100))</f>
        <v/>
      </c>
      <c r="E92" t="str">
        <f>IF(A92="","",IFERROR(VALUE(SUBSTITUTE(TRIM(Input!F92&amp;""),"%","")),0)/IF(AND(IFERROR(VALUE(SUBSTITUTE(TRIM(Input!F92&amp;""),"%","")),0)&gt;0,IFERROR(VALUE(SUBSTITUTE(TRIM(Input!F92&amp;""),"%","")),0)&lt;1),1,100))</f>
        <v/>
      </c>
      <c r="F92" t="str">
        <f>IF(A92="","",IFERROR(VALUE(SUBSTITUTE(TRIM(Input!G92&amp;""),"%","")),0)/IF(AND(IFERROR(VALUE(SUBSTITUTE(TRIM(Input!G92&amp;""),"%","")),0)&gt;0,IFERROR(VALUE(SUBSTITUTE(TRIM(Input!G92&amp;""),"%","")),0)&lt;1),1,100))</f>
        <v/>
      </c>
      <c r="G92" t="str">
        <f>IF(A92="","",IFERROR(VALUE(SUBSTITUTE(TRIM(Input!H92&amp;""),"%","")),0)/IF(AND(IFERROR(VALUE(SUBSTITUTE(TRIM(Input!H92&amp;""),"%","")),0)&gt;0,IFERROR(VALUE(SUBSTITUTE(TRIM(Input!H92&amp;""),"%","")),0)&lt;1),1,100))</f>
        <v/>
      </c>
      <c r="H92" t="str">
        <f>IF(A92="","",IFERROR(VALUE(SUBSTITUTE(TRIM(Input!I92&amp;""),"%","")),0)/IF(AND(IFERROR(VALUE(SUBSTITUTE(TRIM(Input!I92&amp;""),"%","")),0)&gt;0,IFERROR(VALUE(SUBSTITUTE(TRIM(Input!I92&amp;""),"%","")),0)&lt;1),1,100))</f>
        <v/>
      </c>
    </row>
    <row r="93" spans="1:8">
      <c r="A93" t="str">
        <f>IF(TRIM(Input!B93&amp;"")="","",UPPER(TRIM(Input!B93&amp;"")))</f>
        <v/>
      </c>
      <c r="B93" t="str">
        <f>IF(A93="","",IFERROR(VALUE(RIGHT(TRIM(Input!D93&amp;""),1)),0))</f>
        <v/>
      </c>
      <c r="C93" t="str">
        <f t="shared" si="1"/>
        <v/>
      </c>
      <c r="D93" t="str">
        <f>IF(A93="","",IFERROR(VALUE(SUBSTITUTE(TRIM(Input!E93&amp;""),"%","")),0)/IF(AND(IFERROR(VALUE(SUBSTITUTE(TRIM(Input!E93&amp;""),"%","")),0)&gt;0,IFERROR(VALUE(SUBSTITUTE(TRIM(Input!E93&amp;""),"%","")),0)&lt;1),1,100))</f>
        <v/>
      </c>
      <c r="E93" t="str">
        <f>IF(A93="","",IFERROR(VALUE(SUBSTITUTE(TRIM(Input!F93&amp;""),"%","")),0)/IF(AND(IFERROR(VALUE(SUBSTITUTE(TRIM(Input!F93&amp;""),"%","")),0)&gt;0,IFERROR(VALUE(SUBSTITUTE(TRIM(Input!F93&amp;""),"%","")),0)&lt;1),1,100))</f>
        <v/>
      </c>
      <c r="F93" t="str">
        <f>IF(A93="","",IFERROR(VALUE(SUBSTITUTE(TRIM(Input!G93&amp;""),"%","")),0)/IF(AND(IFERROR(VALUE(SUBSTITUTE(TRIM(Input!G93&amp;""),"%","")),0)&gt;0,IFERROR(VALUE(SUBSTITUTE(TRIM(Input!G93&amp;""),"%","")),0)&lt;1),1,100))</f>
        <v/>
      </c>
      <c r="G93" t="str">
        <f>IF(A93="","",IFERROR(VALUE(SUBSTITUTE(TRIM(Input!H93&amp;""),"%","")),0)/IF(AND(IFERROR(VALUE(SUBSTITUTE(TRIM(Input!H93&amp;""),"%","")),0)&gt;0,IFERROR(VALUE(SUBSTITUTE(TRIM(Input!H93&amp;""),"%","")),0)&lt;1),1,100))</f>
        <v/>
      </c>
      <c r="H93" t="str">
        <f>IF(A93="","",IFERROR(VALUE(SUBSTITUTE(TRIM(Input!I93&amp;""),"%","")),0)/IF(AND(IFERROR(VALUE(SUBSTITUTE(TRIM(Input!I93&amp;""),"%","")),0)&gt;0,IFERROR(VALUE(SUBSTITUTE(TRIM(Input!I93&amp;""),"%","")),0)&lt;1),1,100))</f>
        <v/>
      </c>
    </row>
    <row r="94" spans="1:8">
      <c r="A94" t="str">
        <f>IF(TRIM(Input!B94&amp;"")="","",UPPER(TRIM(Input!B94&amp;"")))</f>
        <v/>
      </c>
      <c r="B94" t="str">
        <f>IF(A94="","",IFERROR(VALUE(RIGHT(TRIM(Input!D94&amp;""),1)),0))</f>
        <v/>
      </c>
      <c r="C94" t="str">
        <f t="shared" si="1"/>
        <v/>
      </c>
      <c r="D94" t="str">
        <f>IF(A94="","",IFERROR(VALUE(SUBSTITUTE(TRIM(Input!E94&amp;""),"%","")),0)/IF(AND(IFERROR(VALUE(SUBSTITUTE(TRIM(Input!E94&amp;""),"%","")),0)&gt;0,IFERROR(VALUE(SUBSTITUTE(TRIM(Input!E94&amp;""),"%","")),0)&lt;1),1,100))</f>
        <v/>
      </c>
      <c r="E94" t="str">
        <f>IF(A94="","",IFERROR(VALUE(SUBSTITUTE(TRIM(Input!F94&amp;""),"%","")),0)/IF(AND(IFERROR(VALUE(SUBSTITUTE(TRIM(Input!F94&amp;""),"%","")),0)&gt;0,IFERROR(VALUE(SUBSTITUTE(TRIM(Input!F94&amp;""),"%","")),0)&lt;1),1,100))</f>
        <v/>
      </c>
      <c r="F94" t="str">
        <f>IF(A94="","",IFERROR(VALUE(SUBSTITUTE(TRIM(Input!G94&amp;""),"%","")),0)/IF(AND(IFERROR(VALUE(SUBSTITUTE(TRIM(Input!G94&amp;""),"%","")),0)&gt;0,IFERROR(VALUE(SUBSTITUTE(TRIM(Input!G94&amp;""),"%","")),0)&lt;1),1,100))</f>
        <v/>
      </c>
      <c r="G94" t="str">
        <f>IF(A94="","",IFERROR(VALUE(SUBSTITUTE(TRIM(Input!H94&amp;""),"%","")),0)/IF(AND(IFERROR(VALUE(SUBSTITUTE(TRIM(Input!H94&amp;""),"%","")),0)&gt;0,IFERROR(VALUE(SUBSTITUTE(TRIM(Input!H94&amp;""),"%","")),0)&lt;1),1,100))</f>
        <v/>
      </c>
      <c r="H94" t="str">
        <f>IF(A94="","",IFERROR(VALUE(SUBSTITUTE(TRIM(Input!I94&amp;""),"%","")),0)/IF(AND(IFERROR(VALUE(SUBSTITUTE(TRIM(Input!I94&amp;""),"%","")),0)&gt;0,IFERROR(VALUE(SUBSTITUTE(TRIM(Input!I94&amp;""),"%","")),0)&lt;1),1,100))</f>
        <v/>
      </c>
    </row>
    <row r="95" spans="1:8">
      <c r="A95" t="str">
        <f>IF(TRIM(Input!B95&amp;"")="","",UPPER(TRIM(Input!B95&amp;"")))</f>
        <v/>
      </c>
      <c r="B95" t="str">
        <f>IF(A95="","",IFERROR(VALUE(RIGHT(TRIM(Input!D95&amp;""),1)),0))</f>
        <v/>
      </c>
      <c r="C95" t="str">
        <f t="shared" si="1"/>
        <v/>
      </c>
      <c r="D95" t="str">
        <f>IF(A95="","",IFERROR(VALUE(SUBSTITUTE(TRIM(Input!E95&amp;""),"%","")),0)/IF(AND(IFERROR(VALUE(SUBSTITUTE(TRIM(Input!E95&amp;""),"%","")),0)&gt;0,IFERROR(VALUE(SUBSTITUTE(TRIM(Input!E95&amp;""),"%","")),0)&lt;1),1,100))</f>
        <v/>
      </c>
      <c r="E95" t="str">
        <f>IF(A95="","",IFERROR(VALUE(SUBSTITUTE(TRIM(Input!F95&amp;""),"%","")),0)/IF(AND(IFERROR(VALUE(SUBSTITUTE(TRIM(Input!F95&amp;""),"%","")),0)&gt;0,IFERROR(VALUE(SUBSTITUTE(TRIM(Input!F95&amp;""),"%","")),0)&lt;1),1,100))</f>
        <v/>
      </c>
      <c r="F95" t="str">
        <f>IF(A95="","",IFERROR(VALUE(SUBSTITUTE(TRIM(Input!G95&amp;""),"%","")),0)/IF(AND(IFERROR(VALUE(SUBSTITUTE(TRIM(Input!G95&amp;""),"%","")),0)&gt;0,IFERROR(VALUE(SUBSTITUTE(TRIM(Input!G95&amp;""),"%","")),0)&lt;1),1,100))</f>
        <v/>
      </c>
      <c r="G95" t="str">
        <f>IF(A95="","",IFERROR(VALUE(SUBSTITUTE(TRIM(Input!H95&amp;""),"%","")),0)/IF(AND(IFERROR(VALUE(SUBSTITUTE(TRIM(Input!H95&amp;""),"%","")),0)&gt;0,IFERROR(VALUE(SUBSTITUTE(TRIM(Input!H95&amp;""),"%","")),0)&lt;1),1,100))</f>
        <v/>
      </c>
      <c r="H95" t="str">
        <f>IF(A95="","",IFERROR(VALUE(SUBSTITUTE(TRIM(Input!I95&amp;""),"%","")),0)/IF(AND(IFERROR(VALUE(SUBSTITUTE(TRIM(Input!I95&amp;""),"%","")),0)&gt;0,IFERROR(VALUE(SUBSTITUTE(TRIM(Input!I95&amp;""),"%","")),0)&lt;1),1,100))</f>
        <v/>
      </c>
    </row>
    <row r="96" spans="1:8">
      <c r="A96" t="str">
        <f>IF(TRIM(Input!B96&amp;"")="","",UPPER(TRIM(Input!B96&amp;"")))</f>
        <v/>
      </c>
      <c r="B96" t="str">
        <f>IF(A96="","",IFERROR(VALUE(RIGHT(TRIM(Input!D96&amp;""),1)),0))</f>
        <v/>
      </c>
      <c r="C96" t="str">
        <f t="shared" si="1"/>
        <v/>
      </c>
      <c r="D96" t="str">
        <f>IF(A96="","",IFERROR(VALUE(SUBSTITUTE(TRIM(Input!E96&amp;""),"%","")),0)/IF(AND(IFERROR(VALUE(SUBSTITUTE(TRIM(Input!E96&amp;""),"%","")),0)&gt;0,IFERROR(VALUE(SUBSTITUTE(TRIM(Input!E96&amp;""),"%","")),0)&lt;1),1,100))</f>
        <v/>
      </c>
      <c r="E96" t="str">
        <f>IF(A96="","",IFERROR(VALUE(SUBSTITUTE(TRIM(Input!F96&amp;""),"%","")),0)/IF(AND(IFERROR(VALUE(SUBSTITUTE(TRIM(Input!F96&amp;""),"%","")),0)&gt;0,IFERROR(VALUE(SUBSTITUTE(TRIM(Input!F96&amp;""),"%","")),0)&lt;1),1,100))</f>
        <v/>
      </c>
      <c r="F96" t="str">
        <f>IF(A96="","",IFERROR(VALUE(SUBSTITUTE(TRIM(Input!G96&amp;""),"%","")),0)/IF(AND(IFERROR(VALUE(SUBSTITUTE(TRIM(Input!G96&amp;""),"%","")),0)&gt;0,IFERROR(VALUE(SUBSTITUTE(TRIM(Input!G96&amp;""),"%","")),0)&lt;1),1,100))</f>
        <v/>
      </c>
      <c r="G96" t="str">
        <f>IF(A96="","",IFERROR(VALUE(SUBSTITUTE(TRIM(Input!H96&amp;""),"%","")),0)/IF(AND(IFERROR(VALUE(SUBSTITUTE(TRIM(Input!H96&amp;""),"%","")),0)&gt;0,IFERROR(VALUE(SUBSTITUTE(TRIM(Input!H96&amp;""),"%","")),0)&lt;1),1,100))</f>
        <v/>
      </c>
      <c r="H96" t="str">
        <f>IF(A96="","",IFERROR(VALUE(SUBSTITUTE(TRIM(Input!I96&amp;""),"%","")),0)/IF(AND(IFERROR(VALUE(SUBSTITUTE(TRIM(Input!I96&amp;""),"%","")),0)&gt;0,IFERROR(VALUE(SUBSTITUTE(TRIM(Input!I96&amp;""),"%","")),0)&lt;1),1,100))</f>
        <v/>
      </c>
    </row>
    <row r="97" spans="1:8">
      <c r="A97" t="str">
        <f>IF(TRIM(Input!B97&amp;"")="","",UPPER(TRIM(Input!B97&amp;"")))</f>
        <v/>
      </c>
      <c r="B97" t="str">
        <f>IF(A97="","",IFERROR(VALUE(RIGHT(TRIM(Input!D97&amp;""),1)),0))</f>
        <v/>
      </c>
      <c r="C97" t="str">
        <f t="shared" si="1"/>
        <v/>
      </c>
      <c r="D97" t="str">
        <f>IF(A97="","",IFERROR(VALUE(SUBSTITUTE(TRIM(Input!E97&amp;""),"%","")),0)/IF(AND(IFERROR(VALUE(SUBSTITUTE(TRIM(Input!E97&amp;""),"%","")),0)&gt;0,IFERROR(VALUE(SUBSTITUTE(TRIM(Input!E97&amp;""),"%","")),0)&lt;1),1,100))</f>
        <v/>
      </c>
      <c r="E97" t="str">
        <f>IF(A97="","",IFERROR(VALUE(SUBSTITUTE(TRIM(Input!F97&amp;""),"%","")),0)/IF(AND(IFERROR(VALUE(SUBSTITUTE(TRIM(Input!F97&amp;""),"%","")),0)&gt;0,IFERROR(VALUE(SUBSTITUTE(TRIM(Input!F97&amp;""),"%","")),0)&lt;1),1,100))</f>
        <v/>
      </c>
      <c r="F97" t="str">
        <f>IF(A97="","",IFERROR(VALUE(SUBSTITUTE(TRIM(Input!G97&amp;""),"%","")),0)/IF(AND(IFERROR(VALUE(SUBSTITUTE(TRIM(Input!G97&amp;""),"%","")),0)&gt;0,IFERROR(VALUE(SUBSTITUTE(TRIM(Input!G97&amp;""),"%","")),0)&lt;1),1,100))</f>
        <v/>
      </c>
      <c r="G97" t="str">
        <f>IF(A97="","",IFERROR(VALUE(SUBSTITUTE(TRIM(Input!H97&amp;""),"%","")),0)/IF(AND(IFERROR(VALUE(SUBSTITUTE(TRIM(Input!H97&amp;""),"%","")),0)&gt;0,IFERROR(VALUE(SUBSTITUTE(TRIM(Input!H97&amp;""),"%","")),0)&lt;1),1,100))</f>
        <v/>
      </c>
      <c r="H97" t="str">
        <f>IF(A97="","",IFERROR(VALUE(SUBSTITUTE(TRIM(Input!I97&amp;""),"%","")),0)/IF(AND(IFERROR(VALUE(SUBSTITUTE(TRIM(Input!I97&amp;""),"%","")),0)&gt;0,IFERROR(VALUE(SUBSTITUTE(TRIM(Input!I97&amp;""),"%","")),0)&lt;1),1,100))</f>
        <v/>
      </c>
    </row>
    <row r="98" spans="1:8">
      <c r="A98" t="str">
        <f>IF(TRIM(Input!B98&amp;"")="","",UPPER(TRIM(Input!B98&amp;"")))</f>
        <v/>
      </c>
      <c r="B98" t="str">
        <f>IF(A98="","",IFERROR(VALUE(RIGHT(TRIM(Input!D98&amp;""),1)),0))</f>
        <v/>
      </c>
      <c r="C98" t="str">
        <f t="shared" si="1"/>
        <v/>
      </c>
      <c r="D98" t="str">
        <f>IF(A98="","",IFERROR(VALUE(SUBSTITUTE(TRIM(Input!E98&amp;""),"%","")),0)/IF(AND(IFERROR(VALUE(SUBSTITUTE(TRIM(Input!E98&amp;""),"%","")),0)&gt;0,IFERROR(VALUE(SUBSTITUTE(TRIM(Input!E98&amp;""),"%","")),0)&lt;1),1,100))</f>
        <v/>
      </c>
      <c r="E98" t="str">
        <f>IF(A98="","",IFERROR(VALUE(SUBSTITUTE(TRIM(Input!F98&amp;""),"%","")),0)/IF(AND(IFERROR(VALUE(SUBSTITUTE(TRIM(Input!F98&amp;""),"%","")),0)&gt;0,IFERROR(VALUE(SUBSTITUTE(TRIM(Input!F98&amp;""),"%","")),0)&lt;1),1,100))</f>
        <v/>
      </c>
      <c r="F98" t="str">
        <f>IF(A98="","",IFERROR(VALUE(SUBSTITUTE(TRIM(Input!G98&amp;""),"%","")),0)/IF(AND(IFERROR(VALUE(SUBSTITUTE(TRIM(Input!G98&amp;""),"%","")),0)&gt;0,IFERROR(VALUE(SUBSTITUTE(TRIM(Input!G98&amp;""),"%","")),0)&lt;1),1,100))</f>
        <v/>
      </c>
      <c r="G98" t="str">
        <f>IF(A98="","",IFERROR(VALUE(SUBSTITUTE(TRIM(Input!H98&amp;""),"%","")),0)/IF(AND(IFERROR(VALUE(SUBSTITUTE(TRIM(Input!H98&amp;""),"%","")),0)&gt;0,IFERROR(VALUE(SUBSTITUTE(TRIM(Input!H98&amp;""),"%","")),0)&lt;1),1,100))</f>
        <v/>
      </c>
      <c r="H98" t="str">
        <f>IF(A98="","",IFERROR(VALUE(SUBSTITUTE(TRIM(Input!I98&amp;""),"%","")),0)/IF(AND(IFERROR(VALUE(SUBSTITUTE(TRIM(Input!I98&amp;""),"%","")),0)&gt;0,IFERROR(VALUE(SUBSTITUTE(TRIM(Input!I98&amp;""),"%","")),0)&lt;1),1,100))</f>
        <v/>
      </c>
    </row>
    <row r="99" spans="1:8">
      <c r="A99" t="str">
        <f>IF(TRIM(Input!B99&amp;"")="","",UPPER(TRIM(Input!B99&amp;"")))</f>
        <v/>
      </c>
      <c r="B99" t="str">
        <f>IF(A99="","",IFERROR(VALUE(RIGHT(TRIM(Input!D99&amp;""),1)),0))</f>
        <v/>
      </c>
      <c r="C99" t="str">
        <f t="shared" si="1"/>
        <v/>
      </c>
      <c r="D99" t="str">
        <f>IF(A99="","",IFERROR(VALUE(SUBSTITUTE(TRIM(Input!E99&amp;""),"%","")),0)/IF(AND(IFERROR(VALUE(SUBSTITUTE(TRIM(Input!E99&amp;""),"%","")),0)&gt;0,IFERROR(VALUE(SUBSTITUTE(TRIM(Input!E99&amp;""),"%","")),0)&lt;1),1,100))</f>
        <v/>
      </c>
      <c r="E99" t="str">
        <f>IF(A99="","",IFERROR(VALUE(SUBSTITUTE(TRIM(Input!F99&amp;""),"%","")),0)/IF(AND(IFERROR(VALUE(SUBSTITUTE(TRIM(Input!F99&amp;""),"%","")),0)&gt;0,IFERROR(VALUE(SUBSTITUTE(TRIM(Input!F99&amp;""),"%","")),0)&lt;1),1,100))</f>
        <v/>
      </c>
      <c r="F99" t="str">
        <f>IF(A99="","",IFERROR(VALUE(SUBSTITUTE(TRIM(Input!G99&amp;""),"%","")),0)/IF(AND(IFERROR(VALUE(SUBSTITUTE(TRIM(Input!G99&amp;""),"%","")),0)&gt;0,IFERROR(VALUE(SUBSTITUTE(TRIM(Input!G99&amp;""),"%","")),0)&lt;1),1,100))</f>
        <v/>
      </c>
      <c r="G99" t="str">
        <f>IF(A99="","",IFERROR(VALUE(SUBSTITUTE(TRIM(Input!H99&amp;""),"%","")),0)/IF(AND(IFERROR(VALUE(SUBSTITUTE(TRIM(Input!H99&amp;""),"%","")),0)&gt;0,IFERROR(VALUE(SUBSTITUTE(TRIM(Input!H99&amp;""),"%","")),0)&lt;1),1,100))</f>
        <v/>
      </c>
      <c r="H99" t="str">
        <f>IF(A99="","",IFERROR(VALUE(SUBSTITUTE(TRIM(Input!I99&amp;""),"%","")),0)/IF(AND(IFERROR(VALUE(SUBSTITUTE(TRIM(Input!I99&amp;""),"%","")),0)&gt;0,IFERROR(VALUE(SUBSTITUTE(TRIM(Input!I99&amp;""),"%","")),0)&lt;1),1,100))</f>
        <v/>
      </c>
    </row>
    <row r="100" spans="1:8">
      <c r="A100" t="str">
        <f>IF(TRIM(Input!B100&amp;"")="","",UPPER(TRIM(Input!B100&amp;"")))</f>
        <v/>
      </c>
      <c r="B100" t="str">
        <f>IF(A100="","",IFERROR(VALUE(RIGHT(TRIM(Input!D100&amp;""),1)),0))</f>
        <v/>
      </c>
      <c r="C100" t="str">
        <f t="shared" si="1"/>
        <v/>
      </c>
      <c r="D100" t="str">
        <f>IF(A100="","",IFERROR(VALUE(SUBSTITUTE(TRIM(Input!E100&amp;""),"%","")),0)/IF(AND(IFERROR(VALUE(SUBSTITUTE(TRIM(Input!E100&amp;""),"%","")),0)&gt;0,IFERROR(VALUE(SUBSTITUTE(TRIM(Input!E100&amp;""),"%","")),0)&lt;1),1,100))</f>
        <v/>
      </c>
      <c r="E100" t="str">
        <f>IF(A100="","",IFERROR(VALUE(SUBSTITUTE(TRIM(Input!F100&amp;""),"%","")),0)/IF(AND(IFERROR(VALUE(SUBSTITUTE(TRIM(Input!F100&amp;""),"%","")),0)&gt;0,IFERROR(VALUE(SUBSTITUTE(TRIM(Input!F100&amp;""),"%","")),0)&lt;1),1,100))</f>
        <v/>
      </c>
      <c r="F100" t="str">
        <f>IF(A100="","",IFERROR(VALUE(SUBSTITUTE(TRIM(Input!G100&amp;""),"%","")),0)/IF(AND(IFERROR(VALUE(SUBSTITUTE(TRIM(Input!G100&amp;""),"%","")),0)&gt;0,IFERROR(VALUE(SUBSTITUTE(TRIM(Input!G100&amp;""),"%","")),0)&lt;1),1,100))</f>
        <v/>
      </c>
      <c r="G100" t="str">
        <f>IF(A100="","",IFERROR(VALUE(SUBSTITUTE(TRIM(Input!H100&amp;""),"%","")),0)/IF(AND(IFERROR(VALUE(SUBSTITUTE(TRIM(Input!H100&amp;""),"%","")),0)&gt;0,IFERROR(VALUE(SUBSTITUTE(TRIM(Input!H100&amp;""),"%","")),0)&lt;1),1,100))</f>
        <v/>
      </c>
      <c r="H100" t="str">
        <f>IF(A100="","",IFERROR(VALUE(SUBSTITUTE(TRIM(Input!I100&amp;""),"%","")),0)/IF(AND(IFERROR(VALUE(SUBSTITUTE(TRIM(Input!I100&amp;""),"%","")),0)&gt;0,IFERROR(VALUE(SUBSTITUTE(TRIM(Input!I100&amp;""),"%","")),0)&lt;1),1,100))</f>
        <v/>
      </c>
    </row>
    <row r="101" spans="1:8">
      <c r="A101" t="str">
        <f>IF(TRIM(Input!B101&amp;"")="","",UPPER(TRIM(Input!B101&amp;"")))</f>
        <v/>
      </c>
      <c r="B101" t="str">
        <f>IF(A101="","",IFERROR(VALUE(RIGHT(TRIM(Input!D101&amp;""),1)),0))</f>
        <v/>
      </c>
      <c r="C101" t="str">
        <f t="shared" si="1"/>
        <v/>
      </c>
      <c r="D101" t="str">
        <f>IF(A101="","",IFERROR(VALUE(SUBSTITUTE(TRIM(Input!E101&amp;""),"%","")),0)/IF(AND(IFERROR(VALUE(SUBSTITUTE(TRIM(Input!E101&amp;""),"%","")),0)&gt;0,IFERROR(VALUE(SUBSTITUTE(TRIM(Input!E101&amp;""),"%","")),0)&lt;1),1,100))</f>
        <v/>
      </c>
      <c r="E101" t="str">
        <f>IF(A101="","",IFERROR(VALUE(SUBSTITUTE(TRIM(Input!F101&amp;""),"%","")),0)/IF(AND(IFERROR(VALUE(SUBSTITUTE(TRIM(Input!F101&amp;""),"%","")),0)&gt;0,IFERROR(VALUE(SUBSTITUTE(TRIM(Input!F101&amp;""),"%","")),0)&lt;1),1,100))</f>
        <v/>
      </c>
      <c r="F101" t="str">
        <f>IF(A101="","",IFERROR(VALUE(SUBSTITUTE(TRIM(Input!G101&amp;""),"%","")),0)/IF(AND(IFERROR(VALUE(SUBSTITUTE(TRIM(Input!G101&amp;""),"%","")),0)&gt;0,IFERROR(VALUE(SUBSTITUTE(TRIM(Input!G101&amp;""),"%","")),0)&lt;1),1,100))</f>
        <v/>
      </c>
      <c r="G101" t="str">
        <f>IF(A101="","",IFERROR(VALUE(SUBSTITUTE(TRIM(Input!H101&amp;""),"%","")),0)/IF(AND(IFERROR(VALUE(SUBSTITUTE(TRIM(Input!H101&amp;""),"%","")),0)&gt;0,IFERROR(VALUE(SUBSTITUTE(TRIM(Input!H101&amp;""),"%","")),0)&lt;1),1,100))</f>
        <v/>
      </c>
      <c r="H101" t="str">
        <f>IF(A101="","",IFERROR(VALUE(SUBSTITUTE(TRIM(Input!I101&amp;""),"%","")),0)/IF(AND(IFERROR(VALUE(SUBSTITUTE(TRIM(Input!I101&amp;""),"%","")),0)&gt;0,IFERROR(VALUE(SUBSTITUTE(TRIM(Input!I101&amp;""),"%","")),0)&lt;1),1,100))</f>
        <v/>
      </c>
    </row>
    <row r="102" spans="1:8">
      <c r="A102" t="str">
        <f>IF(TRIM(Input!B102&amp;"")="","",UPPER(TRIM(Input!B102&amp;"")))</f>
        <v/>
      </c>
      <c r="B102" t="str">
        <f>IF(A102="","",IFERROR(VALUE(RIGHT(TRIM(Input!D102&amp;""),1)),0))</f>
        <v/>
      </c>
      <c r="C102" t="str">
        <f t="shared" si="1"/>
        <v/>
      </c>
      <c r="D102" t="str">
        <f>IF(A102="","",IFERROR(VALUE(SUBSTITUTE(TRIM(Input!E102&amp;""),"%","")),0)/IF(AND(IFERROR(VALUE(SUBSTITUTE(TRIM(Input!E102&amp;""),"%","")),0)&gt;0,IFERROR(VALUE(SUBSTITUTE(TRIM(Input!E102&amp;""),"%","")),0)&lt;1),1,100))</f>
        <v/>
      </c>
      <c r="E102" t="str">
        <f>IF(A102="","",IFERROR(VALUE(SUBSTITUTE(TRIM(Input!F102&amp;""),"%","")),0)/IF(AND(IFERROR(VALUE(SUBSTITUTE(TRIM(Input!F102&amp;""),"%","")),0)&gt;0,IFERROR(VALUE(SUBSTITUTE(TRIM(Input!F102&amp;""),"%","")),0)&lt;1),1,100))</f>
        <v/>
      </c>
      <c r="F102" t="str">
        <f>IF(A102="","",IFERROR(VALUE(SUBSTITUTE(TRIM(Input!G102&amp;""),"%","")),0)/IF(AND(IFERROR(VALUE(SUBSTITUTE(TRIM(Input!G102&amp;""),"%","")),0)&gt;0,IFERROR(VALUE(SUBSTITUTE(TRIM(Input!G102&amp;""),"%","")),0)&lt;1),1,100))</f>
        <v/>
      </c>
      <c r="G102" t="str">
        <f>IF(A102="","",IFERROR(VALUE(SUBSTITUTE(TRIM(Input!H102&amp;""),"%","")),0)/IF(AND(IFERROR(VALUE(SUBSTITUTE(TRIM(Input!H102&amp;""),"%","")),0)&gt;0,IFERROR(VALUE(SUBSTITUTE(TRIM(Input!H102&amp;""),"%","")),0)&lt;1),1,100))</f>
        <v/>
      </c>
      <c r="H102" t="str">
        <f>IF(A102="","",IFERROR(VALUE(SUBSTITUTE(TRIM(Input!I102&amp;""),"%","")),0)/IF(AND(IFERROR(VALUE(SUBSTITUTE(TRIM(Input!I102&amp;""),"%","")),0)&gt;0,IFERROR(VALUE(SUBSTITUTE(TRIM(Input!I102&amp;""),"%","")),0)&lt;1),1,100))</f>
        <v/>
      </c>
    </row>
    <row r="103" spans="1:8">
      <c r="A103" t="str">
        <f>IF(TRIM(Input!B103&amp;"")="","",UPPER(TRIM(Input!B103&amp;"")))</f>
        <v/>
      </c>
      <c r="B103" t="str">
        <f>IF(A103="","",IFERROR(VALUE(RIGHT(TRIM(Input!D103&amp;""),1)),0))</f>
        <v/>
      </c>
      <c r="C103" t="str">
        <f t="shared" si="1"/>
        <v/>
      </c>
      <c r="D103" t="str">
        <f>IF(A103="","",IFERROR(VALUE(SUBSTITUTE(TRIM(Input!E103&amp;""),"%","")),0)/IF(AND(IFERROR(VALUE(SUBSTITUTE(TRIM(Input!E103&amp;""),"%","")),0)&gt;0,IFERROR(VALUE(SUBSTITUTE(TRIM(Input!E103&amp;""),"%","")),0)&lt;1),1,100))</f>
        <v/>
      </c>
      <c r="E103" t="str">
        <f>IF(A103="","",IFERROR(VALUE(SUBSTITUTE(TRIM(Input!F103&amp;""),"%","")),0)/IF(AND(IFERROR(VALUE(SUBSTITUTE(TRIM(Input!F103&amp;""),"%","")),0)&gt;0,IFERROR(VALUE(SUBSTITUTE(TRIM(Input!F103&amp;""),"%","")),0)&lt;1),1,100))</f>
        <v/>
      </c>
      <c r="F103" t="str">
        <f>IF(A103="","",IFERROR(VALUE(SUBSTITUTE(TRIM(Input!G103&amp;""),"%","")),0)/IF(AND(IFERROR(VALUE(SUBSTITUTE(TRIM(Input!G103&amp;""),"%","")),0)&gt;0,IFERROR(VALUE(SUBSTITUTE(TRIM(Input!G103&amp;""),"%","")),0)&lt;1),1,100))</f>
        <v/>
      </c>
      <c r="G103" t="str">
        <f>IF(A103="","",IFERROR(VALUE(SUBSTITUTE(TRIM(Input!H103&amp;""),"%","")),0)/IF(AND(IFERROR(VALUE(SUBSTITUTE(TRIM(Input!H103&amp;""),"%","")),0)&gt;0,IFERROR(VALUE(SUBSTITUTE(TRIM(Input!H103&amp;""),"%","")),0)&lt;1),1,100))</f>
        <v/>
      </c>
      <c r="H103" t="str">
        <f>IF(A103="","",IFERROR(VALUE(SUBSTITUTE(TRIM(Input!I103&amp;""),"%","")),0)/IF(AND(IFERROR(VALUE(SUBSTITUTE(TRIM(Input!I103&amp;""),"%","")),0)&gt;0,IFERROR(VALUE(SUBSTITUTE(TRIM(Input!I103&amp;""),"%","")),0)&lt;1),1,100))</f>
        <v/>
      </c>
    </row>
    <row r="104" spans="1:8">
      <c r="A104" t="str">
        <f>IF(TRIM(Input!B104&amp;"")="","",UPPER(TRIM(Input!B104&amp;"")))</f>
        <v/>
      </c>
      <c r="B104" t="str">
        <f>IF(A104="","",IFERROR(VALUE(RIGHT(TRIM(Input!D104&amp;""),1)),0))</f>
        <v/>
      </c>
      <c r="C104" t="str">
        <f t="shared" si="1"/>
        <v/>
      </c>
      <c r="D104" t="str">
        <f>IF(A104="","",IFERROR(VALUE(SUBSTITUTE(TRIM(Input!E104&amp;""),"%","")),0)/IF(AND(IFERROR(VALUE(SUBSTITUTE(TRIM(Input!E104&amp;""),"%","")),0)&gt;0,IFERROR(VALUE(SUBSTITUTE(TRIM(Input!E104&amp;""),"%","")),0)&lt;1),1,100))</f>
        <v/>
      </c>
      <c r="E104" t="str">
        <f>IF(A104="","",IFERROR(VALUE(SUBSTITUTE(TRIM(Input!F104&amp;""),"%","")),0)/IF(AND(IFERROR(VALUE(SUBSTITUTE(TRIM(Input!F104&amp;""),"%","")),0)&gt;0,IFERROR(VALUE(SUBSTITUTE(TRIM(Input!F104&amp;""),"%","")),0)&lt;1),1,100))</f>
        <v/>
      </c>
      <c r="F104" t="str">
        <f>IF(A104="","",IFERROR(VALUE(SUBSTITUTE(TRIM(Input!G104&amp;""),"%","")),0)/IF(AND(IFERROR(VALUE(SUBSTITUTE(TRIM(Input!G104&amp;""),"%","")),0)&gt;0,IFERROR(VALUE(SUBSTITUTE(TRIM(Input!G104&amp;""),"%","")),0)&lt;1),1,100))</f>
        <v/>
      </c>
      <c r="G104" t="str">
        <f>IF(A104="","",IFERROR(VALUE(SUBSTITUTE(TRIM(Input!H104&amp;""),"%","")),0)/IF(AND(IFERROR(VALUE(SUBSTITUTE(TRIM(Input!H104&amp;""),"%","")),0)&gt;0,IFERROR(VALUE(SUBSTITUTE(TRIM(Input!H104&amp;""),"%","")),0)&lt;1),1,100))</f>
        <v/>
      </c>
      <c r="H104" t="str">
        <f>IF(A104="","",IFERROR(VALUE(SUBSTITUTE(TRIM(Input!I104&amp;""),"%","")),0)/IF(AND(IFERROR(VALUE(SUBSTITUTE(TRIM(Input!I104&amp;""),"%","")),0)&gt;0,IFERROR(VALUE(SUBSTITUTE(TRIM(Input!I104&amp;""),"%","")),0)&lt;1),1,100))</f>
        <v/>
      </c>
    </row>
    <row r="105" spans="1:8">
      <c r="A105" t="str">
        <f>IF(TRIM(Input!B105&amp;"")="","",UPPER(TRIM(Input!B105&amp;"")))</f>
        <v/>
      </c>
      <c r="B105" t="str">
        <f>IF(A105="","",IFERROR(VALUE(RIGHT(TRIM(Input!D105&amp;""),1)),0))</f>
        <v/>
      </c>
      <c r="C105" t="str">
        <f t="shared" si="1"/>
        <v/>
      </c>
      <c r="D105" t="str">
        <f>IF(A105="","",IFERROR(VALUE(SUBSTITUTE(TRIM(Input!E105&amp;""),"%","")),0)/IF(AND(IFERROR(VALUE(SUBSTITUTE(TRIM(Input!E105&amp;""),"%","")),0)&gt;0,IFERROR(VALUE(SUBSTITUTE(TRIM(Input!E105&amp;""),"%","")),0)&lt;1),1,100))</f>
        <v/>
      </c>
      <c r="E105" t="str">
        <f>IF(A105="","",IFERROR(VALUE(SUBSTITUTE(TRIM(Input!F105&amp;""),"%","")),0)/IF(AND(IFERROR(VALUE(SUBSTITUTE(TRIM(Input!F105&amp;""),"%","")),0)&gt;0,IFERROR(VALUE(SUBSTITUTE(TRIM(Input!F105&amp;""),"%","")),0)&lt;1),1,100))</f>
        <v/>
      </c>
      <c r="F105" t="str">
        <f>IF(A105="","",IFERROR(VALUE(SUBSTITUTE(TRIM(Input!G105&amp;""),"%","")),0)/IF(AND(IFERROR(VALUE(SUBSTITUTE(TRIM(Input!G105&amp;""),"%","")),0)&gt;0,IFERROR(VALUE(SUBSTITUTE(TRIM(Input!G105&amp;""),"%","")),0)&lt;1),1,100))</f>
        <v/>
      </c>
      <c r="G105" t="str">
        <f>IF(A105="","",IFERROR(VALUE(SUBSTITUTE(TRIM(Input!H105&amp;""),"%","")),0)/IF(AND(IFERROR(VALUE(SUBSTITUTE(TRIM(Input!H105&amp;""),"%","")),0)&gt;0,IFERROR(VALUE(SUBSTITUTE(TRIM(Input!H105&amp;""),"%","")),0)&lt;1),1,100))</f>
        <v/>
      </c>
      <c r="H105" t="str">
        <f>IF(A105="","",IFERROR(VALUE(SUBSTITUTE(TRIM(Input!I105&amp;""),"%","")),0)/IF(AND(IFERROR(VALUE(SUBSTITUTE(TRIM(Input!I105&amp;""),"%","")),0)&gt;0,IFERROR(VALUE(SUBSTITUTE(TRIM(Input!I105&amp;""),"%","")),0)&lt;1),1,100))</f>
        <v/>
      </c>
    </row>
    <row r="106" spans="1:8">
      <c r="A106" t="str">
        <f>IF(TRIM(Input!B106&amp;"")="","",UPPER(TRIM(Input!B106&amp;"")))</f>
        <v/>
      </c>
      <c r="B106" t="str">
        <f>IF(A106="","",IFERROR(VALUE(RIGHT(TRIM(Input!D106&amp;""),1)),0))</f>
        <v/>
      </c>
      <c r="C106" t="str">
        <f t="shared" si="1"/>
        <v/>
      </c>
      <c r="D106" t="str">
        <f>IF(A106="","",IFERROR(VALUE(SUBSTITUTE(TRIM(Input!E106&amp;""),"%","")),0)/IF(AND(IFERROR(VALUE(SUBSTITUTE(TRIM(Input!E106&amp;""),"%","")),0)&gt;0,IFERROR(VALUE(SUBSTITUTE(TRIM(Input!E106&amp;""),"%","")),0)&lt;1),1,100))</f>
        <v/>
      </c>
      <c r="E106" t="str">
        <f>IF(A106="","",IFERROR(VALUE(SUBSTITUTE(TRIM(Input!F106&amp;""),"%","")),0)/IF(AND(IFERROR(VALUE(SUBSTITUTE(TRIM(Input!F106&amp;""),"%","")),0)&gt;0,IFERROR(VALUE(SUBSTITUTE(TRIM(Input!F106&amp;""),"%","")),0)&lt;1),1,100))</f>
        <v/>
      </c>
      <c r="F106" t="str">
        <f>IF(A106="","",IFERROR(VALUE(SUBSTITUTE(TRIM(Input!G106&amp;""),"%","")),0)/IF(AND(IFERROR(VALUE(SUBSTITUTE(TRIM(Input!G106&amp;""),"%","")),0)&gt;0,IFERROR(VALUE(SUBSTITUTE(TRIM(Input!G106&amp;""),"%","")),0)&lt;1),1,100))</f>
        <v/>
      </c>
      <c r="G106" t="str">
        <f>IF(A106="","",IFERROR(VALUE(SUBSTITUTE(TRIM(Input!H106&amp;""),"%","")),0)/IF(AND(IFERROR(VALUE(SUBSTITUTE(TRIM(Input!H106&amp;""),"%","")),0)&gt;0,IFERROR(VALUE(SUBSTITUTE(TRIM(Input!H106&amp;""),"%","")),0)&lt;1),1,100))</f>
        <v/>
      </c>
      <c r="H106" t="str">
        <f>IF(A106="","",IFERROR(VALUE(SUBSTITUTE(TRIM(Input!I106&amp;""),"%","")),0)/IF(AND(IFERROR(VALUE(SUBSTITUTE(TRIM(Input!I106&amp;""),"%","")),0)&gt;0,IFERROR(VALUE(SUBSTITUTE(TRIM(Input!I106&amp;""),"%","")),0)&lt;1),1,100))</f>
        <v/>
      </c>
    </row>
    <row r="107" spans="1:8">
      <c r="A107" t="str">
        <f>IF(TRIM(Input!B107&amp;"")="","",UPPER(TRIM(Input!B107&amp;"")))</f>
        <v/>
      </c>
      <c r="B107" t="str">
        <f>IF(A107="","",IFERROR(VALUE(RIGHT(TRIM(Input!D107&amp;""),1)),0))</f>
        <v/>
      </c>
      <c r="C107" t="str">
        <f t="shared" si="1"/>
        <v/>
      </c>
      <c r="D107" t="str">
        <f>IF(A107="","",IFERROR(VALUE(SUBSTITUTE(TRIM(Input!E107&amp;""),"%","")),0)/IF(AND(IFERROR(VALUE(SUBSTITUTE(TRIM(Input!E107&amp;""),"%","")),0)&gt;0,IFERROR(VALUE(SUBSTITUTE(TRIM(Input!E107&amp;""),"%","")),0)&lt;1),1,100))</f>
        <v/>
      </c>
      <c r="E107" t="str">
        <f>IF(A107="","",IFERROR(VALUE(SUBSTITUTE(TRIM(Input!F107&amp;""),"%","")),0)/IF(AND(IFERROR(VALUE(SUBSTITUTE(TRIM(Input!F107&amp;""),"%","")),0)&gt;0,IFERROR(VALUE(SUBSTITUTE(TRIM(Input!F107&amp;""),"%","")),0)&lt;1),1,100))</f>
        <v/>
      </c>
      <c r="F107" t="str">
        <f>IF(A107="","",IFERROR(VALUE(SUBSTITUTE(TRIM(Input!G107&amp;""),"%","")),0)/IF(AND(IFERROR(VALUE(SUBSTITUTE(TRIM(Input!G107&amp;""),"%","")),0)&gt;0,IFERROR(VALUE(SUBSTITUTE(TRIM(Input!G107&amp;""),"%","")),0)&lt;1),1,100))</f>
        <v/>
      </c>
      <c r="G107" t="str">
        <f>IF(A107="","",IFERROR(VALUE(SUBSTITUTE(TRIM(Input!H107&amp;""),"%","")),0)/IF(AND(IFERROR(VALUE(SUBSTITUTE(TRIM(Input!H107&amp;""),"%","")),0)&gt;0,IFERROR(VALUE(SUBSTITUTE(TRIM(Input!H107&amp;""),"%","")),0)&lt;1),1,100))</f>
        <v/>
      </c>
      <c r="H107" t="str">
        <f>IF(A107="","",IFERROR(VALUE(SUBSTITUTE(TRIM(Input!I107&amp;""),"%","")),0)/IF(AND(IFERROR(VALUE(SUBSTITUTE(TRIM(Input!I107&amp;""),"%","")),0)&gt;0,IFERROR(VALUE(SUBSTITUTE(TRIM(Input!I107&amp;""),"%","")),0)&lt;1),1,100))</f>
        <v/>
      </c>
    </row>
    <row r="108" spans="1:8">
      <c r="A108" t="str">
        <f>IF(TRIM(Input!B108&amp;"")="","",UPPER(TRIM(Input!B108&amp;"")))</f>
        <v/>
      </c>
      <c r="B108" t="str">
        <f>IF(A108="","",IFERROR(VALUE(RIGHT(TRIM(Input!D108&amp;""),1)),0))</f>
        <v/>
      </c>
      <c r="C108" t="str">
        <f t="shared" si="1"/>
        <v/>
      </c>
      <c r="D108" t="str">
        <f>IF(A108="","",IFERROR(VALUE(SUBSTITUTE(TRIM(Input!E108&amp;""),"%","")),0)/IF(AND(IFERROR(VALUE(SUBSTITUTE(TRIM(Input!E108&amp;""),"%","")),0)&gt;0,IFERROR(VALUE(SUBSTITUTE(TRIM(Input!E108&amp;""),"%","")),0)&lt;1),1,100))</f>
        <v/>
      </c>
      <c r="E108" t="str">
        <f>IF(A108="","",IFERROR(VALUE(SUBSTITUTE(TRIM(Input!F108&amp;""),"%","")),0)/IF(AND(IFERROR(VALUE(SUBSTITUTE(TRIM(Input!F108&amp;""),"%","")),0)&gt;0,IFERROR(VALUE(SUBSTITUTE(TRIM(Input!F108&amp;""),"%","")),0)&lt;1),1,100))</f>
        <v/>
      </c>
      <c r="F108" t="str">
        <f>IF(A108="","",IFERROR(VALUE(SUBSTITUTE(TRIM(Input!G108&amp;""),"%","")),0)/IF(AND(IFERROR(VALUE(SUBSTITUTE(TRIM(Input!G108&amp;""),"%","")),0)&gt;0,IFERROR(VALUE(SUBSTITUTE(TRIM(Input!G108&amp;""),"%","")),0)&lt;1),1,100))</f>
        <v/>
      </c>
      <c r="G108" t="str">
        <f>IF(A108="","",IFERROR(VALUE(SUBSTITUTE(TRIM(Input!H108&amp;""),"%","")),0)/IF(AND(IFERROR(VALUE(SUBSTITUTE(TRIM(Input!H108&amp;""),"%","")),0)&gt;0,IFERROR(VALUE(SUBSTITUTE(TRIM(Input!H108&amp;""),"%","")),0)&lt;1),1,100))</f>
        <v/>
      </c>
      <c r="H108" t="str">
        <f>IF(A108="","",IFERROR(VALUE(SUBSTITUTE(TRIM(Input!I108&amp;""),"%","")),0)/IF(AND(IFERROR(VALUE(SUBSTITUTE(TRIM(Input!I108&amp;""),"%","")),0)&gt;0,IFERROR(VALUE(SUBSTITUTE(TRIM(Input!I108&amp;""),"%","")),0)&lt;1),1,100))</f>
        <v/>
      </c>
    </row>
    <row r="109" spans="1:8">
      <c r="A109" t="str">
        <f>IF(TRIM(Input!B109&amp;"")="","",UPPER(TRIM(Input!B109&amp;"")))</f>
        <v/>
      </c>
      <c r="B109" t="str">
        <f>IF(A109="","",IFERROR(VALUE(RIGHT(TRIM(Input!D109&amp;""),1)),0))</f>
        <v/>
      </c>
      <c r="C109" t="str">
        <f t="shared" si="1"/>
        <v/>
      </c>
      <c r="D109" t="str">
        <f>IF(A109="","",IFERROR(VALUE(SUBSTITUTE(TRIM(Input!E109&amp;""),"%","")),0)/IF(AND(IFERROR(VALUE(SUBSTITUTE(TRIM(Input!E109&amp;""),"%","")),0)&gt;0,IFERROR(VALUE(SUBSTITUTE(TRIM(Input!E109&amp;""),"%","")),0)&lt;1),1,100))</f>
        <v/>
      </c>
      <c r="E109" t="str">
        <f>IF(A109="","",IFERROR(VALUE(SUBSTITUTE(TRIM(Input!F109&amp;""),"%","")),0)/IF(AND(IFERROR(VALUE(SUBSTITUTE(TRIM(Input!F109&amp;""),"%","")),0)&gt;0,IFERROR(VALUE(SUBSTITUTE(TRIM(Input!F109&amp;""),"%","")),0)&lt;1),1,100))</f>
        <v/>
      </c>
      <c r="F109" t="str">
        <f>IF(A109="","",IFERROR(VALUE(SUBSTITUTE(TRIM(Input!G109&amp;""),"%","")),0)/IF(AND(IFERROR(VALUE(SUBSTITUTE(TRIM(Input!G109&amp;""),"%","")),0)&gt;0,IFERROR(VALUE(SUBSTITUTE(TRIM(Input!G109&amp;""),"%","")),0)&lt;1),1,100))</f>
        <v/>
      </c>
      <c r="G109" t="str">
        <f>IF(A109="","",IFERROR(VALUE(SUBSTITUTE(TRIM(Input!H109&amp;""),"%","")),0)/IF(AND(IFERROR(VALUE(SUBSTITUTE(TRIM(Input!H109&amp;""),"%","")),0)&gt;0,IFERROR(VALUE(SUBSTITUTE(TRIM(Input!H109&amp;""),"%","")),0)&lt;1),1,100))</f>
        <v/>
      </c>
      <c r="H109" t="str">
        <f>IF(A109="","",IFERROR(VALUE(SUBSTITUTE(TRIM(Input!I109&amp;""),"%","")),0)/IF(AND(IFERROR(VALUE(SUBSTITUTE(TRIM(Input!I109&amp;""),"%","")),0)&gt;0,IFERROR(VALUE(SUBSTITUTE(TRIM(Input!I109&amp;""),"%","")),0)&lt;1),1,100))</f>
        <v/>
      </c>
    </row>
    <row r="110" spans="1:8">
      <c r="A110" t="str">
        <f>IF(TRIM(Input!B110&amp;"")="","",UPPER(TRIM(Input!B110&amp;"")))</f>
        <v/>
      </c>
      <c r="B110" t="str">
        <f>IF(A110="","",IFERROR(VALUE(RIGHT(TRIM(Input!D110&amp;""),1)),0))</f>
        <v/>
      </c>
      <c r="C110" t="str">
        <f t="shared" si="1"/>
        <v/>
      </c>
      <c r="D110" t="str">
        <f>IF(A110="","",IFERROR(VALUE(SUBSTITUTE(TRIM(Input!E110&amp;""),"%","")),0)/IF(AND(IFERROR(VALUE(SUBSTITUTE(TRIM(Input!E110&amp;""),"%","")),0)&gt;0,IFERROR(VALUE(SUBSTITUTE(TRIM(Input!E110&amp;""),"%","")),0)&lt;1),1,100))</f>
        <v/>
      </c>
      <c r="E110" t="str">
        <f>IF(A110="","",IFERROR(VALUE(SUBSTITUTE(TRIM(Input!F110&amp;""),"%","")),0)/IF(AND(IFERROR(VALUE(SUBSTITUTE(TRIM(Input!F110&amp;""),"%","")),0)&gt;0,IFERROR(VALUE(SUBSTITUTE(TRIM(Input!F110&amp;""),"%","")),0)&lt;1),1,100))</f>
        <v/>
      </c>
      <c r="F110" t="str">
        <f>IF(A110="","",IFERROR(VALUE(SUBSTITUTE(TRIM(Input!G110&amp;""),"%","")),0)/IF(AND(IFERROR(VALUE(SUBSTITUTE(TRIM(Input!G110&amp;""),"%","")),0)&gt;0,IFERROR(VALUE(SUBSTITUTE(TRIM(Input!G110&amp;""),"%","")),0)&lt;1),1,100))</f>
        <v/>
      </c>
      <c r="G110" t="str">
        <f>IF(A110="","",IFERROR(VALUE(SUBSTITUTE(TRIM(Input!H110&amp;""),"%","")),0)/IF(AND(IFERROR(VALUE(SUBSTITUTE(TRIM(Input!H110&amp;""),"%","")),0)&gt;0,IFERROR(VALUE(SUBSTITUTE(TRIM(Input!H110&amp;""),"%","")),0)&lt;1),1,100))</f>
        <v/>
      </c>
      <c r="H110" t="str">
        <f>IF(A110="","",IFERROR(VALUE(SUBSTITUTE(TRIM(Input!I110&amp;""),"%","")),0)/IF(AND(IFERROR(VALUE(SUBSTITUTE(TRIM(Input!I110&amp;""),"%","")),0)&gt;0,IFERROR(VALUE(SUBSTITUTE(TRIM(Input!I110&amp;""),"%","")),0)&lt;1),1,100))</f>
        <v/>
      </c>
    </row>
    <row r="111" spans="1:8">
      <c r="A111" t="str">
        <f>IF(TRIM(Input!B111&amp;"")="","",UPPER(TRIM(Input!B111&amp;"")))</f>
        <v/>
      </c>
      <c r="B111" t="str">
        <f>IF(A111="","",IFERROR(VALUE(RIGHT(TRIM(Input!D111&amp;""),1)),0))</f>
        <v/>
      </c>
      <c r="C111" t="str">
        <f t="shared" si="1"/>
        <v/>
      </c>
      <c r="D111" t="str">
        <f>IF(A111="","",IFERROR(VALUE(SUBSTITUTE(TRIM(Input!E111&amp;""),"%","")),0)/IF(AND(IFERROR(VALUE(SUBSTITUTE(TRIM(Input!E111&amp;""),"%","")),0)&gt;0,IFERROR(VALUE(SUBSTITUTE(TRIM(Input!E111&amp;""),"%","")),0)&lt;1),1,100))</f>
        <v/>
      </c>
      <c r="E111" t="str">
        <f>IF(A111="","",IFERROR(VALUE(SUBSTITUTE(TRIM(Input!F111&amp;""),"%","")),0)/IF(AND(IFERROR(VALUE(SUBSTITUTE(TRIM(Input!F111&amp;""),"%","")),0)&gt;0,IFERROR(VALUE(SUBSTITUTE(TRIM(Input!F111&amp;""),"%","")),0)&lt;1),1,100))</f>
        <v/>
      </c>
      <c r="F111" t="str">
        <f>IF(A111="","",IFERROR(VALUE(SUBSTITUTE(TRIM(Input!G111&amp;""),"%","")),0)/IF(AND(IFERROR(VALUE(SUBSTITUTE(TRIM(Input!G111&amp;""),"%","")),0)&gt;0,IFERROR(VALUE(SUBSTITUTE(TRIM(Input!G111&amp;""),"%","")),0)&lt;1),1,100))</f>
        <v/>
      </c>
      <c r="G111" t="str">
        <f>IF(A111="","",IFERROR(VALUE(SUBSTITUTE(TRIM(Input!H111&amp;""),"%","")),0)/IF(AND(IFERROR(VALUE(SUBSTITUTE(TRIM(Input!H111&amp;""),"%","")),0)&gt;0,IFERROR(VALUE(SUBSTITUTE(TRIM(Input!H111&amp;""),"%","")),0)&lt;1),1,100))</f>
        <v/>
      </c>
      <c r="H111" t="str">
        <f>IF(A111="","",IFERROR(VALUE(SUBSTITUTE(TRIM(Input!I111&amp;""),"%","")),0)/IF(AND(IFERROR(VALUE(SUBSTITUTE(TRIM(Input!I111&amp;""),"%","")),0)&gt;0,IFERROR(VALUE(SUBSTITUTE(TRIM(Input!I111&amp;""),"%","")),0)&lt;1),1,100))</f>
        <v/>
      </c>
    </row>
    <row r="112" spans="1:8">
      <c r="A112" t="str">
        <f>IF(TRIM(Input!B112&amp;"")="","",UPPER(TRIM(Input!B112&amp;"")))</f>
        <v/>
      </c>
      <c r="B112" t="str">
        <f>IF(A112="","",IFERROR(VALUE(RIGHT(TRIM(Input!D112&amp;""),1)),0))</f>
        <v/>
      </c>
      <c r="C112" t="str">
        <f t="shared" si="1"/>
        <v/>
      </c>
      <c r="D112" t="str">
        <f>IF(A112="","",IFERROR(VALUE(SUBSTITUTE(TRIM(Input!E112&amp;""),"%","")),0)/IF(AND(IFERROR(VALUE(SUBSTITUTE(TRIM(Input!E112&amp;""),"%","")),0)&gt;0,IFERROR(VALUE(SUBSTITUTE(TRIM(Input!E112&amp;""),"%","")),0)&lt;1),1,100))</f>
        <v/>
      </c>
      <c r="E112" t="str">
        <f>IF(A112="","",IFERROR(VALUE(SUBSTITUTE(TRIM(Input!F112&amp;""),"%","")),0)/IF(AND(IFERROR(VALUE(SUBSTITUTE(TRIM(Input!F112&amp;""),"%","")),0)&gt;0,IFERROR(VALUE(SUBSTITUTE(TRIM(Input!F112&amp;""),"%","")),0)&lt;1),1,100))</f>
        <v/>
      </c>
      <c r="F112" t="str">
        <f>IF(A112="","",IFERROR(VALUE(SUBSTITUTE(TRIM(Input!G112&amp;""),"%","")),0)/IF(AND(IFERROR(VALUE(SUBSTITUTE(TRIM(Input!G112&amp;""),"%","")),0)&gt;0,IFERROR(VALUE(SUBSTITUTE(TRIM(Input!G112&amp;""),"%","")),0)&lt;1),1,100))</f>
        <v/>
      </c>
      <c r="G112" t="str">
        <f>IF(A112="","",IFERROR(VALUE(SUBSTITUTE(TRIM(Input!H112&amp;""),"%","")),0)/IF(AND(IFERROR(VALUE(SUBSTITUTE(TRIM(Input!H112&amp;""),"%","")),0)&gt;0,IFERROR(VALUE(SUBSTITUTE(TRIM(Input!H112&amp;""),"%","")),0)&lt;1),1,100))</f>
        <v/>
      </c>
      <c r="H112" t="str">
        <f>IF(A112="","",IFERROR(VALUE(SUBSTITUTE(TRIM(Input!I112&amp;""),"%","")),0)/IF(AND(IFERROR(VALUE(SUBSTITUTE(TRIM(Input!I112&amp;""),"%","")),0)&gt;0,IFERROR(VALUE(SUBSTITUTE(TRIM(Input!I112&amp;""),"%","")),0)&lt;1),1,100))</f>
        <v/>
      </c>
    </row>
    <row r="113" spans="1:8">
      <c r="A113" t="str">
        <f>IF(TRIM(Input!B113&amp;"")="","",UPPER(TRIM(Input!B113&amp;"")))</f>
        <v/>
      </c>
      <c r="B113" t="str">
        <f>IF(A113="","",IFERROR(VALUE(RIGHT(TRIM(Input!D113&amp;""),1)),0))</f>
        <v/>
      </c>
      <c r="C113" t="str">
        <f t="shared" si="1"/>
        <v/>
      </c>
      <c r="D113" t="str">
        <f>IF(A113="","",IFERROR(VALUE(SUBSTITUTE(TRIM(Input!E113&amp;""),"%","")),0)/IF(AND(IFERROR(VALUE(SUBSTITUTE(TRIM(Input!E113&amp;""),"%","")),0)&gt;0,IFERROR(VALUE(SUBSTITUTE(TRIM(Input!E113&amp;""),"%","")),0)&lt;1),1,100))</f>
        <v/>
      </c>
      <c r="E113" t="str">
        <f>IF(A113="","",IFERROR(VALUE(SUBSTITUTE(TRIM(Input!F113&amp;""),"%","")),0)/IF(AND(IFERROR(VALUE(SUBSTITUTE(TRIM(Input!F113&amp;""),"%","")),0)&gt;0,IFERROR(VALUE(SUBSTITUTE(TRIM(Input!F113&amp;""),"%","")),0)&lt;1),1,100))</f>
        <v/>
      </c>
      <c r="F113" t="str">
        <f>IF(A113="","",IFERROR(VALUE(SUBSTITUTE(TRIM(Input!G113&amp;""),"%","")),0)/IF(AND(IFERROR(VALUE(SUBSTITUTE(TRIM(Input!G113&amp;""),"%","")),0)&gt;0,IFERROR(VALUE(SUBSTITUTE(TRIM(Input!G113&amp;""),"%","")),0)&lt;1),1,100))</f>
        <v/>
      </c>
      <c r="G113" t="str">
        <f>IF(A113="","",IFERROR(VALUE(SUBSTITUTE(TRIM(Input!H113&amp;""),"%","")),0)/IF(AND(IFERROR(VALUE(SUBSTITUTE(TRIM(Input!H113&amp;""),"%","")),0)&gt;0,IFERROR(VALUE(SUBSTITUTE(TRIM(Input!H113&amp;""),"%","")),0)&lt;1),1,100))</f>
        <v/>
      </c>
      <c r="H113" t="str">
        <f>IF(A113="","",IFERROR(VALUE(SUBSTITUTE(TRIM(Input!I113&amp;""),"%","")),0)/IF(AND(IFERROR(VALUE(SUBSTITUTE(TRIM(Input!I113&amp;""),"%","")),0)&gt;0,IFERROR(VALUE(SUBSTITUTE(TRIM(Input!I113&amp;""),"%","")),0)&lt;1),1,100))</f>
        <v/>
      </c>
    </row>
    <row r="114" spans="1:8">
      <c r="A114" t="str">
        <f>IF(TRIM(Input!B114&amp;"")="","",UPPER(TRIM(Input!B114&amp;"")))</f>
        <v/>
      </c>
      <c r="B114" t="str">
        <f>IF(A114="","",IFERROR(VALUE(RIGHT(TRIM(Input!D114&amp;""),1)),0))</f>
        <v/>
      </c>
      <c r="C114" t="str">
        <f t="shared" si="1"/>
        <v/>
      </c>
      <c r="D114" t="str">
        <f>IF(A114="","",IFERROR(VALUE(SUBSTITUTE(TRIM(Input!E114&amp;""),"%","")),0)/IF(AND(IFERROR(VALUE(SUBSTITUTE(TRIM(Input!E114&amp;""),"%","")),0)&gt;0,IFERROR(VALUE(SUBSTITUTE(TRIM(Input!E114&amp;""),"%","")),0)&lt;1),1,100))</f>
        <v/>
      </c>
      <c r="E114" t="str">
        <f>IF(A114="","",IFERROR(VALUE(SUBSTITUTE(TRIM(Input!F114&amp;""),"%","")),0)/IF(AND(IFERROR(VALUE(SUBSTITUTE(TRIM(Input!F114&amp;""),"%","")),0)&gt;0,IFERROR(VALUE(SUBSTITUTE(TRIM(Input!F114&amp;""),"%","")),0)&lt;1),1,100))</f>
        <v/>
      </c>
      <c r="F114" t="str">
        <f>IF(A114="","",IFERROR(VALUE(SUBSTITUTE(TRIM(Input!G114&amp;""),"%","")),0)/IF(AND(IFERROR(VALUE(SUBSTITUTE(TRIM(Input!G114&amp;""),"%","")),0)&gt;0,IFERROR(VALUE(SUBSTITUTE(TRIM(Input!G114&amp;""),"%","")),0)&lt;1),1,100))</f>
        <v/>
      </c>
      <c r="G114" t="str">
        <f>IF(A114="","",IFERROR(VALUE(SUBSTITUTE(TRIM(Input!H114&amp;""),"%","")),0)/IF(AND(IFERROR(VALUE(SUBSTITUTE(TRIM(Input!H114&amp;""),"%","")),0)&gt;0,IFERROR(VALUE(SUBSTITUTE(TRIM(Input!H114&amp;""),"%","")),0)&lt;1),1,100))</f>
        <v/>
      </c>
      <c r="H114" t="str">
        <f>IF(A114="","",IFERROR(VALUE(SUBSTITUTE(TRIM(Input!I114&amp;""),"%","")),0)/IF(AND(IFERROR(VALUE(SUBSTITUTE(TRIM(Input!I114&amp;""),"%","")),0)&gt;0,IFERROR(VALUE(SUBSTITUTE(TRIM(Input!I114&amp;""),"%","")),0)&lt;1),1,100))</f>
        <v/>
      </c>
    </row>
    <row r="115" spans="1:8">
      <c r="A115" t="str">
        <f>IF(TRIM(Input!B115&amp;"")="","",UPPER(TRIM(Input!B115&amp;"")))</f>
        <v/>
      </c>
      <c r="B115" t="str">
        <f>IF(A115="","",IFERROR(VALUE(RIGHT(TRIM(Input!D115&amp;""),1)),0))</f>
        <v/>
      </c>
      <c r="C115" t="str">
        <f t="shared" si="1"/>
        <v/>
      </c>
      <c r="D115" t="str">
        <f>IF(A115="","",IFERROR(VALUE(SUBSTITUTE(TRIM(Input!E115&amp;""),"%","")),0)/IF(AND(IFERROR(VALUE(SUBSTITUTE(TRIM(Input!E115&amp;""),"%","")),0)&gt;0,IFERROR(VALUE(SUBSTITUTE(TRIM(Input!E115&amp;""),"%","")),0)&lt;1),1,100))</f>
        <v/>
      </c>
      <c r="E115" t="str">
        <f>IF(A115="","",IFERROR(VALUE(SUBSTITUTE(TRIM(Input!F115&amp;""),"%","")),0)/IF(AND(IFERROR(VALUE(SUBSTITUTE(TRIM(Input!F115&amp;""),"%","")),0)&gt;0,IFERROR(VALUE(SUBSTITUTE(TRIM(Input!F115&amp;""),"%","")),0)&lt;1),1,100))</f>
        <v/>
      </c>
      <c r="F115" t="str">
        <f>IF(A115="","",IFERROR(VALUE(SUBSTITUTE(TRIM(Input!G115&amp;""),"%","")),0)/IF(AND(IFERROR(VALUE(SUBSTITUTE(TRIM(Input!G115&amp;""),"%","")),0)&gt;0,IFERROR(VALUE(SUBSTITUTE(TRIM(Input!G115&amp;""),"%","")),0)&lt;1),1,100))</f>
        <v/>
      </c>
      <c r="G115" t="str">
        <f>IF(A115="","",IFERROR(VALUE(SUBSTITUTE(TRIM(Input!H115&amp;""),"%","")),0)/IF(AND(IFERROR(VALUE(SUBSTITUTE(TRIM(Input!H115&amp;""),"%","")),0)&gt;0,IFERROR(VALUE(SUBSTITUTE(TRIM(Input!H115&amp;""),"%","")),0)&lt;1),1,100))</f>
        <v/>
      </c>
      <c r="H115" t="str">
        <f>IF(A115="","",IFERROR(VALUE(SUBSTITUTE(TRIM(Input!I115&amp;""),"%","")),0)/IF(AND(IFERROR(VALUE(SUBSTITUTE(TRIM(Input!I115&amp;""),"%","")),0)&gt;0,IFERROR(VALUE(SUBSTITUTE(TRIM(Input!I115&amp;""),"%","")),0)&lt;1),1,100))</f>
        <v/>
      </c>
    </row>
    <row r="116" spans="1:8">
      <c r="A116" t="str">
        <f>IF(TRIM(Input!B116&amp;"")="","",UPPER(TRIM(Input!B116&amp;"")))</f>
        <v/>
      </c>
      <c r="B116" t="str">
        <f>IF(A116="","",IFERROR(VALUE(RIGHT(TRIM(Input!D116&amp;""),1)),0))</f>
        <v/>
      </c>
      <c r="C116" t="str">
        <f t="shared" si="1"/>
        <v/>
      </c>
      <c r="D116" t="str">
        <f>IF(A116="","",IFERROR(VALUE(SUBSTITUTE(TRIM(Input!E116&amp;""),"%","")),0)/IF(AND(IFERROR(VALUE(SUBSTITUTE(TRIM(Input!E116&amp;""),"%","")),0)&gt;0,IFERROR(VALUE(SUBSTITUTE(TRIM(Input!E116&amp;""),"%","")),0)&lt;1),1,100))</f>
        <v/>
      </c>
      <c r="E116" t="str">
        <f>IF(A116="","",IFERROR(VALUE(SUBSTITUTE(TRIM(Input!F116&amp;""),"%","")),0)/IF(AND(IFERROR(VALUE(SUBSTITUTE(TRIM(Input!F116&amp;""),"%","")),0)&gt;0,IFERROR(VALUE(SUBSTITUTE(TRIM(Input!F116&amp;""),"%","")),0)&lt;1),1,100))</f>
        <v/>
      </c>
      <c r="F116" t="str">
        <f>IF(A116="","",IFERROR(VALUE(SUBSTITUTE(TRIM(Input!G116&amp;""),"%","")),0)/IF(AND(IFERROR(VALUE(SUBSTITUTE(TRIM(Input!G116&amp;""),"%","")),0)&gt;0,IFERROR(VALUE(SUBSTITUTE(TRIM(Input!G116&amp;""),"%","")),0)&lt;1),1,100))</f>
        <v/>
      </c>
      <c r="G116" t="str">
        <f>IF(A116="","",IFERROR(VALUE(SUBSTITUTE(TRIM(Input!H116&amp;""),"%","")),0)/IF(AND(IFERROR(VALUE(SUBSTITUTE(TRIM(Input!H116&amp;""),"%","")),0)&gt;0,IFERROR(VALUE(SUBSTITUTE(TRIM(Input!H116&amp;""),"%","")),0)&lt;1),1,100))</f>
        <v/>
      </c>
      <c r="H116" t="str">
        <f>IF(A116="","",IFERROR(VALUE(SUBSTITUTE(TRIM(Input!I116&amp;""),"%","")),0)/IF(AND(IFERROR(VALUE(SUBSTITUTE(TRIM(Input!I116&amp;""),"%","")),0)&gt;0,IFERROR(VALUE(SUBSTITUTE(TRIM(Input!I116&amp;""),"%","")),0)&lt;1),1,100))</f>
        <v/>
      </c>
    </row>
    <row r="117" spans="1:8">
      <c r="A117" t="str">
        <f>IF(TRIM(Input!B117&amp;"")="","",UPPER(TRIM(Input!B117&amp;"")))</f>
        <v/>
      </c>
      <c r="B117" t="str">
        <f>IF(A117="","",IFERROR(VALUE(RIGHT(TRIM(Input!D117&amp;""),1)),0))</f>
        <v/>
      </c>
      <c r="C117" t="str">
        <f t="shared" si="1"/>
        <v/>
      </c>
      <c r="D117" t="str">
        <f>IF(A117="","",IFERROR(VALUE(SUBSTITUTE(TRIM(Input!E117&amp;""),"%","")),0)/IF(AND(IFERROR(VALUE(SUBSTITUTE(TRIM(Input!E117&amp;""),"%","")),0)&gt;0,IFERROR(VALUE(SUBSTITUTE(TRIM(Input!E117&amp;""),"%","")),0)&lt;1),1,100))</f>
        <v/>
      </c>
      <c r="E117" t="str">
        <f>IF(A117="","",IFERROR(VALUE(SUBSTITUTE(TRIM(Input!F117&amp;""),"%","")),0)/IF(AND(IFERROR(VALUE(SUBSTITUTE(TRIM(Input!F117&amp;""),"%","")),0)&gt;0,IFERROR(VALUE(SUBSTITUTE(TRIM(Input!F117&amp;""),"%","")),0)&lt;1),1,100))</f>
        <v/>
      </c>
      <c r="F117" t="str">
        <f>IF(A117="","",IFERROR(VALUE(SUBSTITUTE(TRIM(Input!G117&amp;""),"%","")),0)/IF(AND(IFERROR(VALUE(SUBSTITUTE(TRIM(Input!G117&amp;""),"%","")),0)&gt;0,IFERROR(VALUE(SUBSTITUTE(TRIM(Input!G117&amp;""),"%","")),0)&lt;1),1,100))</f>
        <v/>
      </c>
      <c r="G117" t="str">
        <f>IF(A117="","",IFERROR(VALUE(SUBSTITUTE(TRIM(Input!H117&amp;""),"%","")),0)/IF(AND(IFERROR(VALUE(SUBSTITUTE(TRIM(Input!H117&amp;""),"%","")),0)&gt;0,IFERROR(VALUE(SUBSTITUTE(TRIM(Input!H117&amp;""),"%","")),0)&lt;1),1,100))</f>
        <v/>
      </c>
      <c r="H117" t="str">
        <f>IF(A117="","",IFERROR(VALUE(SUBSTITUTE(TRIM(Input!I117&amp;""),"%","")),0)/IF(AND(IFERROR(VALUE(SUBSTITUTE(TRIM(Input!I117&amp;""),"%","")),0)&gt;0,IFERROR(VALUE(SUBSTITUTE(TRIM(Input!I117&amp;""),"%","")),0)&lt;1),1,100))</f>
        <v/>
      </c>
    </row>
    <row r="118" spans="1:8">
      <c r="A118" t="str">
        <f>IF(TRIM(Input!B118&amp;"")="","",UPPER(TRIM(Input!B118&amp;"")))</f>
        <v/>
      </c>
      <c r="B118" t="str">
        <f>IF(A118="","",IFERROR(VALUE(RIGHT(TRIM(Input!D118&amp;""),1)),0))</f>
        <v/>
      </c>
      <c r="C118" t="str">
        <f t="shared" si="1"/>
        <v/>
      </c>
      <c r="D118" t="str">
        <f>IF(A118="","",IFERROR(VALUE(SUBSTITUTE(TRIM(Input!E118&amp;""),"%","")),0)/IF(AND(IFERROR(VALUE(SUBSTITUTE(TRIM(Input!E118&amp;""),"%","")),0)&gt;0,IFERROR(VALUE(SUBSTITUTE(TRIM(Input!E118&amp;""),"%","")),0)&lt;1),1,100))</f>
        <v/>
      </c>
      <c r="E118" t="str">
        <f>IF(A118="","",IFERROR(VALUE(SUBSTITUTE(TRIM(Input!F118&amp;""),"%","")),0)/IF(AND(IFERROR(VALUE(SUBSTITUTE(TRIM(Input!F118&amp;""),"%","")),0)&gt;0,IFERROR(VALUE(SUBSTITUTE(TRIM(Input!F118&amp;""),"%","")),0)&lt;1),1,100))</f>
        <v/>
      </c>
      <c r="F118" t="str">
        <f>IF(A118="","",IFERROR(VALUE(SUBSTITUTE(TRIM(Input!G118&amp;""),"%","")),0)/IF(AND(IFERROR(VALUE(SUBSTITUTE(TRIM(Input!G118&amp;""),"%","")),0)&gt;0,IFERROR(VALUE(SUBSTITUTE(TRIM(Input!G118&amp;""),"%","")),0)&lt;1),1,100))</f>
        <v/>
      </c>
      <c r="G118" t="str">
        <f>IF(A118="","",IFERROR(VALUE(SUBSTITUTE(TRIM(Input!H118&amp;""),"%","")),0)/IF(AND(IFERROR(VALUE(SUBSTITUTE(TRIM(Input!H118&amp;""),"%","")),0)&gt;0,IFERROR(VALUE(SUBSTITUTE(TRIM(Input!H118&amp;""),"%","")),0)&lt;1),1,100))</f>
        <v/>
      </c>
      <c r="H118" t="str">
        <f>IF(A118="","",IFERROR(VALUE(SUBSTITUTE(TRIM(Input!I118&amp;""),"%","")),0)/IF(AND(IFERROR(VALUE(SUBSTITUTE(TRIM(Input!I118&amp;""),"%","")),0)&gt;0,IFERROR(VALUE(SUBSTITUTE(TRIM(Input!I118&amp;""),"%","")),0)&lt;1),1,100))</f>
        <v/>
      </c>
    </row>
    <row r="119" spans="1:8">
      <c r="A119" t="str">
        <f>IF(TRIM(Input!B119&amp;"")="","",UPPER(TRIM(Input!B119&amp;"")))</f>
        <v/>
      </c>
      <c r="B119" t="str">
        <f>IF(A119="","",IFERROR(VALUE(RIGHT(TRIM(Input!D119&amp;""),1)),0))</f>
        <v/>
      </c>
      <c r="C119" t="str">
        <f t="shared" si="1"/>
        <v/>
      </c>
      <c r="D119" t="str">
        <f>IF(A119="","",IFERROR(VALUE(SUBSTITUTE(TRIM(Input!E119&amp;""),"%","")),0)/IF(AND(IFERROR(VALUE(SUBSTITUTE(TRIM(Input!E119&amp;""),"%","")),0)&gt;0,IFERROR(VALUE(SUBSTITUTE(TRIM(Input!E119&amp;""),"%","")),0)&lt;1),1,100))</f>
        <v/>
      </c>
      <c r="E119" t="str">
        <f>IF(A119="","",IFERROR(VALUE(SUBSTITUTE(TRIM(Input!F119&amp;""),"%","")),0)/IF(AND(IFERROR(VALUE(SUBSTITUTE(TRIM(Input!F119&amp;""),"%","")),0)&gt;0,IFERROR(VALUE(SUBSTITUTE(TRIM(Input!F119&amp;""),"%","")),0)&lt;1),1,100))</f>
        <v/>
      </c>
      <c r="F119" t="str">
        <f>IF(A119="","",IFERROR(VALUE(SUBSTITUTE(TRIM(Input!G119&amp;""),"%","")),0)/IF(AND(IFERROR(VALUE(SUBSTITUTE(TRIM(Input!G119&amp;""),"%","")),0)&gt;0,IFERROR(VALUE(SUBSTITUTE(TRIM(Input!G119&amp;""),"%","")),0)&lt;1),1,100))</f>
        <v/>
      </c>
      <c r="G119" t="str">
        <f>IF(A119="","",IFERROR(VALUE(SUBSTITUTE(TRIM(Input!H119&amp;""),"%","")),0)/IF(AND(IFERROR(VALUE(SUBSTITUTE(TRIM(Input!H119&amp;""),"%","")),0)&gt;0,IFERROR(VALUE(SUBSTITUTE(TRIM(Input!H119&amp;""),"%","")),0)&lt;1),1,100))</f>
        <v/>
      </c>
      <c r="H119" t="str">
        <f>IF(A119="","",IFERROR(VALUE(SUBSTITUTE(TRIM(Input!I119&amp;""),"%","")),0)/IF(AND(IFERROR(VALUE(SUBSTITUTE(TRIM(Input!I119&amp;""),"%","")),0)&gt;0,IFERROR(VALUE(SUBSTITUTE(TRIM(Input!I119&amp;""),"%","")),0)&lt;1),1,100))</f>
        <v/>
      </c>
    </row>
    <row r="120" spans="1:8">
      <c r="A120" t="str">
        <f>IF(TRIM(Input!B120&amp;"")="","",UPPER(TRIM(Input!B120&amp;"")))</f>
        <v/>
      </c>
      <c r="B120" t="str">
        <f>IF(A120="","",IFERROR(VALUE(RIGHT(TRIM(Input!D120&amp;""),1)),0))</f>
        <v/>
      </c>
      <c r="C120" t="str">
        <f t="shared" si="1"/>
        <v/>
      </c>
      <c r="D120" t="str">
        <f>IF(A120="","",IFERROR(VALUE(SUBSTITUTE(TRIM(Input!E120&amp;""),"%","")),0)/IF(AND(IFERROR(VALUE(SUBSTITUTE(TRIM(Input!E120&amp;""),"%","")),0)&gt;0,IFERROR(VALUE(SUBSTITUTE(TRIM(Input!E120&amp;""),"%","")),0)&lt;1),1,100))</f>
        <v/>
      </c>
      <c r="E120" t="str">
        <f>IF(A120="","",IFERROR(VALUE(SUBSTITUTE(TRIM(Input!F120&amp;""),"%","")),0)/IF(AND(IFERROR(VALUE(SUBSTITUTE(TRIM(Input!F120&amp;""),"%","")),0)&gt;0,IFERROR(VALUE(SUBSTITUTE(TRIM(Input!F120&amp;""),"%","")),0)&lt;1),1,100))</f>
        <v/>
      </c>
      <c r="F120" t="str">
        <f>IF(A120="","",IFERROR(VALUE(SUBSTITUTE(TRIM(Input!G120&amp;""),"%","")),0)/IF(AND(IFERROR(VALUE(SUBSTITUTE(TRIM(Input!G120&amp;""),"%","")),0)&gt;0,IFERROR(VALUE(SUBSTITUTE(TRIM(Input!G120&amp;""),"%","")),0)&lt;1),1,100))</f>
        <v/>
      </c>
      <c r="G120" t="str">
        <f>IF(A120="","",IFERROR(VALUE(SUBSTITUTE(TRIM(Input!H120&amp;""),"%","")),0)/IF(AND(IFERROR(VALUE(SUBSTITUTE(TRIM(Input!H120&amp;""),"%","")),0)&gt;0,IFERROR(VALUE(SUBSTITUTE(TRIM(Input!H120&amp;""),"%","")),0)&lt;1),1,100))</f>
        <v/>
      </c>
      <c r="H120" t="str">
        <f>IF(A120="","",IFERROR(VALUE(SUBSTITUTE(TRIM(Input!I120&amp;""),"%","")),0)/IF(AND(IFERROR(VALUE(SUBSTITUTE(TRIM(Input!I120&amp;""),"%","")),0)&gt;0,IFERROR(VALUE(SUBSTITUTE(TRIM(Input!I120&amp;""),"%","")),0)&lt;1),1,100))</f>
        <v/>
      </c>
    </row>
    <row r="121" spans="1:8">
      <c r="A121" t="str">
        <f>IF(TRIM(Input!B121&amp;"")="","",UPPER(TRIM(Input!B121&amp;"")))</f>
        <v/>
      </c>
      <c r="B121" t="str">
        <f>IF(A121="","",IFERROR(VALUE(RIGHT(TRIM(Input!D121&amp;""),1)),0))</f>
        <v/>
      </c>
      <c r="C121" t="str">
        <f t="shared" si="1"/>
        <v/>
      </c>
      <c r="D121" t="str">
        <f>IF(A121="","",IFERROR(VALUE(SUBSTITUTE(TRIM(Input!E121&amp;""),"%","")),0)/IF(AND(IFERROR(VALUE(SUBSTITUTE(TRIM(Input!E121&amp;""),"%","")),0)&gt;0,IFERROR(VALUE(SUBSTITUTE(TRIM(Input!E121&amp;""),"%","")),0)&lt;1),1,100))</f>
        <v/>
      </c>
      <c r="E121" t="str">
        <f>IF(A121="","",IFERROR(VALUE(SUBSTITUTE(TRIM(Input!F121&amp;""),"%","")),0)/IF(AND(IFERROR(VALUE(SUBSTITUTE(TRIM(Input!F121&amp;""),"%","")),0)&gt;0,IFERROR(VALUE(SUBSTITUTE(TRIM(Input!F121&amp;""),"%","")),0)&lt;1),1,100))</f>
        <v/>
      </c>
      <c r="F121" t="str">
        <f>IF(A121="","",IFERROR(VALUE(SUBSTITUTE(TRIM(Input!G121&amp;""),"%","")),0)/IF(AND(IFERROR(VALUE(SUBSTITUTE(TRIM(Input!G121&amp;""),"%","")),0)&gt;0,IFERROR(VALUE(SUBSTITUTE(TRIM(Input!G121&amp;""),"%","")),0)&lt;1),1,100))</f>
        <v/>
      </c>
      <c r="G121" t="str">
        <f>IF(A121="","",IFERROR(VALUE(SUBSTITUTE(TRIM(Input!H121&amp;""),"%","")),0)/IF(AND(IFERROR(VALUE(SUBSTITUTE(TRIM(Input!H121&amp;""),"%","")),0)&gt;0,IFERROR(VALUE(SUBSTITUTE(TRIM(Input!H121&amp;""),"%","")),0)&lt;1),1,100))</f>
        <v/>
      </c>
      <c r="H121" t="str">
        <f>IF(A121="","",IFERROR(VALUE(SUBSTITUTE(TRIM(Input!I121&amp;""),"%","")),0)/IF(AND(IFERROR(VALUE(SUBSTITUTE(TRIM(Input!I121&amp;""),"%","")),0)&gt;0,IFERROR(VALUE(SUBSTITUTE(TRIM(Input!I121&amp;""),"%","")),0)&lt;1),1,100))</f>
        <v/>
      </c>
    </row>
    <row r="122" spans="1:8">
      <c r="A122" t="str">
        <f>IF(TRIM(Input!B122&amp;"")="","",UPPER(TRIM(Input!B122&amp;"")))</f>
        <v/>
      </c>
      <c r="B122" t="str">
        <f>IF(A122="","",IFERROR(VALUE(RIGHT(TRIM(Input!D122&amp;""),1)),0))</f>
        <v/>
      </c>
      <c r="C122" t="str">
        <f t="shared" si="1"/>
        <v/>
      </c>
      <c r="D122" t="str">
        <f>IF(A122="","",IFERROR(VALUE(SUBSTITUTE(TRIM(Input!E122&amp;""),"%","")),0)/IF(AND(IFERROR(VALUE(SUBSTITUTE(TRIM(Input!E122&amp;""),"%","")),0)&gt;0,IFERROR(VALUE(SUBSTITUTE(TRIM(Input!E122&amp;""),"%","")),0)&lt;1),1,100))</f>
        <v/>
      </c>
      <c r="E122" t="str">
        <f>IF(A122="","",IFERROR(VALUE(SUBSTITUTE(TRIM(Input!F122&amp;""),"%","")),0)/IF(AND(IFERROR(VALUE(SUBSTITUTE(TRIM(Input!F122&amp;""),"%","")),0)&gt;0,IFERROR(VALUE(SUBSTITUTE(TRIM(Input!F122&amp;""),"%","")),0)&lt;1),1,100))</f>
        <v/>
      </c>
      <c r="F122" t="str">
        <f>IF(A122="","",IFERROR(VALUE(SUBSTITUTE(TRIM(Input!G122&amp;""),"%","")),0)/IF(AND(IFERROR(VALUE(SUBSTITUTE(TRIM(Input!G122&amp;""),"%","")),0)&gt;0,IFERROR(VALUE(SUBSTITUTE(TRIM(Input!G122&amp;""),"%","")),0)&lt;1),1,100))</f>
        <v/>
      </c>
      <c r="G122" t="str">
        <f>IF(A122="","",IFERROR(VALUE(SUBSTITUTE(TRIM(Input!H122&amp;""),"%","")),0)/IF(AND(IFERROR(VALUE(SUBSTITUTE(TRIM(Input!H122&amp;""),"%","")),0)&gt;0,IFERROR(VALUE(SUBSTITUTE(TRIM(Input!H122&amp;""),"%","")),0)&lt;1),1,100))</f>
        <v/>
      </c>
      <c r="H122" t="str">
        <f>IF(A122="","",IFERROR(VALUE(SUBSTITUTE(TRIM(Input!I122&amp;""),"%","")),0)/IF(AND(IFERROR(VALUE(SUBSTITUTE(TRIM(Input!I122&amp;""),"%","")),0)&gt;0,IFERROR(VALUE(SUBSTITUTE(TRIM(Input!I122&amp;""),"%","")),0)&lt;1),1,100))</f>
        <v/>
      </c>
    </row>
    <row r="123" spans="1:8">
      <c r="A123" t="str">
        <f>IF(TRIM(Input!B123&amp;"")="","",UPPER(TRIM(Input!B123&amp;"")))</f>
        <v/>
      </c>
      <c r="B123" t="str">
        <f>IF(A123="","",IFERROR(VALUE(RIGHT(TRIM(Input!D123&amp;""),1)),0))</f>
        <v/>
      </c>
      <c r="C123" t="str">
        <f t="shared" si="1"/>
        <v/>
      </c>
      <c r="D123" t="str">
        <f>IF(A123="","",IFERROR(VALUE(SUBSTITUTE(TRIM(Input!E123&amp;""),"%","")),0)/IF(AND(IFERROR(VALUE(SUBSTITUTE(TRIM(Input!E123&amp;""),"%","")),0)&gt;0,IFERROR(VALUE(SUBSTITUTE(TRIM(Input!E123&amp;""),"%","")),0)&lt;1),1,100))</f>
        <v/>
      </c>
      <c r="E123" t="str">
        <f>IF(A123="","",IFERROR(VALUE(SUBSTITUTE(TRIM(Input!F123&amp;""),"%","")),0)/IF(AND(IFERROR(VALUE(SUBSTITUTE(TRIM(Input!F123&amp;""),"%","")),0)&gt;0,IFERROR(VALUE(SUBSTITUTE(TRIM(Input!F123&amp;""),"%","")),0)&lt;1),1,100))</f>
        <v/>
      </c>
      <c r="F123" t="str">
        <f>IF(A123="","",IFERROR(VALUE(SUBSTITUTE(TRIM(Input!G123&amp;""),"%","")),0)/IF(AND(IFERROR(VALUE(SUBSTITUTE(TRIM(Input!G123&amp;""),"%","")),0)&gt;0,IFERROR(VALUE(SUBSTITUTE(TRIM(Input!G123&amp;""),"%","")),0)&lt;1),1,100))</f>
        <v/>
      </c>
      <c r="G123" t="str">
        <f>IF(A123="","",IFERROR(VALUE(SUBSTITUTE(TRIM(Input!H123&amp;""),"%","")),0)/IF(AND(IFERROR(VALUE(SUBSTITUTE(TRIM(Input!H123&amp;""),"%","")),0)&gt;0,IFERROR(VALUE(SUBSTITUTE(TRIM(Input!H123&amp;""),"%","")),0)&lt;1),1,100))</f>
        <v/>
      </c>
      <c r="H123" t="str">
        <f>IF(A123="","",IFERROR(VALUE(SUBSTITUTE(TRIM(Input!I123&amp;""),"%","")),0)/IF(AND(IFERROR(VALUE(SUBSTITUTE(TRIM(Input!I123&amp;""),"%","")),0)&gt;0,IFERROR(VALUE(SUBSTITUTE(TRIM(Input!I123&amp;""),"%","")),0)&lt;1),1,100))</f>
        <v/>
      </c>
    </row>
    <row r="124" spans="1:8">
      <c r="A124" t="str">
        <f>IF(TRIM(Input!B124&amp;"")="","",UPPER(TRIM(Input!B124&amp;"")))</f>
        <v/>
      </c>
      <c r="B124" t="str">
        <f>IF(A124="","",IFERROR(VALUE(RIGHT(TRIM(Input!D124&amp;""),1)),0))</f>
        <v/>
      </c>
      <c r="C124" t="str">
        <f t="shared" si="1"/>
        <v/>
      </c>
      <c r="D124" t="str">
        <f>IF(A124="","",IFERROR(VALUE(SUBSTITUTE(TRIM(Input!E124&amp;""),"%","")),0)/IF(AND(IFERROR(VALUE(SUBSTITUTE(TRIM(Input!E124&amp;""),"%","")),0)&gt;0,IFERROR(VALUE(SUBSTITUTE(TRIM(Input!E124&amp;""),"%","")),0)&lt;1),1,100))</f>
        <v/>
      </c>
      <c r="E124" t="str">
        <f>IF(A124="","",IFERROR(VALUE(SUBSTITUTE(TRIM(Input!F124&amp;""),"%","")),0)/IF(AND(IFERROR(VALUE(SUBSTITUTE(TRIM(Input!F124&amp;""),"%","")),0)&gt;0,IFERROR(VALUE(SUBSTITUTE(TRIM(Input!F124&amp;""),"%","")),0)&lt;1),1,100))</f>
        <v/>
      </c>
      <c r="F124" t="str">
        <f>IF(A124="","",IFERROR(VALUE(SUBSTITUTE(TRIM(Input!G124&amp;""),"%","")),0)/IF(AND(IFERROR(VALUE(SUBSTITUTE(TRIM(Input!G124&amp;""),"%","")),0)&gt;0,IFERROR(VALUE(SUBSTITUTE(TRIM(Input!G124&amp;""),"%","")),0)&lt;1),1,100))</f>
        <v/>
      </c>
      <c r="G124" t="str">
        <f>IF(A124="","",IFERROR(VALUE(SUBSTITUTE(TRIM(Input!H124&amp;""),"%","")),0)/IF(AND(IFERROR(VALUE(SUBSTITUTE(TRIM(Input!H124&amp;""),"%","")),0)&gt;0,IFERROR(VALUE(SUBSTITUTE(TRIM(Input!H124&amp;""),"%","")),0)&lt;1),1,100))</f>
        <v/>
      </c>
      <c r="H124" t="str">
        <f>IF(A124="","",IFERROR(VALUE(SUBSTITUTE(TRIM(Input!I124&amp;""),"%","")),0)/IF(AND(IFERROR(VALUE(SUBSTITUTE(TRIM(Input!I124&amp;""),"%","")),0)&gt;0,IFERROR(VALUE(SUBSTITUTE(TRIM(Input!I124&amp;""),"%","")),0)&lt;1),1,100))</f>
        <v/>
      </c>
    </row>
    <row r="125" spans="1:8">
      <c r="A125" t="str">
        <f>IF(TRIM(Input!B125&amp;"")="","",UPPER(TRIM(Input!B125&amp;"")))</f>
        <v/>
      </c>
      <c r="B125" t="str">
        <f>IF(A125="","",IFERROR(VALUE(RIGHT(TRIM(Input!D125&amp;""),1)),0))</f>
        <v/>
      </c>
      <c r="C125" t="str">
        <f t="shared" si="1"/>
        <v/>
      </c>
      <c r="D125" t="str">
        <f>IF(A125="","",IFERROR(VALUE(SUBSTITUTE(TRIM(Input!E125&amp;""),"%","")),0)/IF(AND(IFERROR(VALUE(SUBSTITUTE(TRIM(Input!E125&amp;""),"%","")),0)&gt;0,IFERROR(VALUE(SUBSTITUTE(TRIM(Input!E125&amp;""),"%","")),0)&lt;1),1,100))</f>
        <v/>
      </c>
      <c r="E125" t="str">
        <f>IF(A125="","",IFERROR(VALUE(SUBSTITUTE(TRIM(Input!F125&amp;""),"%","")),0)/IF(AND(IFERROR(VALUE(SUBSTITUTE(TRIM(Input!F125&amp;""),"%","")),0)&gt;0,IFERROR(VALUE(SUBSTITUTE(TRIM(Input!F125&amp;""),"%","")),0)&lt;1),1,100))</f>
        <v/>
      </c>
      <c r="F125" t="str">
        <f>IF(A125="","",IFERROR(VALUE(SUBSTITUTE(TRIM(Input!G125&amp;""),"%","")),0)/IF(AND(IFERROR(VALUE(SUBSTITUTE(TRIM(Input!G125&amp;""),"%","")),0)&gt;0,IFERROR(VALUE(SUBSTITUTE(TRIM(Input!G125&amp;""),"%","")),0)&lt;1),1,100))</f>
        <v/>
      </c>
      <c r="G125" t="str">
        <f>IF(A125="","",IFERROR(VALUE(SUBSTITUTE(TRIM(Input!H125&amp;""),"%","")),0)/IF(AND(IFERROR(VALUE(SUBSTITUTE(TRIM(Input!H125&amp;""),"%","")),0)&gt;0,IFERROR(VALUE(SUBSTITUTE(TRIM(Input!H125&amp;""),"%","")),0)&lt;1),1,100))</f>
        <v/>
      </c>
      <c r="H125" t="str">
        <f>IF(A125="","",IFERROR(VALUE(SUBSTITUTE(TRIM(Input!I125&amp;""),"%","")),0)/IF(AND(IFERROR(VALUE(SUBSTITUTE(TRIM(Input!I125&amp;""),"%","")),0)&gt;0,IFERROR(VALUE(SUBSTITUTE(TRIM(Input!I125&amp;""),"%","")),0)&lt;1),1,100))</f>
        <v/>
      </c>
    </row>
    <row r="126" spans="1:8">
      <c r="A126" t="str">
        <f>IF(TRIM(Input!B126&amp;"")="","",UPPER(TRIM(Input!B126&amp;"")))</f>
        <v/>
      </c>
      <c r="B126" t="str">
        <f>IF(A126="","",IFERROR(VALUE(RIGHT(TRIM(Input!D126&amp;""),1)),0))</f>
        <v/>
      </c>
      <c r="C126" t="str">
        <f t="shared" si="1"/>
        <v/>
      </c>
      <c r="D126" t="str">
        <f>IF(A126="","",IFERROR(VALUE(SUBSTITUTE(TRIM(Input!E126&amp;""),"%","")),0)/IF(AND(IFERROR(VALUE(SUBSTITUTE(TRIM(Input!E126&amp;""),"%","")),0)&gt;0,IFERROR(VALUE(SUBSTITUTE(TRIM(Input!E126&amp;""),"%","")),0)&lt;1),1,100))</f>
        <v/>
      </c>
      <c r="E126" t="str">
        <f>IF(A126="","",IFERROR(VALUE(SUBSTITUTE(TRIM(Input!F126&amp;""),"%","")),0)/IF(AND(IFERROR(VALUE(SUBSTITUTE(TRIM(Input!F126&amp;""),"%","")),0)&gt;0,IFERROR(VALUE(SUBSTITUTE(TRIM(Input!F126&amp;""),"%","")),0)&lt;1),1,100))</f>
        <v/>
      </c>
      <c r="F126" t="str">
        <f>IF(A126="","",IFERROR(VALUE(SUBSTITUTE(TRIM(Input!G126&amp;""),"%","")),0)/IF(AND(IFERROR(VALUE(SUBSTITUTE(TRIM(Input!G126&amp;""),"%","")),0)&gt;0,IFERROR(VALUE(SUBSTITUTE(TRIM(Input!G126&amp;""),"%","")),0)&lt;1),1,100))</f>
        <v/>
      </c>
      <c r="G126" t="str">
        <f>IF(A126="","",IFERROR(VALUE(SUBSTITUTE(TRIM(Input!H126&amp;""),"%","")),0)/IF(AND(IFERROR(VALUE(SUBSTITUTE(TRIM(Input!H126&amp;""),"%","")),0)&gt;0,IFERROR(VALUE(SUBSTITUTE(TRIM(Input!H126&amp;""),"%","")),0)&lt;1),1,100))</f>
        <v/>
      </c>
      <c r="H126" t="str">
        <f>IF(A126="","",IFERROR(VALUE(SUBSTITUTE(TRIM(Input!I126&amp;""),"%","")),0)/IF(AND(IFERROR(VALUE(SUBSTITUTE(TRIM(Input!I126&amp;""),"%","")),0)&gt;0,IFERROR(VALUE(SUBSTITUTE(TRIM(Input!I126&amp;""),"%","")),0)&lt;1),1,100))</f>
        <v/>
      </c>
    </row>
    <row r="127" spans="1:8">
      <c r="A127" t="str">
        <f>IF(TRIM(Input!B127&amp;"")="","",UPPER(TRIM(Input!B127&amp;"")))</f>
        <v/>
      </c>
      <c r="B127" t="str">
        <f>IF(A127="","",IFERROR(VALUE(RIGHT(TRIM(Input!D127&amp;""),1)),0))</f>
        <v/>
      </c>
      <c r="C127" t="str">
        <f t="shared" si="1"/>
        <v/>
      </c>
      <c r="D127" t="str">
        <f>IF(A127="","",IFERROR(VALUE(SUBSTITUTE(TRIM(Input!E127&amp;""),"%","")),0)/IF(AND(IFERROR(VALUE(SUBSTITUTE(TRIM(Input!E127&amp;""),"%","")),0)&gt;0,IFERROR(VALUE(SUBSTITUTE(TRIM(Input!E127&amp;""),"%","")),0)&lt;1),1,100))</f>
        <v/>
      </c>
      <c r="E127" t="str">
        <f>IF(A127="","",IFERROR(VALUE(SUBSTITUTE(TRIM(Input!F127&amp;""),"%","")),0)/IF(AND(IFERROR(VALUE(SUBSTITUTE(TRIM(Input!F127&amp;""),"%","")),0)&gt;0,IFERROR(VALUE(SUBSTITUTE(TRIM(Input!F127&amp;""),"%","")),0)&lt;1),1,100))</f>
        <v/>
      </c>
      <c r="F127" t="str">
        <f>IF(A127="","",IFERROR(VALUE(SUBSTITUTE(TRIM(Input!G127&amp;""),"%","")),0)/IF(AND(IFERROR(VALUE(SUBSTITUTE(TRIM(Input!G127&amp;""),"%","")),0)&gt;0,IFERROR(VALUE(SUBSTITUTE(TRIM(Input!G127&amp;""),"%","")),0)&lt;1),1,100))</f>
        <v/>
      </c>
      <c r="G127" t="str">
        <f>IF(A127="","",IFERROR(VALUE(SUBSTITUTE(TRIM(Input!H127&amp;""),"%","")),0)/IF(AND(IFERROR(VALUE(SUBSTITUTE(TRIM(Input!H127&amp;""),"%","")),0)&gt;0,IFERROR(VALUE(SUBSTITUTE(TRIM(Input!H127&amp;""),"%","")),0)&lt;1),1,100))</f>
        <v/>
      </c>
      <c r="H127" t="str">
        <f>IF(A127="","",IFERROR(VALUE(SUBSTITUTE(TRIM(Input!I127&amp;""),"%","")),0)/IF(AND(IFERROR(VALUE(SUBSTITUTE(TRIM(Input!I127&amp;""),"%","")),0)&gt;0,IFERROR(VALUE(SUBSTITUTE(TRIM(Input!I127&amp;""),"%","")),0)&lt;1),1,100))</f>
        <v/>
      </c>
    </row>
    <row r="128" spans="1:8">
      <c r="A128" t="str">
        <f>IF(TRIM(Input!B128&amp;"")="","",UPPER(TRIM(Input!B128&amp;"")))</f>
        <v/>
      </c>
      <c r="B128" t="str">
        <f>IF(A128="","",IFERROR(VALUE(RIGHT(TRIM(Input!D128&amp;""),1)),0))</f>
        <v/>
      </c>
      <c r="C128" t="str">
        <f t="shared" si="1"/>
        <v/>
      </c>
      <c r="D128" t="str">
        <f>IF(A128="","",IFERROR(VALUE(SUBSTITUTE(TRIM(Input!E128&amp;""),"%","")),0)/IF(AND(IFERROR(VALUE(SUBSTITUTE(TRIM(Input!E128&amp;""),"%","")),0)&gt;0,IFERROR(VALUE(SUBSTITUTE(TRIM(Input!E128&amp;""),"%","")),0)&lt;1),1,100))</f>
        <v/>
      </c>
      <c r="E128" t="str">
        <f>IF(A128="","",IFERROR(VALUE(SUBSTITUTE(TRIM(Input!F128&amp;""),"%","")),0)/IF(AND(IFERROR(VALUE(SUBSTITUTE(TRIM(Input!F128&amp;""),"%","")),0)&gt;0,IFERROR(VALUE(SUBSTITUTE(TRIM(Input!F128&amp;""),"%","")),0)&lt;1),1,100))</f>
        <v/>
      </c>
      <c r="F128" t="str">
        <f>IF(A128="","",IFERROR(VALUE(SUBSTITUTE(TRIM(Input!G128&amp;""),"%","")),0)/IF(AND(IFERROR(VALUE(SUBSTITUTE(TRIM(Input!G128&amp;""),"%","")),0)&gt;0,IFERROR(VALUE(SUBSTITUTE(TRIM(Input!G128&amp;""),"%","")),0)&lt;1),1,100))</f>
        <v/>
      </c>
      <c r="G128" t="str">
        <f>IF(A128="","",IFERROR(VALUE(SUBSTITUTE(TRIM(Input!H128&amp;""),"%","")),0)/IF(AND(IFERROR(VALUE(SUBSTITUTE(TRIM(Input!H128&amp;""),"%","")),0)&gt;0,IFERROR(VALUE(SUBSTITUTE(TRIM(Input!H128&amp;""),"%","")),0)&lt;1),1,100))</f>
        <v/>
      </c>
      <c r="H128" t="str">
        <f>IF(A128="","",IFERROR(VALUE(SUBSTITUTE(TRIM(Input!I128&amp;""),"%","")),0)/IF(AND(IFERROR(VALUE(SUBSTITUTE(TRIM(Input!I128&amp;""),"%","")),0)&gt;0,IFERROR(VALUE(SUBSTITUTE(TRIM(Input!I128&amp;""),"%","")),0)&lt;1),1,100))</f>
        <v/>
      </c>
    </row>
    <row r="129" spans="1:8">
      <c r="A129" t="str">
        <f>IF(TRIM(Input!B129&amp;"")="","",UPPER(TRIM(Input!B129&amp;"")))</f>
        <v/>
      </c>
      <c r="B129" t="str">
        <f>IF(A129="","",IFERROR(VALUE(RIGHT(TRIM(Input!D129&amp;""),1)),0))</f>
        <v/>
      </c>
      <c r="C129" t="str">
        <f t="shared" si="1"/>
        <v/>
      </c>
      <c r="D129" t="str">
        <f>IF(A129="","",IFERROR(VALUE(SUBSTITUTE(TRIM(Input!E129&amp;""),"%","")),0)/IF(AND(IFERROR(VALUE(SUBSTITUTE(TRIM(Input!E129&amp;""),"%","")),0)&gt;0,IFERROR(VALUE(SUBSTITUTE(TRIM(Input!E129&amp;""),"%","")),0)&lt;1),1,100))</f>
        <v/>
      </c>
      <c r="E129" t="str">
        <f>IF(A129="","",IFERROR(VALUE(SUBSTITUTE(TRIM(Input!F129&amp;""),"%","")),0)/IF(AND(IFERROR(VALUE(SUBSTITUTE(TRIM(Input!F129&amp;""),"%","")),0)&gt;0,IFERROR(VALUE(SUBSTITUTE(TRIM(Input!F129&amp;""),"%","")),0)&lt;1),1,100))</f>
        <v/>
      </c>
      <c r="F129" t="str">
        <f>IF(A129="","",IFERROR(VALUE(SUBSTITUTE(TRIM(Input!G129&amp;""),"%","")),0)/IF(AND(IFERROR(VALUE(SUBSTITUTE(TRIM(Input!G129&amp;""),"%","")),0)&gt;0,IFERROR(VALUE(SUBSTITUTE(TRIM(Input!G129&amp;""),"%","")),0)&lt;1),1,100))</f>
        <v/>
      </c>
      <c r="G129" t="str">
        <f>IF(A129="","",IFERROR(VALUE(SUBSTITUTE(TRIM(Input!H129&amp;""),"%","")),0)/IF(AND(IFERROR(VALUE(SUBSTITUTE(TRIM(Input!H129&amp;""),"%","")),0)&gt;0,IFERROR(VALUE(SUBSTITUTE(TRIM(Input!H129&amp;""),"%","")),0)&lt;1),1,100))</f>
        <v/>
      </c>
      <c r="H129" t="str">
        <f>IF(A129="","",IFERROR(VALUE(SUBSTITUTE(TRIM(Input!I129&amp;""),"%","")),0)/IF(AND(IFERROR(VALUE(SUBSTITUTE(TRIM(Input!I129&amp;""),"%","")),0)&gt;0,IFERROR(VALUE(SUBSTITUTE(TRIM(Input!I129&amp;""),"%","")),0)&lt;1),1,100))</f>
        <v/>
      </c>
    </row>
    <row r="130" spans="1:8">
      <c r="A130" t="str">
        <f>IF(TRIM(Input!B130&amp;"")="","",UPPER(TRIM(Input!B130&amp;"")))</f>
        <v/>
      </c>
      <c r="B130" t="str">
        <f>IF(A130="","",IFERROR(VALUE(RIGHT(TRIM(Input!D130&amp;""),1)),0))</f>
        <v/>
      </c>
      <c r="C130" t="str">
        <f t="shared" ref="C130:C193" si="2">IF(A130="","",A130&amp;"|"&amp;B130)</f>
        <v/>
      </c>
      <c r="D130" t="str">
        <f>IF(A130="","",IFERROR(VALUE(SUBSTITUTE(TRIM(Input!E130&amp;""),"%","")),0)/IF(AND(IFERROR(VALUE(SUBSTITUTE(TRIM(Input!E130&amp;""),"%","")),0)&gt;0,IFERROR(VALUE(SUBSTITUTE(TRIM(Input!E130&amp;""),"%","")),0)&lt;1),1,100))</f>
        <v/>
      </c>
      <c r="E130" t="str">
        <f>IF(A130="","",IFERROR(VALUE(SUBSTITUTE(TRIM(Input!F130&amp;""),"%","")),0)/IF(AND(IFERROR(VALUE(SUBSTITUTE(TRIM(Input!F130&amp;""),"%","")),0)&gt;0,IFERROR(VALUE(SUBSTITUTE(TRIM(Input!F130&amp;""),"%","")),0)&lt;1),1,100))</f>
        <v/>
      </c>
      <c r="F130" t="str">
        <f>IF(A130="","",IFERROR(VALUE(SUBSTITUTE(TRIM(Input!G130&amp;""),"%","")),0)/IF(AND(IFERROR(VALUE(SUBSTITUTE(TRIM(Input!G130&amp;""),"%","")),0)&gt;0,IFERROR(VALUE(SUBSTITUTE(TRIM(Input!G130&amp;""),"%","")),0)&lt;1),1,100))</f>
        <v/>
      </c>
      <c r="G130" t="str">
        <f>IF(A130="","",IFERROR(VALUE(SUBSTITUTE(TRIM(Input!H130&amp;""),"%","")),0)/IF(AND(IFERROR(VALUE(SUBSTITUTE(TRIM(Input!H130&amp;""),"%","")),0)&gt;0,IFERROR(VALUE(SUBSTITUTE(TRIM(Input!H130&amp;""),"%","")),0)&lt;1),1,100))</f>
        <v/>
      </c>
      <c r="H130" t="str">
        <f>IF(A130="","",IFERROR(VALUE(SUBSTITUTE(TRIM(Input!I130&amp;""),"%","")),0)/IF(AND(IFERROR(VALUE(SUBSTITUTE(TRIM(Input!I130&amp;""),"%","")),0)&gt;0,IFERROR(VALUE(SUBSTITUTE(TRIM(Input!I130&amp;""),"%","")),0)&lt;1),1,100))</f>
        <v/>
      </c>
    </row>
    <row r="131" spans="1:8">
      <c r="A131" t="str">
        <f>IF(TRIM(Input!B131&amp;"")="","",UPPER(TRIM(Input!B131&amp;"")))</f>
        <v/>
      </c>
      <c r="B131" t="str">
        <f>IF(A131="","",IFERROR(VALUE(RIGHT(TRIM(Input!D131&amp;""),1)),0))</f>
        <v/>
      </c>
      <c r="C131" t="str">
        <f t="shared" si="2"/>
        <v/>
      </c>
      <c r="D131" t="str">
        <f>IF(A131="","",IFERROR(VALUE(SUBSTITUTE(TRIM(Input!E131&amp;""),"%","")),0)/IF(AND(IFERROR(VALUE(SUBSTITUTE(TRIM(Input!E131&amp;""),"%","")),0)&gt;0,IFERROR(VALUE(SUBSTITUTE(TRIM(Input!E131&amp;""),"%","")),0)&lt;1),1,100))</f>
        <v/>
      </c>
      <c r="E131" t="str">
        <f>IF(A131="","",IFERROR(VALUE(SUBSTITUTE(TRIM(Input!F131&amp;""),"%","")),0)/IF(AND(IFERROR(VALUE(SUBSTITUTE(TRIM(Input!F131&amp;""),"%","")),0)&gt;0,IFERROR(VALUE(SUBSTITUTE(TRIM(Input!F131&amp;""),"%","")),0)&lt;1),1,100))</f>
        <v/>
      </c>
      <c r="F131" t="str">
        <f>IF(A131="","",IFERROR(VALUE(SUBSTITUTE(TRIM(Input!G131&amp;""),"%","")),0)/IF(AND(IFERROR(VALUE(SUBSTITUTE(TRIM(Input!G131&amp;""),"%","")),0)&gt;0,IFERROR(VALUE(SUBSTITUTE(TRIM(Input!G131&amp;""),"%","")),0)&lt;1),1,100))</f>
        <v/>
      </c>
      <c r="G131" t="str">
        <f>IF(A131="","",IFERROR(VALUE(SUBSTITUTE(TRIM(Input!H131&amp;""),"%","")),0)/IF(AND(IFERROR(VALUE(SUBSTITUTE(TRIM(Input!H131&amp;""),"%","")),0)&gt;0,IFERROR(VALUE(SUBSTITUTE(TRIM(Input!H131&amp;""),"%","")),0)&lt;1),1,100))</f>
        <v/>
      </c>
      <c r="H131" t="str">
        <f>IF(A131="","",IFERROR(VALUE(SUBSTITUTE(TRIM(Input!I131&amp;""),"%","")),0)/IF(AND(IFERROR(VALUE(SUBSTITUTE(TRIM(Input!I131&amp;""),"%","")),0)&gt;0,IFERROR(VALUE(SUBSTITUTE(TRIM(Input!I131&amp;""),"%","")),0)&lt;1),1,100))</f>
        <v/>
      </c>
    </row>
    <row r="132" spans="1:8">
      <c r="A132" t="str">
        <f>IF(TRIM(Input!B132&amp;"")="","",UPPER(TRIM(Input!B132&amp;"")))</f>
        <v/>
      </c>
      <c r="B132" t="str">
        <f>IF(A132="","",IFERROR(VALUE(RIGHT(TRIM(Input!D132&amp;""),1)),0))</f>
        <v/>
      </c>
      <c r="C132" t="str">
        <f t="shared" si="2"/>
        <v/>
      </c>
      <c r="D132" t="str">
        <f>IF(A132="","",IFERROR(VALUE(SUBSTITUTE(TRIM(Input!E132&amp;""),"%","")),0)/IF(AND(IFERROR(VALUE(SUBSTITUTE(TRIM(Input!E132&amp;""),"%","")),0)&gt;0,IFERROR(VALUE(SUBSTITUTE(TRIM(Input!E132&amp;""),"%","")),0)&lt;1),1,100))</f>
        <v/>
      </c>
      <c r="E132" t="str">
        <f>IF(A132="","",IFERROR(VALUE(SUBSTITUTE(TRIM(Input!F132&amp;""),"%","")),0)/IF(AND(IFERROR(VALUE(SUBSTITUTE(TRIM(Input!F132&amp;""),"%","")),0)&gt;0,IFERROR(VALUE(SUBSTITUTE(TRIM(Input!F132&amp;""),"%","")),0)&lt;1),1,100))</f>
        <v/>
      </c>
      <c r="F132" t="str">
        <f>IF(A132="","",IFERROR(VALUE(SUBSTITUTE(TRIM(Input!G132&amp;""),"%","")),0)/IF(AND(IFERROR(VALUE(SUBSTITUTE(TRIM(Input!G132&amp;""),"%","")),0)&gt;0,IFERROR(VALUE(SUBSTITUTE(TRIM(Input!G132&amp;""),"%","")),0)&lt;1),1,100))</f>
        <v/>
      </c>
      <c r="G132" t="str">
        <f>IF(A132="","",IFERROR(VALUE(SUBSTITUTE(TRIM(Input!H132&amp;""),"%","")),0)/IF(AND(IFERROR(VALUE(SUBSTITUTE(TRIM(Input!H132&amp;""),"%","")),0)&gt;0,IFERROR(VALUE(SUBSTITUTE(TRIM(Input!H132&amp;""),"%","")),0)&lt;1),1,100))</f>
        <v/>
      </c>
      <c r="H132" t="str">
        <f>IF(A132="","",IFERROR(VALUE(SUBSTITUTE(TRIM(Input!I132&amp;""),"%","")),0)/IF(AND(IFERROR(VALUE(SUBSTITUTE(TRIM(Input!I132&amp;""),"%","")),0)&gt;0,IFERROR(VALUE(SUBSTITUTE(TRIM(Input!I132&amp;""),"%","")),0)&lt;1),1,100))</f>
        <v/>
      </c>
    </row>
    <row r="133" spans="1:8">
      <c r="A133" t="str">
        <f>IF(TRIM(Input!B133&amp;"")="","",UPPER(TRIM(Input!B133&amp;"")))</f>
        <v/>
      </c>
      <c r="B133" t="str">
        <f>IF(A133="","",IFERROR(VALUE(RIGHT(TRIM(Input!D133&amp;""),1)),0))</f>
        <v/>
      </c>
      <c r="C133" t="str">
        <f t="shared" si="2"/>
        <v/>
      </c>
      <c r="D133" t="str">
        <f>IF(A133="","",IFERROR(VALUE(SUBSTITUTE(TRIM(Input!E133&amp;""),"%","")),0)/IF(AND(IFERROR(VALUE(SUBSTITUTE(TRIM(Input!E133&amp;""),"%","")),0)&gt;0,IFERROR(VALUE(SUBSTITUTE(TRIM(Input!E133&amp;""),"%","")),0)&lt;1),1,100))</f>
        <v/>
      </c>
      <c r="E133" t="str">
        <f>IF(A133="","",IFERROR(VALUE(SUBSTITUTE(TRIM(Input!F133&amp;""),"%","")),0)/IF(AND(IFERROR(VALUE(SUBSTITUTE(TRIM(Input!F133&amp;""),"%","")),0)&gt;0,IFERROR(VALUE(SUBSTITUTE(TRIM(Input!F133&amp;""),"%","")),0)&lt;1),1,100))</f>
        <v/>
      </c>
      <c r="F133" t="str">
        <f>IF(A133="","",IFERROR(VALUE(SUBSTITUTE(TRIM(Input!G133&amp;""),"%","")),0)/IF(AND(IFERROR(VALUE(SUBSTITUTE(TRIM(Input!G133&amp;""),"%","")),0)&gt;0,IFERROR(VALUE(SUBSTITUTE(TRIM(Input!G133&amp;""),"%","")),0)&lt;1),1,100))</f>
        <v/>
      </c>
      <c r="G133" t="str">
        <f>IF(A133="","",IFERROR(VALUE(SUBSTITUTE(TRIM(Input!H133&amp;""),"%","")),0)/IF(AND(IFERROR(VALUE(SUBSTITUTE(TRIM(Input!H133&amp;""),"%","")),0)&gt;0,IFERROR(VALUE(SUBSTITUTE(TRIM(Input!H133&amp;""),"%","")),0)&lt;1),1,100))</f>
        <v/>
      </c>
      <c r="H133" t="str">
        <f>IF(A133="","",IFERROR(VALUE(SUBSTITUTE(TRIM(Input!I133&amp;""),"%","")),0)/IF(AND(IFERROR(VALUE(SUBSTITUTE(TRIM(Input!I133&amp;""),"%","")),0)&gt;0,IFERROR(VALUE(SUBSTITUTE(TRIM(Input!I133&amp;""),"%","")),0)&lt;1),1,100))</f>
        <v/>
      </c>
    </row>
    <row r="134" spans="1:8">
      <c r="A134" t="str">
        <f>IF(TRIM(Input!B134&amp;"")="","",UPPER(TRIM(Input!B134&amp;"")))</f>
        <v/>
      </c>
      <c r="B134" t="str">
        <f>IF(A134="","",IFERROR(VALUE(RIGHT(TRIM(Input!D134&amp;""),1)),0))</f>
        <v/>
      </c>
      <c r="C134" t="str">
        <f t="shared" si="2"/>
        <v/>
      </c>
      <c r="D134" t="str">
        <f>IF(A134="","",IFERROR(VALUE(SUBSTITUTE(TRIM(Input!E134&amp;""),"%","")),0)/IF(AND(IFERROR(VALUE(SUBSTITUTE(TRIM(Input!E134&amp;""),"%","")),0)&gt;0,IFERROR(VALUE(SUBSTITUTE(TRIM(Input!E134&amp;""),"%","")),0)&lt;1),1,100))</f>
        <v/>
      </c>
      <c r="E134" t="str">
        <f>IF(A134="","",IFERROR(VALUE(SUBSTITUTE(TRIM(Input!F134&amp;""),"%","")),0)/IF(AND(IFERROR(VALUE(SUBSTITUTE(TRIM(Input!F134&amp;""),"%","")),0)&gt;0,IFERROR(VALUE(SUBSTITUTE(TRIM(Input!F134&amp;""),"%","")),0)&lt;1),1,100))</f>
        <v/>
      </c>
      <c r="F134" t="str">
        <f>IF(A134="","",IFERROR(VALUE(SUBSTITUTE(TRIM(Input!G134&amp;""),"%","")),0)/IF(AND(IFERROR(VALUE(SUBSTITUTE(TRIM(Input!G134&amp;""),"%","")),0)&gt;0,IFERROR(VALUE(SUBSTITUTE(TRIM(Input!G134&amp;""),"%","")),0)&lt;1),1,100))</f>
        <v/>
      </c>
      <c r="G134" t="str">
        <f>IF(A134="","",IFERROR(VALUE(SUBSTITUTE(TRIM(Input!H134&amp;""),"%","")),0)/IF(AND(IFERROR(VALUE(SUBSTITUTE(TRIM(Input!H134&amp;""),"%","")),0)&gt;0,IFERROR(VALUE(SUBSTITUTE(TRIM(Input!H134&amp;""),"%","")),0)&lt;1),1,100))</f>
        <v/>
      </c>
      <c r="H134" t="str">
        <f>IF(A134="","",IFERROR(VALUE(SUBSTITUTE(TRIM(Input!I134&amp;""),"%","")),0)/IF(AND(IFERROR(VALUE(SUBSTITUTE(TRIM(Input!I134&amp;""),"%","")),0)&gt;0,IFERROR(VALUE(SUBSTITUTE(TRIM(Input!I134&amp;""),"%","")),0)&lt;1),1,100))</f>
        <v/>
      </c>
    </row>
    <row r="135" spans="1:8">
      <c r="A135" t="str">
        <f>IF(TRIM(Input!B135&amp;"")="","",UPPER(TRIM(Input!B135&amp;"")))</f>
        <v/>
      </c>
      <c r="B135" t="str">
        <f>IF(A135="","",IFERROR(VALUE(RIGHT(TRIM(Input!D135&amp;""),1)),0))</f>
        <v/>
      </c>
      <c r="C135" t="str">
        <f t="shared" si="2"/>
        <v/>
      </c>
      <c r="D135" t="str">
        <f>IF(A135="","",IFERROR(VALUE(SUBSTITUTE(TRIM(Input!E135&amp;""),"%","")),0)/IF(AND(IFERROR(VALUE(SUBSTITUTE(TRIM(Input!E135&amp;""),"%","")),0)&gt;0,IFERROR(VALUE(SUBSTITUTE(TRIM(Input!E135&amp;""),"%","")),0)&lt;1),1,100))</f>
        <v/>
      </c>
      <c r="E135" t="str">
        <f>IF(A135="","",IFERROR(VALUE(SUBSTITUTE(TRIM(Input!F135&amp;""),"%","")),0)/IF(AND(IFERROR(VALUE(SUBSTITUTE(TRIM(Input!F135&amp;""),"%","")),0)&gt;0,IFERROR(VALUE(SUBSTITUTE(TRIM(Input!F135&amp;""),"%","")),0)&lt;1),1,100))</f>
        <v/>
      </c>
      <c r="F135" t="str">
        <f>IF(A135="","",IFERROR(VALUE(SUBSTITUTE(TRIM(Input!G135&amp;""),"%","")),0)/IF(AND(IFERROR(VALUE(SUBSTITUTE(TRIM(Input!G135&amp;""),"%","")),0)&gt;0,IFERROR(VALUE(SUBSTITUTE(TRIM(Input!G135&amp;""),"%","")),0)&lt;1),1,100))</f>
        <v/>
      </c>
      <c r="G135" t="str">
        <f>IF(A135="","",IFERROR(VALUE(SUBSTITUTE(TRIM(Input!H135&amp;""),"%","")),0)/IF(AND(IFERROR(VALUE(SUBSTITUTE(TRIM(Input!H135&amp;""),"%","")),0)&gt;0,IFERROR(VALUE(SUBSTITUTE(TRIM(Input!H135&amp;""),"%","")),0)&lt;1),1,100))</f>
        <v/>
      </c>
      <c r="H135" t="str">
        <f>IF(A135="","",IFERROR(VALUE(SUBSTITUTE(TRIM(Input!I135&amp;""),"%","")),0)/IF(AND(IFERROR(VALUE(SUBSTITUTE(TRIM(Input!I135&amp;""),"%","")),0)&gt;0,IFERROR(VALUE(SUBSTITUTE(TRIM(Input!I135&amp;""),"%","")),0)&lt;1),1,100))</f>
        <v/>
      </c>
    </row>
    <row r="136" spans="1:8">
      <c r="A136" t="str">
        <f>IF(TRIM(Input!B136&amp;"")="","",UPPER(TRIM(Input!B136&amp;"")))</f>
        <v/>
      </c>
      <c r="B136" t="str">
        <f>IF(A136="","",IFERROR(VALUE(RIGHT(TRIM(Input!D136&amp;""),1)),0))</f>
        <v/>
      </c>
      <c r="C136" t="str">
        <f t="shared" si="2"/>
        <v/>
      </c>
      <c r="D136" t="str">
        <f>IF(A136="","",IFERROR(VALUE(SUBSTITUTE(TRIM(Input!E136&amp;""),"%","")),0)/IF(AND(IFERROR(VALUE(SUBSTITUTE(TRIM(Input!E136&amp;""),"%","")),0)&gt;0,IFERROR(VALUE(SUBSTITUTE(TRIM(Input!E136&amp;""),"%","")),0)&lt;1),1,100))</f>
        <v/>
      </c>
      <c r="E136" t="str">
        <f>IF(A136="","",IFERROR(VALUE(SUBSTITUTE(TRIM(Input!F136&amp;""),"%","")),0)/IF(AND(IFERROR(VALUE(SUBSTITUTE(TRIM(Input!F136&amp;""),"%","")),0)&gt;0,IFERROR(VALUE(SUBSTITUTE(TRIM(Input!F136&amp;""),"%","")),0)&lt;1),1,100))</f>
        <v/>
      </c>
      <c r="F136" t="str">
        <f>IF(A136="","",IFERROR(VALUE(SUBSTITUTE(TRIM(Input!G136&amp;""),"%","")),0)/IF(AND(IFERROR(VALUE(SUBSTITUTE(TRIM(Input!G136&amp;""),"%","")),0)&gt;0,IFERROR(VALUE(SUBSTITUTE(TRIM(Input!G136&amp;""),"%","")),0)&lt;1),1,100))</f>
        <v/>
      </c>
      <c r="G136" t="str">
        <f>IF(A136="","",IFERROR(VALUE(SUBSTITUTE(TRIM(Input!H136&amp;""),"%","")),0)/IF(AND(IFERROR(VALUE(SUBSTITUTE(TRIM(Input!H136&amp;""),"%","")),0)&gt;0,IFERROR(VALUE(SUBSTITUTE(TRIM(Input!H136&amp;""),"%","")),0)&lt;1),1,100))</f>
        <v/>
      </c>
      <c r="H136" t="str">
        <f>IF(A136="","",IFERROR(VALUE(SUBSTITUTE(TRIM(Input!I136&amp;""),"%","")),0)/IF(AND(IFERROR(VALUE(SUBSTITUTE(TRIM(Input!I136&amp;""),"%","")),0)&gt;0,IFERROR(VALUE(SUBSTITUTE(TRIM(Input!I136&amp;""),"%","")),0)&lt;1),1,100))</f>
        <v/>
      </c>
    </row>
    <row r="137" spans="1:8">
      <c r="A137" t="str">
        <f>IF(TRIM(Input!B137&amp;"")="","",UPPER(TRIM(Input!B137&amp;"")))</f>
        <v/>
      </c>
      <c r="B137" t="str">
        <f>IF(A137="","",IFERROR(VALUE(RIGHT(TRIM(Input!D137&amp;""),1)),0))</f>
        <v/>
      </c>
      <c r="C137" t="str">
        <f t="shared" si="2"/>
        <v/>
      </c>
      <c r="D137" t="str">
        <f>IF(A137="","",IFERROR(VALUE(SUBSTITUTE(TRIM(Input!E137&amp;""),"%","")),0)/IF(AND(IFERROR(VALUE(SUBSTITUTE(TRIM(Input!E137&amp;""),"%","")),0)&gt;0,IFERROR(VALUE(SUBSTITUTE(TRIM(Input!E137&amp;""),"%","")),0)&lt;1),1,100))</f>
        <v/>
      </c>
      <c r="E137" t="str">
        <f>IF(A137="","",IFERROR(VALUE(SUBSTITUTE(TRIM(Input!F137&amp;""),"%","")),0)/IF(AND(IFERROR(VALUE(SUBSTITUTE(TRIM(Input!F137&amp;""),"%","")),0)&gt;0,IFERROR(VALUE(SUBSTITUTE(TRIM(Input!F137&amp;""),"%","")),0)&lt;1),1,100))</f>
        <v/>
      </c>
      <c r="F137" t="str">
        <f>IF(A137="","",IFERROR(VALUE(SUBSTITUTE(TRIM(Input!G137&amp;""),"%","")),0)/IF(AND(IFERROR(VALUE(SUBSTITUTE(TRIM(Input!G137&amp;""),"%","")),0)&gt;0,IFERROR(VALUE(SUBSTITUTE(TRIM(Input!G137&amp;""),"%","")),0)&lt;1),1,100))</f>
        <v/>
      </c>
      <c r="G137" t="str">
        <f>IF(A137="","",IFERROR(VALUE(SUBSTITUTE(TRIM(Input!H137&amp;""),"%","")),0)/IF(AND(IFERROR(VALUE(SUBSTITUTE(TRIM(Input!H137&amp;""),"%","")),0)&gt;0,IFERROR(VALUE(SUBSTITUTE(TRIM(Input!H137&amp;""),"%","")),0)&lt;1),1,100))</f>
        <v/>
      </c>
      <c r="H137" t="str">
        <f>IF(A137="","",IFERROR(VALUE(SUBSTITUTE(TRIM(Input!I137&amp;""),"%","")),0)/IF(AND(IFERROR(VALUE(SUBSTITUTE(TRIM(Input!I137&amp;""),"%","")),0)&gt;0,IFERROR(VALUE(SUBSTITUTE(TRIM(Input!I137&amp;""),"%","")),0)&lt;1),1,100))</f>
        <v/>
      </c>
    </row>
    <row r="138" spans="1:8">
      <c r="A138" t="str">
        <f>IF(TRIM(Input!B138&amp;"")="","",UPPER(TRIM(Input!B138&amp;"")))</f>
        <v/>
      </c>
      <c r="B138" t="str">
        <f>IF(A138="","",IFERROR(VALUE(RIGHT(TRIM(Input!D138&amp;""),1)),0))</f>
        <v/>
      </c>
      <c r="C138" t="str">
        <f t="shared" si="2"/>
        <v/>
      </c>
      <c r="D138" t="str">
        <f>IF(A138="","",IFERROR(VALUE(SUBSTITUTE(TRIM(Input!E138&amp;""),"%","")),0)/IF(AND(IFERROR(VALUE(SUBSTITUTE(TRIM(Input!E138&amp;""),"%","")),0)&gt;0,IFERROR(VALUE(SUBSTITUTE(TRIM(Input!E138&amp;""),"%","")),0)&lt;1),1,100))</f>
        <v/>
      </c>
      <c r="E138" t="str">
        <f>IF(A138="","",IFERROR(VALUE(SUBSTITUTE(TRIM(Input!F138&amp;""),"%","")),0)/IF(AND(IFERROR(VALUE(SUBSTITUTE(TRIM(Input!F138&amp;""),"%","")),0)&gt;0,IFERROR(VALUE(SUBSTITUTE(TRIM(Input!F138&amp;""),"%","")),0)&lt;1),1,100))</f>
        <v/>
      </c>
      <c r="F138" t="str">
        <f>IF(A138="","",IFERROR(VALUE(SUBSTITUTE(TRIM(Input!G138&amp;""),"%","")),0)/IF(AND(IFERROR(VALUE(SUBSTITUTE(TRIM(Input!G138&amp;""),"%","")),0)&gt;0,IFERROR(VALUE(SUBSTITUTE(TRIM(Input!G138&amp;""),"%","")),0)&lt;1),1,100))</f>
        <v/>
      </c>
      <c r="G138" t="str">
        <f>IF(A138="","",IFERROR(VALUE(SUBSTITUTE(TRIM(Input!H138&amp;""),"%","")),0)/IF(AND(IFERROR(VALUE(SUBSTITUTE(TRIM(Input!H138&amp;""),"%","")),0)&gt;0,IFERROR(VALUE(SUBSTITUTE(TRIM(Input!H138&amp;""),"%","")),0)&lt;1),1,100))</f>
        <v/>
      </c>
      <c r="H138" t="str">
        <f>IF(A138="","",IFERROR(VALUE(SUBSTITUTE(TRIM(Input!I138&amp;""),"%","")),0)/IF(AND(IFERROR(VALUE(SUBSTITUTE(TRIM(Input!I138&amp;""),"%","")),0)&gt;0,IFERROR(VALUE(SUBSTITUTE(TRIM(Input!I138&amp;""),"%","")),0)&lt;1),1,100))</f>
        <v/>
      </c>
    </row>
    <row r="139" spans="1:8">
      <c r="A139" t="str">
        <f>IF(TRIM(Input!B139&amp;"")="","",UPPER(TRIM(Input!B139&amp;"")))</f>
        <v/>
      </c>
      <c r="B139" t="str">
        <f>IF(A139="","",IFERROR(VALUE(RIGHT(TRIM(Input!D139&amp;""),1)),0))</f>
        <v/>
      </c>
      <c r="C139" t="str">
        <f t="shared" si="2"/>
        <v/>
      </c>
      <c r="D139" t="str">
        <f>IF(A139="","",IFERROR(VALUE(SUBSTITUTE(TRIM(Input!E139&amp;""),"%","")),0)/IF(AND(IFERROR(VALUE(SUBSTITUTE(TRIM(Input!E139&amp;""),"%","")),0)&gt;0,IFERROR(VALUE(SUBSTITUTE(TRIM(Input!E139&amp;""),"%","")),0)&lt;1),1,100))</f>
        <v/>
      </c>
      <c r="E139" t="str">
        <f>IF(A139="","",IFERROR(VALUE(SUBSTITUTE(TRIM(Input!F139&amp;""),"%","")),0)/IF(AND(IFERROR(VALUE(SUBSTITUTE(TRIM(Input!F139&amp;""),"%","")),0)&gt;0,IFERROR(VALUE(SUBSTITUTE(TRIM(Input!F139&amp;""),"%","")),0)&lt;1),1,100))</f>
        <v/>
      </c>
      <c r="F139" t="str">
        <f>IF(A139="","",IFERROR(VALUE(SUBSTITUTE(TRIM(Input!G139&amp;""),"%","")),0)/IF(AND(IFERROR(VALUE(SUBSTITUTE(TRIM(Input!G139&amp;""),"%","")),0)&gt;0,IFERROR(VALUE(SUBSTITUTE(TRIM(Input!G139&amp;""),"%","")),0)&lt;1),1,100))</f>
        <v/>
      </c>
      <c r="G139" t="str">
        <f>IF(A139="","",IFERROR(VALUE(SUBSTITUTE(TRIM(Input!H139&amp;""),"%","")),0)/IF(AND(IFERROR(VALUE(SUBSTITUTE(TRIM(Input!H139&amp;""),"%","")),0)&gt;0,IFERROR(VALUE(SUBSTITUTE(TRIM(Input!H139&amp;""),"%","")),0)&lt;1),1,100))</f>
        <v/>
      </c>
      <c r="H139" t="str">
        <f>IF(A139="","",IFERROR(VALUE(SUBSTITUTE(TRIM(Input!I139&amp;""),"%","")),0)/IF(AND(IFERROR(VALUE(SUBSTITUTE(TRIM(Input!I139&amp;""),"%","")),0)&gt;0,IFERROR(VALUE(SUBSTITUTE(TRIM(Input!I139&amp;""),"%","")),0)&lt;1),1,100))</f>
        <v/>
      </c>
    </row>
    <row r="140" spans="1:8">
      <c r="A140" t="str">
        <f>IF(TRIM(Input!B140&amp;"")="","",UPPER(TRIM(Input!B140&amp;"")))</f>
        <v/>
      </c>
      <c r="B140" t="str">
        <f>IF(A140="","",IFERROR(VALUE(RIGHT(TRIM(Input!D140&amp;""),1)),0))</f>
        <v/>
      </c>
      <c r="C140" t="str">
        <f t="shared" si="2"/>
        <v/>
      </c>
      <c r="D140" t="str">
        <f>IF(A140="","",IFERROR(VALUE(SUBSTITUTE(TRIM(Input!E140&amp;""),"%","")),0)/IF(AND(IFERROR(VALUE(SUBSTITUTE(TRIM(Input!E140&amp;""),"%","")),0)&gt;0,IFERROR(VALUE(SUBSTITUTE(TRIM(Input!E140&amp;""),"%","")),0)&lt;1),1,100))</f>
        <v/>
      </c>
      <c r="E140" t="str">
        <f>IF(A140="","",IFERROR(VALUE(SUBSTITUTE(TRIM(Input!F140&amp;""),"%","")),0)/IF(AND(IFERROR(VALUE(SUBSTITUTE(TRIM(Input!F140&amp;""),"%","")),0)&gt;0,IFERROR(VALUE(SUBSTITUTE(TRIM(Input!F140&amp;""),"%","")),0)&lt;1),1,100))</f>
        <v/>
      </c>
      <c r="F140" t="str">
        <f>IF(A140="","",IFERROR(VALUE(SUBSTITUTE(TRIM(Input!G140&amp;""),"%","")),0)/IF(AND(IFERROR(VALUE(SUBSTITUTE(TRIM(Input!G140&amp;""),"%","")),0)&gt;0,IFERROR(VALUE(SUBSTITUTE(TRIM(Input!G140&amp;""),"%","")),0)&lt;1),1,100))</f>
        <v/>
      </c>
      <c r="G140" t="str">
        <f>IF(A140="","",IFERROR(VALUE(SUBSTITUTE(TRIM(Input!H140&amp;""),"%","")),0)/IF(AND(IFERROR(VALUE(SUBSTITUTE(TRIM(Input!H140&amp;""),"%","")),0)&gt;0,IFERROR(VALUE(SUBSTITUTE(TRIM(Input!H140&amp;""),"%","")),0)&lt;1),1,100))</f>
        <v/>
      </c>
      <c r="H140" t="str">
        <f>IF(A140="","",IFERROR(VALUE(SUBSTITUTE(TRIM(Input!I140&amp;""),"%","")),0)/IF(AND(IFERROR(VALUE(SUBSTITUTE(TRIM(Input!I140&amp;""),"%","")),0)&gt;0,IFERROR(VALUE(SUBSTITUTE(TRIM(Input!I140&amp;""),"%","")),0)&lt;1),1,100))</f>
        <v/>
      </c>
    </row>
    <row r="141" spans="1:8">
      <c r="A141" t="str">
        <f>IF(TRIM(Input!B141&amp;"")="","",UPPER(TRIM(Input!B141&amp;"")))</f>
        <v/>
      </c>
      <c r="B141" t="str">
        <f>IF(A141="","",IFERROR(VALUE(RIGHT(TRIM(Input!D141&amp;""),1)),0))</f>
        <v/>
      </c>
      <c r="C141" t="str">
        <f t="shared" si="2"/>
        <v/>
      </c>
      <c r="D141" t="str">
        <f>IF(A141="","",IFERROR(VALUE(SUBSTITUTE(TRIM(Input!E141&amp;""),"%","")),0)/IF(AND(IFERROR(VALUE(SUBSTITUTE(TRIM(Input!E141&amp;""),"%","")),0)&gt;0,IFERROR(VALUE(SUBSTITUTE(TRIM(Input!E141&amp;""),"%","")),0)&lt;1),1,100))</f>
        <v/>
      </c>
      <c r="E141" t="str">
        <f>IF(A141="","",IFERROR(VALUE(SUBSTITUTE(TRIM(Input!F141&amp;""),"%","")),0)/IF(AND(IFERROR(VALUE(SUBSTITUTE(TRIM(Input!F141&amp;""),"%","")),0)&gt;0,IFERROR(VALUE(SUBSTITUTE(TRIM(Input!F141&amp;""),"%","")),0)&lt;1),1,100))</f>
        <v/>
      </c>
      <c r="F141" t="str">
        <f>IF(A141="","",IFERROR(VALUE(SUBSTITUTE(TRIM(Input!G141&amp;""),"%","")),0)/IF(AND(IFERROR(VALUE(SUBSTITUTE(TRIM(Input!G141&amp;""),"%","")),0)&gt;0,IFERROR(VALUE(SUBSTITUTE(TRIM(Input!G141&amp;""),"%","")),0)&lt;1),1,100))</f>
        <v/>
      </c>
      <c r="G141" t="str">
        <f>IF(A141="","",IFERROR(VALUE(SUBSTITUTE(TRIM(Input!H141&amp;""),"%","")),0)/IF(AND(IFERROR(VALUE(SUBSTITUTE(TRIM(Input!H141&amp;""),"%","")),0)&gt;0,IFERROR(VALUE(SUBSTITUTE(TRIM(Input!H141&amp;""),"%","")),0)&lt;1),1,100))</f>
        <v/>
      </c>
      <c r="H141" t="str">
        <f>IF(A141="","",IFERROR(VALUE(SUBSTITUTE(TRIM(Input!I141&amp;""),"%","")),0)/IF(AND(IFERROR(VALUE(SUBSTITUTE(TRIM(Input!I141&amp;""),"%","")),0)&gt;0,IFERROR(VALUE(SUBSTITUTE(TRIM(Input!I141&amp;""),"%","")),0)&lt;1),1,100))</f>
        <v/>
      </c>
    </row>
    <row r="142" spans="1:8">
      <c r="A142" t="str">
        <f>IF(TRIM(Input!B142&amp;"")="","",UPPER(TRIM(Input!B142&amp;"")))</f>
        <v/>
      </c>
      <c r="B142" t="str">
        <f>IF(A142="","",IFERROR(VALUE(RIGHT(TRIM(Input!D142&amp;""),1)),0))</f>
        <v/>
      </c>
      <c r="C142" t="str">
        <f t="shared" si="2"/>
        <v/>
      </c>
      <c r="D142" t="str">
        <f>IF(A142="","",IFERROR(VALUE(SUBSTITUTE(TRIM(Input!E142&amp;""),"%","")),0)/IF(AND(IFERROR(VALUE(SUBSTITUTE(TRIM(Input!E142&amp;""),"%","")),0)&gt;0,IFERROR(VALUE(SUBSTITUTE(TRIM(Input!E142&amp;""),"%","")),0)&lt;1),1,100))</f>
        <v/>
      </c>
      <c r="E142" t="str">
        <f>IF(A142="","",IFERROR(VALUE(SUBSTITUTE(TRIM(Input!F142&amp;""),"%","")),0)/IF(AND(IFERROR(VALUE(SUBSTITUTE(TRIM(Input!F142&amp;""),"%","")),0)&gt;0,IFERROR(VALUE(SUBSTITUTE(TRIM(Input!F142&amp;""),"%","")),0)&lt;1),1,100))</f>
        <v/>
      </c>
      <c r="F142" t="str">
        <f>IF(A142="","",IFERROR(VALUE(SUBSTITUTE(TRIM(Input!G142&amp;""),"%","")),0)/IF(AND(IFERROR(VALUE(SUBSTITUTE(TRIM(Input!G142&amp;""),"%","")),0)&gt;0,IFERROR(VALUE(SUBSTITUTE(TRIM(Input!G142&amp;""),"%","")),0)&lt;1),1,100))</f>
        <v/>
      </c>
      <c r="G142" t="str">
        <f>IF(A142="","",IFERROR(VALUE(SUBSTITUTE(TRIM(Input!H142&amp;""),"%","")),0)/IF(AND(IFERROR(VALUE(SUBSTITUTE(TRIM(Input!H142&amp;""),"%","")),0)&gt;0,IFERROR(VALUE(SUBSTITUTE(TRIM(Input!H142&amp;""),"%","")),0)&lt;1),1,100))</f>
        <v/>
      </c>
      <c r="H142" t="str">
        <f>IF(A142="","",IFERROR(VALUE(SUBSTITUTE(TRIM(Input!I142&amp;""),"%","")),0)/IF(AND(IFERROR(VALUE(SUBSTITUTE(TRIM(Input!I142&amp;""),"%","")),0)&gt;0,IFERROR(VALUE(SUBSTITUTE(TRIM(Input!I142&amp;""),"%","")),0)&lt;1),1,100))</f>
        <v/>
      </c>
    </row>
    <row r="143" spans="1:8">
      <c r="A143" t="str">
        <f>IF(TRIM(Input!B143&amp;"")="","",UPPER(TRIM(Input!B143&amp;"")))</f>
        <v/>
      </c>
      <c r="B143" t="str">
        <f>IF(A143="","",IFERROR(VALUE(RIGHT(TRIM(Input!D143&amp;""),1)),0))</f>
        <v/>
      </c>
      <c r="C143" t="str">
        <f t="shared" si="2"/>
        <v/>
      </c>
      <c r="D143" t="str">
        <f>IF(A143="","",IFERROR(VALUE(SUBSTITUTE(TRIM(Input!E143&amp;""),"%","")),0)/IF(AND(IFERROR(VALUE(SUBSTITUTE(TRIM(Input!E143&amp;""),"%","")),0)&gt;0,IFERROR(VALUE(SUBSTITUTE(TRIM(Input!E143&amp;""),"%","")),0)&lt;1),1,100))</f>
        <v/>
      </c>
      <c r="E143" t="str">
        <f>IF(A143="","",IFERROR(VALUE(SUBSTITUTE(TRIM(Input!F143&amp;""),"%","")),0)/IF(AND(IFERROR(VALUE(SUBSTITUTE(TRIM(Input!F143&amp;""),"%","")),0)&gt;0,IFERROR(VALUE(SUBSTITUTE(TRIM(Input!F143&amp;""),"%","")),0)&lt;1),1,100))</f>
        <v/>
      </c>
      <c r="F143" t="str">
        <f>IF(A143="","",IFERROR(VALUE(SUBSTITUTE(TRIM(Input!G143&amp;""),"%","")),0)/IF(AND(IFERROR(VALUE(SUBSTITUTE(TRIM(Input!G143&amp;""),"%","")),0)&gt;0,IFERROR(VALUE(SUBSTITUTE(TRIM(Input!G143&amp;""),"%","")),0)&lt;1),1,100))</f>
        <v/>
      </c>
      <c r="G143" t="str">
        <f>IF(A143="","",IFERROR(VALUE(SUBSTITUTE(TRIM(Input!H143&amp;""),"%","")),0)/IF(AND(IFERROR(VALUE(SUBSTITUTE(TRIM(Input!H143&amp;""),"%","")),0)&gt;0,IFERROR(VALUE(SUBSTITUTE(TRIM(Input!H143&amp;""),"%","")),0)&lt;1),1,100))</f>
        <v/>
      </c>
      <c r="H143" t="str">
        <f>IF(A143="","",IFERROR(VALUE(SUBSTITUTE(TRIM(Input!I143&amp;""),"%","")),0)/IF(AND(IFERROR(VALUE(SUBSTITUTE(TRIM(Input!I143&amp;""),"%","")),0)&gt;0,IFERROR(VALUE(SUBSTITUTE(TRIM(Input!I143&amp;""),"%","")),0)&lt;1),1,100))</f>
        <v/>
      </c>
    </row>
    <row r="144" spans="1:8">
      <c r="A144" t="str">
        <f>IF(TRIM(Input!B144&amp;"")="","",UPPER(TRIM(Input!B144&amp;"")))</f>
        <v/>
      </c>
      <c r="B144" t="str">
        <f>IF(A144="","",IFERROR(VALUE(RIGHT(TRIM(Input!D144&amp;""),1)),0))</f>
        <v/>
      </c>
      <c r="C144" t="str">
        <f t="shared" si="2"/>
        <v/>
      </c>
      <c r="D144" t="str">
        <f>IF(A144="","",IFERROR(VALUE(SUBSTITUTE(TRIM(Input!E144&amp;""),"%","")),0)/IF(AND(IFERROR(VALUE(SUBSTITUTE(TRIM(Input!E144&amp;""),"%","")),0)&gt;0,IFERROR(VALUE(SUBSTITUTE(TRIM(Input!E144&amp;""),"%","")),0)&lt;1),1,100))</f>
        <v/>
      </c>
      <c r="E144" t="str">
        <f>IF(A144="","",IFERROR(VALUE(SUBSTITUTE(TRIM(Input!F144&amp;""),"%","")),0)/IF(AND(IFERROR(VALUE(SUBSTITUTE(TRIM(Input!F144&amp;""),"%","")),0)&gt;0,IFERROR(VALUE(SUBSTITUTE(TRIM(Input!F144&amp;""),"%","")),0)&lt;1),1,100))</f>
        <v/>
      </c>
      <c r="F144" t="str">
        <f>IF(A144="","",IFERROR(VALUE(SUBSTITUTE(TRIM(Input!G144&amp;""),"%","")),0)/IF(AND(IFERROR(VALUE(SUBSTITUTE(TRIM(Input!G144&amp;""),"%","")),0)&gt;0,IFERROR(VALUE(SUBSTITUTE(TRIM(Input!G144&amp;""),"%","")),0)&lt;1),1,100))</f>
        <v/>
      </c>
      <c r="G144" t="str">
        <f>IF(A144="","",IFERROR(VALUE(SUBSTITUTE(TRIM(Input!H144&amp;""),"%","")),0)/IF(AND(IFERROR(VALUE(SUBSTITUTE(TRIM(Input!H144&amp;""),"%","")),0)&gt;0,IFERROR(VALUE(SUBSTITUTE(TRIM(Input!H144&amp;""),"%","")),0)&lt;1),1,100))</f>
        <v/>
      </c>
      <c r="H144" t="str">
        <f>IF(A144="","",IFERROR(VALUE(SUBSTITUTE(TRIM(Input!I144&amp;""),"%","")),0)/IF(AND(IFERROR(VALUE(SUBSTITUTE(TRIM(Input!I144&amp;""),"%","")),0)&gt;0,IFERROR(VALUE(SUBSTITUTE(TRIM(Input!I144&amp;""),"%","")),0)&lt;1),1,100))</f>
        <v/>
      </c>
    </row>
    <row r="145" spans="1:8">
      <c r="A145" t="str">
        <f>IF(TRIM(Input!B145&amp;"")="","",UPPER(TRIM(Input!B145&amp;"")))</f>
        <v/>
      </c>
      <c r="B145" t="str">
        <f>IF(A145="","",IFERROR(VALUE(RIGHT(TRIM(Input!D145&amp;""),1)),0))</f>
        <v/>
      </c>
      <c r="C145" t="str">
        <f t="shared" si="2"/>
        <v/>
      </c>
      <c r="D145" t="str">
        <f>IF(A145="","",IFERROR(VALUE(SUBSTITUTE(TRIM(Input!E145&amp;""),"%","")),0)/IF(AND(IFERROR(VALUE(SUBSTITUTE(TRIM(Input!E145&amp;""),"%","")),0)&gt;0,IFERROR(VALUE(SUBSTITUTE(TRIM(Input!E145&amp;""),"%","")),0)&lt;1),1,100))</f>
        <v/>
      </c>
      <c r="E145" t="str">
        <f>IF(A145="","",IFERROR(VALUE(SUBSTITUTE(TRIM(Input!F145&amp;""),"%","")),0)/IF(AND(IFERROR(VALUE(SUBSTITUTE(TRIM(Input!F145&amp;""),"%","")),0)&gt;0,IFERROR(VALUE(SUBSTITUTE(TRIM(Input!F145&amp;""),"%","")),0)&lt;1),1,100))</f>
        <v/>
      </c>
      <c r="F145" t="str">
        <f>IF(A145="","",IFERROR(VALUE(SUBSTITUTE(TRIM(Input!G145&amp;""),"%","")),0)/IF(AND(IFERROR(VALUE(SUBSTITUTE(TRIM(Input!G145&amp;""),"%","")),0)&gt;0,IFERROR(VALUE(SUBSTITUTE(TRIM(Input!G145&amp;""),"%","")),0)&lt;1),1,100))</f>
        <v/>
      </c>
      <c r="G145" t="str">
        <f>IF(A145="","",IFERROR(VALUE(SUBSTITUTE(TRIM(Input!H145&amp;""),"%","")),0)/IF(AND(IFERROR(VALUE(SUBSTITUTE(TRIM(Input!H145&amp;""),"%","")),0)&gt;0,IFERROR(VALUE(SUBSTITUTE(TRIM(Input!H145&amp;""),"%","")),0)&lt;1),1,100))</f>
        <v/>
      </c>
      <c r="H145" t="str">
        <f>IF(A145="","",IFERROR(VALUE(SUBSTITUTE(TRIM(Input!I145&amp;""),"%","")),0)/IF(AND(IFERROR(VALUE(SUBSTITUTE(TRIM(Input!I145&amp;""),"%","")),0)&gt;0,IFERROR(VALUE(SUBSTITUTE(TRIM(Input!I145&amp;""),"%","")),0)&lt;1),1,100))</f>
        <v/>
      </c>
    </row>
    <row r="146" spans="1:8">
      <c r="A146" t="str">
        <f>IF(TRIM(Input!B146&amp;"")="","",UPPER(TRIM(Input!B146&amp;"")))</f>
        <v/>
      </c>
      <c r="B146" t="str">
        <f>IF(A146="","",IFERROR(VALUE(RIGHT(TRIM(Input!D146&amp;""),1)),0))</f>
        <v/>
      </c>
      <c r="C146" t="str">
        <f t="shared" si="2"/>
        <v/>
      </c>
      <c r="D146" t="str">
        <f>IF(A146="","",IFERROR(VALUE(SUBSTITUTE(TRIM(Input!E146&amp;""),"%","")),0)/IF(AND(IFERROR(VALUE(SUBSTITUTE(TRIM(Input!E146&amp;""),"%","")),0)&gt;0,IFERROR(VALUE(SUBSTITUTE(TRIM(Input!E146&amp;""),"%","")),0)&lt;1),1,100))</f>
        <v/>
      </c>
      <c r="E146" t="str">
        <f>IF(A146="","",IFERROR(VALUE(SUBSTITUTE(TRIM(Input!F146&amp;""),"%","")),0)/IF(AND(IFERROR(VALUE(SUBSTITUTE(TRIM(Input!F146&amp;""),"%","")),0)&gt;0,IFERROR(VALUE(SUBSTITUTE(TRIM(Input!F146&amp;""),"%","")),0)&lt;1),1,100))</f>
        <v/>
      </c>
      <c r="F146" t="str">
        <f>IF(A146="","",IFERROR(VALUE(SUBSTITUTE(TRIM(Input!G146&amp;""),"%","")),0)/IF(AND(IFERROR(VALUE(SUBSTITUTE(TRIM(Input!G146&amp;""),"%","")),0)&gt;0,IFERROR(VALUE(SUBSTITUTE(TRIM(Input!G146&amp;""),"%","")),0)&lt;1),1,100))</f>
        <v/>
      </c>
      <c r="G146" t="str">
        <f>IF(A146="","",IFERROR(VALUE(SUBSTITUTE(TRIM(Input!H146&amp;""),"%","")),0)/IF(AND(IFERROR(VALUE(SUBSTITUTE(TRIM(Input!H146&amp;""),"%","")),0)&gt;0,IFERROR(VALUE(SUBSTITUTE(TRIM(Input!H146&amp;""),"%","")),0)&lt;1),1,100))</f>
        <v/>
      </c>
      <c r="H146" t="str">
        <f>IF(A146="","",IFERROR(VALUE(SUBSTITUTE(TRIM(Input!I146&amp;""),"%","")),0)/IF(AND(IFERROR(VALUE(SUBSTITUTE(TRIM(Input!I146&amp;""),"%","")),0)&gt;0,IFERROR(VALUE(SUBSTITUTE(TRIM(Input!I146&amp;""),"%","")),0)&lt;1),1,100))</f>
        <v/>
      </c>
    </row>
    <row r="147" spans="1:8">
      <c r="A147" t="str">
        <f>IF(TRIM(Input!B147&amp;"")="","",UPPER(TRIM(Input!B147&amp;"")))</f>
        <v/>
      </c>
      <c r="B147" t="str">
        <f>IF(A147="","",IFERROR(VALUE(RIGHT(TRIM(Input!D147&amp;""),1)),0))</f>
        <v/>
      </c>
      <c r="C147" t="str">
        <f t="shared" si="2"/>
        <v/>
      </c>
      <c r="D147" t="str">
        <f>IF(A147="","",IFERROR(VALUE(SUBSTITUTE(TRIM(Input!E147&amp;""),"%","")),0)/IF(AND(IFERROR(VALUE(SUBSTITUTE(TRIM(Input!E147&amp;""),"%","")),0)&gt;0,IFERROR(VALUE(SUBSTITUTE(TRIM(Input!E147&amp;""),"%","")),0)&lt;1),1,100))</f>
        <v/>
      </c>
      <c r="E147" t="str">
        <f>IF(A147="","",IFERROR(VALUE(SUBSTITUTE(TRIM(Input!F147&amp;""),"%","")),0)/IF(AND(IFERROR(VALUE(SUBSTITUTE(TRIM(Input!F147&amp;""),"%","")),0)&gt;0,IFERROR(VALUE(SUBSTITUTE(TRIM(Input!F147&amp;""),"%","")),0)&lt;1),1,100))</f>
        <v/>
      </c>
      <c r="F147" t="str">
        <f>IF(A147="","",IFERROR(VALUE(SUBSTITUTE(TRIM(Input!G147&amp;""),"%","")),0)/IF(AND(IFERROR(VALUE(SUBSTITUTE(TRIM(Input!G147&amp;""),"%","")),0)&gt;0,IFERROR(VALUE(SUBSTITUTE(TRIM(Input!G147&amp;""),"%","")),0)&lt;1),1,100))</f>
        <v/>
      </c>
      <c r="G147" t="str">
        <f>IF(A147="","",IFERROR(VALUE(SUBSTITUTE(TRIM(Input!H147&amp;""),"%","")),0)/IF(AND(IFERROR(VALUE(SUBSTITUTE(TRIM(Input!H147&amp;""),"%","")),0)&gt;0,IFERROR(VALUE(SUBSTITUTE(TRIM(Input!H147&amp;""),"%","")),0)&lt;1),1,100))</f>
        <v/>
      </c>
      <c r="H147" t="str">
        <f>IF(A147="","",IFERROR(VALUE(SUBSTITUTE(TRIM(Input!I147&amp;""),"%","")),0)/IF(AND(IFERROR(VALUE(SUBSTITUTE(TRIM(Input!I147&amp;""),"%","")),0)&gt;0,IFERROR(VALUE(SUBSTITUTE(TRIM(Input!I147&amp;""),"%","")),0)&lt;1),1,100))</f>
        <v/>
      </c>
    </row>
    <row r="148" spans="1:8">
      <c r="A148" t="str">
        <f>IF(TRIM(Input!B148&amp;"")="","",UPPER(TRIM(Input!B148&amp;"")))</f>
        <v/>
      </c>
      <c r="B148" t="str">
        <f>IF(A148="","",IFERROR(VALUE(RIGHT(TRIM(Input!D148&amp;""),1)),0))</f>
        <v/>
      </c>
      <c r="C148" t="str">
        <f t="shared" si="2"/>
        <v/>
      </c>
      <c r="D148" t="str">
        <f>IF(A148="","",IFERROR(VALUE(SUBSTITUTE(TRIM(Input!E148&amp;""),"%","")),0)/IF(AND(IFERROR(VALUE(SUBSTITUTE(TRIM(Input!E148&amp;""),"%","")),0)&gt;0,IFERROR(VALUE(SUBSTITUTE(TRIM(Input!E148&amp;""),"%","")),0)&lt;1),1,100))</f>
        <v/>
      </c>
      <c r="E148" t="str">
        <f>IF(A148="","",IFERROR(VALUE(SUBSTITUTE(TRIM(Input!F148&amp;""),"%","")),0)/IF(AND(IFERROR(VALUE(SUBSTITUTE(TRIM(Input!F148&amp;""),"%","")),0)&gt;0,IFERROR(VALUE(SUBSTITUTE(TRIM(Input!F148&amp;""),"%","")),0)&lt;1),1,100))</f>
        <v/>
      </c>
      <c r="F148" t="str">
        <f>IF(A148="","",IFERROR(VALUE(SUBSTITUTE(TRIM(Input!G148&amp;""),"%","")),0)/IF(AND(IFERROR(VALUE(SUBSTITUTE(TRIM(Input!G148&amp;""),"%","")),0)&gt;0,IFERROR(VALUE(SUBSTITUTE(TRIM(Input!G148&amp;""),"%","")),0)&lt;1),1,100))</f>
        <v/>
      </c>
      <c r="G148" t="str">
        <f>IF(A148="","",IFERROR(VALUE(SUBSTITUTE(TRIM(Input!H148&amp;""),"%","")),0)/IF(AND(IFERROR(VALUE(SUBSTITUTE(TRIM(Input!H148&amp;""),"%","")),0)&gt;0,IFERROR(VALUE(SUBSTITUTE(TRIM(Input!H148&amp;""),"%","")),0)&lt;1),1,100))</f>
        <v/>
      </c>
      <c r="H148" t="str">
        <f>IF(A148="","",IFERROR(VALUE(SUBSTITUTE(TRIM(Input!I148&amp;""),"%","")),0)/IF(AND(IFERROR(VALUE(SUBSTITUTE(TRIM(Input!I148&amp;""),"%","")),0)&gt;0,IFERROR(VALUE(SUBSTITUTE(TRIM(Input!I148&amp;""),"%","")),0)&lt;1),1,100))</f>
        <v/>
      </c>
    </row>
    <row r="149" spans="1:8">
      <c r="A149" t="str">
        <f>IF(TRIM(Input!B149&amp;"")="","",UPPER(TRIM(Input!B149&amp;"")))</f>
        <v/>
      </c>
      <c r="B149" t="str">
        <f>IF(A149="","",IFERROR(VALUE(RIGHT(TRIM(Input!D149&amp;""),1)),0))</f>
        <v/>
      </c>
      <c r="C149" t="str">
        <f t="shared" si="2"/>
        <v/>
      </c>
      <c r="D149" t="str">
        <f>IF(A149="","",IFERROR(VALUE(SUBSTITUTE(TRIM(Input!E149&amp;""),"%","")),0)/IF(AND(IFERROR(VALUE(SUBSTITUTE(TRIM(Input!E149&amp;""),"%","")),0)&gt;0,IFERROR(VALUE(SUBSTITUTE(TRIM(Input!E149&amp;""),"%","")),0)&lt;1),1,100))</f>
        <v/>
      </c>
      <c r="E149" t="str">
        <f>IF(A149="","",IFERROR(VALUE(SUBSTITUTE(TRIM(Input!F149&amp;""),"%","")),0)/IF(AND(IFERROR(VALUE(SUBSTITUTE(TRIM(Input!F149&amp;""),"%","")),0)&gt;0,IFERROR(VALUE(SUBSTITUTE(TRIM(Input!F149&amp;""),"%","")),0)&lt;1),1,100))</f>
        <v/>
      </c>
      <c r="F149" t="str">
        <f>IF(A149="","",IFERROR(VALUE(SUBSTITUTE(TRIM(Input!G149&amp;""),"%","")),0)/IF(AND(IFERROR(VALUE(SUBSTITUTE(TRIM(Input!G149&amp;""),"%","")),0)&gt;0,IFERROR(VALUE(SUBSTITUTE(TRIM(Input!G149&amp;""),"%","")),0)&lt;1),1,100))</f>
        <v/>
      </c>
      <c r="G149" t="str">
        <f>IF(A149="","",IFERROR(VALUE(SUBSTITUTE(TRIM(Input!H149&amp;""),"%","")),0)/IF(AND(IFERROR(VALUE(SUBSTITUTE(TRIM(Input!H149&amp;""),"%","")),0)&gt;0,IFERROR(VALUE(SUBSTITUTE(TRIM(Input!H149&amp;""),"%","")),0)&lt;1),1,100))</f>
        <v/>
      </c>
      <c r="H149" t="str">
        <f>IF(A149="","",IFERROR(VALUE(SUBSTITUTE(TRIM(Input!I149&amp;""),"%","")),0)/IF(AND(IFERROR(VALUE(SUBSTITUTE(TRIM(Input!I149&amp;""),"%","")),0)&gt;0,IFERROR(VALUE(SUBSTITUTE(TRIM(Input!I149&amp;""),"%","")),0)&lt;1),1,100))</f>
        <v/>
      </c>
    </row>
    <row r="150" spans="1:8">
      <c r="A150" t="str">
        <f>IF(TRIM(Input!B150&amp;"")="","",UPPER(TRIM(Input!B150&amp;"")))</f>
        <v/>
      </c>
      <c r="B150" t="str">
        <f>IF(A150="","",IFERROR(VALUE(RIGHT(TRIM(Input!D150&amp;""),1)),0))</f>
        <v/>
      </c>
      <c r="C150" t="str">
        <f t="shared" si="2"/>
        <v/>
      </c>
      <c r="D150" t="str">
        <f>IF(A150="","",IFERROR(VALUE(SUBSTITUTE(TRIM(Input!E150&amp;""),"%","")),0)/IF(AND(IFERROR(VALUE(SUBSTITUTE(TRIM(Input!E150&amp;""),"%","")),0)&gt;0,IFERROR(VALUE(SUBSTITUTE(TRIM(Input!E150&amp;""),"%","")),0)&lt;1),1,100))</f>
        <v/>
      </c>
      <c r="E150" t="str">
        <f>IF(A150="","",IFERROR(VALUE(SUBSTITUTE(TRIM(Input!F150&amp;""),"%","")),0)/IF(AND(IFERROR(VALUE(SUBSTITUTE(TRIM(Input!F150&amp;""),"%","")),0)&gt;0,IFERROR(VALUE(SUBSTITUTE(TRIM(Input!F150&amp;""),"%","")),0)&lt;1),1,100))</f>
        <v/>
      </c>
      <c r="F150" t="str">
        <f>IF(A150="","",IFERROR(VALUE(SUBSTITUTE(TRIM(Input!G150&amp;""),"%","")),0)/IF(AND(IFERROR(VALUE(SUBSTITUTE(TRIM(Input!G150&amp;""),"%","")),0)&gt;0,IFERROR(VALUE(SUBSTITUTE(TRIM(Input!G150&amp;""),"%","")),0)&lt;1),1,100))</f>
        <v/>
      </c>
      <c r="G150" t="str">
        <f>IF(A150="","",IFERROR(VALUE(SUBSTITUTE(TRIM(Input!H150&amp;""),"%","")),0)/IF(AND(IFERROR(VALUE(SUBSTITUTE(TRIM(Input!H150&amp;""),"%","")),0)&gt;0,IFERROR(VALUE(SUBSTITUTE(TRIM(Input!H150&amp;""),"%","")),0)&lt;1),1,100))</f>
        <v/>
      </c>
      <c r="H150" t="str">
        <f>IF(A150="","",IFERROR(VALUE(SUBSTITUTE(TRIM(Input!I150&amp;""),"%","")),0)/IF(AND(IFERROR(VALUE(SUBSTITUTE(TRIM(Input!I150&amp;""),"%","")),0)&gt;0,IFERROR(VALUE(SUBSTITUTE(TRIM(Input!I150&amp;""),"%","")),0)&lt;1),1,100))</f>
        <v/>
      </c>
    </row>
    <row r="151" spans="1:8">
      <c r="A151" t="str">
        <f>IF(TRIM(Input!B151&amp;"")="","",UPPER(TRIM(Input!B151&amp;"")))</f>
        <v/>
      </c>
      <c r="B151" t="str">
        <f>IF(A151="","",IFERROR(VALUE(RIGHT(TRIM(Input!D151&amp;""),1)),0))</f>
        <v/>
      </c>
      <c r="C151" t="str">
        <f t="shared" si="2"/>
        <v/>
      </c>
      <c r="D151" t="str">
        <f>IF(A151="","",IFERROR(VALUE(SUBSTITUTE(TRIM(Input!E151&amp;""),"%","")),0)/IF(AND(IFERROR(VALUE(SUBSTITUTE(TRIM(Input!E151&amp;""),"%","")),0)&gt;0,IFERROR(VALUE(SUBSTITUTE(TRIM(Input!E151&amp;""),"%","")),0)&lt;1),1,100))</f>
        <v/>
      </c>
      <c r="E151" t="str">
        <f>IF(A151="","",IFERROR(VALUE(SUBSTITUTE(TRIM(Input!F151&amp;""),"%","")),0)/IF(AND(IFERROR(VALUE(SUBSTITUTE(TRIM(Input!F151&amp;""),"%","")),0)&gt;0,IFERROR(VALUE(SUBSTITUTE(TRIM(Input!F151&amp;""),"%","")),0)&lt;1),1,100))</f>
        <v/>
      </c>
      <c r="F151" t="str">
        <f>IF(A151="","",IFERROR(VALUE(SUBSTITUTE(TRIM(Input!G151&amp;""),"%","")),0)/IF(AND(IFERROR(VALUE(SUBSTITUTE(TRIM(Input!G151&amp;""),"%","")),0)&gt;0,IFERROR(VALUE(SUBSTITUTE(TRIM(Input!G151&amp;""),"%","")),0)&lt;1),1,100))</f>
        <v/>
      </c>
      <c r="G151" t="str">
        <f>IF(A151="","",IFERROR(VALUE(SUBSTITUTE(TRIM(Input!H151&amp;""),"%","")),0)/IF(AND(IFERROR(VALUE(SUBSTITUTE(TRIM(Input!H151&amp;""),"%","")),0)&gt;0,IFERROR(VALUE(SUBSTITUTE(TRIM(Input!H151&amp;""),"%","")),0)&lt;1),1,100))</f>
        <v/>
      </c>
      <c r="H151" t="str">
        <f>IF(A151="","",IFERROR(VALUE(SUBSTITUTE(TRIM(Input!I151&amp;""),"%","")),0)/IF(AND(IFERROR(VALUE(SUBSTITUTE(TRIM(Input!I151&amp;""),"%","")),0)&gt;0,IFERROR(VALUE(SUBSTITUTE(TRIM(Input!I151&amp;""),"%","")),0)&lt;1),1,100))</f>
        <v/>
      </c>
    </row>
    <row r="152" spans="1:8">
      <c r="A152" t="str">
        <f>IF(TRIM(Input!B152&amp;"")="","",UPPER(TRIM(Input!B152&amp;"")))</f>
        <v/>
      </c>
      <c r="B152" t="str">
        <f>IF(A152="","",IFERROR(VALUE(RIGHT(TRIM(Input!D152&amp;""),1)),0))</f>
        <v/>
      </c>
      <c r="C152" t="str">
        <f t="shared" si="2"/>
        <v/>
      </c>
      <c r="D152" t="str">
        <f>IF(A152="","",IFERROR(VALUE(SUBSTITUTE(TRIM(Input!E152&amp;""),"%","")),0)/IF(AND(IFERROR(VALUE(SUBSTITUTE(TRIM(Input!E152&amp;""),"%","")),0)&gt;0,IFERROR(VALUE(SUBSTITUTE(TRIM(Input!E152&amp;""),"%","")),0)&lt;1),1,100))</f>
        <v/>
      </c>
      <c r="E152" t="str">
        <f>IF(A152="","",IFERROR(VALUE(SUBSTITUTE(TRIM(Input!F152&amp;""),"%","")),0)/IF(AND(IFERROR(VALUE(SUBSTITUTE(TRIM(Input!F152&amp;""),"%","")),0)&gt;0,IFERROR(VALUE(SUBSTITUTE(TRIM(Input!F152&amp;""),"%","")),0)&lt;1),1,100))</f>
        <v/>
      </c>
      <c r="F152" t="str">
        <f>IF(A152="","",IFERROR(VALUE(SUBSTITUTE(TRIM(Input!G152&amp;""),"%","")),0)/IF(AND(IFERROR(VALUE(SUBSTITUTE(TRIM(Input!G152&amp;""),"%","")),0)&gt;0,IFERROR(VALUE(SUBSTITUTE(TRIM(Input!G152&amp;""),"%","")),0)&lt;1),1,100))</f>
        <v/>
      </c>
      <c r="G152" t="str">
        <f>IF(A152="","",IFERROR(VALUE(SUBSTITUTE(TRIM(Input!H152&amp;""),"%","")),0)/IF(AND(IFERROR(VALUE(SUBSTITUTE(TRIM(Input!H152&amp;""),"%","")),0)&gt;0,IFERROR(VALUE(SUBSTITUTE(TRIM(Input!H152&amp;""),"%","")),0)&lt;1),1,100))</f>
        <v/>
      </c>
      <c r="H152" t="str">
        <f>IF(A152="","",IFERROR(VALUE(SUBSTITUTE(TRIM(Input!I152&amp;""),"%","")),0)/IF(AND(IFERROR(VALUE(SUBSTITUTE(TRIM(Input!I152&amp;""),"%","")),0)&gt;0,IFERROR(VALUE(SUBSTITUTE(TRIM(Input!I152&amp;""),"%","")),0)&lt;1),1,100))</f>
        <v/>
      </c>
    </row>
    <row r="153" spans="1:8">
      <c r="A153" t="str">
        <f>IF(TRIM(Input!B153&amp;"")="","",UPPER(TRIM(Input!B153&amp;"")))</f>
        <v/>
      </c>
      <c r="B153" t="str">
        <f>IF(A153="","",IFERROR(VALUE(RIGHT(TRIM(Input!D153&amp;""),1)),0))</f>
        <v/>
      </c>
      <c r="C153" t="str">
        <f t="shared" si="2"/>
        <v/>
      </c>
      <c r="D153" t="str">
        <f>IF(A153="","",IFERROR(VALUE(SUBSTITUTE(TRIM(Input!E153&amp;""),"%","")),0)/IF(AND(IFERROR(VALUE(SUBSTITUTE(TRIM(Input!E153&amp;""),"%","")),0)&gt;0,IFERROR(VALUE(SUBSTITUTE(TRIM(Input!E153&amp;""),"%","")),0)&lt;1),1,100))</f>
        <v/>
      </c>
      <c r="E153" t="str">
        <f>IF(A153="","",IFERROR(VALUE(SUBSTITUTE(TRIM(Input!F153&amp;""),"%","")),0)/IF(AND(IFERROR(VALUE(SUBSTITUTE(TRIM(Input!F153&amp;""),"%","")),0)&gt;0,IFERROR(VALUE(SUBSTITUTE(TRIM(Input!F153&amp;""),"%","")),0)&lt;1),1,100))</f>
        <v/>
      </c>
      <c r="F153" t="str">
        <f>IF(A153="","",IFERROR(VALUE(SUBSTITUTE(TRIM(Input!G153&amp;""),"%","")),0)/IF(AND(IFERROR(VALUE(SUBSTITUTE(TRIM(Input!G153&amp;""),"%","")),0)&gt;0,IFERROR(VALUE(SUBSTITUTE(TRIM(Input!G153&amp;""),"%","")),0)&lt;1),1,100))</f>
        <v/>
      </c>
      <c r="G153" t="str">
        <f>IF(A153="","",IFERROR(VALUE(SUBSTITUTE(TRIM(Input!H153&amp;""),"%","")),0)/IF(AND(IFERROR(VALUE(SUBSTITUTE(TRIM(Input!H153&amp;""),"%","")),0)&gt;0,IFERROR(VALUE(SUBSTITUTE(TRIM(Input!H153&amp;""),"%","")),0)&lt;1),1,100))</f>
        <v/>
      </c>
      <c r="H153" t="str">
        <f>IF(A153="","",IFERROR(VALUE(SUBSTITUTE(TRIM(Input!I153&amp;""),"%","")),0)/IF(AND(IFERROR(VALUE(SUBSTITUTE(TRIM(Input!I153&amp;""),"%","")),0)&gt;0,IFERROR(VALUE(SUBSTITUTE(TRIM(Input!I153&amp;""),"%","")),0)&lt;1),1,100))</f>
        <v/>
      </c>
    </row>
    <row r="154" spans="1:8">
      <c r="A154" t="str">
        <f>IF(TRIM(Input!B154&amp;"")="","",UPPER(TRIM(Input!B154&amp;"")))</f>
        <v/>
      </c>
      <c r="B154" t="str">
        <f>IF(A154="","",IFERROR(VALUE(RIGHT(TRIM(Input!D154&amp;""),1)),0))</f>
        <v/>
      </c>
      <c r="C154" t="str">
        <f t="shared" si="2"/>
        <v/>
      </c>
      <c r="D154" t="str">
        <f>IF(A154="","",IFERROR(VALUE(SUBSTITUTE(TRIM(Input!E154&amp;""),"%","")),0)/IF(AND(IFERROR(VALUE(SUBSTITUTE(TRIM(Input!E154&amp;""),"%","")),0)&gt;0,IFERROR(VALUE(SUBSTITUTE(TRIM(Input!E154&amp;""),"%","")),0)&lt;1),1,100))</f>
        <v/>
      </c>
      <c r="E154" t="str">
        <f>IF(A154="","",IFERROR(VALUE(SUBSTITUTE(TRIM(Input!F154&amp;""),"%","")),0)/IF(AND(IFERROR(VALUE(SUBSTITUTE(TRIM(Input!F154&amp;""),"%","")),0)&gt;0,IFERROR(VALUE(SUBSTITUTE(TRIM(Input!F154&amp;""),"%","")),0)&lt;1),1,100))</f>
        <v/>
      </c>
      <c r="F154" t="str">
        <f>IF(A154="","",IFERROR(VALUE(SUBSTITUTE(TRIM(Input!G154&amp;""),"%","")),0)/IF(AND(IFERROR(VALUE(SUBSTITUTE(TRIM(Input!G154&amp;""),"%","")),0)&gt;0,IFERROR(VALUE(SUBSTITUTE(TRIM(Input!G154&amp;""),"%","")),0)&lt;1),1,100))</f>
        <v/>
      </c>
      <c r="G154" t="str">
        <f>IF(A154="","",IFERROR(VALUE(SUBSTITUTE(TRIM(Input!H154&amp;""),"%","")),0)/IF(AND(IFERROR(VALUE(SUBSTITUTE(TRIM(Input!H154&amp;""),"%","")),0)&gt;0,IFERROR(VALUE(SUBSTITUTE(TRIM(Input!H154&amp;""),"%","")),0)&lt;1),1,100))</f>
        <v/>
      </c>
      <c r="H154" t="str">
        <f>IF(A154="","",IFERROR(VALUE(SUBSTITUTE(TRIM(Input!I154&amp;""),"%","")),0)/IF(AND(IFERROR(VALUE(SUBSTITUTE(TRIM(Input!I154&amp;""),"%","")),0)&gt;0,IFERROR(VALUE(SUBSTITUTE(TRIM(Input!I154&amp;""),"%","")),0)&lt;1),1,100))</f>
        <v/>
      </c>
    </row>
    <row r="155" spans="1:8">
      <c r="A155" t="str">
        <f>IF(TRIM(Input!B155&amp;"")="","",UPPER(TRIM(Input!B155&amp;"")))</f>
        <v/>
      </c>
      <c r="B155" t="str">
        <f>IF(A155="","",IFERROR(VALUE(RIGHT(TRIM(Input!D155&amp;""),1)),0))</f>
        <v/>
      </c>
      <c r="C155" t="str">
        <f t="shared" si="2"/>
        <v/>
      </c>
      <c r="D155" t="str">
        <f>IF(A155="","",IFERROR(VALUE(SUBSTITUTE(TRIM(Input!E155&amp;""),"%","")),0)/IF(AND(IFERROR(VALUE(SUBSTITUTE(TRIM(Input!E155&amp;""),"%","")),0)&gt;0,IFERROR(VALUE(SUBSTITUTE(TRIM(Input!E155&amp;""),"%","")),0)&lt;1),1,100))</f>
        <v/>
      </c>
      <c r="E155" t="str">
        <f>IF(A155="","",IFERROR(VALUE(SUBSTITUTE(TRIM(Input!F155&amp;""),"%","")),0)/IF(AND(IFERROR(VALUE(SUBSTITUTE(TRIM(Input!F155&amp;""),"%","")),0)&gt;0,IFERROR(VALUE(SUBSTITUTE(TRIM(Input!F155&amp;""),"%","")),0)&lt;1),1,100))</f>
        <v/>
      </c>
      <c r="F155" t="str">
        <f>IF(A155="","",IFERROR(VALUE(SUBSTITUTE(TRIM(Input!G155&amp;""),"%","")),0)/IF(AND(IFERROR(VALUE(SUBSTITUTE(TRIM(Input!G155&amp;""),"%","")),0)&gt;0,IFERROR(VALUE(SUBSTITUTE(TRIM(Input!G155&amp;""),"%","")),0)&lt;1),1,100))</f>
        <v/>
      </c>
      <c r="G155" t="str">
        <f>IF(A155="","",IFERROR(VALUE(SUBSTITUTE(TRIM(Input!H155&amp;""),"%","")),0)/IF(AND(IFERROR(VALUE(SUBSTITUTE(TRIM(Input!H155&amp;""),"%","")),0)&gt;0,IFERROR(VALUE(SUBSTITUTE(TRIM(Input!H155&amp;""),"%","")),0)&lt;1),1,100))</f>
        <v/>
      </c>
      <c r="H155" t="str">
        <f>IF(A155="","",IFERROR(VALUE(SUBSTITUTE(TRIM(Input!I155&amp;""),"%","")),0)/IF(AND(IFERROR(VALUE(SUBSTITUTE(TRIM(Input!I155&amp;""),"%","")),0)&gt;0,IFERROR(VALUE(SUBSTITUTE(TRIM(Input!I155&amp;""),"%","")),0)&lt;1),1,100))</f>
        <v/>
      </c>
    </row>
    <row r="156" spans="1:8">
      <c r="A156" t="str">
        <f>IF(TRIM(Input!B156&amp;"")="","",UPPER(TRIM(Input!B156&amp;"")))</f>
        <v/>
      </c>
      <c r="B156" t="str">
        <f>IF(A156="","",IFERROR(VALUE(RIGHT(TRIM(Input!D156&amp;""),1)),0))</f>
        <v/>
      </c>
      <c r="C156" t="str">
        <f t="shared" si="2"/>
        <v/>
      </c>
      <c r="D156" t="str">
        <f>IF(A156="","",IFERROR(VALUE(SUBSTITUTE(TRIM(Input!E156&amp;""),"%","")),0)/IF(AND(IFERROR(VALUE(SUBSTITUTE(TRIM(Input!E156&amp;""),"%","")),0)&gt;0,IFERROR(VALUE(SUBSTITUTE(TRIM(Input!E156&amp;""),"%","")),0)&lt;1),1,100))</f>
        <v/>
      </c>
      <c r="E156" t="str">
        <f>IF(A156="","",IFERROR(VALUE(SUBSTITUTE(TRIM(Input!F156&amp;""),"%","")),0)/IF(AND(IFERROR(VALUE(SUBSTITUTE(TRIM(Input!F156&amp;""),"%","")),0)&gt;0,IFERROR(VALUE(SUBSTITUTE(TRIM(Input!F156&amp;""),"%","")),0)&lt;1),1,100))</f>
        <v/>
      </c>
      <c r="F156" t="str">
        <f>IF(A156="","",IFERROR(VALUE(SUBSTITUTE(TRIM(Input!G156&amp;""),"%","")),0)/IF(AND(IFERROR(VALUE(SUBSTITUTE(TRIM(Input!G156&amp;""),"%","")),0)&gt;0,IFERROR(VALUE(SUBSTITUTE(TRIM(Input!G156&amp;""),"%","")),0)&lt;1),1,100))</f>
        <v/>
      </c>
      <c r="G156" t="str">
        <f>IF(A156="","",IFERROR(VALUE(SUBSTITUTE(TRIM(Input!H156&amp;""),"%","")),0)/IF(AND(IFERROR(VALUE(SUBSTITUTE(TRIM(Input!H156&amp;""),"%","")),0)&gt;0,IFERROR(VALUE(SUBSTITUTE(TRIM(Input!H156&amp;""),"%","")),0)&lt;1),1,100))</f>
        <v/>
      </c>
      <c r="H156" t="str">
        <f>IF(A156="","",IFERROR(VALUE(SUBSTITUTE(TRIM(Input!I156&amp;""),"%","")),0)/IF(AND(IFERROR(VALUE(SUBSTITUTE(TRIM(Input!I156&amp;""),"%","")),0)&gt;0,IFERROR(VALUE(SUBSTITUTE(TRIM(Input!I156&amp;""),"%","")),0)&lt;1),1,100))</f>
        <v/>
      </c>
    </row>
    <row r="157" spans="1:8">
      <c r="A157" t="str">
        <f>IF(TRIM(Input!B157&amp;"")="","",UPPER(TRIM(Input!B157&amp;"")))</f>
        <v/>
      </c>
      <c r="B157" t="str">
        <f>IF(A157="","",IFERROR(VALUE(RIGHT(TRIM(Input!D157&amp;""),1)),0))</f>
        <v/>
      </c>
      <c r="C157" t="str">
        <f t="shared" si="2"/>
        <v/>
      </c>
      <c r="D157" t="str">
        <f>IF(A157="","",IFERROR(VALUE(SUBSTITUTE(TRIM(Input!E157&amp;""),"%","")),0)/IF(AND(IFERROR(VALUE(SUBSTITUTE(TRIM(Input!E157&amp;""),"%","")),0)&gt;0,IFERROR(VALUE(SUBSTITUTE(TRIM(Input!E157&amp;""),"%","")),0)&lt;1),1,100))</f>
        <v/>
      </c>
      <c r="E157" t="str">
        <f>IF(A157="","",IFERROR(VALUE(SUBSTITUTE(TRIM(Input!F157&amp;""),"%","")),0)/IF(AND(IFERROR(VALUE(SUBSTITUTE(TRIM(Input!F157&amp;""),"%","")),0)&gt;0,IFERROR(VALUE(SUBSTITUTE(TRIM(Input!F157&amp;""),"%","")),0)&lt;1),1,100))</f>
        <v/>
      </c>
      <c r="F157" t="str">
        <f>IF(A157="","",IFERROR(VALUE(SUBSTITUTE(TRIM(Input!G157&amp;""),"%","")),0)/IF(AND(IFERROR(VALUE(SUBSTITUTE(TRIM(Input!G157&amp;""),"%","")),0)&gt;0,IFERROR(VALUE(SUBSTITUTE(TRIM(Input!G157&amp;""),"%","")),0)&lt;1),1,100))</f>
        <v/>
      </c>
      <c r="G157" t="str">
        <f>IF(A157="","",IFERROR(VALUE(SUBSTITUTE(TRIM(Input!H157&amp;""),"%","")),0)/IF(AND(IFERROR(VALUE(SUBSTITUTE(TRIM(Input!H157&amp;""),"%","")),0)&gt;0,IFERROR(VALUE(SUBSTITUTE(TRIM(Input!H157&amp;""),"%","")),0)&lt;1),1,100))</f>
        <v/>
      </c>
      <c r="H157" t="str">
        <f>IF(A157="","",IFERROR(VALUE(SUBSTITUTE(TRIM(Input!I157&amp;""),"%","")),0)/IF(AND(IFERROR(VALUE(SUBSTITUTE(TRIM(Input!I157&amp;""),"%","")),0)&gt;0,IFERROR(VALUE(SUBSTITUTE(TRIM(Input!I157&amp;""),"%","")),0)&lt;1),1,100))</f>
        <v/>
      </c>
    </row>
    <row r="158" spans="1:8">
      <c r="A158" t="str">
        <f>IF(TRIM(Input!B158&amp;"")="","",UPPER(TRIM(Input!B158&amp;"")))</f>
        <v/>
      </c>
      <c r="B158" t="str">
        <f>IF(A158="","",IFERROR(VALUE(RIGHT(TRIM(Input!D158&amp;""),1)),0))</f>
        <v/>
      </c>
      <c r="C158" t="str">
        <f t="shared" si="2"/>
        <v/>
      </c>
      <c r="D158" t="str">
        <f>IF(A158="","",IFERROR(VALUE(SUBSTITUTE(TRIM(Input!E158&amp;""),"%","")),0)/IF(AND(IFERROR(VALUE(SUBSTITUTE(TRIM(Input!E158&amp;""),"%","")),0)&gt;0,IFERROR(VALUE(SUBSTITUTE(TRIM(Input!E158&amp;""),"%","")),0)&lt;1),1,100))</f>
        <v/>
      </c>
      <c r="E158" t="str">
        <f>IF(A158="","",IFERROR(VALUE(SUBSTITUTE(TRIM(Input!F158&amp;""),"%","")),0)/IF(AND(IFERROR(VALUE(SUBSTITUTE(TRIM(Input!F158&amp;""),"%","")),0)&gt;0,IFERROR(VALUE(SUBSTITUTE(TRIM(Input!F158&amp;""),"%","")),0)&lt;1),1,100))</f>
        <v/>
      </c>
      <c r="F158" t="str">
        <f>IF(A158="","",IFERROR(VALUE(SUBSTITUTE(TRIM(Input!G158&amp;""),"%","")),0)/IF(AND(IFERROR(VALUE(SUBSTITUTE(TRIM(Input!G158&amp;""),"%","")),0)&gt;0,IFERROR(VALUE(SUBSTITUTE(TRIM(Input!G158&amp;""),"%","")),0)&lt;1),1,100))</f>
        <v/>
      </c>
      <c r="G158" t="str">
        <f>IF(A158="","",IFERROR(VALUE(SUBSTITUTE(TRIM(Input!H158&amp;""),"%","")),0)/IF(AND(IFERROR(VALUE(SUBSTITUTE(TRIM(Input!H158&amp;""),"%","")),0)&gt;0,IFERROR(VALUE(SUBSTITUTE(TRIM(Input!H158&amp;""),"%","")),0)&lt;1),1,100))</f>
        <v/>
      </c>
      <c r="H158" t="str">
        <f>IF(A158="","",IFERROR(VALUE(SUBSTITUTE(TRIM(Input!I158&amp;""),"%","")),0)/IF(AND(IFERROR(VALUE(SUBSTITUTE(TRIM(Input!I158&amp;""),"%","")),0)&gt;0,IFERROR(VALUE(SUBSTITUTE(TRIM(Input!I158&amp;""),"%","")),0)&lt;1),1,100))</f>
        <v/>
      </c>
    </row>
    <row r="159" spans="1:8">
      <c r="A159" t="str">
        <f>IF(TRIM(Input!B159&amp;"")="","",UPPER(TRIM(Input!B159&amp;"")))</f>
        <v/>
      </c>
      <c r="B159" t="str">
        <f>IF(A159="","",IFERROR(VALUE(RIGHT(TRIM(Input!D159&amp;""),1)),0))</f>
        <v/>
      </c>
      <c r="C159" t="str">
        <f t="shared" si="2"/>
        <v/>
      </c>
      <c r="D159" t="str">
        <f>IF(A159="","",IFERROR(VALUE(SUBSTITUTE(TRIM(Input!E159&amp;""),"%","")),0)/IF(AND(IFERROR(VALUE(SUBSTITUTE(TRIM(Input!E159&amp;""),"%","")),0)&gt;0,IFERROR(VALUE(SUBSTITUTE(TRIM(Input!E159&amp;""),"%","")),0)&lt;1),1,100))</f>
        <v/>
      </c>
      <c r="E159" t="str">
        <f>IF(A159="","",IFERROR(VALUE(SUBSTITUTE(TRIM(Input!F159&amp;""),"%","")),0)/IF(AND(IFERROR(VALUE(SUBSTITUTE(TRIM(Input!F159&amp;""),"%","")),0)&gt;0,IFERROR(VALUE(SUBSTITUTE(TRIM(Input!F159&amp;""),"%","")),0)&lt;1),1,100))</f>
        <v/>
      </c>
      <c r="F159" t="str">
        <f>IF(A159="","",IFERROR(VALUE(SUBSTITUTE(TRIM(Input!G159&amp;""),"%","")),0)/IF(AND(IFERROR(VALUE(SUBSTITUTE(TRIM(Input!G159&amp;""),"%","")),0)&gt;0,IFERROR(VALUE(SUBSTITUTE(TRIM(Input!G159&amp;""),"%","")),0)&lt;1),1,100))</f>
        <v/>
      </c>
      <c r="G159" t="str">
        <f>IF(A159="","",IFERROR(VALUE(SUBSTITUTE(TRIM(Input!H159&amp;""),"%","")),0)/IF(AND(IFERROR(VALUE(SUBSTITUTE(TRIM(Input!H159&amp;""),"%","")),0)&gt;0,IFERROR(VALUE(SUBSTITUTE(TRIM(Input!H159&amp;""),"%","")),0)&lt;1),1,100))</f>
        <v/>
      </c>
      <c r="H159" t="str">
        <f>IF(A159="","",IFERROR(VALUE(SUBSTITUTE(TRIM(Input!I159&amp;""),"%","")),0)/IF(AND(IFERROR(VALUE(SUBSTITUTE(TRIM(Input!I159&amp;""),"%","")),0)&gt;0,IFERROR(VALUE(SUBSTITUTE(TRIM(Input!I159&amp;""),"%","")),0)&lt;1),1,100))</f>
        <v/>
      </c>
    </row>
    <row r="160" spans="1:8">
      <c r="A160" t="str">
        <f>IF(TRIM(Input!B160&amp;"")="","",UPPER(TRIM(Input!B160&amp;"")))</f>
        <v/>
      </c>
      <c r="B160" t="str">
        <f>IF(A160="","",IFERROR(VALUE(RIGHT(TRIM(Input!D160&amp;""),1)),0))</f>
        <v/>
      </c>
      <c r="C160" t="str">
        <f t="shared" si="2"/>
        <v/>
      </c>
      <c r="D160" t="str">
        <f>IF(A160="","",IFERROR(VALUE(SUBSTITUTE(TRIM(Input!E160&amp;""),"%","")),0)/IF(AND(IFERROR(VALUE(SUBSTITUTE(TRIM(Input!E160&amp;""),"%","")),0)&gt;0,IFERROR(VALUE(SUBSTITUTE(TRIM(Input!E160&amp;""),"%","")),0)&lt;1),1,100))</f>
        <v/>
      </c>
      <c r="E160" t="str">
        <f>IF(A160="","",IFERROR(VALUE(SUBSTITUTE(TRIM(Input!F160&amp;""),"%","")),0)/IF(AND(IFERROR(VALUE(SUBSTITUTE(TRIM(Input!F160&amp;""),"%","")),0)&gt;0,IFERROR(VALUE(SUBSTITUTE(TRIM(Input!F160&amp;""),"%","")),0)&lt;1),1,100))</f>
        <v/>
      </c>
      <c r="F160" t="str">
        <f>IF(A160="","",IFERROR(VALUE(SUBSTITUTE(TRIM(Input!G160&amp;""),"%","")),0)/IF(AND(IFERROR(VALUE(SUBSTITUTE(TRIM(Input!G160&amp;""),"%","")),0)&gt;0,IFERROR(VALUE(SUBSTITUTE(TRIM(Input!G160&amp;""),"%","")),0)&lt;1),1,100))</f>
        <v/>
      </c>
      <c r="G160" t="str">
        <f>IF(A160="","",IFERROR(VALUE(SUBSTITUTE(TRIM(Input!H160&amp;""),"%","")),0)/IF(AND(IFERROR(VALUE(SUBSTITUTE(TRIM(Input!H160&amp;""),"%","")),0)&gt;0,IFERROR(VALUE(SUBSTITUTE(TRIM(Input!H160&amp;""),"%","")),0)&lt;1),1,100))</f>
        <v/>
      </c>
      <c r="H160" t="str">
        <f>IF(A160="","",IFERROR(VALUE(SUBSTITUTE(TRIM(Input!I160&amp;""),"%","")),0)/IF(AND(IFERROR(VALUE(SUBSTITUTE(TRIM(Input!I160&amp;""),"%","")),0)&gt;0,IFERROR(VALUE(SUBSTITUTE(TRIM(Input!I160&amp;""),"%","")),0)&lt;1),1,100))</f>
        <v/>
      </c>
    </row>
    <row r="161" spans="1:8">
      <c r="A161" t="str">
        <f>IF(TRIM(Input!B161&amp;"")="","",UPPER(TRIM(Input!B161&amp;"")))</f>
        <v/>
      </c>
      <c r="B161" t="str">
        <f>IF(A161="","",IFERROR(VALUE(RIGHT(TRIM(Input!D161&amp;""),1)),0))</f>
        <v/>
      </c>
      <c r="C161" t="str">
        <f t="shared" si="2"/>
        <v/>
      </c>
      <c r="D161" t="str">
        <f>IF(A161="","",IFERROR(VALUE(SUBSTITUTE(TRIM(Input!E161&amp;""),"%","")),0)/IF(AND(IFERROR(VALUE(SUBSTITUTE(TRIM(Input!E161&amp;""),"%","")),0)&gt;0,IFERROR(VALUE(SUBSTITUTE(TRIM(Input!E161&amp;""),"%","")),0)&lt;1),1,100))</f>
        <v/>
      </c>
      <c r="E161" t="str">
        <f>IF(A161="","",IFERROR(VALUE(SUBSTITUTE(TRIM(Input!F161&amp;""),"%","")),0)/IF(AND(IFERROR(VALUE(SUBSTITUTE(TRIM(Input!F161&amp;""),"%","")),0)&gt;0,IFERROR(VALUE(SUBSTITUTE(TRIM(Input!F161&amp;""),"%","")),0)&lt;1),1,100))</f>
        <v/>
      </c>
      <c r="F161" t="str">
        <f>IF(A161="","",IFERROR(VALUE(SUBSTITUTE(TRIM(Input!G161&amp;""),"%","")),0)/IF(AND(IFERROR(VALUE(SUBSTITUTE(TRIM(Input!G161&amp;""),"%","")),0)&gt;0,IFERROR(VALUE(SUBSTITUTE(TRIM(Input!G161&amp;""),"%","")),0)&lt;1),1,100))</f>
        <v/>
      </c>
      <c r="G161" t="str">
        <f>IF(A161="","",IFERROR(VALUE(SUBSTITUTE(TRIM(Input!H161&amp;""),"%","")),0)/IF(AND(IFERROR(VALUE(SUBSTITUTE(TRIM(Input!H161&amp;""),"%","")),0)&gt;0,IFERROR(VALUE(SUBSTITUTE(TRIM(Input!H161&amp;""),"%","")),0)&lt;1),1,100))</f>
        <v/>
      </c>
      <c r="H161" t="str">
        <f>IF(A161="","",IFERROR(VALUE(SUBSTITUTE(TRIM(Input!I161&amp;""),"%","")),0)/IF(AND(IFERROR(VALUE(SUBSTITUTE(TRIM(Input!I161&amp;""),"%","")),0)&gt;0,IFERROR(VALUE(SUBSTITUTE(TRIM(Input!I161&amp;""),"%","")),0)&lt;1),1,100))</f>
        <v/>
      </c>
    </row>
    <row r="162" spans="1:8">
      <c r="A162" t="str">
        <f>IF(TRIM(Input!B162&amp;"")="","",UPPER(TRIM(Input!B162&amp;"")))</f>
        <v/>
      </c>
      <c r="B162" t="str">
        <f>IF(A162="","",IFERROR(VALUE(RIGHT(TRIM(Input!D162&amp;""),1)),0))</f>
        <v/>
      </c>
      <c r="C162" t="str">
        <f t="shared" si="2"/>
        <v/>
      </c>
      <c r="D162" t="str">
        <f>IF(A162="","",IFERROR(VALUE(SUBSTITUTE(TRIM(Input!E162&amp;""),"%","")),0)/IF(AND(IFERROR(VALUE(SUBSTITUTE(TRIM(Input!E162&amp;""),"%","")),0)&gt;0,IFERROR(VALUE(SUBSTITUTE(TRIM(Input!E162&amp;""),"%","")),0)&lt;1),1,100))</f>
        <v/>
      </c>
      <c r="E162" t="str">
        <f>IF(A162="","",IFERROR(VALUE(SUBSTITUTE(TRIM(Input!F162&amp;""),"%","")),0)/IF(AND(IFERROR(VALUE(SUBSTITUTE(TRIM(Input!F162&amp;""),"%","")),0)&gt;0,IFERROR(VALUE(SUBSTITUTE(TRIM(Input!F162&amp;""),"%","")),0)&lt;1),1,100))</f>
        <v/>
      </c>
      <c r="F162" t="str">
        <f>IF(A162="","",IFERROR(VALUE(SUBSTITUTE(TRIM(Input!G162&amp;""),"%","")),0)/IF(AND(IFERROR(VALUE(SUBSTITUTE(TRIM(Input!G162&amp;""),"%","")),0)&gt;0,IFERROR(VALUE(SUBSTITUTE(TRIM(Input!G162&amp;""),"%","")),0)&lt;1),1,100))</f>
        <v/>
      </c>
      <c r="G162" t="str">
        <f>IF(A162="","",IFERROR(VALUE(SUBSTITUTE(TRIM(Input!H162&amp;""),"%","")),0)/IF(AND(IFERROR(VALUE(SUBSTITUTE(TRIM(Input!H162&amp;""),"%","")),0)&gt;0,IFERROR(VALUE(SUBSTITUTE(TRIM(Input!H162&amp;""),"%","")),0)&lt;1),1,100))</f>
        <v/>
      </c>
      <c r="H162" t="str">
        <f>IF(A162="","",IFERROR(VALUE(SUBSTITUTE(TRIM(Input!I162&amp;""),"%","")),0)/IF(AND(IFERROR(VALUE(SUBSTITUTE(TRIM(Input!I162&amp;""),"%","")),0)&gt;0,IFERROR(VALUE(SUBSTITUTE(TRIM(Input!I162&amp;""),"%","")),0)&lt;1),1,100))</f>
        <v/>
      </c>
    </row>
    <row r="163" spans="1:8">
      <c r="A163" t="str">
        <f>IF(TRIM(Input!B163&amp;"")="","",UPPER(TRIM(Input!B163&amp;"")))</f>
        <v/>
      </c>
      <c r="B163" t="str">
        <f>IF(A163="","",IFERROR(VALUE(RIGHT(TRIM(Input!D163&amp;""),1)),0))</f>
        <v/>
      </c>
      <c r="C163" t="str">
        <f t="shared" si="2"/>
        <v/>
      </c>
      <c r="D163" t="str">
        <f>IF(A163="","",IFERROR(VALUE(SUBSTITUTE(TRIM(Input!E163&amp;""),"%","")),0)/IF(AND(IFERROR(VALUE(SUBSTITUTE(TRIM(Input!E163&amp;""),"%","")),0)&gt;0,IFERROR(VALUE(SUBSTITUTE(TRIM(Input!E163&amp;""),"%","")),0)&lt;1),1,100))</f>
        <v/>
      </c>
      <c r="E163" t="str">
        <f>IF(A163="","",IFERROR(VALUE(SUBSTITUTE(TRIM(Input!F163&amp;""),"%","")),0)/IF(AND(IFERROR(VALUE(SUBSTITUTE(TRIM(Input!F163&amp;""),"%","")),0)&gt;0,IFERROR(VALUE(SUBSTITUTE(TRIM(Input!F163&amp;""),"%","")),0)&lt;1),1,100))</f>
        <v/>
      </c>
      <c r="F163" t="str">
        <f>IF(A163="","",IFERROR(VALUE(SUBSTITUTE(TRIM(Input!G163&amp;""),"%","")),0)/IF(AND(IFERROR(VALUE(SUBSTITUTE(TRIM(Input!G163&amp;""),"%","")),0)&gt;0,IFERROR(VALUE(SUBSTITUTE(TRIM(Input!G163&amp;""),"%","")),0)&lt;1),1,100))</f>
        <v/>
      </c>
      <c r="G163" t="str">
        <f>IF(A163="","",IFERROR(VALUE(SUBSTITUTE(TRIM(Input!H163&amp;""),"%","")),0)/IF(AND(IFERROR(VALUE(SUBSTITUTE(TRIM(Input!H163&amp;""),"%","")),0)&gt;0,IFERROR(VALUE(SUBSTITUTE(TRIM(Input!H163&amp;""),"%","")),0)&lt;1),1,100))</f>
        <v/>
      </c>
      <c r="H163" t="str">
        <f>IF(A163="","",IFERROR(VALUE(SUBSTITUTE(TRIM(Input!I163&amp;""),"%","")),0)/IF(AND(IFERROR(VALUE(SUBSTITUTE(TRIM(Input!I163&amp;""),"%","")),0)&gt;0,IFERROR(VALUE(SUBSTITUTE(TRIM(Input!I163&amp;""),"%","")),0)&lt;1),1,100))</f>
        <v/>
      </c>
    </row>
    <row r="164" spans="1:8">
      <c r="A164" t="str">
        <f>IF(TRIM(Input!B164&amp;"")="","",UPPER(TRIM(Input!B164&amp;"")))</f>
        <v/>
      </c>
      <c r="B164" t="str">
        <f>IF(A164="","",IFERROR(VALUE(RIGHT(TRIM(Input!D164&amp;""),1)),0))</f>
        <v/>
      </c>
      <c r="C164" t="str">
        <f t="shared" si="2"/>
        <v/>
      </c>
      <c r="D164" t="str">
        <f>IF(A164="","",IFERROR(VALUE(SUBSTITUTE(TRIM(Input!E164&amp;""),"%","")),0)/IF(AND(IFERROR(VALUE(SUBSTITUTE(TRIM(Input!E164&amp;""),"%","")),0)&gt;0,IFERROR(VALUE(SUBSTITUTE(TRIM(Input!E164&amp;""),"%","")),0)&lt;1),1,100))</f>
        <v/>
      </c>
      <c r="E164" t="str">
        <f>IF(A164="","",IFERROR(VALUE(SUBSTITUTE(TRIM(Input!F164&amp;""),"%","")),0)/IF(AND(IFERROR(VALUE(SUBSTITUTE(TRIM(Input!F164&amp;""),"%","")),0)&gt;0,IFERROR(VALUE(SUBSTITUTE(TRIM(Input!F164&amp;""),"%","")),0)&lt;1),1,100))</f>
        <v/>
      </c>
      <c r="F164" t="str">
        <f>IF(A164="","",IFERROR(VALUE(SUBSTITUTE(TRIM(Input!G164&amp;""),"%","")),0)/IF(AND(IFERROR(VALUE(SUBSTITUTE(TRIM(Input!G164&amp;""),"%","")),0)&gt;0,IFERROR(VALUE(SUBSTITUTE(TRIM(Input!G164&amp;""),"%","")),0)&lt;1),1,100))</f>
        <v/>
      </c>
      <c r="G164" t="str">
        <f>IF(A164="","",IFERROR(VALUE(SUBSTITUTE(TRIM(Input!H164&amp;""),"%","")),0)/IF(AND(IFERROR(VALUE(SUBSTITUTE(TRIM(Input!H164&amp;""),"%","")),0)&gt;0,IFERROR(VALUE(SUBSTITUTE(TRIM(Input!H164&amp;""),"%","")),0)&lt;1),1,100))</f>
        <v/>
      </c>
      <c r="H164" t="str">
        <f>IF(A164="","",IFERROR(VALUE(SUBSTITUTE(TRIM(Input!I164&amp;""),"%","")),0)/IF(AND(IFERROR(VALUE(SUBSTITUTE(TRIM(Input!I164&amp;""),"%","")),0)&gt;0,IFERROR(VALUE(SUBSTITUTE(TRIM(Input!I164&amp;""),"%","")),0)&lt;1),1,100))</f>
        <v/>
      </c>
    </row>
    <row r="165" spans="1:8">
      <c r="A165" t="str">
        <f>IF(TRIM(Input!B165&amp;"")="","",UPPER(TRIM(Input!B165&amp;"")))</f>
        <v/>
      </c>
      <c r="B165" t="str">
        <f>IF(A165="","",IFERROR(VALUE(RIGHT(TRIM(Input!D165&amp;""),1)),0))</f>
        <v/>
      </c>
      <c r="C165" t="str">
        <f t="shared" si="2"/>
        <v/>
      </c>
      <c r="D165" t="str">
        <f>IF(A165="","",IFERROR(VALUE(SUBSTITUTE(TRIM(Input!E165&amp;""),"%","")),0)/IF(AND(IFERROR(VALUE(SUBSTITUTE(TRIM(Input!E165&amp;""),"%","")),0)&gt;0,IFERROR(VALUE(SUBSTITUTE(TRIM(Input!E165&amp;""),"%","")),0)&lt;1),1,100))</f>
        <v/>
      </c>
      <c r="E165" t="str">
        <f>IF(A165="","",IFERROR(VALUE(SUBSTITUTE(TRIM(Input!F165&amp;""),"%","")),0)/IF(AND(IFERROR(VALUE(SUBSTITUTE(TRIM(Input!F165&amp;""),"%","")),0)&gt;0,IFERROR(VALUE(SUBSTITUTE(TRIM(Input!F165&amp;""),"%","")),0)&lt;1),1,100))</f>
        <v/>
      </c>
      <c r="F165" t="str">
        <f>IF(A165="","",IFERROR(VALUE(SUBSTITUTE(TRIM(Input!G165&amp;""),"%","")),0)/IF(AND(IFERROR(VALUE(SUBSTITUTE(TRIM(Input!G165&amp;""),"%","")),0)&gt;0,IFERROR(VALUE(SUBSTITUTE(TRIM(Input!G165&amp;""),"%","")),0)&lt;1),1,100))</f>
        <v/>
      </c>
      <c r="G165" t="str">
        <f>IF(A165="","",IFERROR(VALUE(SUBSTITUTE(TRIM(Input!H165&amp;""),"%","")),0)/IF(AND(IFERROR(VALUE(SUBSTITUTE(TRIM(Input!H165&amp;""),"%","")),0)&gt;0,IFERROR(VALUE(SUBSTITUTE(TRIM(Input!H165&amp;""),"%","")),0)&lt;1),1,100))</f>
        <v/>
      </c>
      <c r="H165" t="str">
        <f>IF(A165="","",IFERROR(VALUE(SUBSTITUTE(TRIM(Input!I165&amp;""),"%","")),0)/IF(AND(IFERROR(VALUE(SUBSTITUTE(TRIM(Input!I165&amp;""),"%","")),0)&gt;0,IFERROR(VALUE(SUBSTITUTE(TRIM(Input!I165&amp;""),"%","")),0)&lt;1),1,100))</f>
        <v/>
      </c>
    </row>
    <row r="166" spans="1:8">
      <c r="A166" t="str">
        <f>IF(TRIM(Input!B166&amp;"")="","",UPPER(TRIM(Input!B166&amp;"")))</f>
        <v/>
      </c>
      <c r="B166" t="str">
        <f>IF(A166="","",IFERROR(VALUE(RIGHT(TRIM(Input!D166&amp;""),1)),0))</f>
        <v/>
      </c>
      <c r="C166" t="str">
        <f t="shared" si="2"/>
        <v/>
      </c>
      <c r="D166" t="str">
        <f>IF(A166="","",IFERROR(VALUE(SUBSTITUTE(TRIM(Input!E166&amp;""),"%","")),0)/IF(AND(IFERROR(VALUE(SUBSTITUTE(TRIM(Input!E166&amp;""),"%","")),0)&gt;0,IFERROR(VALUE(SUBSTITUTE(TRIM(Input!E166&amp;""),"%","")),0)&lt;1),1,100))</f>
        <v/>
      </c>
      <c r="E166" t="str">
        <f>IF(A166="","",IFERROR(VALUE(SUBSTITUTE(TRIM(Input!F166&amp;""),"%","")),0)/IF(AND(IFERROR(VALUE(SUBSTITUTE(TRIM(Input!F166&amp;""),"%","")),0)&gt;0,IFERROR(VALUE(SUBSTITUTE(TRIM(Input!F166&amp;""),"%","")),0)&lt;1),1,100))</f>
        <v/>
      </c>
      <c r="F166" t="str">
        <f>IF(A166="","",IFERROR(VALUE(SUBSTITUTE(TRIM(Input!G166&amp;""),"%","")),0)/IF(AND(IFERROR(VALUE(SUBSTITUTE(TRIM(Input!G166&amp;""),"%","")),0)&gt;0,IFERROR(VALUE(SUBSTITUTE(TRIM(Input!G166&amp;""),"%","")),0)&lt;1),1,100))</f>
        <v/>
      </c>
      <c r="G166" t="str">
        <f>IF(A166="","",IFERROR(VALUE(SUBSTITUTE(TRIM(Input!H166&amp;""),"%","")),0)/IF(AND(IFERROR(VALUE(SUBSTITUTE(TRIM(Input!H166&amp;""),"%","")),0)&gt;0,IFERROR(VALUE(SUBSTITUTE(TRIM(Input!H166&amp;""),"%","")),0)&lt;1),1,100))</f>
        <v/>
      </c>
      <c r="H166" t="str">
        <f>IF(A166="","",IFERROR(VALUE(SUBSTITUTE(TRIM(Input!I166&amp;""),"%","")),0)/IF(AND(IFERROR(VALUE(SUBSTITUTE(TRIM(Input!I166&amp;""),"%","")),0)&gt;0,IFERROR(VALUE(SUBSTITUTE(TRIM(Input!I166&amp;""),"%","")),0)&lt;1),1,100))</f>
        <v/>
      </c>
    </row>
    <row r="167" spans="1:8">
      <c r="A167" t="str">
        <f>IF(TRIM(Input!B167&amp;"")="","",UPPER(TRIM(Input!B167&amp;"")))</f>
        <v/>
      </c>
      <c r="B167" t="str">
        <f>IF(A167="","",IFERROR(VALUE(RIGHT(TRIM(Input!D167&amp;""),1)),0))</f>
        <v/>
      </c>
      <c r="C167" t="str">
        <f t="shared" si="2"/>
        <v/>
      </c>
      <c r="D167" t="str">
        <f>IF(A167="","",IFERROR(VALUE(SUBSTITUTE(TRIM(Input!E167&amp;""),"%","")),0)/IF(AND(IFERROR(VALUE(SUBSTITUTE(TRIM(Input!E167&amp;""),"%","")),0)&gt;0,IFERROR(VALUE(SUBSTITUTE(TRIM(Input!E167&amp;""),"%","")),0)&lt;1),1,100))</f>
        <v/>
      </c>
      <c r="E167" t="str">
        <f>IF(A167="","",IFERROR(VALUE(SUBSTITUTE(TRIM(Input!F167&amp;""),"%","")),0)/IF(AND(IFERROR(VALUE(SUBSTITUTE(TRIM(Input!F167&amp;""),"%","")),0)&gt;0,IFERROR(VALUE(SUBSTITUTE(TRIM(Input!F167&amp;""),"%","")),0)&lt;1),1,100))</f>
        <v/>
      </c>
      <c r="F167" t="str">
        <f>IF(A167="","",IFERROR(VALUE(SUBSTITUTE(TRIM(Input!G167&amp;""),"%","")),0)/IF(AND(IFERROR(VALUE(SUBSTITUTE(TRIM(Input!G167&amp;""),"%","")),0)&gt;0,IFERROR(VALUE(SUBSTITUTE(TRIM(Input!G167&amp;""),"%","")),0)&lt;1),1,100))</f>
        <v/>
      </c>
      <c r="G167" t="str">
        <f>IF(A167="","",IFERROR(VALUE(SUBSTITUTE(TRIM(Input!H167&amp;""),"%","")),0)/IF(AND(IFERROR(VALUE(SUBSTITUTE(TRIM(Input!H167&amp;""),"%","")),0)&gt;0,IFERROR(VALUE(SUBSTITUTE(TRIM(Input!H167&amp;""),"%","")),0)&lt;1),1,100))</f>
        <v/>
      </c>
      <c r="H167" t="str">
        <f>IF(A167="","",IFERROR(VALUE(SUBSTITUTE(TRIM(Input!I167&amp;""),"%","")),0)/IF(AND(IFERROR(VALUE(SUBSTITUTE(TRIM(Input!I167&amp;""),"%","")),0)&gt;0,IFERROR(VALUE(SUBSTITUTE(TRIM(Input!I167&amp;""),"%","")),0)&lt;1),1,100))</f>
        <v/>
      </c>
    </row>
    <row r="168" spans="1:8">
      <c r="A168" t="str">
        <f>IF(TRIM(Input!B168&amp;"")="","",UPPER(TRIM(Input!B168&amp;"")))</f>
        <v/>
      </c>
      <c r="B168" t="str">
        <f>IF(A168="","",IFERROR(VALUE(RIGHT(TRIM(Input!D168&amp;""),1)),0))</f>
        <v/>
      </c>
      <c r="C168" t="str">
        <f t="shared" si="2"/>
        <v/>
      </c>
      <c r="D168" t="str">
        <f>IF(A168="","",IFERROR(VALUE(SUBSTITUTE(TRIM(Input!E168&amp;""),"%","")),0)/IF(AND(IFERROR(VALUE(SUBSTITUTE(TRIM(Input!E168&amp;""),"%","")),0)&gt;0,IFERROR(VALUE(SUBSTITUTE(TRIM(Input!E168&amp;""),"%","")),0)&lt;1),1,100))</f>
        <v/>
      </c>
      <c r="E168" t="str">
        <f>IF(A168="","",IFERROR(VALUE(SUBSTITUTE(TRIM(Input!F168&amp;""),"%","")),0)/IF(AND(IFERROR(VALUE(SUBSTITUTE(TRIM(Input!F168&amp;""),"%","")),0)&gt;0,IFERROR(VALUE(SUBSTITUTE(TRIM(Input!F168&amp;""),"%","")),0)&lt;1),1,100))</f>
        <v/>
      </c>
      <c r="F168" t="str">
        <f>IF(A168="","",IFERROR(VALUE(SUBSTITUTE(TRIM(Input!G168&amp;""),"%","")),0)/IF(AND(IFERROR(VALUE(SUBSTITUTE(TRIM(Input!G168&amp;""),"%","")),0)&gt;0,IFERROR(VALUE(SUBSTITUTE(TRIM(Input!G168&amp;""),"%","")),0)&lt;1),1,100))</f>
        <v/>
      </c>
      <c r="G168" t="str">
        <f>IF(A168="","",IFERROR(VALUE(SUBSTITUTE(TRIM(Input!H168&amp;""),"%","")),0)/IF(AND(IFERROR(VALUE(SUBSTITUTE(TRIM(Input!H168&amp;""),"%","")),0)&gt;0,IFERROR(VALUE(SUBSTITUTE(TRIM(Input!H168&amp;""),"%","")),0)&lt;1),1,100))</f>
        <v/>
      </c>
      <c r="H168" t="str">
        <f>IF(A168="","",IFERROR(VALUE(SUBSTITUTE(TRIM(Input!I168&amp;""),"%","")),0)/IF(AND(IFERROR(VALUE(SUBSTITUTE(TRIM(Input!I168&amp;""),"%","")),0)&gt;0,IFERROR(VALUE(SUBSTITUTE(TRIM(Input!I168&amp;""),"%","")),0)&lt;1),1,100))</f>
        <v/>
      </c>
    </row>
    <row r="169" spans="1:8">
      <c r="A169" t="str">
        <f>IF(TRIM(Input!B169&amp;"")="","",UPPER(TRIM(Input!B169&amp;"")))</f>
        <v/>
      </c>
      <c r="B169" t="str">
        <f>IF(A169="","",IFERROR(VALUE(RIGHT(TRIM(Input!D169&amp;""),1)),0))</f>
        <v/>
      </c>
      <c r="C169" t="str">
        <f t="shared" si="2"/>
        <v/>
      </c>
      <c r="D169" t="str">
        <f>IF(A169="","",IFERROR(VALUE(SUBSTITUTE(TRIM(Input!E169&amp;""),"%","")),0)/IF(AND(IFERROR(VALUE(SUBSTITUTE(TRIM(Input!E169&amp;""),"%","")),0)&gt;0,IFERROR(VALUE(SUBSTITUTE(TRIM(Input!E169&amp;""),"%","")),0)&lt;1),1,100))</f>
        <v/>
      </c>
      <c r="E169" t="str">
        <f>IF(A169="","",IFERROR(VALUE(SUBSTITUTE(TRIM(Input!F169&amp;""),"%","")),0)/IF(AND(IFERROR(VALUE(SUBSTITUTE(TRIM(Input!F169&amp;""),"%","")),0)&gt;0,IFERROR(VALUE(SUBSTITUTE(TRIM(Input!F169&amp;""),"%","")),0)&lt;1),1,100))</f>
        <v/>
      </c>
      <c r="F169" t="str">
        <f>IF(A169="","",IFERROR(VALUE(SUBSTITUTE(TRIM(Input!G169&amp;""),"%","")),0)/IF(AND(IFERROR(VALUE(SUBSTITUTE(TRIM(Input!G169&amp;""),"%","")),0)&gt;0,IFERROR(VALUE(SUBSTITUTE(TRIM(Input!G169&amp;""),"%","")),0)&lt;1),1,100))</f>
        <v/>
      </c>
      <c r="G169" t="str">
        <f>IF(A169="","",IFERROR(VALUE(SUBSTITUTE(TRIM(Input!H169&amp;""),"%","")),0)/IF(AND(IFERROR(VALUE(SUBSTITUTE(TRIM(Input!H169&amp;""),"%","")),0)&gt;0,IFERROR(VALUE(SUBSTITUTE(TRIM(Input!H169&amp;""),"%","")),0)&lt;1),1,100))</f>
        <v/>
      </c>
      <c r="H169" t="str">
        <f>IF(A169="","",IFERROR(VALUE(SUBSTITUTE(TRIM(Input!I169&amp;""),"%","")),0)/IF(AND(IFERROR(VALUE(SUBSTITUTE(TRIM(Input!I169&amp;""),"%","")),0)&gt;0,IFERROR(VALUE(SUBSTITUTE(TRIM(Input!I169&amp;""),"%","")),0)&lt;1),1,100))</f>
        <v/>
      </c>
    </row>
    <row r="170" spans="1:8">
      <c r="A170" t="str">
        <f>IF(TRIM(Input!B170&amp;"")="","",UPPER(TRIM(Input!B170&amp;"")))</f>
        <v/>
      </c>
      <c r="B170" t="str">
        <f>IF(A170="","",IFERROR(VALUE(RIGHT(TRIM(Input!D170&amp;""),1)),0))</f>
        <v/>
      </c>
      <c r="C170" t="str">
        <f t="shared" si="2"/>
        <v/>
      </c>
      <c r="D170" t="str">
        <f>IF(A170="","",IFERROR(VALUE(SUBSTITUTE(TRIM(Input!E170&amp;""),"%","")),0)/IF(AND(IFERROR(VALUE(SUBSTITUTE(TRIM(Input!E170&amp;""),"%","")),0)&gt;0,IFERROR(VALUE(SUBSTITUTE(TRIM(Input!E170&amp;""),"%","")),0)&lt;1),1,100))</f>
        <v/>
      </c>
      <c r="E170" t="str">
        <f>IF(A170="","",IFERROR(VALUE(SUBSTITUTE(TRIM(Input!F170&amp;""),"%","")),0)/IF(AND(IFERROR(VALUE(SUBSTITUTE(TRIM(Input!F170&amp;""),"%","")),0)&gt;0,IFERROR(VALUE(SUBSTITUTE(TRIM(Input!F170&amp;""),"%","")),0)&lt;1),1,100))</f>
        <v/>
      </c>
      <c r="F170" t="str">
        <f>IF(A170="","",IFERROR(VALUE(SUBSTITUTE(TRIM(Input!G170&amp;""),"%","")),0)/IF(AND(IFERROR(VALUE(SUBSTITUTE(TRIM(Input!G170&amp;""),"%","")),0)&gt;0,IFERROR(VALUE(SUBSTITUTE(TRIM(Input!G170&amp;""),"%","")),0)&lt;1),1,100))</f>
        <v/>
      </c>
      <c r="G170" t="str">
        <f>IF(A170="","",IFERROR(VALUE(SUBSTITUTE(TRIM(Input!H170&amp;""),"%","")),0)/IF(AND(IFERROR(VALUE(SUBSTITUTE(TRIM(Input!H170&amp;""),"%","")),0)&gt;0,IFERROR(VALUE(SUBSTITUTE(TRIM(Input!H170&amp;""),"%","")),0)&lt;1),1,100))</f>
        <v/>
      </c>
      <c r="H170" t="str">
        <f>IF(A170="","",IFERROR(VALUE(SUBSTITUTE(TRIM(Input!I170&amp;""),"%","")),0)/IF(AND(IFERROR(VALUE(SUBSTITUTE(TRIM(Input!I170&amp;""),"%","")),0)&gt;0,IFERROR(VALUE(SUBSTITUTE(TRIM(Input!I170&amp;""),"%","")),0)&lt;1),1,100))</f>
        <v/>
      </c>
    </row>
    <row r="171" spans="1:8">
      <c r="A171" t="str">
        <f>IF(TRIM(Input!B171&amp;"")="","",UPPER(TRIM(Input!B171&amp;"")))</f>
        <v/>
      </c>
      <c r="B171" t="str">
        <f>IF(A171="","",IFERROR(VALUE(RIGHT(TRIM(Input!D171&amp;""),1)),0))</f>
        <v/>
      </c>
      <c r="C171" t="str">
        <f t="shared" si="2"/>
        <v/>
      </c>
      <c r="D171" t="str">
        <f>IF(A171="","",IFERROR(VALUE(SUBSTITUTE(TRIM(Input!E171&amp;""),"%","")),0)/IF(AND(IFERROR(VALUE(SUBSTITUTE(TRIM(Input!E171&amp;""),"%","")),0)&gt;0,IFERROR(VALUE(SUBSTITUTE(TRIM(Input!E171&amp;""),"%","")),0)&lt;1),1,100))</f>
        <v/>
      </c>
      <c r="E171" t="str">
        <f>IF(A171="","",IFERROR(VALUE(SUBSTITUTE(TRIM(Input!F171&amp;""),"%","")),0)/IF(AND(IFERROR(VALUE(SUBSTITUTE(TRIM(Input!F171&amp;""),"%","")),0)&gt;0,IFERROR(VALUE(SUBSTITUTE(TRIM(Input!F171&amp;""),"%","")),0)&lt;1),1,100))</f>
        <v/>
      </c>
      <c r="F171" t="str">
        <f>IF(A171="","",IFERROR(VALUE(SUBSTITUTE(TRIM(Input!G171&amp;""),"%","")),0)/IF(AND(IFERROR(VALUE(SUBSTITUTE(TRIM(Input!G171&amp;""),"%","")),0)&gt;0,IFERROR(VALUE(SUBSTITUTE(TRIM(Input!G171&amp;""),"%","")),0)&lt;1),1,100))</f>
        <v/>
      </c>
      <c r="G171" t="str">
        <f>IF(A171="","",IFERROR(VALUE(SUBSTITUTE(TRIM(Input!H171&amp;""),"%","")),0)/IF(AND(IFERROR(VALUE(SUBSTITUTE(TRIM(Input!H171&amp;""),"%","")),0)&gt;0,IFERROR(VALUE(SUBSTITUTE(TRIM(Input!H171&amp;""),"%","")),0)&lt;1),1,100))</f>
        <v/>
      </c>
      <c r="H171" t="str">
        <f>IF(A171="","",IFERROR(VALUE(SUBSTITUTE(TRIM(Input!I171&amp;""),"%","")),0)/IF(AND(IFERROR(VALUE(SUBSTITUTE(TRIM(Input!I171&amp;""),"%","")),0)&gt;0,IFERROR(VALUE(SUBSTITUTE(TRIM(Input!I171&amp;""),"%","")),0)&lt;1),1,100))</f>
        <v/>
      </c>
    </row>
    <row r="172" spans="1:8">
      <c r="A172" t="str">
        <f>IF(TRIM(Input!B172&amp;"")="","",UPPER(TRIM(Input!B172&amp;"")))</f>
        <v/>
      </c>
      <c r="B172" t="str">
        <f>IF(A172="","",IFERROR(VALUE(RIGHT(TRIM(Input!D172&amp;""),1)),0))</f>
        <v/>
      </c>
      <c r="C172" t="str">
        <f t="shared" si="2"/>
        <v/>
      </c>
      <c r="D172" t="str">
        <f>IF(A172="","",IFERROR(VALUE(SUBSTITUTE(TRIM(Input!E172&amp;""),"%","")),0)/IF(AND(IFERROR(VALUE(SUBSTITUTE(TRIM(Input!E172&amp;""),"%","")),0)&gt;0,IFERROR(VALUE(SUBSTITUTE(TRIM(Input!E172&amp;""),"%","")),0)&lt;1),1,100))</f>
        <v/>
      </c>
      <c r="E172" t="str">
        <f>IF(A172="","",IFERROR(VALUE(SUBSTITUTE(TRIM(Input!F172&amp;""),"%","")),0)/IF(AND(IFERROR(VALUE(SUBSTITUTE(TRIM(Input!F172&amp;""),"%","")),0)&gt;0,IFERROR(VALUE(SUBSTITUTE(TRIM(Input!F172&amp;""),"%","")),0)&lt;1),1,100))</f>
        <v/>
      </c>
      <c r="F172" t="str">
        <f>IF(A172="","",IFERROR(VALUE(SUBSTITUTE(TRIM(Input!G172&amp;""),"%","")),0)/IF(AND(IFERROR(VALUE(SUBSTITUTE(TRIM(Input!G172&amp;""),"%","")),0)&gt;0,IFERROR(VALUE(SUBSTITUTE(TRIM(Input!G172&amp;""),"%","")),0)&lt;1),1,100))</f>
        <v/>
      </c>
      <c r="G172" t="str">
        <f>IF(A172="","",IFERROR(VALUE(SUBSTITUTE(TRIM(Input!H172&amp;""),"%","")),0)/IF(AND(IFERROR(VALUE(SUBSTITUTE(TRIM(Input!H172&amp;""),"%","")),0)&gt;0,IFERROR(VALUE(SUBSTITUTE(TRIM(Input!H172&amp;""),"%","")),0)&lt;1),1,100))</f>
        <v/>
      </c>
      <c r="H172" t="str">
        <f>IF(A172="","",IFERROR(VALUE(SUBSTITUTE(TRIM(Input!I172&amp;""),"%","")),0)/IF(AND(IFERROR(VALUE(SUBSTITUTE(TRIM(Input!I172&amp;""),"%","")),0)&gt;0,IFERROR(VALUE(SUBSTITUTE(TRIM(Input!I172&amp;""),"%","")),0)&lt;1),1,100))</f>
        <v/>
      </c>
    </row>
    <row r="173" spans="1:8">
      <c r="A173" t="str">
        <f>IF(TRIM(Input!B173&amp;"")="","",UPPER(TRIM(Input!B173&amp;"")))</f>
        <v/>
      </c>
      <c r="B173" t="str">
        <f>IF(A173="","",IFERROR(VALUE(RIGHT(TRIM(Input!D173&amp;""),1)),0))</f>
        <v/>
      </c>
      <c r="C173" t="str">
        <f t="shared" si="2"/>
        <v/>
      </c>
      <c r="D173" t="str">
        <f>IF(A173="","",IFERROR(VALUE(SUBSTITUTE(TRIM(Input!E173&amp;""),"%","")),0)/IF(AND(IFERROR(VALUE(SUBSTITUTE(TRIM(Input!E173&amp;""),"%","")),0)&gt;0,IFERROR(VALUE(SUBSTITUTE(TRIM(Input!E173&amp;""),"%","")),0)&lt;1),1,100))</f>
        <v/>
      </c>
      <c r="E173" t="str">
        <f>IF(A173="","",IFERROR(VALUE(SUBSTITUTE(TRIM(Input!F173&amp;""),"%","")),0)/IF(AND(IFERROR(VALUE(SUBSTITUTE(TRIM(Input!F173&amp;""),"%","")),0)&gt;0,IFERROR(VALUE(SUBSTITUTE(TRIM(Input!F173&amp;""),"%","")),0)&lt;1),1,100))</f>
        <v/>
      </c>
      <c r="F173" t="str">
        <f>IF(A173="","",IFERROR(VALUE(SUBSTITUTE(TRIM(Input!G173&amp;""),"%","")),0)/IF(AND(IFERROR(VALUE(SUBSTITUTE(TRIM(Input!G173&amp;""),"%","")),0)&gt;0,IFERROR(VALUE(SUBSTITUTE(TRIM(Input!G173&amp;""),"%","")),0)&lt;1),1,100))</f>
        <v/>
      </c>
      <c r="G173" t="str">
        <f>IF(A173="","",IFERROR(VALUE(SUBSTITUTE(TRIM(Input!H173&amp;""),"%","")),0)/IF(AND(IFERROR(VALUE(SUBSTITUTE(TRIM(Input!H173&amp;""),"%","")),0)&gt;0,IFERROR(VALUE(SUBSTITUTE(TRIM(Input!H173&amp;""),"%","")),0)&lt;1),1,100))</f>
        <v/>
      </c>
      <c r="H173" t="str">
        <f>IF(A173="","",IFERROR(VALUE(SUBSTITUTE(TRIM(Input!I173&amp;""),"%","")),0)/IF(AND(IFERROR(VALUE(SUBSTITUTE(TRIM(Input!I173&amp;""),"%","")),0)&gt;0,IFERROR(VALUE(SUBSTITUTE(TRIM(Input!I173&amp;""),"%","")),0)&lt;1),1,100))</f>
        <v/>
      </c>
    </row>
    <row r="174" spans="1:8">
      <c r="A174" t="str">
        <f>IF(TRIM(Input!B174&amp;"")="","",UPPER(TRIM(Input!B174&amp;"")))</f>
        <v/>
      </c>
      <c r="B174" t="str">
        <f>IF(A174="","",IFERROR(VALUE(RIGHT(TRIM(Input!D174&amp;""),1)),0))</f>
        <v/>
      </c>
      <c r="C174" t="str">
        <f t="shared" si="2"/>
        <v/>
      </c>
      <c r="D174" t="str">
        <f>IF(A174="","",IFERROR(VALUE(SUBSTITUTE(TRIM(Input!E174&amp;""),"%","")),0)/IF(AND(IFERROR(VALUE(SUBSTITUTE(TRIM(Input!E174&amp;""),"%","")),0)&gt;0,IFERROR(VALUE(SUBSTITUTE(TRIM(Input!E174&amp;""),"%","")),0)&lt;1),1,100))</f>
        <v/>
      </c>
      <c r="E174" t="str">
        <f>IF(A174="","",IFERROR(VALUE(SUBSTITUTE(TRIM(Input!F174&amp;""),"%","")),0)/IF(AND(IFERROR(VALUE(SUBSTITUTE(TRIM(Input!F174&amp;""),"%","")),0)&gt;0,IFERROR(VALUE(SUBSTITUTE(TRIM(Input!F174&amp;""),"%","")),0)&lt;1),1,100))</f>
        <v/>
      </c>
      <c r="F174" t="str">
        <f>IF(A174="","",IFERROR(VALUE(SUBSTITUTE(TRIM(Input!G174&amp;""),"%","")),0)/IF(AND(IFERROR(VALUE(SUBSTITUTE(TRIM(Input!G174&amp;""),"%","")),0)&gt;0,IFERROR(VALUE(SUBSTITUTE(TRIM(Input!G174&amp;""),"%","")),0)&lt;1),1,100))</f>
        <v/>
      </c>
      <c r="G174" t="str">
        <f>IF(A174="","",IFERROR(VALUE(SUBSTITUTE(TRIM(Input!H174&amp;""),"%","")),0)/IF(AND(IFERROR(VALUE(SUBSTITUTE(TRIM(Input!H174&amp;""),"%","")),0)&gt;0,IFERROR(VALUE(SUBSTITUTE(TRIM(Input!H174&amp;""),"%","")),0)&lt;1),1,100))</f>
        <v/>
      </c>
      <c r="H174" t="str">
        <f>IF(A174="","",IFERROR(VALUE(SUBSTITUTE(TRIM(Input!I174&amp;""),"%","")),0)/IF(AND(IFERROR(VALUE(SUBSTITUTE(TRIM(Input!I174&amp;""),"%","")),0)&gt;0,IFERROR(VALUE(SUBSTITUTE(TRIM(Input!I174&amp;""),"%","")),0)&lt;1),1,100))</f>
        <v/>
      </c>
    </row>
    <row r="175" spans="1:8">
      <c r="A175" t="str">
        <f>IF(TRIM(Input!B175&amp;"")="","",UPPER(TRIM(Input!B175&amp;"")))</f>
        <v/>
      </c>
      <c r="B175" t="str">
        <f>IF(A175="","",IFERROR(VALUE(RIGHT(TRIM(Input!D175&amp;""),1)),0))</f>
        <v/>
      </c>
      <c r="C175" t="str">
        <f t="shared" si="2"/>
        <v/>
      </c>
      <c r="D175" t="str">
        <f>IF(A175="","",IFERROR(VALUE(SUBSTITUTE(TRIM(Input!E175&amp;""),"%","")),0)/IF(AND(IFERROR(VALUE(SUBSTITUTE(TRIM(Input!E175&amp;""),"%","")),0)&gt;0,IFERROR(VALUE(SUBSTITUTE(TRIM(Input!E175&amp;""),"%","")),0)&lt;1),1,100))</f>
        <v/>
      </c>
      <c r="E175" t="str">
        <f>IF(A175="","",IFERROR(VALUE(SUBSTITUTE(TRIM(Input!F175&amp;""),"%","")),0)/IF(AND(IFERROR(VALUE(SUBSTITUTE(TRIM(Input!F175&amp;""),"%","")),0)&gt;0,IFERROR(VALUE(SUBSTITUTE(TRIM(Input!F175&amp;""),"%","")),0)&lt;1),1,100))</f>
        <v/>
      </c>
      <c r="F175" t="str">
        <f>IF(A175="","",IFERROR(VALUE(SUBSTITUTE(TRIM(Input!G175&amp;""),"%","")),0)/IF(AND(IFERROR(VALUE(SUBSTITUTE(TRIM(Input!G175&amp;""),"%","")),0)&gt;0,IFERROR(VALUE(SUBSTITUTE(TRIM(Input!G175&amp;""),"%","")),0)&lt;1),1,100))</f>
        <v/>
      </c>
      <c r="G175" t="str">
        <f>IF(A175="","",IFERROR(VALUE(SUBSTITUTE(TRIM(Input!H175&amp;""),"%","")),0)/IF(AND(IFERROR(VALUE(SUBSTITUTE(TRIM(Input!H175&amp;""),"%","")),0)&gt;0,IFERROR(VALUE(SUBSTITUTE(TRIM(Input!H175&amp;""),"%","")),0)&lt;1),1,100))</f>
        <v/>
      </c>
      <c r="H175" t="str">
        <f>IF(A175="","",IFERROR(VALUE(SUBSTITUTE(TRIM(Input!I175&amp;""),"%","")),0)/IF(AND(IFERROR(VALUE(SUBSTITUTE(TRIM(Input!I175&amp;""),"%","")),0)&gt;0,IFERROR(VALUE(SUBSTITUTE(TRIM(Input!I175&amp;""),"%","")),0)&lt;1),1,100))</f>
        <v/>
      </c>
    </row>
    <row r="176" spans="1:8">
      <c r="A176" t="str">
        <f>IF(TRIM(Input!B176&amp;"")="","",UPPER(TRIM(Input!B176&amp;"")))</f>
        <v/>
      </c>
      <c r="B176" t="str">
        <f>IF(A176="","",IFERROR(VALUE(RIGHT(TRIM(Input!D176&amp;""),1)),0))</f>
        <v/>
      </c>
      <c r="C176" t="str">
        <f t="shared" si="2"/>
        <v/>
      </c>
      <c r="D176" t="str">
        <f>IF(A176="","",IFERROR(VALUE(SUBSTITUTE(TRIM(Input!E176&amp;""),"%","")),0)/IF(AND(IFERROR(VALUE(SUBSTITUTE(TRIM(Input!E176&amp;""),"%","")),0)&gt;0,IFERROR(VALUE(SUBSTITUTE(TRIM(Input!E176&amp;""),"%","")),0)&lt;1),1,100))</f>
        <v/>
      </c>
      <c r="E176" t="str">
        <f>IF(A176="","",IFERROR(VALUE(SUBSTITUTE(TRIM(Input!F176&amp;""),"%","")),0)/IF(AND(IFERROR(VALUE(SUBSTITUTE(TRIM(Input!F176&amp;""),"%","")),0)&gt;0,IFERROR(VALUE(SUBSTITUTE(TRIM(Input!F176&amp;""),"%","")),0)&lt;1),1,100))</f>
        <v/>
      </c>
      <c r="F176" t="str">
        <f>IF(A176="","",IFERROR(VALUE(SUBSTITUTE(TRIM(Input!G176&amp;""),"%","")),0)/IF(AND(IFERROR(VALUE(SUBSTITUTE(TRIM(Input!G176&amp;""),"%","")),0)&gt;0,IFERROR(VALUE(SUBSTITUTE(TRIM(Input!G176&amp;""),"%","")),0)&lt;1),1,100))</f>
        <v/>
      </c>
      <c r="G176" t="str">
        <f>IF(A176="","",IFERROR(VALUE(SUBSTITUTE(TRIM(Input!H176&amp;""),"%","")),0)/IF(AND(IFERROR(VALUE(SUBSTITUTE(TRIM(Input!H176&amp;""),"%","")),0)&gt;0,IFERROR(VALUE(SUBSTITUTE(TRIM(Input!H176&amp;""),"%","")),0)&lt;1),1,100))</f>
        <v/>
      </c>
      <c r="H176" t="str">
        <f>IF(A176="","",IFERROR(VALUE(SUBSTITUTE(TRIM(Input!I176&amp;""),"%","")),0)/IF(AND(IFERROR(VALUE(SUBSTITUTE(TRIM(Input!I176&amp;""),"%","")),0)&gt;0,IFERROR(VALUE(SUBSTITUTE(TRIM(Input!I176&amp;""),"%","")),0)&lt;1),1,100))</f>
        <v/>
      </c>
    </row>
    <row r="177" spans="1:8">
      <c r="A177" t="str">
        <f>IF(TRIM(Input!B177&amp;"")="","",UPPER(TRIM(Input!B177&amp;"")))</f>
        <v/>
      </c>
      <c r="B177" t="str">
        <f>IF(A177="","",IFERROR(VALUE(RIGHT(TRIM(Input!D177&amp;""),1)),0))</f>
        <v/>
      </c>
      <c r="C177" t="str">
        <f t="shared" si="2"/>
        <v/>
      </c>
      <c r="D177" t="str">
        <f>IF(A177="","",IFERROR(VALUE(SUBSTITUTE(TRIM(Input!E177&amp;""),"%","")),0)/IF(AND(IFERROR(VALUE(SUBSTITUTE(TRIM(Input!E177&amp;""),"%","")),0)&gt;0,IFERROR(VALUE(SUBSTITUTE(TRIM(Input!E177&amp;""),"%","")),0)&lt;1),1,100))</f>
        <v/>
      </c>
      <c r="E177" t="str">
        <f>IF(A177="","",IFERROR(VALUE(SUBSTITUTE(TRIM(Input!F177&amp;""),"%","")),0)/IF(AND(IFERROR(VALUE(SUBSTITUTE(TRIM(Input!F177&amp;""),"%","")),0)&gt;0,IFERROR(VALUE(SUBSTITUTE(TRIM(Input!F177&amp;""),"%","")),0)&lt;1),1,100))</f>
        <v/>
      </c>
      <c r="F177" t="str">
        <f>IF(A177="","",IFERROR(VALUE(SUBSTITUTE(TRIM(Input!G177&amp;""),"%","")),0)/IF(AND(IFERROR(VALUE(SUBSTITUTE(TRIM(Input!G177&amp;""),"%","")),0)&gt;0,IFERROR(VALUE(SUBSTITUTE(TRIM(Input!G177&amp;""),"%","")),0)&lt;1),1,100))</f>
        <v/>
      </c>
      <c r="G177" t="str">
        <f>IF(A177="","",IFERROR(VALUE(SUBSTITUTE(TRIM(Input!H177&amp;""),"%","")),0)/IF(AND(IFERROR(VALUE(SUBSTITUTE(TRIM(Input!H177&amp;""),"%","")),0)&gt;0,IFERROR(VALUE(SUBSTITUTE(TRIM(Input!H177&amp;""),"%","")),0)&lt;1),1,100))</f>
        <v/>
      </c>
      <c r="H177" t="str">
        <f>IF(A177="","",IFERROR(VALUE(SUBSTITUTE(TRIM(Input!I177&amp;""),"%","")),0)/IF(AND(IFERROR(VALUE(SUBSTITUTE(TRIM(Input!I177&amp;""),"%","")),0)&gt;0,IFERROR(VALUE(SUBSTITUTE(TRIM(Input!I177&amp;""),"%","")),0)&lt;1),1,100))</f>
        <v/>
      </c>
    </row>
    <row r="178" spans="1:8">
      <c r="A178" t="str">
        <f>IF(TRIM(Input!B178&amp;"")="","",UPPER(TRIM(Input!B178&amp;"")))</f>
        <v/>
      </c>
      <c r="B178" t="str">
        <f>IF(A178="","",IFERROR(VALUE(RIGHT(TRIM(Input!D178&amp;""),1)),0))</f>
        <v/>
      </c>
      <c r="C178" t="str">
        <f t="shared" si="2"/>
        <v/>
      </c>
      <c r="D178" t="str">
        <f>IF(A178="","",IFERROR(VALUE(SUBSTITUTE(TRIM(Input!E178&amp;""),"%","")),0)/IF(AND(IFERROR(VALUE(SUBSTITUTE(TRIM(Input!E178&amp;""),"%","")),0)&gt;0,IFERROR(VALUE(SUBSTITUTE(TRIM(Input!E178&amp;""),"%","")),0)&lt;1),1,100))</f>
        <v/>
      </c>
      <c r="E178" t="str">
        <f>IF(A178="","",IFERROR(VALUE(SUBSTITUTE(TRIM(Input!F178&amp;""),"%","")),0)/IF(AND(IFERROR(VALUE(SUBSTITUTE(TRIM(Input!F178&amp;""),"%","")),0)&gt;0,IFERROR(VALUE(SUBSTITUTE(TRIM(Input!F178&amp;""),"%","")),0)&lt;1),1,100))</f>
        <v/>
      </c>
      <c r="F178" t="str">
        <f>IF(A178="","",IFERROR(VALUE(SUBSTITUTE(TRIM(Input!G178&amp;""),"%","")),0)/IF(AND(IFERROR(VALUE(SUBSTITUTE(TRIM(Input!G178&amp;""),"%","")),0)&gt;0,IFERROR(VALUE(SUBSTITUTE(TRIM(Input!G178&amp;""),"%","")),0)&lt;1),1,100))</f>
        <v/>
      </c>
      <c r="G178" t="str">
        <f>IF(A178="","",IFERROR(VALUE(SUBSTITUTE(TRIM(Input!H178&amp;""),"%","")),0)/IF(AND(IFERROR(VALUE(SUBSTITUTE(TRIM(Input!H178&amp;""),"%","")),0)&gt;0,IFERROR(VALUE(SUBSTITUTE(TRIM(Input!H178&amp;""),"%","")),0)&lt;1),1,100))</f>
        <v/>
      </c>
      <c r="H178" t="str">
        <f>IF(A178="","",IFERROR(VALUE(SUBSTITUTE(TRIM(Input!I178&amp;""),"%","")),0)/IF(AND(IFERROR(VALUE(SUBSTITUTE(TRIM(Input!I178&amp;""),"%","")),0)&gt;0,IFERROR(VALUE(SUBSTITUTE(TRIM(Input!I178&amp;""),"%","")),0)&lt;1),1,100))</f>
        <v/>
      </c>
    </row>
    <row r="179" spans="1:8">
      <c r="A179" t="str">
        <f>IF(TRIM(Input!B179&amp;"")="","",UPPER(TRIM(Input!B179&amp;"")))</f>
        <v/>
      </c>
      <c r="B179" t="str">
        <f>IF(A179="","",IFERROR(VALUE(RIGHT(TRIM(Input!D179&amp;""),1)),0))</f>
        <v/>
      </c>
      <c r="C179" t="str">
        <f t="shared" si="2"/>
        <v/>
      </c>
      <c r="D179" t="str">
        <f>IF(A179="","",IFERROR(VALUE(SUBSTITUTE(TRIM(Input!E179&amp;""),"%","")),0)/IF(AND(IFERROR(VALUE(SUBSTITUTE(TRIM(Input!E179&amp;""),"%","")),0)&gt;0,IFERROR(VALUE(SUBSTITUTE(TRIM(Input!E179&amp;""),"%","")),0)&lt;1),1,100))</f>
        <v/>
      </c>
      <c r="E179" t="str">
        <f>IF(A179="","",IFERROR(VALUE(SUBSTITUTE(TRIM(Input!F179&amp;""),"%","")),0)/IF(AND(IFERROR(VALUE(SUBSTITUTE(TRIM(Input!F179&amp;""),"%","")),0)&gt;0,IFERROR(VALUE(SUBSTITUTE(TRIM(Input!F179&amp;""),"%","")),0)&lt;1),1,100))</f>
        <v/>
      </c>
      <c r="F179" t="str">
        <f>IF(A179="","",IFERROR(VALUE(SUBSTITUTE(TRIM(Input!G179&amp;""),"%","")),0)/IF(AND(IFERROR(VALUE(SUBSTITUTE(TRIM(Input!G179&amp;""),"%","")),0)&gt;0,IFERROR(VALUE(SUBSTITUTE(TRIM(Input!G179&amp;""),"%","")),0)&lt;1),1,100))</f>
        <v/>
      </c>
      <c r="G179" t="str">
        <f>IF(A179="","",IFERROR(VALUE(SUBSTITUTE(TRIM(Input!H179&amp;""),"%","")),0)/IF(AND(IFERROR(VALUE(SUBSTITUTE(TRIM(Input!H179&amp;""),"%","")),0)&gt;0,IFERROR(VALUE(SUBSTITUTE(TRIM(Input!H179&amp;""),"%","")),0)&lt;1),1,100))</f>
        <v/>
      </c>
      <c r="H179" t="str">
        <f>IF(A179="","",IFERROR(VALUE(SUBSTITUTE(TRIM(Input!I179&amp;""),"%","")),0)/IF(AND(IFERROR(VALUE(SUBSTITUTE(TRIM(Input!I179&amp;""),"%","")),0)&gt;0,IFERROR(VALUE(SUBSTITUTE(TRIM(Input!I179&amp;""),"%","")),0)&lt;1),1,100))</f>
        <v/>
      </c>
    </row>
    <row r="180" spans="1:8">
      <c r="A180" t="str">
        <f>IF(TRIM(Input!B180&amp;"")="","",UPPER(TRIM(Input!B180&amp;"")))</f>
        <v/>
      </c>
      <c r="B180" t="str">
        <f>IF(A180="","",IFERROR(VALUE(RIGHT(TRIM(Input!D180&amp;""),1)),0))</f>
        <v/>
      </c>
      <c r="C180" t="str">
        <f t="shared" si="2"/>
        <v/>
      </c>
      <c r="D180" t="str">
        <f>IF(A180="","",IFERROR(VALUE(SUBSTITUTE(TRIM(Input!E180&amp;""),"%","")),0)/IF(AND(IFERROR(VALUE(SUBSTITUTE(TRIM(Input!E180&amp;""),"%","")),0)&gt;0,IFERROR(VALUE(SUBSTITUTE(TRIM(Input!E180&amp;""),"%","")),0)&lt;1),1,100))</f>
        <v/>
      </c>
      <c r="E180" t="str">
        <f>IF(A180="","",IFERROR(VALUE(SUBSTITUTE(TRIM(Input!F180&amp;""),"%","")),0)/IF(AND(IFERROR(VALUE(SUBSTITUTE(TRIM(Input!F180&amp;""),"%","")),0)&gt;0,IFERROR(VALUE(SUBSTITUTE(TRIM(Input!F180&amp;""),"%","")),0)&lt;1),1,100))</f>
        <v/>
      </c>
      <c r="F180" t="str">
        <f>IF(A180="","",IFERROR(VALUE(SUBSTITUTE(TRIM(Input!G180&amp;""),"%","")),0)/IF(AND(IFERROR(VALUE(SUBSTITUTE(TRIM(Input!G180&amp;""),"%","")),0)&gt;0,IFERROR(VALUE(SUBSTITUTE(TRIM(Input!G180&amp;""),"%","")),0)&lt;1),1,100))</f>
        <v/>
      </c>
      <c r="G180" t="str">
        <f>IF(A180="","",IFERROR(VALUE(SUBSTITUTE(TRIM(Input!H180&amp;""),"%","")),0)/IF(AND(IFERROR(VALUE(SUBSTITUTE(TRIM(Input!H180&amp;""),"%","")),0)&gt;0,IFERROR(VALUE(SUBSTITUTE(TRIM(Input!H180&amp;""),"%","")),0)&lt;1),1,100))</f>
        <v/>
      </c>
      <c r="H180" t="str">
        <f>IF(A180="","",IFERROR(VALUE(SUBSTITUTE(TRIM(Input!I180&amp;""),"%","")),0)/IF(AND(IFERROR(VALUE(SUBSTITUTE(TRIM(Input!I180&amp;""),"%","")),0)&gt;0,IFERROR(VALUE(SUBSTITUTE(TRIM(Input!I180&amp;""),"%","")),0)&lt;1),1,100))</f>
        <v/>
      </c>
    </row>
    <row r="181" spans="1:8">
      <c r="A181" t="str">
        <f>IF(TRIM(Input!B181&amp;"")="","",UPPER(TRIM(Input!B181&amp;"")))</f>
        <v/>
      </c>
      <c r="B181" t="str">
        <f>IF(A181="","",IFERROR(VALUE(RIGHT(TRIM(Input!D181&amp;""),1)),0))</f>
        <v/>
      </c>
      <c r="C181" t="str">
        <f t="shared" si="2"/>
        <v/>
      </c>
      <c r="D181" t="str">
        <f>IF(A181="","",IFERROR(VALUE(SUBSTITUTE(TRIM(Input!E181&amp;""),"%","")),0)/IF(AND(IFERROR(VALUE(SUBSTITUTE(TRIM(Input!E181&amp;""),"%","")),0)&gt;0,IFERROR(VALUE(SUBSTITUTE(TRIM(Input!E181&amp;""),"%","")),0)&lt;1),1,100))</f>
        <v/>
      </c>
      <c r="E181" t="str">
        <f>IF(A181="","",IFERROR(VALUE(SUBSTITUTE(TRIM(Input!F181&amp;""),"%","")),0)/IF(AND(IFERROR(VALUE(SUBSTITUTE(TRIM(Input!F181&amp;""),"%","")),0)&gt;0,IFERROR(VALUE(SUBSTITUTE(TRIM(Input!F181&amp;""),"%","")),0)&lt;1),1,100))</f>
        <v/>
      </c>
      <c r="F181" t="str">
        <f>IF(A181="","",IFERROR(VALUE(SUBSTITUTE(TRIM(Input!G181&amp;""),"%","")),0)/IF(AND(IFERROR(VALUE(SUBSTITUTE(TRIM(Input!G181&amp;""),"%","")),0)&gt;0,IFERROR(VALUE(SUBSTITUTE(TRIM(Input!G181&amp;""),"%","")),0)&lt;1),1,100))</f>
        <v/>
      </c>
      <c r="G181" t="str">
        <f>IF(A181="","",IFERROR(VALUE(SUBSTITUTE(TRIM(Input!H181&amp;""),"%","")),0)/IF(AND(IFERROR(VALUE(SUBSTITUTE(TRIM(Input!H181&amp;""),"%","")),0)&gt;0,IFERROR(VALUE(SUBSTITUTE(TRIM(Input!H181&amp;""),"%","")),0)&lt;1),1,100))</f>
        <v/>
      </c>
      <c r="H181" t="str">
        <f>IF(A181="","",IFERROR(VALUE(SUBSTITUTE(TRIM(Input!I181&amp;""),"%","")),0)/IF(AND(IFERROR(VALUE(SUBSTITUTE(TRIM(Input!I181&amp;""),"%","")),0)&gt;0,IFERROR(VALUE(SUBSTITUTE(TRIM(Input!I181&amp;""),"%","")),0)&lt;1),1,100))</f>
        <v/>
      </c>
    </row>
    <row r="182" spans="1:8">
      <c r="A182" t="str">
        <f>IF(TRIM(Input!B182&amp;"")="","",UPPER(TRIM(Input!B182&amp;"")))</f>
        <v/>
      </c>
      <c r="B182" t="str">
        <f>IF(A182="","",IFERROR(VALUE(RIGHT(TRIM(Input!D182&amp;""),1)),0))</f>
        <v/>
      </c>
      <c r="C182" t="str">
        <f t="shared" si="2"/>
        <v/>
      </c>
      <c r="D182" t="str">
        <f>IF(A182="","",IFERROR(VALUE(SUBSTITUTE(TRIM(Input!E182&amp;""),"%","")),0)/IF(AND(IFERROR(VALUE(SUBSTITUTE(TRIM(Input!E182&amp;""),"%","")),0)&gt;0,IFERROR(VALUE(SUBSTITUTE(TRIM(Input!E182&amp;""),"%","")),0)&lt;1),1,100))</f>
        <v/>
      </c>
      <c r="E182" t="str">
        <f>IF(A182="","",IFERROR(VALUE(SUBSTITUTE(TRIM(Input!F182&amp;""),"%","")),0)/IF(AND(IFERROR(VALUE(SUBSTITUTE(TRIM(Input!F182&amp;""),"%","")),0)&gt;0,IFERROR(VALUE(SUBSTITUTE(TRIM(Input!F182&amp;""),"%","")),0)&lt;1),1,100))</f>
        <v/>
      </c>
      <c r="F182" t="str">
        <f>IF(A182="","",IFERROR(VALUE(SUBSTITUTE(TRIM(Input!G182&amp;""),"%","")),0)/IF(AND(IFERROR(VALUE(SUBSTITUTE(TRIM(Input!G182&amp;""),"%","")),0)&gt;0,IFERROR(VALUE(SUBSTITUTE(TRIM(Input!G182&amp;""),"%","")),0)&lt;1),1,100))</f>
        <v/>
      </c>
      <c r="G182" t="str">
        <f>IF(A182="","",IFERROR(VALUE(SUBSTITUTE(TRIM(Input!H182&amp;""),"%","")),0)/IF(AND(IFERROR(VALUE(SUBSTITUTE(TRIM(Input!H182&amp;""),"%","")),0)&gt;0,IFERROR(VALUE(SUBSTITUTE(TRIM(Input!H182&amp;""),"%","")),0)&lt;1),1,100))</f>
        <v/>
      </c>
      <c r="H182" t="str">
        <f>IF(A182="","",IFERROR(VALUE(SUBSTITUTE(TRIM(Input!I182&amp;""),"%","")),0)/IF(AND(IFERROR(VALUE(SUBSTITUTE(TRIM(Input!I182&amp;""),"%","")),0)&gt;0,IFERROR(VALUE(SUBSTITUTE(TRIM(Input!I182&amp;""),"%","")),0)&lt;1),1,100))</f>
        <v/>
      </c>
    </row>
    <row r="183" spans="1:8">
      <c r="A183" t="str">
        <f>IF(TRIM(Input!B183&amp;"")="","",UPPER(TRIM(Input!B183&amp;"")))</f>
        <v/>
      </c>
      <c r="B183" t="str">
        <f>IF(A183="","",IFERROR(VALUE(RIGHT(TRIM(Input!D183&amp;""),1)),0))</f>
        <v/>
      </c>
      <c r="C183" t="str">
        <f t="shared" si="2"/>
        <v/>
      </c>
      <c r="D183" t="str">
        <f>IF(A183="","",IFERROR(VALUE(SUBSTITUTE(TRIM(Input!E183&amp;""),"%","")),0)/IF(AND(IFERROR(VALUE(SUBSTITUTE(TRIM(Input!E183&amp;""),"%","")),0)&gt;0,IFERROR(VALUE(SUBSTITUTE(TRIM(Input!E183&amp;""),"%","")),0)&lt;1),1,100))</f>
        <v/>
      </c>
      <c r="E183" t="str">
        <f>IF(A183="","",IFERROR(VALUE(SUBSTITUTE(TRIM(Input!F183&amp;""),"%","")),0)/IF(AND(IFERROR(VALUE(SUBSTITUTE(TRIM(Input!F183&amp;""),"%","")),0)&gt;0,IFERROR(VALUE(SUBSTITUTE(TRIM(Input!F183&amp;""),"%","")),0)&lt;1),1,100))</f>
        <v/>
      </c>
      <c r="F183" t="str">
        <f>IF(A183="","",IFERROR(VALUE(SUBSTITUTE(TRIM(Input!G183&amp;""),"%","")),0)/IF(AND(IFERROR(VALUE(SUBSTITUTE(TRIM(Input!G183&amp;""),"%","")),0)&gt;0,IFERROR(VALUE(SUBSTITUTE(TRIM(Input!G183&amp;""),"%","")),0)&lt;1),1,100))</f>
        <v/>
      </c>
      <c r="G183" t="str">
        <f>IF(A183="","",IFERROR(VALUE(SUBSTITUTE(TRIM(Input!H183&amp;""),"%","")),0)/IF(AND(IFERROR(VALUE(SUBSTITUTE(TRIM(Input!H183&amp;""),"%","")),0)&gt;0,IFERROR(VALUE(SUBSTITUTE(TRIM(Input!H183&amp;""),"%","")),0)&lt;1),1,100))</f>
        <v/>
      </c>
      <c r="H183" t="str">
        <f>IF(A183="","",IFERROR(VALUE(SUBSTITUTE(TRIM(Input!I183&amp;""),"%","")),0)/IF(AND(IFERROR(VALUE(SUBSTITUTE(TRIM(Input!I183&amp;""),"%","")),0)&gt;0,IFERROR(VALUE(SUBSTITUTE(TRIM(Input!I183&amp;""),"%","")),0)&lt;1),1,100))</f>
        <v/>
      </c>
    </row>
    <row r="184" spans="1:8">
      <c r="A184" t="str">
        <f>IF(TRIM(Input!B184&amp;"")="","",UPPER(TRIM(Input!B184&amp;"")))</f>
        <v/>
      </c>
      <c r="B184" t="str">
        <f>IF(A184="","",IFERROR(VALUE(RIGHT(TRIM(Input!D184&amp;""),1)),0))</f>
        <v/>
      </c>
      <c r="C184" t="str">
        <f t="shared" si="2"/>
        <v/>
      </c>
      <c r="D184" t="str">
        <f>IF(A184="","",IFERROR(VALUE(SUBSTITUTE(TRIM(Input!E184&amp;""),"%","")),0)/IF(AND(IFERROR(VALUE(SUBSTITUTE(TRIM(Input!E184&amp;""),"%","")),0)&gt;0,IFERROR(VALUE(SUBSTITUTE(TRIM(Input!E184&amp;""),"%","")),0)&lt;1),1,100))</f>
        <v/>
      </c>
      <c r="E184" t="str">
        <f>IF(A184="","",IFERROR(VALUE(SUBSTITUTE(TRIM(Input!F184&amp;""),"%","")),0)/IF(AND(IFERROR(VALUE(SUBSTITUTE(TRIM(Input!F184&amp;""),"%","")),0)&gt;0,IFERROR(VALUE(SUBSTITUTE(TRIM(Input!F184&amp;""),"%","")),0)&lt;1),1,100))</f>
        <v/>
      </c>
      <c r="F184" t="str">
        <f>IF(A184="","",IFERROR(VALUE(SUBSTITUTE(TRIM(Input!G184&amp;""),"%","")),0)/IF(AND(IFERROR(VALUE(SUBSTITUTE(TRIM(Input!G184&amp;""),"%","")),0)&gt;0,IFERROR(VALUE(SUBSTITUTE(TRIM(Input!G184&amp;""),"%","")),0)&lt;1),1,100))</f>
        <v/>
      </c>
      <c r="G184" t="str">
        <f>IF(A184="","",IFERROR(VALUE(SUBSTITUTE(TRIM(Input!H184&amp;""),"%","")),0)/IF(AND(IFERROR(VALUE(SUBSTITUTE(TRIM(Input!H184&amp;""),"%","")),0)&gt;0,IFERROR(VALUE(SUBSTITUTE(TRIM(Input!H184&amp;""),"%","")),0)&lt;1),1,100))</f>
        <v/>
      </c>
      <c r="H184" t="str">
        <f>IF(A184="","",IFERROR(VALUE(SUBSTITUTE(TRIM(Input!I184&amp;""),"%","")),0)/IF(AND(IFERROR(VALUE(SUBSTITUTE(TRIM(Input!I184&amp;""),"%","")),0)&gt;0,IFERROR(VALUE(SUBSTITUTE(TRIM(Input!I184&amp;""),"%","")),0)&lt;1),1,100))</f>
        <v/>
      </c>
    </row>
    <row r="185" spans="1:8">
      <c r="A185" t="str">
        <f>IF(TRIM(Input!B185&amp;"")="","",UPPER(TRIM(Input!B185&amp;"")))</f>
        <v/>
      </c>
      <c r="B185" t="str">
        <f>IF(A185="","",IFERROR(VALUE(RIGHT(TRIM(Input!D185&amp;""),1)),0))</f>
        <v/>
      </c>
      <c r="C185" t="str">
        <f t="shared" si="2"/>
        <v/>
      </c>
      <c r="D185" t="str">
        <f>IF(A185="","",IFERROR(VALUE(SUBSTITUTE(TRIM(Input!E185&amp;""),"%","")),0)/IF(AND(IFERROR(VALUE(SUBSTITUTE(TRIM(Input!E185&amp;""),"%","")),0)&gt;0,IFERROR(VALUE(SUBSTITUTE(TRIM(Input!E185&amp;""),"%","")),0)&lt;1),1,100))</f>
        <v/>
      </c>
      <c r="E185" t="str">
        <f>IF(A185="","",IFERROR(VALUE(SUBSTITUTE(TRIM(Input!F185&amp;""),"%","")),0)/IF(AND(IFERROR(VALUE(SUBSTITUTE(TRIM(Input!F185&amp;""),"%","")),0)&gt;0,IFERROR(VALUE(SUBSTITUTE(TRIM(Input!F185&amp;""),"%","")),0)&lt;1),1,100))</f>
        <v/>
      </c>
      <c r="F185" t="str">
        <f>IF(A185="","",IFERROR(VALUE(SUBSTITUTE(TRIM(Input!G185&amp;""),"%","")),0)/IF(AND(IFERROR(VALUE(SUBSTITUTE(TRIM(Input!G185&amp;""),"%","")),0)&gt;0,IFERROR(VALUE(SUBSTITUTE(TRIM(Input!G185&amp;""),"%","")),0)&lt;1),1,100))</f>
        <v/>
      </c>
      <c r="G185" t="str">
        <f>IF(A185="","",IFERROR(VALUE(SUBSTITUTE(TRIM(Input!H185&amp;""),"%","")),0)/IF(AND(IFERROR(VALUE(SUBSTITUTE(TRIM(Input!H185&amp;""),"%","")),0)&gt;0,IFERROR(VALUE(SUBSTITUTE(TRIM(Input!H185&amp;""),"%","")),0)&lt;1),1,100))</f>
        <v/>
      </c>
      <c r="H185" t="str">
        <f>IF(A185="","",IFERROR(VALUE(SUBSTITUTE(TRIM(Input!I185&amp;""),"%","")),0)/IF(AND(IFERROR(VALUE(SUBSTITUTE(TRIM(Input!I185&amp;""),"%","")),0)&gt;0,IFERROR(VALUE(SUBSTITUTE(TRIM(Input!I185&amp;""),"%","")),0)&lt;1),1,100))</f>
        <v/>
      </c>
    </row>
    <row r="186" spans="1:8">
      <c r="A186" t="str">
        <f>IF(TRIM(Input!B186&amp;"")="","",UPPER(TRIM(Input!B186&amp;"")))</f>
        <v/>
      </c>
      <c r="B186" t="str">
        <f>IF(A186="","",IFERROR(VALUE(RIGHT(TRIM(Input!D186&amp;""),1)),0))</f>
        <v/>
      </c>
      <c r="C186" t="str">
        <f t="shared" si="2"/>
        <v/>
      </c>
      <c r="D186" t="str">
        <f>IF(A186="","",IFERROR(VALUE(SUBSTITUTE(TRIM(Input!E186&amp;""),"%","")),0)/IF(AND(IFERROR(VALUE(SUBSTITUTE(TRIM(Input!E186&amp;""),"%","")),0)&gt;0,IFERROR(VALUE(SUBSTITUTE(TRIM(Input!E186&amp;""),"%","")),0)&lt;1),1,100))</f>
        <v/>
      </c>
      <c r="E186" t="str">
        <f>IF(A186="","",IFERROR(VALUE(SUBSTITUTE(TRIM(Input!F186&amp;""),"%","")),0)/IF(AND(IFERROR(VALUE(SUBSTITUTE(TRIM(Input!F186&amp;""),"%","")),0)&gt;0,IFERROR(VALUE(SUBSTITUTE(TRIM(Input!F186&amp;""),"%","")),0)&lt;1),1,100))</f>
        <v/>
      </c>
      <c r="F186" t="str">
        <f>IF(A186="","",IFERROR(VALUE(SUBSTITUTE(TRIM(Input!G186&amp;""),"%","")),0)/IF(AND(IFERROR(VALUE(SUBSTITUTE(TRIM(Input!G186&amp;""),"%","")),0)&gt;0,IFERROR(VALUE(SUBSTITUTE(TRIM(Input!G186&amp;""),"%","")),0)&lt;1),1,100))</f>
        <v/>
      </c>
      <c r="G186" t="str">
        <f>IF(A186="","",IFERROR(VALUE(SUBSTITUTE(TRIM(Input!H186&amp;""),"%","")),0)/IF(AND(IFERROR(VALUE(SUBSTITUTE(TRIM(Input!H186&amp;""),"%","")),0)&gt;0,IFERROR(VALUE(SUBSTITUTE(TRIM(Input!H186&amp;""),"%","")),0)&lt;1),1,100))</f>
        <v/>
      </c>
      <c r="H186" t="str">
        <f>IF(A186="","",IFERROR(VALUE(SUBSTITUTE(TRIM(Input!I186&amp;""),"%","")),0)/IF(AND(IFERROR(VALUE(SUBSTITUTE(TRIM(Input!I186&amp;""),"%","")),0)&gt;0,IFERROR(VALUE(SUBSTITUTE(TRIM(Input!I186&amp;""),"%","")),0)&lt;1),1,100))</f>
        <v/>
      </c>
    </row>
    <row r="187" spans="1:8">
      <c r="A187" t="str">
        <f>IF(TRIM(Input!B187&amp;"")="","",UPPER(TRIM(Input!B187&amp;"")))</f>
        <v/>
      </c>
      <c r="B187" t="str">
        <f>IF(A187="","",IFERROR(VALUE(RIGHT(TRIM(Input!D187&amp;""),1)),0))</f>
        <v/>
      </c>
      <c r="C187" t="str">
        <f t="shared" si="2"/>
        <v/>
      </c>
      <c r="D187" t="str">
        <f>IF(A187="","",IFERROR(VALUE(SUBSTITUTE(TRIM(Input!E187&amp;""),"%","")),0)/IF(AND(IFERROR(VALUE(SUBSTITUTE(TRIM(Input!E187&amp;""),"%","")),0)&gt;0,IFERROR(VALUE(SUBSTITUTE(TRIM(Input!E187&amp;""),"%","")),0)&lt;1),1,100))</f>
        <v/>
      </c>
      <c r="E187" t="str">
        <f>IF(A187="","",IFERROR(VALUE(SUBSTITUTE(TRIM(Input!F187&amp;""),"%","")),0)/IF(AND(IFERROR(VALUE(SUBSTITUTE(TRIM(Input!F187&amp;""),"%","")),0)&gt;0,IFERROR(VALUE(SUBSTITUTE(TRIM(Input!F187&amp;""),"%","")),0)&lt;1),1,100))</f>
        <v/>
      </c>
      <c r="F187" t="str">
        <f>IF(A187="","",IFERROR(VALUE(SUBSTITUTE(TRIM(Input!G187&amp;""),"%","")),0)/IF(AND(IFERROR(VALUE(SUBSTITUTE(TRIM(Input!G187&amp;""),"%","")),0)&gt;0,IFERROR(VALUE(SUBSTITUTE(TRIM(Input!G187&amp;""),"%","")),0)&lt;1),1,100))</f>
        <v/>
      </c>
      <c r="G187" t="str">
        <f>IF(A187="","",IFERROR(VALUE(SUBSTITUTE(TRIM(Input!H187&amp;""),"%","")),0)/IF(AND(IFERROR(VALUE(SUBSTITUTE(TRIM(Input!H187&amp;""),"%","")),0)&gt;0,IFERROR(VALUE(SUBSTITUTE(TRIM(Input!H187&amp;""),"%","")),0)&lt;1),1,100))</f>
        <v/>
      </c>
      <c r="H187" t="str">
        <f>IF(A187="","",IFERROR(VALUE(SUBSTITUTE(TRIM(Input!I187&amp;""),"%","")),0)/IF(AND(IFERROR(VALUE(SUBSTITUTE(TRIM(Input!I187&amp;""),"%","")),0)&gt;0,IFERROR(VALUE(SUBSTITUTE(TRIM(Input!I187&amp;""),"%","")),0)&lt;1),1,100))</f>
        <v/>
      </c>
    </row>
    <row r="188" spans="1:8">
      <c r="A188" t="str">
        <f>IF(TRIM(Input!B188&amp;"")="","",UPPER(TRIM(Input!B188&amp;"")))</f>
        <v/>
      </c>
      <c r="B188" t="str">
        <f>IF(A188="","",IFERROR(VALUE(RIGHT(TRIM(Input!D188&amp;""),1)),0))</f>
        <v/>
      </c>
      <c r="C188" t="str">
        <f t="shared" si="2"/>
        <v/>
      </c>
      <c r="D188" t="str">
        <f>IF(A188="","",IFERROR(VALUE(SUBSTITUTE(TRIM(Input!E188&amp;""),"%","")),0)/IF(AND(IFERROR(VALUE(SUBSTITUTE(TRIM(Input!E188&amp;""),"%","")),0)&gt;0,IFERROR(VALUE(SUBSTITUTE(TRIM(Input!E188&amp;""),"%","")),0)&lt;1),1,100))</f>
        <v/>
      </c>
      <c r="E188" t="str">
        <f>IF(A188="","",IFERROR(VALUE(SUBSTITUTE(TRIM(Input!F188&amp;""),"%","")),0)/IF(AND(IFERROR(VALUE(SUBSTITUTE(TRIM(Input!F188&amp;""),"%","")),0)&gt;0,IFERROR(VALUE(SUBSTITUTE(TRIM(Input!F188&amp;""),"%","")),0)&lt;1),1,100))</f>
        <v/>
      </c>
      <c r="F188" t="str">
        <f>IF(A188="","",IFERROR(VALUE(SUBSTITUTE(TRIM(Input!G188&amp;""),"%","")),0)/IF(AND(IFERROR(VALUE(SUBSTITUTE(TRIM(Input!G188&amp;""),"%","")),0)&gt;0,IFERROR(VALUE(SUBSTITUTE(TRIM(Input!G188&amp;""),"%","")),0)&lt;1),1,100))</f>
        <v/>
      </c>
      <c r="G188" t="str">
        <f>IF(A188="","",IFERROR(VALUE(SUBSTITUTE(TRIM(Input!H188&amp;""),"%","")),0)/IF(AND(IFERROR(VALUE(SUBSTITUTE(TRIM(Input!H188&amp;""),"%","")),0)&gt;0,IFERROR(VALUE(SUBSTITUTE(TRIM(Input!H188&amp;""),"%","")),0)&lt;1),1,100))</f>
        <v/>
      </c>
      <c r="H188" t="str">
        <f>IF(A188="","",IFERROR(VALUE(SUBSTITUTE(TRIM(Input!I188&amp;""),"%","")),0)/IF(AND(IFERROR(VALUE(SUBSTITUTE(TRIM(Input!I188&amp;""),"%","")),0)&gt;0,IFERROR(VALUE(SUBSTITUTE(TRIM(Input!I188&amp;""),"%","")),0)&lt;1),1,100))</f>
        <v/>
      </c>
    </row>
    <row r="189" spans="1:8">
      <c r="A189" t="str">
        <f>IF(TRIM(Input!B189&amp;"")="","",UPPER(TRIM(Input!B189&amp;"")))</f>
        <v/>
      </c>
      <c r="B189" t="str">
        <f>IF(A189="","",IFERROR(VALUE(RIGHT(TRIM(Input!D189&amp;""),1)),0))</f>
        <v/>
      </c>
      <c r="C189" t="str">
        <f t="shared" si="2"/>
        <v/>
      </c>
      <c r="D189" t="str">
        <f>IF(A189="","",IFERROR(VALUE(SUBSTITUTE(TRIM(Input!E189&amp;""),"%","")),0)/IF(AND(IFERROR(VALUE(SUBSTITUTE(TRIM(Input!E189&amp;""),"%","")),0)&gt;0,IFERROR(VALUE(SUBSTITUTE(TRIM(Input!E189&amp;""),"%","")),0)&lt;1),1,100))</f>
        <v/>
      </c>
      <c r="E189" t="str">
        <f>IF(A189="","",IFERROR(VALUE(SUBSTITUTE(TRIM(Input!F189&amp;""),"%","")),0)/IF(AND(IFERROR(VALUE(SUBSTITUTE(TRIM(Input!F189&amp;""),"%","")),0)&gt;0,IFERROR(VALUE(SUBSTITUTE(TRIM(Input!F189&amp;""),"%","")),0)&lt;1),1,100))</f>
        <v/>
      </c>
      <c r="F189" t="str">
        <f>IF(A189="","",IFERROR(VALUE(SUBSTITUTE(TRIM(Input!G189&amp;""),"%","")),0)/IF(AND(IFERROR(VALUE(SUBSTITUTE(TRIM(Input!G189&amp;""),"%","")),0)&gt;0,IFERROR(VALUE(SUBSTITUTE(TRIM(Input!G189&amp;""),"%","")),0)&lt;1),1,100))</f>
        <v/>
      </c>
      <c r="G189" t="str">
        <f>IF(A189="","",IFERROR(VALUE(SUBSTITUTE(TRIM(Input!H189&amp;""),"%","")),0)/IF(AND(IFERROR(VALUE(SUBSTITUTE(TRIM(Input!H189&amp;""),"%","")),0)&gt;0,IFERROR(VALUE(SUBSTITUTE(TRIM(Input!H189&amp;""),"%","")),0)&lt;1),1,100))</f>
        <v/>
      </c>
      <c r="H189" t="str">
        <f>IF(A189="","",IFERROR(VALUE(SUBSTITUTE(TRIM(Input!I189&amp;""),"%","")),0)/IF(AND(IFERROR(VALUE(SUBSTITUTE(TRIM(Input!I189&amp;""),"%","")),0)&gt;0,IFERROR(VALUE(SUBSTITUTE(TRIM(Input!I189&amp;""),"%","")),0)&lt;1),1,100))</f>
        <v/>
      </c>
    </row>
    <row r="190" spans="1:8">
      <c r="A190" t="str">
        <f>IF(TRIM(Input!B190&amp;"")="","",UPPER(TRIM(Input!B190&amp;"")))</f>
        <v/>
      </c>
      <c r="B190" t="str">
        <f>IF(A190="","",IFERROR(VALUE(RIGHT(TRIM(Input!D190&amp;""),1)),0))</f>
        <v/>
      </c>
      <c r="C190" t="str">
        <f t="shared" si="2"/>
        <v/>
      </c>
      <c r="D190" t="str">
        <f>IF(A190="","",IFERROR(VALUE(SUBSTITUTE(TRIM(Input!E190&amp;""),"%","")),0)/IF(AND(IFERROR(VALUE(SUBSTITUTE(TRIM(Input!E190&amp;""),"%","")),0)&gt;0,IFERROR(VALUE(SUBSTITUTE(TRIM(Input!E190&amp;""),"%","")),0)&lt;1),1,100))</f>
        <v/>
      </c>
      <c r="E190" t="str">
        <f>IF(A190="","",IFERROR(VALUE(SUBSTITUTE(TRIM(Input!F190&amp;""),"%","")),0)/IF(AND(IFERROR(VALUE(SUBSTITUTE(TRIM(Input!F190&amp;""),"%","")),0)&gt;0,IFERROR(VALUE(SUBSTITUTE(TRIM(Input!F190&amp;""),"%","")),0)&lt;1),1,100))</f>
        <v/>
      </c>
      <c r="F190" t="str">
        <f>IF(A190="","",IFERROR(VALUE(SUBSTITUTE(TRIM(Input!G190&amp;""),"%","")),0)/IF(AND(IFERROR(VALUE(SUBSTITUTE(TRIM(Input!G190&amp;""),"%","")),0)&gt;0,IFERROR(VALUE(SUBSTITUTE(TRIM(Input!G190&amp;""),"%","")),0)&lt;1),1,100))</f>
        <v/>
      </c>
      <c r="G190" t="str">
        <f>IF(A190="","",IFERROR(VALUE(SUBSTITUTE(TRIM(Input!H190&amp;""),"%","")),0)/IF(AND(IFERROR(VALUE(SUBSTITUTE(TRIM(Input!H190&amp;""),"%","")),0)&gt;0,IFERROR(VALUE(SUBSTITUTE(TRIM(Input!H190&amp;""),"%","")),0)&lt;1),1,100))</f>
        <v/>
      </c>
      <c r="H190" t="str">
        <f>IF(A190="","",IFERROR(VALUE(SUBSTITUTE(TRIM(Input!I190&amp;""),"%","")),0)/IF(AND(IFERROR(VALUE(SUBSTITUTE(TRIM(Input!I190&amp;""),"%","")),0)&gt;0,IFERROR(VALUE(SUBSTITUTE(TRIM(Input!I190&amp;""),"%","")),0)&lt;1),1,100))</f>
        <v/>
      </c>
    </row>
    <row r="191" spans="1:8">
      <c r="A191" t="str">
        <f>IF(TRIM(Input!B191&amp;"")="","",UPPER(TRIM(Input!B191&amp;"")))</f>
        <v/>
      </c>
      <c r="B191" t="str">
        <f>IF(A191="","",IFERROR(VALUE(RIGHT(TRIM(Input!D191&amp;""),1)),0))</f>
        <v/>
      </c>
      <c r="C191" t="str">
        <f t="shared" si="2"/>
        <v/>
      </c>
      <c r="D191" t="str">
        <f>IF(A191="","",IFERROR(VALUE(SUBSTITUTE(TRIM(Input!E191&amp;""),"%","")),0)/IF(AND(IFERROR(VALUE(SUBSTITUTE(TRIM(Input!E191&amp;""),"%","")),0)&gt;0,IFERROR(VALUE(SUBSTITUTE(TRIM(Input!E191&amp;""),"%","")),0)&lt;1),1,100))</f>
        <v/>
      </c>
      <c r="E191" t="str">
        <f>IF(A191="","",IFERROR(VALUE(SUBSTITUTE(TRIM(Input!F191&amp;""),"%","")),0)/IF(AND(IFERROR(VALUE(SUBSTITUTE(TRIM(Input!F191&amp;""),"%","")),0)&gt;0,IFERROR(VALUE(SUBSTITUTE(TRIM(Input!F191&amp;""),"%","")),0)&lt;1),1,100))</f>
        <v/>
      </c>
      <c r="F191" t="str">
        <f>IF(A191="","",IFERROR(VALUE(SUBSTITUTE(TRIM(Input!G191&amp;""),"%","")),0)/IF(AND(IFERROR(VALUE(SUBSTITUTE(TRIM(Input!G191&amp;""),"%","")),0)&gt;0,IFERROR(VALUE(SUBSTITUTE(TRIM(Input!G191&amp;""),"%","")),0)&lt;1),1,100))</f>
        <v/>
      </c>
      <c r="G191" t="str">
        <f>IF(A191="","",IFERROR(VALUE(SUBSTITUTE(TRIM(Input!H191&amp;""),"%","")),0)/IF(AND(IFERROR(VALUE(SUBSTITUTE(TRIM(Input!H191&amp;""),"%","")),0)&gt;0,IFERROR(VALUE(SUBSTITUTE(TRIM(Input!H191&amp;""),"%","")),0)&lt;1),1,100))</f>
        <v/>
      </c>
      <c r="H191" t="str">
        <f>IF(A191="","",IFERROR(VALUE(SUBSTITUTE(TRIM(Input!I191&amp;""),"%","")),0)/IF(AND(IFERROR(VALUE(SUBSTITUTE(TRIM(Input!I191&amp;""),"%","")),0)&gt;0,IFERROR(VALUE(SUBSTITUTE(TRIM(Input!I191&amp;""),"%","")),0)&lt;1),1,100))</f>
        <v/>
      </c>
    </row>
    <row r="192" spans="1:8">
      <c r="A192" t="str">
        <f>IF(TRIM(Input!B192&amp;"")="","",UPPER(TRIM(Input!B192&amp;"")))</f>
        <v/>
      </c>
      <c r="B192" t="str">
        <f>IF(A192="","",IFERROR(VALUE(RIGHT(TRIM(Input!D192&amp;""),1)),0))</f>
        <v/>
      </c>
      <c r="C192" t="str">
        <f t="shared" si="2"/>
        <v/>
      </c>
      <c r="D192" t="str">
        <f>IF(A192="","",IFERROR(VALUE(SUBSTITUTE(TRIM(Input!E192&amp;""),"%","")),0)/IF(AND(IFERROR(VALUE(SUBSTITUTE(TRIM(Input!E192&amp;""),"%","")),0)&gt;0,IFERROR(VALUE(SUBSTITUTE(TRIM(Input!E192&amp;""),"%","")),0)&lt;1),1,100))</f>
        <v/>
      </c>
      <c r="E192" t="str">
        <f>IF(A192="","",IFERROR(VALUE(SUBSTITUTE(TRIM(Input!F192&amp;""),"%","")),0)/IF(AND(IFERROR(VALUE(SUBSTITUTE(TRIM(Input!F192&amp;""),"%","")),0)&gt;0,IFERROR(VALUE(SUBSTITUTE(TRIM(Input!F192&amp;""),"%","")),0)&lt;1),1,100))</f>
        <v/>
      </c>
      <c r="F192" t="str">
        <f>IF(A192="","",IFERROR(VALUE(SUBSTITUTE(TRIM(Input!G192&amp;""),"%","")),0)/IF(AND(IFERROR(VALUE(SUBSTITUTE(TRIM(Input!G192&amp;""),"%","")),0)&gt;0,IFERROR(VALUE(SUBSTITUTE(TRIM(Input!G192&amp;""),"%","")),0)&lt;1),1,100))</f>
        <v/>
      </c>
      <c r="G192" t="str">
        <f>IF(A192="","",IFERROR(VALUE(SUBSTITUTE(TRIM(Input!H192&amp;""),"%","")),0)/IF(AND(IFERROR(VALUE(SUBSTITUTE(TRIM(Input!H192&amp;""),"%","")),0)&gt;0,IFERROR(VALUE(SUBSTITUTE(TRIM(Input!H192&amp;""),"%","")),0)&lt;1),1,100))</f>
        <v/>
      </c>
      <c r="H192" t="str">
        <f>IF(A192="","",IFERROR(VALUE(SUBSTITUTE(TRIM(Input!I192&amp;""),"%","")),0)/IF(AND(IFERROR(VALUE(SUBSTITUTE(TRIM(Input!I192&amp;""),"%","")),0)&gt;0,IFERROR(VALUE(SUBSTITUTE(TRIM(Input!I192&amp;""),"%","")),0)&lt;1),1,100))</f>
        <v/>
      </c>
    </row>
    <row r="193" spans="1:8">
      <c r="A193" t="str">
        <f>IF(TRIM(Input!B193&amp;"")="","",UPPER(TRIM(Input!B193&amp;"")))</f>
        <v/>
      </c>
      <c r="B193" t="str">
        <f>IF(A193="","",IFERROR(VALUE(RIGHT(TRIM(Input!D193&amp;""),1)),0))</f>
        <v/>
      </c>
      <c r="C193" t="str">
        <f t="shared" si="2"/>
        <v/>
      </c>
      <c r="D193" t="str">
        <f>IF(A193="","",IFERROR(VALUE(SUBSTITUTE(TRIM(Input!E193&amp;""),"%","")),0)/IF(AND(IFERROR(VALUE(SUBSTITUTE(TRIM(Input!E193&amp;""),"%","")),0)&gt;0,IFERROR(VALUE(SUBSTITUTE(TRIM(Input!E193&amp;""),"%","")),0)&lt;1),1,100))</f>
        <v/>
      </c>
      <c r="E193" t="str">
        <f>IF(A193="","",IFERROR(VALUE(SUBSTITUTE(TRIM(Input!F193&amp;""),"%","")),0)/IF(AND(IFERROR(VALUE(SUBSTITUTE(TRIM(Input!F193&amp;""),"%","")),0)&gt;0,IFERROR(VALUE(SUBSTITUTE(TRIM(Input!F193&amp;""),"%","")),0)&lt;1),1,100))</f>
        <v/>
      </c>
      <c r="F193" t="str">
        <f>IF(A193="","",IFERROR(VALUE(SUBSTITUTE(TRIM(Input!G193&amp;""),"%","")),0)/IF(AND(IFERROR(VALUE(SUBSTITUTE(TRIM(Input!G193&amp;""),"%","")),0)&gt;0,IFERROR(VALUE(SUBSTITUTE(TRIM(Input!G193&amp;""),"%","")),0)&lt;1),1,100))</f>
        <v/>
      </c>
      <c r="G193" t="str">
        <f>IF(A193="","",IFERROR(VALUE(SUBSTITUTE(TRIM(Input!H193&amp;""),"%","")),0)/IF(AND(IFERROR(VALUE(SUBSTITUTE(TRIM(Input!H193&amp;""),"%","")),0)&gt;0,IFERROR(VALUE(SUBSTITUTE(TRIM(Input!H193&amp;""),"%","")),0)&lt;1),1,100))</f>
        <v/>
      </c>
      <c r="H193" t="str">
        <f>IF(A193="","",IFERROR(VALUE(SUBSTITUTE(TRIM(Input!I193&amp;""),"%","")),0)/IF(AND(IFERROR(VALUE(SUBSTITUTE(TRIM(Input!I193&amp;""),"%","")),0)&gt;0,IFERROR(VALUE(SUBSTITUTE(TRIM(Input!I193&amp;""),"%","")),0)&lt;1),1,100))</f>
        <v/>
      </c>
    </row>
    <row r="194" spans="1:8">
      <c r="A194" t="str">
        <f>IF(TRIM(Input!B194&amp;"")="","",UPPER(TRIM(Input!B194&amp;"")))</f>
        <v/>
      </c>
      <c r="B194" t="str">
        <f>IF(A194="","",IFERROR(VALUE(RIGHT(TRIM(Input!D194&amp;""),1)),0))</f>
        <v/>
      </c>
      <c r="C194" t="str">
        <f t="shared" ref="C194:C257" si="3">IF(A194="","",A194&amp;"|"&amp;B194)</f>
        <v/>
      </c>
      <c r="D194" t="str">
        <f>IF(A194="","",IFERROR(VALUE(SUBSTITUTE(TRIM(Input!E194&amp;""),"%","")),0)/IF(AND(IFERROR(VALUE(SUBSTITUTE(TRIM(Input!E194&amp;""),"%","")),0)&gt;0,IFERROR(VALUE(SUBSTITUTE(TRIM(Input!E194&amp;""),"%","")),0)&lt;1),1,100))</f>
        <v/>
      </c>
      <c r="E194" t="str">
        <f>IF(A194="","",IFERROR(VALUE(SUBSTITUTE(TRIM(Input!F194&amp;""),"%","")),0)/IF(AND(IFERROR(VALUE(SUBSTITUTE(TRIM(Input!F194&amp;""),"%","")),0)&gt;0,IFERROR(VALUE(SUBSTITUTE(TRIM(Input!F194&amp;""),"%","")),0)&lt;1),1,100))</f>
        <v/>
      </c>
      <c r="F194" t="str">
        <f>IF(A194="","",IFERROR(VALUE(SUBSTITUTE(TRIM(Input!G194&amp;""),"%","")),0)/IF(AND(IFERROR(VALUE(SUBSTITUTE(TRIM(Input!G194&amp;""),"%","")),0)&gt;0,IFERROR(VALUE(SUBSTITUTE(TRIM(Input!G194&amp;""),"%","")),0)&lt;1),1,100))</f>
        <v/>
      </c>
      <c r="G194" t="str">
        <f>IF(A194="","",IFERROR(VALUE(SUBSTITUTE(TRIM(Input!H194&amp;""),"%","")),0)/IF(AND(IFERROR(VALUE(SUBSTITUTE(TRIM(Input!H194&amp;""),"%","")),0)&gt;0,IFERROR(VALUE(SUBSTITUTE(TRIM(Input!H194&amp;""),"%","")),0)&lt;1),1,100))</f>
        <v/>
      </c>
      <c r="H194" t="str">
        <f>IF(A194="","",IFERROR(VALUE(SUBSTITUTE(TRIM(Input!I194&amp;""),"%","")),0)/IF(AND(IFERROR(VALUE(SUBSTITUTE(TRIM(Input!I194&amp;""),"%","")),0)&gt;0,IFERROR(VALUE(SUBSTITUTE(TRIM(Input!I194&amp;""),"%","")),0)&lt;1),1,100))</f>
        <v/>
      </c>
    </row>
    <row r="195" spans="1:8">
      <c r="A195" t="str">
        <f>IF(TRIM(Input!B195&amp;"")="","",UPPER(TRIM(Input!B195&amp;"")))</f>
        <v/>
      </c>
      <c r="B195" t="str">
        <f>IF(A195="","",IFERROR(VALUE(RIGHT(TRIM(Input!D195&amp;""),1)),0))</f>
        <v/>
      </c>
      <c r="C195" t="str">
        <f t="shared" si="3"/>
        <v/>
      </c>
      <c r="D195" t="str">
        <f>IF(A195="","",IFERROR(VALUE(SUBSTITUTE(TRIM(Input!E195&amp;""),"%","")),0)/IF(AND(IFERROR(VALUE(SUBSTITUTE(TRIM(Input!E195&amp;""),"%","")),0)&gt;0,IFERROR(VALUE(SUBSTITUTE(TRIM(Input!E195&amp;""),"%","")),0)&lt;1),1,100))</f>
        <v/>
      </c>
      <c r="E195" t="str">
        <f>IF(A195="","",IFERROR(VALUE(SUBSTITUTE(TRIM(Input!F195&amp;""),"%","")),0)/IF(AND(IFERROR(VALUE(SUBSTITUTE(TRIM(Input!F195&amp;""),"%","")),0)&gt;0,IFERROR(VALUE(SUBSTITUTE(TRIM(Input!F195&amp;""),"%","")),0)&lt;1),1,100))</f>
        <v/>
      </c>
      <c r="F195" t="str">
        <f>IF(A195="","",IFERROR(VALUE(SUBSTITUTE(TRIM(Input!G195&amp;""),"%","")),0)/IF(AND(IFERROR(VALUE(SUBSTITUTE(TRIM(Input!G195&amp;""),"%","")),0)&gt;0,IFERROR(VALUE(SUBSTITUTE(TRIM(Input!G195&amp;""),"%","")),0)&lt;1),1,100))</f>
        <v/>
      </c>
      <c r="G195" t="str">
        <f>IF(A195="","",IFERROR(VALUE(SUBSTITUTE(TRIM(Input!H195&amp;""),"%","")),0)/IF(AND(IFERROR(VALUE(SUBSTITUTE(TRIM(Input!H195&amp;""),"%","")),0)&gt;0,IFERROR(VALUE(SUBSTITUTE(TRIM(Input!H195&amp;""),"%","")),0)&lt;1),1,100))</f>
        <v/>
      </c>
      <c r="H195" t="str">
        <f>IF(A195="","",IFERROR(VALUE(SUBSTITUTE(TRIM(Input!I195&amp;""),"%","")),0)/IF(AND(IFERROR(VALUE(SUBSTITUTE(TRIM(Input!I195&amp;""),"%","")),0)&gt;0,IFERROR(VALUE(SUBSTITUTE(TRIM(Input!I195&amp;""),"%","")),0)&lt;1),1,100))</f>
        <v/>
      </c>
    </row>
    <row r="196" spans="1:8">
      <c r="A196" t="str">
        <f>IF(TRIM(Input!B196&amp;"")="","",UPPER(TRIM(Input!B196&amp;"")))</f>
        <v/>
      </c>
      <c r="B196" t="str">
        <f>IF(A196="","",IFERROR(VALUE(RIGHT(TRIM(Input!D196&amp;""),1)),0))</f>
        <v/>
      </c>
      <c r="C196" t="str">
        <f t="shared" si="3"/>
        <v/>
      </c>
      <c r="D196" t="str">
        <f>IF(A196="","",IFERROR(VALUE(SUBSTITUTE(TRIM(Input!E196&amp;""),"%","")),0)/IF(AND(IFERROR(VALUE(SUBSTITUTE(TRIM(Input!E196&amp;""),"%","")),0)&gt;0,IFERROR(VALUE(SUBSTITUTE(TRIM(Input!E196&amp;""),"%","")),0)&lt;1),1,100))</f>
        <v/>
      </c>
      <c r="E196" t="str">
        <f>IF(A196="","",IFERROR(VALUE(SUBSTITUTE(TRIM(Input!F196&amp;""),"%","")),0)/IF(AND(IFERROR(VALUE(SUBSTITUTE(TRIM(Input!F196&amp;""),"%","")),0)&gt;0,IFERROR(VALUE(SUBSTITUTE(TRIM(Input!F196&amp;""),"%","")),0)&lt;1),1,100))</f>
        <v/>
      </c>
      <c r="F196" t="str">
        <f>IF(A196="","",IFERROR(VALUE(SUBSTITUTE(TRIM(Input!G196&amp;""),"%","")),0)/IF(AND(IFERROR(VALUE(SUBSTITUTE(TRIM(Input!G196&amp;""),"%","")),0)&gt;0,IFERROR(VALUE(SUBSTITUTE(TRIM(Input!G196&amp;""),"%","")),0)&lt;1),1,100))</f>
        <v/>
      </c>
      <c r="G196" t="str">
        <f>IF(A196="","",IFERROR(VALUE(SUBSTITUTE(TRIM(Input!H196&amp;""),"%","")),0)/IF(AND(IFERROR(VALUE(SUBSTITUTE(TRIM(Input!H196&amp;""),"%","")),0)&gt;0,IFERROR(VALUE(SUBSTITUTE(TRIM(Input!H196&amp;""),"%","")),0)&lt;1),1,100))</f>
        <v/>
      </c>
      <c r="H196" t="str">
        <f>IF(A196="","",IFERROR(VALUE(SUBSTITUTE(TRIM(Input!I196&amp;""),"%","")),0)/IF(AND(IFERROR(VALUE(SUBSTITUTE(TRIM(Input!I196&amp;""),"%","")),0)&gt;0,IFERROR(VALUE(SUBSTITUTE(TRIM(Input!I196&amp;""),"%","")),0)&lt;1),1,100))</f>
        <v/>
      </c>
    </row>
    <row r="197" spans="1:8">
      <c r="A197" t="str">
        <f>IF(TRIM(Input!B197&amp;"")="","",UPPER(TRIM(Input!B197&amp;"")))</f>
        <v/>
      </c>
      <c r="B197" t="str">
        <f>IF(A197="","",IFERROR(VALUE(RIGHT(TRIM(Input!D197&amp;""),1)),0))</f>
        <v/>
      </c>
      <c r="C197" t="str">
        <f t="shared" si="3"/>
        <v/>
      </c>
      <c r="D197" t="str">
        <f>IF(A197="","",IFERROR(VALUE(SUBSTITUTE(TRIM(Input!E197&amp;""),"%","")),0)/IF(AND(IFERROR(VALUE(SUBSTITUTE(TRIM(Input!E197&amp;""),"%","")),0)&gt;0,IFERROR(VALUE(SUBSTITUTE(TRIM(Input!E197&amp;""),"%","")),0)&lt;1),1,100))</f>
        <v/>
      </c>
      <c r="E197" t="str">
        <f>IF(A197="","",IFERROR(VALUE(SUBSTITUTE(TRIM(Input!F197&amp;""),"%","")),0)/IF(AND(IFERROR(VALUE(SUBSTITUTE(TRIM(Input!F197&amp;""),"%","")),0)&gt;0,IFERROR(VALUE(SUBSTITUTE(TRIM(Input!F197&amp;""),"%","")),0)&lt;1),1,100))</f>
        <v/>
      </c>
      <c r="F197" t="str">
        <f>IF(A197="","",IFERROR(VALUE(SUBSTITUTE(TRIM(Input!G197&amp;""),"%","")),0)/IF(AND(IFERROR(VALUE(SUBSTITUTE(TRIM(Input!G197&amp;""),"%","")),0)&gt;0,IFERROR(VALUE(SUBSTITUTE(TRIM(Input!G197&amp;""),"%","")),0)&lt;1),1,100))</f>
        <v/>
      </c>
      <c r="G197" t="str">
        <f>IF(A197="","",IFERROR(VALUE(SUBSTITUTE(TRIM(Input!H197&amp;""),"%","")),0)/IF(AND(IFERROR(VALUE(SUBSTITUTE(TRIM(Input!H197&amp;""),"%","")),0)&gt;0,IFERROR(VALUE(SUBSTITUTE(TRIM(Input!H197&amp;""),"%","")),0)&lt;1),1,100))</f>
        <v/>
      </c>
      <c r="H197" t="str">
        <f>IF(A197="","",IFERROR(VALUE(SUBSTITUTE(TRIM(Input!I197&amp;""),"%","")),0)/IF(AND(IFERROR(VALUE(SUBSTITUTE(TRIM(Input!I197&amp;""),"%","")),0)&gt;0,IFERROR(VALUE(SUBSTITUTE(TRIM(Input!I197&amp;""),"%","")),0)&lt;1),1,100))</f>
        <v/>
      </c>
    </row>
    <row r="198" spans="1:8">
      <c r="A198" t="str">
        <f>IF(TRIM(Input!B198&amp;"")="","",UPPER(TRIM(Input!B198&amp;"")))</f>
        <v/>
      </c>
      <c r="B198" t="str">
        <f>IF(A198="","",IFERROR(VALUE(RIGHT(TRIM(Input!D198&amp;""),1)),0))</f>
        <v/>
      </c>
      <c r="C198" t="str">
        <f t="shared" si="3"/>
        <v/>
      </c>
      <c r="D198" t="str">
        <f>IF(A198="","",IFERROR(VALUE(SUBSTITUTE(TRIM(Input!E198&amp;""),"%","")),0)/IF(AND(IFERROR(VALUE(SUBSTITUTE(TRIM(Input!E198&amp;""),"%","")),0)&gt;0,IFERROR(VALUE(SUBSTITUTE(TRIM(Input!E198&amp;""),"%","")),0)&lt;1),1,100))</f>
        <v/>
      </c>
      <c r="E198" t="str">
        <f>IF(A198="","",IFERROR(VALUE(SUBSTITUTE(TRIM(Input!F198&amp;""),"%","")),0)/IF(AND(IFERROR(VALUE(SUBSTITUTE(TRIM(Input!F198&amp;""),"%","")),0)&gt;0,IFERROR(VALUE(SUBSTITUTE(TRIM(Input!F198&amp;""),"%","")),0)&lt;1),1,100))</f>
        <v/>
      </c>
      <c r="F198" t="str">
        <f>IF(A198="","",IFERROR(VALUE(SUBSTITUTE(TRIM(Input!G198&amp;""),"%","")),0)/IF(AND(IFERROR(VALUE(SUBSTITUTE(TRIM(Input!G198&amp;""),"%","")),0)&gt;0,IFERROR(VALUE(SUBSTITUTE(TRIM(Input!G198&amp;""),"%","")),0)&lt;1),1,100))</f>
        <v/>
      </c>
      <c r="G198" t="str">
        <f>IF(A198="","",IFERROR(VALUE(SUBSTITUTE(TRIM(Input!H198&amp;""),"%","")),0)/IF(AND(IFERROR(VALUE(SUBSTITUTE(TRIM(Input!H198&amp;""),"%","")),0)&gt;0,IFERROR(VALUE(SUBSTITUTE(TRIM(Input!H198&amp;""),"%","")),0)&lt;1),1,100))</f>
        <v/>
      </c>
      <c r="H198" t="str">
        <f>IF(A198="","",IFERROR(VALUE(SUBSTITUTE(TRIM(Input!I198&amp;""),"%","")),0)/IF(AND(IFERROR(VALUE(SUBSTITUTE(TRIM(Input!I198&amp;""),"%","")),0)&gt;0,IFERROR(VALUE(SUBSTITUTE(TRIM(Input!I198&amp;""),"%","")),0)&lt;1),1,100))</f>
        <v/>
      </c>
    </row>
    <row r="199" spans="1:8">
      <c r="A199" t="str">
        <f>IF(TRIM(Input!B199&amp;"")="","",UPPER(TRIM(Input!B199&amp;"")))</f>
        <v/>
      </c>
      <c r="B199" t="str">
        <f>IF(A199="","",IFERROR(VALUE(RIGHT(TRIM(Input!D199&amp;""),1)),0))</f>
        <v/>
      </c>
      <c r="C199" t="str">
        <f t="shared" si="3"/>
        <v/>
      </c>
      <c r="D199" t="str">
        <f>IF(A199="","",IFERROR(VALUE(SUBSTITUTE(TRIM(Input!E199&amp;""),"%","")),0)/IF(AND(IFERROR(VALUE(SUBSTITUTE(TRIM(Input!E199&amp;""),"%","")),0)&gt;0,IFERROR(VALUE(SUBSTITUTE(TRIM(Input!E199&amp;""),"%","")),0)&lt;1),1,100))</f>
        <v/>
      </c>
      <c r="E199" t="str">
        <f>IF(A199="","",IFERROR(VALUE(SUBSTITUTE(TRIM(Input!F199&amp;""),"%","")),0)/IF(AND(IFERROR(VALUE(SUBSTITUTE(TRIM(Input!F199&amp;""),"%","")),0)&gt;0,IFERROR(VALUE(SUBSTITUTE(TRIM(Input!F199&amp;""),"%","")),0)&lt;1),1,100))</f>
        <v/>
      </c>
      <c r="F199" t="str">
        <f>IF(A199="","",IFERROR(VALUE(SUBSTITUTE(TRIM(Input!G199&amp;""),"%","")),0)/IF(AND(IFERROR(VALUE(SUBSTITUTE(TRIM(Input!G199&amp;""),"%","")),0)&gt;0,IFERROR(VALUE(SUBSTITUTE(TRIM(Input!G199&amp;""),"%","")),0)&lt;1),1,100))</f>
        <v/>
      </c>
      <c r="G199" t="str">
        <f>IF(A199="","",IFERROR(VALUE(SUBSTITUTE(TRIM(Input!H199&amp;""),"%","")),0)/IF(AND(IFERROR(VALUE(SUBSTITUTE(TRIM(Input!H199&amp;""),"%","")),0)&gt;0,IFERROR(VALUE(SUBSTITUTE(TRIM(Input!H199&amp;""),"%","")),0)&lt;1),1,100))</f>
        <v/>
      </c>
      <c r="H199" t="str">
        <f>IF(A199="","",IFERROR(VALUE(SUBSTITUTE(TRIM(Input!I199&amp;""),"%","")),0)/IF(AND(IFERROR(VALUE(SUBSTITUTE(TRIM(Input!I199&amp;""),"%","")),0)&gt;0,IFERROR(VALUE(SUBSTITUTE(TRIM(Input!I199&amp;""),"%","")),0)&lt;1),1,100))</f>
        <v/>
      </c>
    </row>
    <row r="200" spans="1:8">
      <c r="A200" t="str">
        <f>IF(TRIM(Input!B200&amp;"")="","",UPPER(TRIM(Input!B200&amp;"")))</f>
        <v/>
      </c>
      <c r="B200" t="str">
        <f>IF(A200="","",IFERROR(VALUE(RIGHT(TRIM(Input!D200&amp;""),1)),0))</f>
        <v/>
      </c>
      <c r="C200" t="str">
        <f t="shared" si="3"/>
        <v/>
      </c>
      <c r="D200" t="str">
        <f>IF(A200="","",IFERROR(VALUE(SUBSTITUTE(TRIM(Input!E200&amp;""),"%","")),0)/IF(AND(IFERROR(VALUE(SUBSTITUTE(TRIM(Input!E200&amp;""),"%","")),0)&gt;0,IFERROR(VALUE(SUBSTITUTE(TRIM(Input!E200&amp;""),"%","")),0)&lt;1),1,100))</f>
        <v/>
      </c>
      <c r="E200" t="str">
        <f>IF(A200="","",IFERROR(VALUE(SUBSTITUTE(TRIM(Input!F200&amp;""),"%","")),0)/IF(AND(IFERROR(VALUE(SUBSTITUTE(TRIM(Input!F200&amp;""),"%","")),0)&gt;0,IFERROR(VALUE(SUBSTITUTE(TRIM(Input!F200&amp;""),"%","")),0)&lt;1),1,100))</f>
        <v/>
      </c>
      <c r="F200" t="str">
        <f>IF(A200="","",IFERROR(VALUE(SUBSTITUTE(TRIM(Input!G200&amp;""),"%","")),0)/IF(AND(IFERROR(VALUE(SUBSTITUTE(TRIM(Input!G200&amp;""),"%","")),0)&gt;0,IFERROR(VALUE(SUBSTITUTE(TRIM(Input!G200&amp;""),"%","")),0)&lt;1),1,100))</f>
        <v/>
      </c>
      <c r="G200" t="str">
        <f>IF(A200="","",IFERROR(VALUE(SUBSTITUTE(TRIM(Input!H200&amp;""),"%","")),0)/IF(AND(IFERROR(VALUE(SUBSTITUTE(TRIM(Input!H200&amp;""),"%","")),0)&gt;0,IFERROR(VALUE(SUBSTITUTE(TRIM(Input!H200&amp;""),"%","")),0)&lt;1),1,100))</f>
        <v/>
      </c>
      <c r="H200" t="str">
        <f>IF(A200="","",IFERROR(VALUE(SUBSTITUTE(TRIM(Input!I200&amp;""),"%","")),0)/IF(AND(IFERROR(VALUE(SUBSTITUTE(TRIM(Input!I200&amp;""),"%","")),0)&gt;0,IFERROR(VALUE(SUBSTITUTE(TRIM(Input!I200&amp;""),"%","")),0)&lt;1),1,100))</f>
        <v/>
      </c>
    </row>
    <row r="201" spans="1:8">
      <c r="A201" t="str">
        <f>IF(TRIM(Input!B201&amp;"")="","",UPPER(TRIM(Input!B201&amp;"")))</f>
        <v/>
      </c>
      <c r="B201" t="str">
        <f>IF(A201="","",IFERROR(VALUE(RIGHT(TRIM(Input!D201&amp;""),1)),0))</f>
        <v/>
      </c>
      <c r="C201" t="str">
        <f t="shared" si="3"/>
        <v/>
      </c>
      <c r="D201" t="str">
        <f>IF(A201="","",IFERROR(VALUE(SUBSTITUTE(TRIM(Input!E201&amp;""),"%","")),0)/IF(AND(IFERROR(VALUE(SUBSTITUTE(TRIM(Input!E201&amp;""),"%","")),0)&gt;0,IFERROR(VALUE(SUBSTITUTE(TRIM(Input!E201&amp;""),"%","")),0)&lt;1),1,100))</f>
        <v/>
      </c>
      <c r="E201" t="str">
        <f>IF(A201="","",IFERROR(VALUE(SUBSTITUTE(TRIM(Input!F201&amp;""),"%","")),0)/IF(AND(IFERROR(VALUE(SUBSTITUTE(TRIM(Input!F201&amp;""),"%","")),0)&gt;0,IFERROR(VALUE(SUBSTITUTE(TRIM(Input!F201&amp;""),"%","")),0)&lt;1),1,100))</f>
        <v/>
      </c>
      <c r="F201" t="str">
        <f>IF(A201="","",IFERROR(VALUE(SUBSTITUTE(TRIM(Input!G201&amp;""),"%","")),0)/IF(AND(IFERROR(VALUE(SUBSTITUTE(TRIM(Input!G201&amp;""),"%","")),0)&gt;0,IFERROR(VALUE(SUBSTITUTE(TRIM(Input!G201&amp;""),"%","")),0)&lt;1),1,100))</f>
        <v/>
      </c>
      <c r="G201" t="str">
        <f>IF(A201="","",IFERROR(VALUE(SUBSTITUTE(TRIM(Input!H201&amp;""),"%","")),0)/IF(AND(IFERROR(VALUE(SUBSTITUTE(TRIM(Input!H201&amp;""),"%","")),0)&gt;0,IFERROR(VALUE(SUBSTITUTE(TRIM(Input!H201&amp;""),"%","")),0)&lt;1),1,100))</f>
        <v/>
      </c>
      <c r="H201" t="str">
        <f>IF(A201="","",IFERROR(VALUE(SUBSTITUTE(TRIM(Input!I201&amp;""),"%","")),0)/IF(AND(IFERROR(VALUE(SUBSTITUTE(TRIM(Input!I201&amp;""),"%","")),0)&gt;0,IFERROR(VALUE(SUBSTITUTE(TRIM(Input!I201&amp;""),"%","")),0)&lt;1),1,100))</f>
        <v/>
      </c>
    </row>
    <row r="202" spans="1:8">
      <c r="A202" t="str">
        <f>IF(TRIM(Input!B202&amp;"")="","",UPPER(TRIM(Input!B202&amp;"")))</f>
        <v/>
      </c>
      <c r="B202" t="str">
        <f>IF(A202="","",IFERROR(VALUE(RIGHT(TRIM(Input!D202&amp;""),1)),0))</f>
        <v/>
      </c>
      <c r="C202" t="str">
        <f t="shared" si="3"/>
        <v/>
      </c>
      <c r="D202" t="str">
        <f>IF(A202="","",IFERROR(VALUE(SUBSTITUTE(TRIM(Input!E202&amp;""),"%","")),0)/IF(AND(IFERROR(VALUE(SUBSTITUTE(TRIM(Input!E202&amp;""),"%","")),0)&gt;0,IFERROR(VALUE(SUBSTITUTE(TRIM(Input!E202&amp;""),"%","")),0)&lt;1),1,100))</f>
        <v/>
      </c>
      <c r="E202" t="str">
        <f>IF(A202="","",IFERROR(VALUE(SUBSTITUTE(TRIM(Input!F202&amp;""),"%","")),0)/IF(AND(IFERROR(VALUE(SUBSTITUTE(TRIM(Input!F202&amp;""),"%","")),0)&gt;0,IFERROR(VALUE(SUBSTITUTE(TRIM(Input!F202&amp;""),"%","")),0)&lt;1),1,100))</f>
        <v/>
      </c>
      <c r="F202" t="str">
        <f>IF(A202="","",IFERROR(VALUE(SUBSTITUTE(TRIM(Input!G202&amp;""),"%","")),0)/IF(AND(IFERROR(VALUE(SUBSTITUTE(TRIM(Input!G202&amp;""),"%","")),0)&gt;0,IFERROR(VALUE(SUBSTITUTE(TRIM(Input!G202&amp;""),"%","")),0)&lt;1),1,100))</f>
        <v/>
      </c>
      <c r="G202" t="str">
        <f>IF(A202="","",IFERROR(VALUE(SUBSTITUTE(TRIM(Input!H202&amp;""),"%","")),0)/IF(AND(IFERROR(VALUE(SUBSTITUTE(TRIM(Input!H202&amp;""),"%","")),0)&gt;0,IFERROR(VALUE(SUBSTITUTE(TRIM(Input!H202&amp;""),"%","")),0)&lt;1),1,100))</f>
        <v/>
      </c>
      <c r="H202" t="str">
        <f>IF(A202="","",IFERROR(VALUE(SUBSTITUTE(TRIM(Input!I202&amp;""),"%","")),0)/IF(AND(IFERROR(VALUE(SUBSTITUTE(TRIM(Input!I202&amp;""),"%","")),0)&gt;0,IFERROR(VALUE(SUBSTITUTE(TRIM(Input!I202&amp;""),"%","")),0)&lt;1),1,100))</f>
        <v/>
      </c>
    </row>
    <row r="203" spans="1:8">
      <c r="A203" t="str">
        <f>IF(TRIM(Input!B203&amp;"")="","",UPPER(TRIM(Input!B203&amp;"")))</f>
        <v/>
      </c>
      <c r="B203" t="str">
        <f>IF(A203="","",IFERROR(VALUE(RIGHT(TRIM(Input!D203&amp;""),1)),0))</f>
        <v/>
      </c>
      <c r="C203" t="str">
        <f t="shared" si="3"/>
        <v/>
      </c>
      <c r="D203" t="str">
        <f>IF(A203="","",IFERROR(VALUE(SUBSTITUTE(TRIM(Input!E203&amp;""),"%","")),0)/IF(AND(IFERROR(VALUE(SUBSTITUTE(TRIM(Input!E203&amp;""),"%","")),0)&gt;0,IFERROR(VALUE(SUBSTITUTE(TRIM(Input!E203&amp;""),"%","")),0)&lt;1),1,100))</f>
        <v/>
      </c>
      <c r="E203" t="str">
        <f>IF(A203="","",IFERROR(VALUE(SUBSTITUTE(TRIM(Input!F203&amp;""),"%","")),0)/IF(AND(IFERROR(VALUE(SUBSTITUTE(TRIM(Input!F203&amp;""),"%","")),0)&gt;0,IFERROR(VALUE(SUBSTITUTE(TRIM(Input!F203&amp;""),"%","")),0)&lt;1),1,100))</f>
        <v/>
      </c>
      <c r="F203" t="str">
        <f>IF(A203="","",IFERROR(VALUE(SUBSTITUTE(TRIM(Input!G203&amp;""),"%","")),0)/IF(AND(IFERROR(VALUE(SUBSTITUTE(TRIM(Input!G203&amp;""),"%","")),0)&gt;0,IFERROR(VALUE(SUBSTITUTE(TRIM(Input!G203&amp;""),"%","")),0)&lt;1),1,100))</f>
        <v/>
      </c>
      <c r="G203" t="str">
        <f>IF(A203="","",IFERROR(VALUE(SUBSTITUTE(TRIM(Input!H203&amp;""),"%","")),0)/IF(AND(IFERROR(VALUE(SUBSTITUTE(TRIM(Input!H203&amp;""),"%","")),0)&gt;0,IFERROR(VALUE(SUBSTITUTE(TRIM(Input!H203&amp;""),"%","")),0)&lt;1),1,100))</f>
        <v/>
      </c>
      <c r="H203" t="str">
        <f>IF(A203="","",IFERROR(VALUE(SUBSTITUTE(TRIM(Input!I203&amp;""),"%","")),0)/IF(AND(IFERROR(VALUE(SUBSTITUTE(TRIM(Input!I203&amp;""),"%","")),0)&gt;0,IFERROR(VALUE(SUBSTITUTE(TRIM(Input!I203&amp;""),"%","")),0)&lt;1),1,100))</f>
        <v/>
      </c>
    </row>
    <row r="204" spans="1:8">
      <c r="A204" t="str">
        <f>IF(TRIM(Input!B204&amp;"")="","",UPPER(TRIM(Input!B204&amp;"")))</f>
        <v/>
      </c>
      <c r="B204" t="str">
        <f>IF(A204="","",IFERROR(VALUE(RIGHT(TRIM(Input!D204&amp;""),1)),0))</f>
        <v/>
      </c>
      <c r="C204" t="str">
        <f t="shared" si="3"/>
        <v/>
      </c>
      <c r="D204" t="str">
        <f>IF(A204="","",IFERROR(VALUE(SUBSTITUTE(TRIM(Input!E204&amp;""),"%","")),0)/IF(AND(IFERROR(VALUE(SUBSTITUTE(TRIM(Input!E204&amp;""),"%","")),0)&gt;0,IFERROR(VALUE(SUBSTITUTE(TRIM(Input!E204&amp;""),"%","")),0)&lt;1),1,100))</f>
        <v/>
      </c>
      <c r="E204" t="str">
        <f>IF(A204="","",IFERROR(VALUE(SUBSTITUTE(TRIM(Input!F204&amp;""),"%","")),0)/IF(AND(IFERROR(VALUE(SUBSTITUTE(TRIM(Input!F204&amp;""),"%","")),0)&gt;0,IFERROR(VALUE(SUBSTITUTE(TRIM(Input!F204&amp;""),"%","")),0)&lt;1),1,100))</f>
        <v/>
      </c>
      <c r="F204" t="str">
        <f>IF(A204="","",IFERROR(VALUE(SUBSTITUTE(TRIM(Input!G204&amp;""),"%","")),0)/IF(AND(IFERROR(VALUE(SUBSTITUTE(TRIM(Input!G204&amp;""),"%","")),0)&gt;0,IFERROR(VALUE(SUBSTITUTE(TRIM(Input!G204&amp;""),"%","")),0)&lt;1),1,100))</f>
        <v/>
      </c>
      <c r="G204" t="str">
        <f>IF(A204="","",IFERROR(VALUE(SUBSTITUTE(TRIM(Input!H204&amp;""),"%","")),0)/IF(AND(IFERROR(VALUE(SUBSTITUTE(TRIM(Input!H204&amp;""),"%","")),0)&gt;0,IFERROR(VALUE(SUBSTITUTE(TRIM(Input!H204&amp;""),"%","")),0)&lt;1),1,100))</f>
        <v/>
      </c>
      <c r="H204" t="str">
        <f>IF(A204="","",IFERROR(VALUE(SUBSTITUTE(TRIM(Input!I204&amp;""),"%","")),0)/IF(AND(IFERROR(VALUE(SUBSTITUTE(TRIM(Input!I204&amp;""),"%","")),0)&gt;0,IFERROR(VALUE(SUBSTITUTE(TRIM(Input!I204&amp;""),"%","")),0)&lt;1),1,100))</f>
        <v/>
      </c>
    </row>
    <row r="205" spans="1:8">
      <c r="A205" t="str">
        <f>IF(TRIM(Input!B205&amp;"")="","",UPPER(TRIM(Input!B205&amp;"")))</f>
        <v/>
      </c>
      <c r="B205" t="str">
        <f>IF(A205="","",IFERROR(VALUE(RIGHT(TRIM(Input!D205&amp;""),1)),0))</f>
        <v/>
      </c>
      <c r="C205" t="str">
        <f t="shared" si="3"/>
        <v/>
      </c>
      <c r="D205" t="str">
        <f>IF(A205="","",IFERROR(VALUE(SUBSTITUTE(TRIM(Input!E205&amp;""),"%","")),0)/IF(AND(IFERROR(VALUE(SUBSTITUTE(TRIM(Input!E205&amp;""),"%","")),0)&gt;0,IFERROR(VALUE(SUBSTITUTE(TRIM(Input!E205&amp;""),"%","")),0)&lt;1),1,100))</f>
        <v/>
      </c>
      <c r="E205" t="str">
        <f>IF(A205="","",IFERROR(VALUE(SUBSTITUTE(TRIM(Input!F205&amp;""),"%","")),0)/IF(AND(IFERROR(VALUE(SUBSTITUTE(TRIM(Input!F205&amp;""),"%","")),0)&gt;0,IFERROR(VALUE(SUBSTITUTE(TRIM(Input!F205&amp;""),"%","")),0)&lt;1),1,100))</f>
        <v/>
      </c>
      <c r="F205" t="str">
        <f>IF(A205="","",IFERROR(VALUE(SUBSTITUTE(TRIM(Input!G205&amp;""),"%","")),0)/IF(AND(IFERROR(VALUE(SUBSTITUTE(TRIM(Input!G205&amp;""),"%","")),0)&gt;0,IFERROR(VALUE(SUBSTITUTE(TRIM(Input!G205&amp;""),"%","")),0)&lt;1),1,100))</f>
        <v/>
      </c>
      <c r="G205" t="str">
        <f>IF(A205="","",IFERROR(VALUE(SUBSTITUTE(TRIM(Input!H205&amp;""),"%","")),0)/IF(AND(IFERROR(VALUE(SUBSTITUTE(TRIM(Input!H205&amp;""),"%","")),0)&gt;0,IFERROR(VALUE(SUBSTITUTE(TRIM(Input!H205&amp;""),"%","")),0)&lt;1),1,100))</f>
        <v/>
      </c>
      <c r="H205" t="str">
        <f>IF(A205="","",IFERROR(VALUE(SUBSTITUTE(TRIM(Input!I205&amp;""),"%","")),0)/IF(AND(IFERROR(VALUE(SUBSTITUTE(TRIM(Input!I205&amp;""),"%","")),0)&gt;0,IFERROR(VALUE(SUBSTITUTE(TRIM(Input!I205&amp;""),"%","")),0)&lt;1),1,100))</f>
        <v/>
      </c>
    </row>
    <row r="206" spans="1:8">
      <c r="A206" t="str">
        <f>IF(TRIM(Input!B206&amp;"")="","",UPPER(TRIM(Input!B206&amp;"")))</f>
        <v/>
      </c>
      <c r="B206" t="str">
        <f>IF(A206="","",IFERROR(VALUE(RIGHT(TRIM(Input!D206&amp;""),1)),0))</f>
        <v/>
      </c>
      <c r="C206" t="str">
        <f t="shared" si="3"/>
        <v/>
      </c>
      <c r="D206" t="str">
        <f>IF(A206="","",IFERROR(VALUE(SUBSTITUTE(TRIM(Input!E206&amp;""),"%","")),0)/IF(AND(IFERROR(VALUE(SUBSTITUTE(TRIM(Input!E206&amp;""),"%","")),0)&gt;0,IFERROR(VALUE(SUBSTITUTE(TRIM(Input!E206&amp;""),"%","")),0)&lt;1),1,100))</f>
        <v/>
      </c>
      <c r="E206" t="str">
        <f>IF(A206="","",IFERROR(VALUE(SUBSTITUTE(TRIM(Input!F206&amp;""),"%","")),0)/IF(AND(IFERROR(VALUE(SUBSTITUTE(TRIM(Input!F206&amp;""),"%","")),0)&gt;0,IFERROR(VALUE(SUBSTITUTE(TRIM(Input!F206&amp;""),"%","")),0)&lt;1),1,100))</f>
        <v/>
      </c>
      <c r="F206" t="str">
        <f>IF(A206="","",IFERROR(VALUE(SUBSTITUTE(TRIM(Input!G206&amp;""),"%","")),0)/IF(AND(IFERROR(VALUE(SUBSTITUTE(TRIM(Input!G206&amp;""),"%","")),0)&gt;0,IFERROR(VALUE(SUBSTITUTE(TRIM(Input!G206&amp;""),"%","")),0)&lt;1),1,100))</f>
        <v/>
      </c>
      <c r="G206" t="str">
        <f>IF(A206="","",IFERROR(VALUE(SUBSTITUTE(TRIM(Input!H206&amp;""),"%","")),0)/IF(AND(IFERROR(VALUE(SUBSTITUTE(TRIM(Input!H206&amp;""),"%","")),0)&gt;0,IFERROR(VALUE(SUBSTITUTE(TRIM(Input!H206&amp;""),"%","")),0)&lt;1),1,100))</f>
        <v/>
      </c>
      <c r="H206" t="str">
        <f>IF(A206="","",IFERROR(VALUE(SUBSTITUTE(TRIM(Input!I206&amp;""),"%","")),0)/IF(AND(IFERROR(VALUE(SUBSTITUTE(TRIM(Input!I206&amp;""),"%","")),0)&gt;0,IFERROR(VALUE(SUBSTITUTE(TRIM(Input!I206&amp;""),"%","")),0)&lt;1),1,100))</f>
        <v/>
      </c>
    </row>
    <row r="207" spans="1:8">
      <c r="A207" t="str">
        <f>IF(TRIM(Input!B207&amp;"")="","",UPPER(TRIM(Input!B207&amp;"")))</f>
        <v/>
      </c>
      <c r="B207" t="str">
        <f>IF(A207="","",IFERROR(VALUE(RIGHT(TRIM(Input!D207&amp;""),1)),0))</f>
        <v/>
      </c>
      <c r="C207" t="str">
        <f t="shared" si="3"/>
        <v/>
      </c>
      <c r="D207" t="str">
        <f>IF(A207="","",IFERROR(VALUE(SUBSTITUTE(TRIM(Input!E207&amp;""),"%","")),0)/IF(AND(IFERROR(VALUE(SUBSTITUTE(TRIM(Input!E207&amp;""),"%","")),0)&gt;0,IFERROR(VALUE(SUBSTITUTE(TRIM(Input!E207&amp;""),"%","")),0)&lt;1),1,100))</f>
        <v/>
      </c>
      <c r="E207" t="str">
        <f>IF(A207="","",IFERROR(VALUE(SUBSTITUTE(TRIM(Input!F207&amp;""),"%","")),0)/IF(AND(IFERROR(VALUE(SUBSTITUTE(TRIM(Input!F207&amp;""),"%","")),0)&gt;0,IFERROR(VALUE(SUBSTITUTE(TRIM(Input!F207&amp;""),"%","")),0)&lt;1),1,100))</f>
        <v/>
      </c>
      <c r="F207" t="str">
        <f>IF(A207="","",IFERROR(VALUE(SUBSTITUTE(TRIM(Input!G207&amp;""),"%","")),0)/IF(AND(IFERROR(VALUE(SUBSTITUTE(TRIM(Input!G207&amp;""),"%","")),0)&gt;0,IFERROR(VALUE(SUBSTITUTE(TRIM(Input!G207&amp;""),"%","")),0)&lt;1),1,100))</f>
        <v/>
      </c>
      <c r="G207" t="str">
        <f>IF(A207="","",IFERROR(VALUE(SUBSTITUTE(TRIM(Input!H207&amp;""),"%","")),0)/IF(AND(IFERROR(VALUE(SUBSTITUTE(TRIM(Input!H207&amp;""),"%","")),0)&gt;0,IFERROR(VALUE(SUBSTITUTE(TRIM(Input!H207&amp;""),"%","")),0)&lt;1),1,100))</f>
        <v/>
      </c>
      <c r="H207" t="str">
        <f>IF(A207="","",IFERROR(VALUE(SUBSTITUTE(TRIM(Input!I207&amp;""),"%","")),0)/IF(AND(IFERROR(VALUE(SUBSTITUTE(TRIM(Input!I207&amp;""),"%","")),0)&gt;0,IFERROR(VALUE(SUBSTITUTE(TRIM(Input!I207&amp;""),"%","")),0)&lt;1),1,100))</f>
        <v/>
      </c>
    </row>
    <row r="208" spans="1:8">
      <c r="A208" t="str">
        <f>IF(TRIM(Input!B208&amp;"")="","",UPPER(TRIM(Input!B208&amp;"")))</f>
        <v/>
      </c>
      <c r="B208" t="str">
        <f>IF(A208="","",IFERROR(VALUE(RIGHT(TRIM(Input!D208&amp;""),1)),0))</f>
        <v/>
      </c>
      <c r="C208" t="str">
        <f t="shared" si="3"/>
        <v/>
      </c>
      <c r="D208" t="str">
        <f>IF(A208="","",IFERROR(VALUE(SUBSTITUTE(TRIM(Input!E208&amp;""),"%","")),0)/IF(AND(IFERROR(VALUE(SUBSTITUTE(TRIM(Input!E208&amp;""),"%","")),0)&gt;0,IFERROR(VALUE(SUBSTITUTE(TRIM(Input!E208&amp;""),"%","")),0)&lt;1),1,100))</f>
        <v/>
      </c>
      <c r="E208" t="str">
        <f>IF(A208="","",IFERROR(VALUE(SUBSTITUTE(TRIM(Input!F208&amp;""),"%","")),0)/IF(AND(IFERROR(VALUE(SUBSTITUTE(TRIM(Input!F208&amp;""),"%","")),0)&gt;0,IFERROR(VALUE(SUBSTITUTE(TRIM(Input!F208&amp;""),"%","")),0)&lt;1),1,100))</f>
        <v/>
      </c>
      <c r="F208" t="str">
        <f>IF(A208="","",IFERROR(VALUE(SUBSTITUTE(TRIM(Input!G208&amp;""),"%","")),0)/IF(AND(IFERROR(VALUE(SUBSTITUTE(TRIM(Input!G208&amp;""),"%","")),0)&gt;0,IFERROR(VALUE(SUBSTITUTE(TRIM(Input!G208&amp;""),"%","")),0)&lt;1),1,100))</f>
        <v/>
      </c>
      <c r="G208" t="str">
        <f>IF(A208="","",IFERROR(VALUE(SUBSTITUTE(TRIM(Input!H208&amp;""),"%","")),0)/IF(AND(IFERROR(VALUE(SUBSTITUTE(TRIM(Input!H208&amp;""),"%","")),0)&gt;0,IFERROR(VALUE(SUBSTITUTE(TRIM(Input!H208&amp;""),"%","")),0)&lt;1),1,100))</f>
        <v/>
      </c>
      <c r="H208" t="str">
        <f>IF(A208="","",IFERROR(VALUE(SUBSTITUTE(TRIM(Input!I208&amp;""),"%","")),0)/IF(AND(IFERROR(VALUE(SUBSTITUTE(TRIM(Input!I208&amp;""),"%","")),0)&gt;0,IFERROR(VALUE(SUBSTITUTE(TRIM(Input!I208&amp;""),"%","")),0)&lt;1),1,100))</f>
        <v/>
      </c>
    </row>
    <row r="209" spans="1:8">
      <c r="A209" t="str">
        <f>IF(TRIM(Input!B209&amp;"")="","",UPPER(TRIM(Input!B209&amp;"")))</f>
        <v/>
      </c>
      <c r="B209" t="str">
        <f>IF(A209="","",IFERROR(VALUE(RIGHT(TRIM(Input!D209&amp;""),1)),0))</f>
        <v/>
      </c>
      <c r="C209" t="str">
        <f t="shared" si="3"/>
        <v/>
      </c>
      <c r="D209" t="str">
        <f>IF(A209="","",IFERROR(VALUE(SUBSTITUTE(TRIM(Input!E209&amp;""),"%","")),0)/IF(AND(IFERROR(VALUE(SUBSTITUTE(TRIM(Input!E209&amp;""),"%","")),0)&gt;0,IFERROR(VALUE(SUBSTITUTE(TRIM(Input!E209&amp;""),"%","")),0)&lt;1),1,100))</f>
        <v/>
      </c>
      <c r="E209" t="str">
        <f>IF(A209="","",IFERROR(VALUE(SUBSTITUTE(TRIM(Input!F209&amp;""),"%","")),0)/IF(AND(IFERROR(VALUE(SUBSTITUTE(TRIM(Input!F209&amp;""),"%","")),0)&gt;0,IFERROR(VALUE(SUBSTITUTE(TRIM(Input!F209&amp;""),"%","")),0)&lt;1),1,100))</f>
        <v/>
      </c>
      <c r="F209" t="str">
        <f>IF(A209="","",IFERROR(VALUE(SUBSTITUTE(TRIM(Input!G209&amp;""),"%","")),0)/IF(AND(IFERROR(VALUE(SUBSTITUTE(TRIM(Input!G209&amp;""),"%","")),0)&gt;0,IFERROR(VALUE(SUBSTITUTE(TRIM(Input!G209&amp;""),"%","")),0)&lt;1),1,100))</f>
        <v/>
      </c>
      <c r="G209" t="str">
        <f>IF(A209="","",IFERROR(VALUE(SUBSTITUTE(TRIM(Input!H209&amp;""),"%","")),0)/IF(AND(IFERROR(VALUE(SUBSTITUTE(TRIM(Input!H209&amp;""),"%","")),0)&gt;0,IFERROR(VALUE(SUBSTITUTE(TRIM(Input!H209&amp;""),"%","")),0)&lt;1),1,100))</f>
        <v/>
      </c>
      <c r="H209" t="str">
        <f>IF(A209="","",IFERROR(VALUE(SUBSTITUTE(TRIM(Input!I209&amp;""),"%","")),0)/IF(AND(IFERROR(VALUE(SUBSTITUTE(TRIM(Input!I209&amp;""),"%","")),0)&gt;0,IFERROR(VALUE(SUBSTITUTE(TRIM(Input!I209&amp;""),"%","")),0)&lt;1),1,100))</f>
        <v/>
      </c>
    </row>
    <row r="210" spans="1:8">
      <c r="A210" t="str">
        <f>IF(TRIM(Input!B210&amp;"")="","",UPPER(TRIM(Input!B210&amp;"")))</f>
        <v/>
      </c>
      <c r="B210" t="str">
        <f>IF(A210="","",IFERROR(VALUE(RIGHT(TRIM(Input!D210&amp;""),1)),0))</f>
        <v/>
      </c>
      <c r="C210" t="str">
        <f t="shared" si="3"/>
        <v/>
      </c>
      <c r="D210" t="str">
        <f>IF(A210="","",IFERROR(VALUE(SUBSTITUTE(TRIM(Input!E210&amp;""),"%","")),0)/IF(AND(IFERROR(VALUE(SUBSTITUTE(TRIM(Input!E210&amp;""),"%","")),0)&gt;0,IFERROR(VALUE(SUBSTITUTE(TRIM(Input!E210&amp;""),"%","")),0)&lt;1),1,100))</f>
        <v/>
      </c>
      <c r="E210" t="str">
        <f>IF(A210="","",IFERROR(VALUE(SUBSTITUTE(TRIM(Input!F210&amp;""),"%","")),0)/IF(AND(IFERROR(VALUE(SUBSTITUTE(TRIM(Input!F210&amp;""),"%","")),0)&gt;0,IFERROR(VALUE(SUBSTITUTE(TRIM(Input!F210&amp;""),"%","")),0)&lt;1),1,100))</f>
        <v/>
      </c>
      <c r="F210" t="str">
        <f>IF(A210="","",IFERROR(VALUE(SUBSTITUTE(TRIM(Input!G210&amp;""),"%","")),0)/IF(AND(IFERROR(VALUE(SUBSTITUTE(TRIM(Input!G210&amp;""),"%","")),0)&gt;0,IFERROR(VALUE(SUBSTITUTE(TRIM(Input!G210&amp;""),"%","")),0)&lt;1),1,100))</f>
        <v/>
      </c>
      <c r="G210" t="str">
        <f>IF(A210="","",IFERROR(VALUE(SUBSTITUTE(TRIM(Input!H210&amp;""),"%","")),0)/IF(AND(IFERROR(VALUE(SUBSTITUTE(TRIM(Input!H210&amp;""),"%","")),0)&gt;0,IFERROR(VALUE(SUBSTITUTE(TRIM(Input!H210&amp;""),"%","")),0)&lt;1),1,100))</f>
        <v/>
      </c>
      <c r="H210" t="str">
        <f>IF(A210="","",IFERROR(VALUE(SUBSTITUTE(TRIM(Input!I210&amp;""),"%","")),0)/IF(AND(IFERROR(VALUE(SUBSTITUTE(TRIM(Input!I210&amp;""),"%","")),0)&gt;0,IFERROR(VALUE(SUBSTITUTE(TRIM(Input!I210&amp;""),"%","")),0)&lt;1),1,100))</f>
        <v/>
      </c>
    </row>
    <row r="211" spans="1:8">
      <c r="A211" t="str">
        <f>IF(TRIM(Input!B211&amp;"")="","",UPPER(TRIM(Input!B211&amp;"")))</f>
        <v/>
      </c>
      <c r="B211" t="str">
        <f>IF(A211="","",IFERROR(VALUE(RIGHT(TRIM(Input!D211&amp;""),1)),0))</f>
        <v/>
      </c>
      <c r="C211" t="str">
        <f t="shared" si="3"/>
        <v/>
      </c>
      <c r="D211" t="str">
        <f>IF(A211="","",IFERROR(VALUE(SUBSTITUTE(TRIM(Input!E211&amp;""),"%","")),0)/IF(AND(IFERROR(VALUE(SUBSTITUTE(TRIM(Input!E211&amp;""),"%","")),0)&gt;0,IFERROR(VALUE(SUBSTITUTE(TRIM(Input!E211&amp;""),"%","")),0)&lt;1),1,100))</f>
        <v/>
      </c>
      <c r="E211" t="str">
        <f>IF(A211="","",IFERROR(VALUE(SUBSTITUTE(TRIM(Input!F211&amp;""),"%","")),0)/IF(AND(IFERROR(VALUE(SUBSTITUTE(TRIM(Input!F211&amp;""),"%","")),0)&gt;0,IFERROR(VALUE(SUBSTITUTE(TRIM(Input!F211&amp;""),"%","")),0)&lt;1),1,100))</f>
        <v/>
      </c>
      <c r="F211" t="str">
        <f>IF(A211="","",IFERROR(VALUE(SUBSTITUTE(TRIM(Input!G211&amp;""),"%","")),0)/IF(AND(IFERROR(VALUE(SUBSTITUTE(TRIM(Input!G211&amp;""),"%","")),0)&gt;0,IFERROR(VALUE(SUBSTITUTE(TRIM(Input!G211&amp;""),"%","")),0)&lt;1),1,100))</f>
        <v/>
      </c>
      <c r="G211" t="str">
        <f>IF(A211="","",IFERROR(VALUE(SUBSTITUTE(TRIM(Input!H211&amp;""),"%","")),0)/IF(AND(IFERROR(VALUE(SUBSTITUTE(TRIM(Input!H211&amp;""),"%","")),0)&gt;0,IFERROR(VALUE(SUBSTITUTE(TRIM(Input!H211&amp;""),"%","")),0)&lt;1),1,100))</f>
        <v/>
      </c>
      <c r="H211" t="str">
        <f>IF(A211="","",IFERROR(VALUE(SUBSTITUTE(TRIM(Input!I211&amp;""),"%","")),0)/IF(AND(IFERROR(VALUE(SUBSTITUTE(TRIM(Input!I211&amp;""),"%","")),0)&gt;0,IFERROR(VALUE(SUBSTITUTE(TRIM(Input!I211&amp;""),"%","")),0)&lt;1),1,100))</f>
        <v/>
      </c>
    </row>
    <row r="212" spans="1:8">
      <c r="A212" t="str">
        <f>IF(TRIM(Input!B212&amp;"")="","",UPPER(TRIM(Input!B212&amp;"")))</f>
        <v/>
      </c>
      <c r="B212" t="str">
        <f>IF(A212="","",IFERROR(VALUE(RIGHT(TRIM(Input!D212&amp;""),1)),0))</f>
        <v/>
      </c>
      <c r="C212" t="str">
        <f t="shared" si="3"/>
        <v/>
      </c>
      <c r="D212" t="str">
        <f>IF(A212="","",IFERROR(VALUE(SUBSTITUTE(TRIM(Input!E212&amp;""),"%","")),0)/IF(AND(IFERROR(VALUE(SUBSTITUTE(TRIM(Input!E212&amp;""),"%","")),0)&gt;0,IFERROR(VALUE(SUBSTITUTE(TRIM(Input!E212&amp;""),"%","")),0)&lt;1),1,100))</f>
        <v/>
      </c>
      <c r="E212" t="str">
        <f>IF(A212="","",IFERROR(VALUE(SUBSTITUTE(TRIM(Input!F212&amp;""),"%","")),0)/IF(AND(IFERROR(VALUE(SUBSTITUTE(TRIM(Input!F212&amp;""),"%","")),0)&gt;0,IFERROR(VALUE(SUBSTITUTE(TRIM(Input!F212&amp;""),"%","")),0)&lt;1),1,100))</f>
        <v/>
      </c>
      <c r="F212" t="str">
        <f>IF(A212="","",IFERROR(VALUE(SUBSTITUTE(TRIM(Input!G212&amp;""),"%","")),0)/IF(AND(IFERROR(VALUE(SUBSTITUTE(TRIM(Input!G212&amp;""),"%","")),0)&gt;0,IFERROR(VALUE(SUBSTITUTE(TRIM(Input!G212&amp;""),"%","")),0)&lt;1),1,100))</f>
        <v/>
      </c>
      <c r="G212" t="str">
        <f>IF(A212="","",IFERROR(VALUE(SUBSTITUTE(TRIM(Input!H212&amp;""),"%","")),0)/IF(AND(IFERROR(VALUE(SUBSTITUTE(TRIM(Input!H212&amp;""),"%","")),0)&gt;0,IFERROR(VALUE(SUBSTITUTE(TRIM(Input!H212&amp;""),"%","")),0)&lt;1),1,100))</f>
        <v/>
      </c>
      <c r="H212" t="str">
        <f>IF(A212="","",IFERROR(VALUE(SUBSTITUTE(TRIM(Input!I212&amp;""),"%","")),0)/IF(AND(IFERROR(VALUE(SUBSTITUTE(TRIM(Input!I212&amp;""),"%","")),0)&gt;0,IFERROR(VALUE(SUBSTITUTE(TRIM(Input!I212&amp;""),"%","")),0)&lt;1),1,100))</f>
        <v/>
      </c>
    </row>
    <row r="213" spans="1:8">
      <c r="A213" t="str">
        <f>IF(TRIM(Input!B213&amp;"")="","",UPPER(TRIM(Input!B213&amp;"")))</f>
        <v/>
      </c>
      <c r="B213" t="str">
        <f>IF(A213="","",IFERROR(VALUE(RIGHT(TRIM(Input!D213&amp;""),1)),0))</f>
        <v/>
      </c>
      <c r="C213" t="str">
        <f t="shared" si="3"/>
        <v/>
      </c>
      <c r="D213" t="str">
        <f>IF(A213="","",IFERROR(VALUE(SUBSTITUTE(TRIM(Input!E213&amp;""),"%","")),0)/IF(AND(IFERROR(VALUE(SUBSTITUTE(TRIM(Input!E213&amp;""),"%","")),0)&gt;0,IFERROR(VALUE(SUBSTITUTE(TRIM(Input!E213&amp;""),"%","")),0)&lt;1),1,100))</f>
        <v/>
      </c>
      <c r="E213" t="str">
        <f>IF(A213="","",IFERROR(VALUE(SUBSTITUTE(TRIM(Input!F213&amp;""),"%","")),0)/IF(AND(IFERROR(VALUE(SUBSTITUTE(TRIM(Input!F213&amp;""),"%","")),0)&gt;0,IFERROR(VALUE(SUBSTITUTE(TRIM(Input!F213&amp;""),"%","")),0)&lt;1),1,100))</f>
        <v/>
      </c>
      <c r="F213" t="str">
        <f>IF(A213="","",IFERROR(VALUE(SUBSTITUTE(TRIM(Input!G213&amp;""),"%","")),0)/IF(AND(IFERROR(VALUE(SUBSTITUTE(TRIM(Input!G213&amp;""),"%","")),0)&gt;0,IFERROR(VALUE(SUBSTITUTE(TRIM(Input!G213&amp;""),"%","")),0)&lt;1),1,100))</f>
        <v/>
      </c>
      <c r="G213" t="str">
        <f>IF(A213="","",IFERROR(VALUE(SUBSTITUTE(TRIM(Input!H213&amp;""),"%","")),0)/IF(AND(IFERROR(VALUE(SUBSTITUTE(TRIM(Input!H213&amp;""),"%","")),0)&gt;0,IFERROR(VALUE(SUBSTITUTE(TRIM(Input!H213&amp;""),"%","")),0)&lt;1),1,100))</f>
        <v/>
      </c>
      <c r="H213" t="str">
        <f>IF(A213="","",IFERROR(VALUE(SUBSTITUTE(TRIM(Input!I213&amp;""),"%","")),0)/IF(AND(IFERROR(VALUE(SUBSTITUTE(TRIM(Input!I213&amp;""),"%","")),0)&gt;0,IFERROR(VALUE(SUBSTITUTE(TRIM(Input!I213&amp;""),"%","")),0)&lt;1),1,100))</f>
        <v/>
      </c>
    </row>
    <row r="214" spans="1:8">
      <c r="A214" t="str">
        <f>IF(TRIM(Input!B214&amp;"")="","",UPPER(TRIM(Input!B214&amp;"")))</f>
        <v/>
      </c>
      <c r="B214" t="str">
        <f>IF(A214="","",IFERROR(VALUE(RIGHT(TRIM(Input!D214&amp;""),1)),0))</f>
        <v/>
      </c>
      <c r="C214" t="str">
        <f t="shared" si="3"/>
        <v/>
      </c>
      <c r="D214" t="str">
        <f>IF(A214="","",IFERROR(VALUE(SUBSTITUTE(TRIM(Input!E214&amp;""),"%","")),0)/IF(AND(IFERROR(VALUE(SUBSTITUTE(TRIM(Input!E214&amp;""),"%","")),0)&gt;0,IFERROR(VALUE(SUBSTITUTE(TRIM(Input!E214&amp;""),"%","")),0)&lt;1),1,100))</f>
        <v/>
      </c>
      <c r="E214" t="str">
        <f>IF(A214="","",IFERROR(VALUE(SUBSTITUTE(TRIM(Input!F214&amp;""),"%","")),0)/IF(AND(IFERROR(VALUE(SUBSTITUTE(TRIM(Input!F214&amp;""),"%","")),0)&gt;0,IFERROR(VALUE(SUBSTITUTE(TRIM(Input!F214&amp;""),"%","")),0)&lt;1),1,100))</f>
        <v/>
      </c>
      <c r="F214" t="str">
        <f>IF(A214="","",IFERROR(VALUE(SUBSTITUTE(TRIM(Input!G214&amp;""),"%","")),0)/IF(AND(IFERROR(VALUE(SUBSTITUTE(TRIM(Input!G214&amp;""),"%","")),0)&gt;0,IFERROR(VALUE(SUBSTITUTE(TRIM(Input!G214&amp;""),"%","")),0)&lt;1),1,100))</f>
        <v/>
      </c>
      <c r="G214" t="str">
        <f>IF(A214="","",IFERROR(VALUE(SUBSTITUTE(TRIM(Input!H214&amp;""),"%","")),0)/IF(AND(IFERROR(VALUE(SUBSTITUTE(TRIM(Input!H214&amp;""),"%","")),0)&gt;0,IFERROR(VALUE(SUBSTITUTE(TRIM(Input!H214&amp;""),"%","")),0)&lt;1),1,100))</f>
        <v/>
      </c>
      <c r="H214" t="str">
        <f>IF(A214="","",IFERROR(VALUE(SUBSTITUTE(TRIM(Input!I214&amp;""),"%","")),0)/IF(AND(IFERROR(VALUE(SUBSTITUTE(TRIM(Input!I214&amp;""),"%","")),0)&gt;0,IFERROR(VALUE(SUBSTITUTE(TRIM(Input!I214&amp;""),"%","")),0)&lt;1),1,100))</f>
        <v/>
      </c>
    </row>
    <row r="215" spans="1:8">
      <c r="A215" t="str">
        <f>IF(TRIM(Input!B215&amp;"")="","",UPPER(TRIM(Input!B215&amp;"")))</f>
        <v/>
      </c>
      <c r="B215" t="str">
        <f>IF(A215="","",IFERROR(VALUE(RIGHT(TRIM(Input!D215&amp;""),1)),0))</f>
        <v/>
      </c>
      <c r="C215" t="str">
        <f t="shared" si="3"/>
        <v/>
      </c>
      <c r="D215" t="str">
        <f>IF(A215="","",IFERROR(VALUE(SUBSTITUTE(TRIM(Input!E215&amp;""),"%","")),0)/IF(AND(IFERROR(VALUE(SUBSTITUTE(TRIM(Input!E215&amp;""),"%","")),0)&gt;0,IFERROR(VALUE(SUBSTITUTE(TRIM(Input!E215&amp;""),"%","")),0)&lt;1),1,100))</f>
        <v/>
      </c>
      <c r="E215" t="str">
        <f>IF(A215="","",IFERROR(VALUE(SUBSTITUTE(TRIM(Input!F215&amp;""),"%","")),0)/IF(AND(IFERROR(VALUE(SUBSTITUTE(TRIM(Input!F215&amp;""),"%","")),0)&gt;0,IFERROR(VALUE(SUBSTITUTE(TRIM(Input!F215&amp;""),"%","")),0)&lt;1),1,100))</f>
        <v/>
      </c>
      <c r="F215" t="str">
        <f>IF(A215="","",IFERROR(VALUE(SUBSTITUTE(TRIM(Input!G215&amp;""),"%","")),0)/IF(AND(IFERROR(VALUE(SUBSTITUTE(TRIM(Input!G215&amp;""),"%","")),0)&gt;0,IFERROR(VALUE(SUBSTITUTE(TRIM(Input!G215&amp;""),"%","")),0)&lt;1),1,100))</f>
        <v/>
      </c>
      <c r="G215" t="str">
        <f>IF(A215="","",IFERROR(VALUE(SUBSTITUTE(TRIM(Input!H215&amp;""),"%","")),0)/IF(AND(IFERROR(VALUE(SUBSTITUTE(TRIM(Input!H215&amp;""),"%","")),0)&gt;0,IFERROR(VALUE(SUBSTITUTE(TRIM(Input!H215&amp;""),"%","")),0)&lt;1),1,100))</f>
        <v/>
      </c>
      <c r="H215" t="str">
        <f>IF(A215="","",IFERROR(VALUE(SUBSTITUTE(TRIM(Input!I215&amp;""),"%","")),0)/IF(AND(IFERROR(VALUE(SUBSTITUTE(TRIM(Input!I215&amp;""),"%","")),0)&gt;0,IFERROR(VALUE(SUBSTITUTE(TRIM(Input!I215&amp;""),"%","")),0)&lt;1),1,100))</f>
        <v/>
      </c>
    </row>
    <row r="216" spans="1:8">
      <c r="A216" t="str">
        <f>IF(TRIM(Input!B216&amp;"")="","",UPPER(TRIM(Input!B216&amp;"")))</f>
        <v/>
      </c>
      <c r="B216" t="str">
        <f>IF(A216="","",IFERROR(VALUE(RIGHT(TRIM(Input!D216&amp;""),1)),0))</f>
        <v/>
      </c>
      <c r="C216" t="str">
        <f t="shared" si="3"/>
        <v/>
      </c>
      <c r="D216" t="str">
        <f>IF(A216="","",IFERROR(VALUE(SUBSTITUTE(TRIM(Input!E216&amp;""),"%","")),0)/IF(AND(IFERROR(VALUE(SUBSTITUTE(TRIM(Input!E216&amp;""),"%","")),0)&gt;0,IFERROR(VALUE(SUBSTITUTE(TRIM(Input!E216&amp;""),"%","")),0)&lt;1),1,100))</f>
        <v/>
      </c>
      <c r="E216" t="str">
        <f>IF(A216="","",IFERROR(VALUE(SUBSTITUTE(TRIM(Input!F216&amp;""),"%","")),0)/IF(AND(IFERROR(VALUE(SUBSTITUTE(TRIM(Input!F216&amp;""),"%","")),0)&gt;0,IFERROR(VALUE(SUBSTITUTE(TRIM(Input!F216&amp;""),"%","")),0)&lt;1),1,100))</f>
        <v/>
      </c>
      <c r="F216" t="str">
        <f>IF(A216="","",IFERROR(VALUE(SUBSTITUTE(TRIM(Input!G216&amp;""),"%","")),0)/IF(AND(IFERROR(VALUE(SUBSTITUTE(TRIM(Input!G216&amp;""),"%","")),0)&gt;0,IFERROR(VALUE(SUBSTITUTE(TRIM(Input!G216&amp;""),"%","")),0)&lt;1),1,100))</f>
        <v/>
      </c>
      <c r="G216" t="str">
        <f>IF(A216="","",IFERROR(VALUE(SUBSTITUTE(TRIM(Input!H216&amp;""),"%","")),0)/IF(AND(IFERROR(VALUE(SUBSTITUTE(TRIM(Input!H216&amp;""),"%","")),0)&gt;0,IFERROR(VALUE(SUBSTITUTE(TRIM(Input!H216&amp;""),"%","")),0)&lt;1),1,100))</f>
        <v/>
      </c>
      <c r="H216" t="str">
        <f>IF(A216="","",IFERROR(VALUE(SUBSTITUTE(TRIM(Input!I216&amp;""),"%","")),0)/IF(AND(IFERROR(VALUE(SUBSTITUTE(TRIM(Input!I216&amp;""),"%","")),0)&gt;0,IFERROR(VALUE(SUBSTITUTE(TRIM(Input!I216&amp;""),"%","")),0)&lt;1),1,100))</f>
        <v/>
      </c>
    </row>
    <row r="217" spans="1:8">
      <c r="A217" t="str">
        <f>IF(TRIM(Input!B217&amp;"")="","",UPPER(TRIM(Input!B217&amp;"")))</f>
        <v/>
      </c>
      <c r="B217" t="str">
        <f>IF(A217="","",IFERROR(VALUE(RIGHT(TRIM(Input!D217&amp;""),1)),0))</f>
        <v/>
      </c>
      <c r="C217" t="str">
        <f t="shared" si="3"/>
        <v/>
      </c>
      <c r="D217" t="str">
        <f>IF(A217="","",IFERROR(VALUE(SUBSTITUTE(TRIM(Input!E217&amp;""),"%","")),0)/IF(AND(IFERROR(VALUE(SUBSTITUTE(TRIM(Input!E217&amp;""),"%","")),0)&gt;0,IFERROR(VALUE(SUBSTITUTE(TRIM(Input!E217&amp;""),"%","")),0)&lt;1),1,100))</f>
        <v/>
      </c>
      <c r="E217" t="str">
        <f>IF(A217="","",IFERROR(VALUE(SUBSTITUTE(TRIM(Input!F217&amp;""),"%","")),0)/IF(AND(IFERROR(VALUE(SUBSTITUTE(TRIM(Input!F217&amp;""),"%","")),0)&gt;0,IFERROR(VALUE(SUBSTITUTE(TRIM(Input!F217&amp;""),"%","")),0)&lt;1),1,100))</f>
        <v/>
      </c>
      <c r="F217" t="str">
        <f>IF(A217="","",IFERROR(VALUE(SUBSTITUTE(TRIM(Input!G217&amp;""),"%","")),0)/IF(AND(IFERROR(VALUE(SUBSTITUTE(TRIM(Input!G217&amp;""),"%","")),0)&gt;0,IFERROR(VALUE(SUBSTITUTE(TRIM(Input!G217&amp;""),"%","")),0)&lt;1),1,100))</f>
        <v/>
      </c>
      <c r="G217" t="str">
        <f>IF(A217="","",IFERROR(VALUE(SUBSTITUTE(TRIM(Input!H217&amp;""),"%","")),0)/IF(AND(IFERROR(VALUE(SUBSTITUTE(TRIM(Input!H217&amp;""),"%","")),0)&gt;0,IFERROR(VALUE(SUBSTITUTE(TRIM(Input!H217&amp;""),"%","")),0)&lt;1),1,100))</f>
        <v/>
      </c>
      <c r="H217" t="str">
        <f>IF(A217="","",IFERROR(VALUE(SUBSTITUTE(TRIM(Input!I217&amp;""),"%","")),0)/IF(AND(IFERROR(VALUE(SUBSTITUTE(TRIM(Input!I217&amp;""),"%","")),0)&gt;0,IFERROR(VALUE(SUBSTITUTE(TRIM(Input!I217&amp;""),"%","")),0)&lt;1),1,100))</f>
        <v/>
      </c>
    </row>
    <row r="218" spans="1:8">
      <c r="A218" t="str">
        <f>IF(TRIM(Input!B218&amp;"")="","",UPPER(TRIM(Input!B218&amp;"")))</f>
        <v/>
      </c>
      <c r="B218" t="str">
        <f>IF(A218="","",IFERROR(VALUE(RIGHT(TRIM(Input!D218&amp;""),1)),0))</f>
        <v/>
      </c>
      <c r="C218" t="str">
        <f t="shared" si="3"/>
        <v/>
      </c>
      <c r="D218" t="str">
        <f>IF(A218="","",IFERROR(VALUE(SUBSTITUTE(TRIM(Input!E218&amp;""),"%","")),0)/IF(AND(IFERROR(VALUE(SUBSTITUTE(TRIM(Input!E218&amp;""),"%","")),0)&gt;0,IFERROR(VALUE(SUBSTITUTE(TRIM(Input!E218&amp;""),"%","")),0)&lt;1),1,100))</f>
        <v/>
      </c>
      <c r="E218" t="str">
        <f>IF(A218="","",IFERROR(VALUE(SUBSTITUTE(TRIM(Input!F218&amp;""),"%","")),0)/IF(AND(IFERROR(VALUE(SUBSTITUTE(TRIM(Input!F218&amp;""),"%","")),0)&gt;0,IFERROR(VALUE(SUBSTITUTE(TRIM(Input!F218&amp;""),"%","")),0)&lt;1),1,100))</f>
        <v/>
      </c>
      <c r="F218" t="str">
        <f>IF(A218="","",IFERROR(VALUE(SUBSTITUTE(TRIM(Input!G218&amp;""),"%","")),0)/IF(AND(IFERROR(VALUE(SUBSTITUTE(TRIM(Input!G218&amp;""),"%","")),0)&gt;0,IFERROR(VALUE(SUBSTITUTE(TRIM(Input!G218&amp;""),"%","")),0)&lt;1),1,100))</f>
        <v/>
      </c>
      <c r="G218" t="str">
        <f>IF(A218="","",IFERROR(VALUE(SUBSTITUTE(TRIM(Input!H218&amp;""),"%","")),0)/IF(AND(IFERROR(VALUE(SUBSTITUTE(TRIM(Input!H218&amp;""),"%","")),0)&gt;0,IFERROR(VALUE(SUBSTITUTE(TRIM(Input!H218&amp;""),"%","")),0)&lt;1),1,100))</f>
        <v/>
      </c>
      <c r="H218" t="str">
        <f>IF(A218="","",IFERROR(VALUE(SUBSTITUTE(TRIM(Input!I218&amp;""),"%","")),0)/IF(AND(IFERROR(VALUE(SUBSTITUTE(TRIM(Input!I218&amp;""),"%","")),0)&gt;0,IFERROR(VALUE(SUBSTITUTE(TRIM(Input!I218&amp;""),"%","")),0)&lt;1),1,100))</f>
        <v/>
      </c>
    </row>
    <row r="219" spans="1:8">
      <c r="A219" t="str">
        <f>IF(TRIM(Input!B219&amp;"")="","",UPPER(TRIM(Input!B219&amp;"")))</f>
        <v/>
      </c>
      <c r="B219" t="str">
        <f>IF(A219="","",IFERROR(VALUE(RIGHT(TRIM(Input!D219&amp;""),1)),0))</f>
        <v/>
      </c>
      <c r="C219" t="str">
        <f t="shared" si="3"/>
        <v/>
      </c>
      <c r="D219" t="str">
        <f>IF(A219="","",IFERROR(VALUE(SUBSTITUTE(TRIM(Input!E219&amp;""),"%","")),0)/IF(AND(IFERROR(VALUE(SUBSTITUTE(TRIM(Input!E219&amp;""),"%","")),0)&gt;0,IFERROR(VALUE(SUBSTITUTE(TRIM(Input!E219&amp;""),"%","")),0)&lt;1),1,100))</f>
        <v/>
      </c>
      <c r="E219" t="str">
        <f>IF(A219="","",IFERROR(VALUE(SUBSTITUTE(TRIM(Input!F219&amp;""),"%","")),0)/IF(AND(IFERROR(VALUE(SUBSTITUTE(TRIM(Input!F219&amp;""),"%","")),0)&gt;0,IFERROR(VALUE(SUBSTITUTE(TRIM(Input!F219&amp;""),"%","")),0)&lt;1),1,100))</f>
        <v/>
      </c>
      <c r="F219" t="str">
        <f>IF(A219="","",IFERROR(VALUE(SUBSTITUTE(TRIM(Input!G219&amp;""),"%","")),0)/IF(AND(IFERROR(VALUE(SUBSTITUTE(TRIM(Input!G219&amp;""),"%","")),0)&gt;0,IFERROR(VALUE(SUBSTITUTE(TRIM(Input!G219&amp;""),"%","")),0)&lt;1),1,100))</f>
        <v/>
      </c>
      <c r="G219" t="str">
        <f>IF(A219="","",IFERROR(VALUE(SUBSTITUTE(TRIM(Input!H219&amp;""),"%","")),0)/IF(AND(IFERROR(VALUE(SUBSTITUTE(TRIM(Input!H219&amp;""),"%","")),0)&gt;0,IFERROR(VALUE(SUBSTITUTE(TRIM(Input!H219&amp;""),"%","")),0)&lt;1),1,100))</f>
        <v/>
      </c>
      <c r="H219" t="str">
        <f>IF(A219="","",IFERROR(VALUE(SUBSTITUTE(TRIM(Input!I219&amp;""),"%","")),0)/IF(AND(IFERROR(VALUE(SUBSTITUTE(TRIM(Input!I219&amp;""),"%","")),0)&gt;0,IFERROR(VALUE(SUBSTITUTE(TRIM(Input!I219&amp;""),"%","")),0)&lt;1),1,100))</f>
        <v/>
      </c>
    </row>
    <row r="220" spans="1:8">
      <c r="A220" t="str">
        <f>IF(TRIM(Input!B220&amp;"")="","",UPPER(TRIM(Input!B220&amp;"")))</f>
        <v/>
      </c>
      <c r="B220" t="str">
        <f>IF(A220="","",IFERROR(VALUE(RIGHT(TRIM(Input!D220&amp;""),1)),0))</f>
        <v/>
      </c>
      <c r="C220" t="str">
        <f t="shared" si="3"/>
        <v/>
      </c>
      <c r="D220" t="str">
        <f>IF(A220="","",IFERROR(VALUE(SUBSTITUTE(TRIM(Input!E220&amp;""),"%","")),0)/IF(AND(IFERROR(VALUE(SUBSTITUTE(TRIM(Input!E220&amp;""),"%","")),0)&gt;0,IFERROR(VALUE(SUBSTITUTE(TRIM(Input!E220&amp;""),"%","")),0)&lt;1),1,100))</f>
        <v/>
      </c>
      <c r="E220" t="str">
        <f>IF(A220="","",IFERROR(VALUE(SUBSTITUTE(TRIM(Input!F220&amp;""),"%","")),0)/IF(AND(IFERROR(VALUE(SUBSTITUTE(TRIM(Input!F220&amp;""),"%","")),0)&gt;0,IFERROR(VALUE(SUBSTITUTE(TRIM(Input!F220&amp;""),"%","")),0)&lt;1),1,100))</f>
        <v/>
      </c>
      <c r="F220" t="str">
        <f>IF(A220="","",IFERROR(VALUE(SUBSTITUTE(TRIM(Input!G220&amp;""),"%","")),0)/IF(AND(IFERROR(VALUE(SUBSTITUTE(TRIM(Input!G220&amp;""),"%","")),0)&gt;0,IFERROR(VALUE(SUBSTITUTE(TRIM(Input!G220&amp;""),"%","")),0)&lt;1),1,100))</f>
        <v/>
      </c>
      <c r="G220" t="str">
        <f>IF(A220="","",IFERROR(VALUE(SUBSTITUTE(TRIM(Input!H220&amp;""),"%","")),0)/IF(AND(IFERROR(VALUE(SUBSTITUTE(TRIM(Input!H220&amp;""),"%","")),0)&gt;0,IFERROR(VALUE(SUBSTITUTE(TRIM(Input!H220&amp;""),"%","")),0)&lt;1),1,100))</f>
        <v/>
      </c>
      <c r="H220" t="str">
        <f>IF(A220="","",IFERROR(VALUE(SUBSTITUTE(TRIM(Input!I220&amp;""),"%","")),0)/IF(AND(IFERROR(VALUE(SUBSTITUTE(TRIM(Input!I220&amp;""),"%","")),0)&gt;0,IFERROR(VALUE(SUBSTITUTE(TRIM(Input!I220&amp;""),"%","")),0)&lt;1),1,100))</f>
        <v/>
      </c>
    </row>
    <row r="221" spans="1:8">
      <c r="A221" t="str">
        <f>IF(TRIM(Input!B221&amp;"")="","",UPPER(TRIM(Input!B221&amp;"")))</f>
        <v/>
      </c>
      <c r="B221" t="str">
        <f>IF(A221="","",IFERROR(VALUE(RIGHT(TRIM(Input!D221&amp;""),1)),0))</f>
        <v/>
      </c>
      <c r="C221" t="str">
        <f t="shared" si="3"/>
        <v/>
      </c>
      <c r="D221" t="str">
        <f>IF(A221="","",IFERROR(VALUE(SUBSTITUTE(TRIM(Input!E221&amp;""),"%","")),0)/IF(AND(IFERROR(VALUE(SUBSTITUTE(TRIM(Input!E221&amp;""),"%","")),0)&gt;0,IFERROR(VALUE(SUBSTITUTE(TRIM(Input!E221&amp;""),"%","")),0)&lt;1),1,100))</f>
        <v/>
      </c>
      <c r="E221" t="str">
        <f>IF(A221="","",IFERROR(VALUE(SUBSTITUTE(TRIM(Input!F221&amp;""),"%","")),0)/IF(AND(IFERROR(VALUE(SUBSTITUTE(TRIM(Input!F221&amp;""),"%","")),0)&gt;0,IFERROR(VALUE(SUBSTITUTE(TRIM(Input!F221&amp;""),"%","")),0)&lt;1),1,100))</f>
        <v/>
      </c>
      <c r="F221" t="str">
        <f>IF(A221="","",IFERROR(VALUE(SUBSTITUTE(TRIM(Input!G221&amp;""),"%","")),0)/IF(AND(IFERROR(VALUE(SUBSTITUTE(TRIM(Input!G221&amp;""),"%","")),0)&gt;0,IFERROR(VALUE(SUBSTITUTE(TRIM(Input!G221&amp;""),"%","")),0)&lt;1),1,100))</f>
        <v/>
      </c>
      <c r="G221" t="str">
        <f>IF(A221="","",IFERROR(VALUE(SUBSTITUTE(TRIM(Input!H221&amp;""),"%","")),0)/IF(AND(IFERROR(VALUE(SUBSTITUTE(TRIM(Input!H221&amp;""),"%","")),0)&gt;0,IFERROR(VALUE(SUBSTITUTE(TRIM(Input!H221&amp;""),"%","")),0)&lt;1),1,100))</f>
        <v/>
      </c>
      <c r="H221" t="str">
        <f>IF(A221="","",IFERROR(VALUE(SUBSTITUTE(TRIM(Input!I221&amp;""),"%","")),0)/IF(AND(IFERROR(VALUE(SUBSTITUTE(TRIM(Input!I221&amp;""),"%","")),0)&gt;0,IFERROR(VALUE(SUBSTITUTE(TRIM(Input!I221&amp;""),"%","")),0)&lt;1),1,100))</f>
        <v/>
      </c>
    </row>
    <row r="222" spans="1:8">
      <c r="A222" t="str">
        <f>IF(TRIM(Input!B222&amp;"")="","",UPPER(TRIM(Input!B222&amp;"")))</f>
        <v/>
      </c>
      <c r="B222" t="str">
        <f>IF(A222="","",IFERROR(VALUE(RIGHT(TRIM(Input!D222&amp;""),1)),0))</f>
        <v/>
      </c>
      <c r="C222" t="str">
        <f t="shared" si="3"/>
        <v/>
      </c>
      <c r="D222" t="str">
        <f>IF(A222="","",IFERROR(VALUE(SUBSTITUTE(TRIM(Input!E222&amp;""),"%","")),0)/IF(AND(IFERROR(VALUE(SUBSTITUTE(TRIM(Input!E222&amp;""),"%","")),0)&gt;0,IFERROR(VALUE(SUBSTITUTE(TRIM(Input!E222&amp;""),"%","")),0)&lt;1),1,100))</f>
        <v/>
      </c>
      <c r="E222" t="str">
        <f>IF(A222="","",IFERROR(VALUE(SUBSTITUTE(TRIM(Input!F222&amp;""),"%","")),0)/IF(AND(IFERROR(VALUE(SUBSTITUTE(TRIM(Input!F222&amp;""),"%","")),0)&gt;0,IFERROR(VALUE(SUBSTITUTE(TRIM(Input!F222&amp;""),"%","")),0)&lt;1),1,100))</f>
        <v/>
      </c>
      <c r="F222" t="str">
        <f>IF(A222="","",IFERROR(VALUE(SUBSTITUTE(TRIM(Input!G222&amp;""),"%","")),0)/IF(AND(IFERROR(VALUE(SUBSTITUTE(TRIM(Input!G222&amp;""),"%","")),0)&gt;0,IFERROR(VALUE(SUBSTITUTE(TRIM(Input!G222&amp;""),"%","")),0)&lt;1),1,100))</f>
        <v/>
      </c>
      <c r="G222" t="str">
        <f>IF(A222="","",IFERROR(VALUE(SUBSTITUTE(TRIM(Input!H222&amp;""),"%","")),0)/IF(AND(IFERROR(VALUE(SUBSTITUTE(TRIM(Input!H222&amp;""),"%","")),0)&gt;0,IFERROR(VALUE(SUBSTITUTE(TRIM(Input!H222&amp;""),"%","")),0)&lt;1),1,100))</f>
        <v/>
      </c>
      <c r="H222" t="str">
        <f>IF(A222="","",IFERROR(VALUE(SUBSTITUTE(TRIM(Input!I222&amp;""),"%","")),0)/IF(AND(IFERROR(VALUE(SUBSTITUTE(TRIM(Input!I222&amp;""),"%","")),0)&gt;0,IFERROR(VALUE(SUBSTITUTE(TRIM(Input!I222&amp;""),"%","")),0)&lt;1),1,100))</f>
        <v/>
      </c>
    </row>
    <row r="223" spans="1:8">
      <c r="A223" t="str">
        <f>IF(TRIM(Input!B223&amp;"")="","",UPPER(TRIM(Input!B223&amp;"")))</f>
        <v/>
      </c>
      <c r="B223" t="str">
        <f>IF(A223="","",IFERROR(VALUE(RIGHT(TRIM(Input!D223&amp;""),1)),0))</f>
        <v/>
      </c>
      <c r="C223" t="str">
        <f t="shared" si="3"/>
        <v/>
      </c>
      <c r="D223" t="str">
        <f>IF(A223="","",IFERROR(VALUE(SUBSTITUTE(TRIM(Input!E223&amp;""),"%","")),0)/IF(AND(IFERROR(VALUE(SUBSTITUTE(TRIM(Input!E223&amp;""),"%","")),0)&gt;0,IFERROR(VALUE(SUBSTITUTE(TRIM(Input!E223&amp;""),"%","")),0)&lt;1),1,100))</f>
        <v/>
      </c>
      <c r="E223" t="str">
        <f>IF(A223="","",IFERROR(VALUE(SUBSTITUTE(TRIM(Input!F223&amp;""),"%","")),0)/IF(AND(IFERROR(VALUE(SUBSTITUTE(TRIM(Input!F223&amp;""),"%","")),0)&gt;0,IFERROR(VALUE(SUBSTITUTE(TRIM(Input!F223&amp;""),"%","")),0)&lt;1),1,100))</f>
        <v/>
      </c>
      <c r="F223" t="str">
        <f>IF(A223="","",IFERROR(VALUE(SUBSTITUTE(TRIM(Input!G223&amp;""),"%","")),0)/IF(AND(IFERROR(VALUE(SUBSTITUTE(TRIM(Input!G223&amp;""),"%","")),0)&gt;0,IFERROR(VALUE(SUBSTITUTE(TRIM(Input!G223&amp;""),"%","")),0)&lt;1),1,100))</f>
        <v/>
      </c>
      <c r="G223" t="str">
        <f>IF(A223="","",IFERROR(VALUE(SUBSTITUTE(TRIM(Input!H223&amp;""),"%","")),0)/IF(AND(IFERROR(VALUE(SUBSTITUTE(TRIM(Input!H223&amp;""),"%","")),0)&gt;0,IFERROR(VALUE(SUBSTITUTE(TRIM(Input!H223&amp;""),"%","")),0)&lt;1),1,100))</f>
        <v/>
      </c>
      <c r="H223" t="str">
        <f>IF(A223="","",IFERROR(VALUE(SUBSTITUTE(TRIM(Input!I223&amp;""),"%","")),0)/IF(AND(IFERROR(VALUE(SUBSTITUTE(TRIM(Input!I223&amp;""),"%","")),0)&gt;0,IFERROR(VALUE(SUBSTITUTE(TRIM(Input!I223&amp;""),"%","")),0)&lt;1),1,100))</f>
        <v/>
      </c>
    </row>
    <row r="224" spans="1:8">
      <c r="A224" t="str">
        <f>IF(TRIM(Input!B224&amp;"")="","",UPPER(TRIM(Input!B224&amp;"")))</f>
        <v/>
      </c>
      <c r="B224" t="str">
        <f>IF(A224="","",IFERROR(VALUE(RIGHT(TRIM(Input!D224&amp;""),1)),0))</f>
        <v/>
      </c>
      <c r="C224" t="str">
        <f t="shared" si="3"/>
        <v/>
      </c>
      <c r="D224" t="str">
        <f>IF(A224="","",IFERROR(VALUE(SUBSTITUTE(TRIM(Input!E224&amp;""),"%","")),0)/IF(AND(IFERROR(VALUE(SUBSTITUTE(TRIM(Input!E224&amp;""),"%","")),0)&gt;0,IFERROR(VALUE(SUBSTITUTE(TRIM(Input!E224&amp;""),"%","")),0)&lt;1),1,100))</f>
        <v/>
      </c>
      <c r="E224" t="str">
        <f>IF(A224="","",IFERROR(VALUE(SUBSTITUTE(TRIM(Input!F224&amp;""),"%","")),0)/IF(AND(IFERROR(VALUE(SUBSTITUTE(TRIM(Input!F224&amp;""),"%","")),0)&gt;0,IFERROR(VALUE(SUBSTITUTE(TRIM(Input!F224&amp;""),"%","")),0)&lt;1),1,100))</f>
        <v/>
      </c>
      <c r="F224" t="str">
        <f>IF(A224="","",IFERROR(VALUE(SUBSTITUTE(TRIM(Input!G224&amp;""),"%","")),0)/IF(AND(IFERROR(VALUE(SUBSTITUTE(TRIM(Input!G224&amp;""),"%","")),0)&gt;0,IFERROR(VALUE(SUBSTITUTE(TRIM(Input!G224&amp;""),"%","")),0)&lt;1),1,100))</f>
        <v/>
      </c>
      <c r="G224" t="str">
        <f>IF(A224="","",IFERROR(VALUE(SUBSTITUTE(TRIM(Input!H224&amp;""),"%","")),0)/IF(AND(IFERROR(VALUE(SUBSTITUTE(TRIM(Input!H224&amp;""),"%","")),0)&gt;0,IFERROR(VALUE(SUBSTITUTE(TRIM(Input!H224&amp;""),"%","")),0)&lt;1),1,100))</f>
        <v/>
      </c>
      <c r="H224" t="str">
        <f>IF(A224="","",IFERROR(VALUE(SUBSTITUTE(TRIM(Input!I224&amp;""),"%","")),0)/IF(AND(IFERROR(VALUE(SUBSTITUTE(TRIM(Input!I224&amp;""),"%","")),0)&gt;0,IFERROR(VALUE(SUBSTITUTE(TRIM(Input!I224&amp;""),"%","")),0)&lt;1),1,100))</f>
        <v/>
      </c>
    </row>
    <row r="225" spans="1:8">
      <c r="A225" t="str">
        <f>IF(TRIM(Input!B225&amp;"")="","",UPPER(TRIM(Input!B225&amp;"")))</f>
        <v/>
      </c>
      <c r="B225" t="str">
        <f>IF(A225="","",IFERROR(VALUE(RIGHT(TRIM(Input!D225&amp;""),1)),0))</f>
        <v/>
      </c>
      <c r="C225" t="str">
        <f t="shared" si="3"/>
        <v/>
      </c>
      <c r="D225" t="str">
        <f>IF(A225="","",IFERROR(VALUE(SUBSTITUTE(TRIM(Input!E225&amp;""),"%","")),0)/IF(AND(IFERROR(VALUE(SUBSTITUTE(TRIM(Input!E225&amp;""),"%","")),0)&gt;0,IFERROR(VALUE(SUBSTITUTE(TRIM(Input!E225&amp;""),"%","")),0)&lt;1),1,100))</f>
        <v/>
      </c>
      <c r="E225" t="str">
        <f>IF(A225="","",IFERROR(VALUE(SUBSTITUTE(TRIM(Input!F225&amp;""),"%","")),0)/IF(AND(IFERROR(VALUE(SUBSTITUTE(TRIM(Input!F225&amp;""),"%","")),0)&gt;0,IFERROR(VALUE(SUBSTITUTE(TRIM(Input!F225&amp;""),"%","")),0)&lt;1),1,100))</f>
        <v/>
      </c>
      <c r="F225" t="str">
        <f>IF(A225="","",IFERROR(VALUE(SUBSTITUTE(TRIM(Input!G225&amp;""),"%","")),0)/IF(AND(IFERROR(VALUE(SUBSTITUTE(TRIM(Input!G225&amp;""),"%","")),0)&gt;0,IFERROR(VALUE(SUBSTITUTE(TRIM(Input!G225&amp;""),"%","")),0)&lt;1),1,100))</f>
        <v/>
      </c>
      <c r="G225" t="str">
        <f>IF(A225="","",IFERROR(VALUE(SUBSTITUTE(TRIM(Input!H225&amp;""),"%","")),0)/IF(AND(IFERROR(VALUE(SUBSTITUTE(TRIM(Input!H225&amp;""),"%","")),0)&gt;0,IFERROR(VALUE(SUBSTITUTE(TRIM(Input!H225&amp;""),"%","")),0)&lt;1),1,100))</f>
        <v/>
      </c>
      <c r="H225" t="str">
        <f>IF(A225="","",IFERROR(VALUE(SUBSTITUTE(TRIM(Input!I225&amp;""),"%","")),0)/IF(AND(IFERROR(VALUE(SUBSTITUTE(TRIM(Input!I225&amp;""),"%","")),0)&gt;0,IFERROR(VALUE(SUBSTITUTE(TRIM(Input!I225&amp;""),"%","")),0)&lt;1),1,100))</f>
        <v/>
      </c>
    </row>
    <row r="226" spans="1:8">
      <c r="A226" t="str">
        <f>IF(TRIM(Input!B226&amp;"")="","",UPPER(TRIM(Input!B226&amp;"")))</f>
        <v/>
      </c>
      <c r="B226" t="str">
        <f>IF(A226="","",IFERROR(VALUE(RIGHT(TRIM(Input!D226&amp;""),1)),0))</f>
        <v/>
      </c>
      <c r="C226" t="str">
        <f t="shared" si="3"/>
        <v/>
      </c>
      <c r="D226" t="str">
        <f>IF(A226="","",IFERROR(VALUE(SUBSTITUTE(TRIM(Input!E226&amp;""),"%","")),0)/IF(AND(IFERROR(VALUE(SUBSTITUTE(TRIM(Input!E226&amp;""),"%","")),0)&gt;0,IFERROR(VALUE(SUBSTITUTE(TRIM(Input!E226&amp;""),"%","")),0)&lt;1),1,100))</f>
        <v/>
      </c>
      <c r="E226" t="str">
        <f>IF(A226="","",IFERROR(VALUE(SUBSTITUTE(TRIM(Input!F226&amp;""),"%","")),0)/IF(AND(IFERROR(VALUE(SUBSTITUTE(TRIM(Input!F226&amp;""),"%","")),0)&gt;0,IFERROR(VALUE(SUBSTITUTE(TRIM(Input!F226&amp;""),"%","")),0)&lt;1),1,100))</f>
        <v/>
      </c>
      <c r="F226" t="str">
        <f>IF(A226="","",IFERROR(VALUE(SUBSTITUTE(TRIM(Input!G226&amp;""),"%","")),0)/IF(AND(IFERROR(VALUE(SUBSTITUTE(TRIM(Input!G226&amp;""),"%","")),0)&gt;0,IFERROR(VALUE(SUBSTITUTE(TRIM(Input!G226&amp;""),"%","")),0)&lt;1),1,100))</f>
        <v/>
      </c>
      <c r="G226" t="str">
        <f>IF(A226="","",IFERROR(VALUE(SUBSTITUTE(TRIM(Input!H226&amp;""),"%","")),0)/IF(AND(IFERROR(VALUE(SUBSTITUTE(TRIM(Input!H226&amp;""),"%","")),0)&gt;0,IFERROR(VALUE(SUBSTITUTE(TRIM(Input!H226&amp;""),"%","")),0)&lt;1),1,100))</f>
        <v/>
      </c>
      <c r="H226" t="str">
        <f>IF(A226="","",IFERROR(VALUE(SUBSTITUTE(TRIM(Input!I226&amp;""),"%","")),0)/IF(AND(IFERROR(VALUE(SUBSTITUTE(TRIM(Input!I226&amp;""),"%","")),0)&gt;0,IFERROR(VALUE(SUBSTITUTE(TRIM(Input!I226&amp;""),"%","")),0)&lt;1),1,100))</f>
        <v/>
      </c>
    </row>
    <row r="227" spans="1:8">
      <c r="A227" t="str">
        <f>IF(TRIM(Input!B227&amp;"")="","",UPPER(TRIM(Input!B227&amp;"")))</f>
        <v/>
      </c>
      <c r="B227" t="str">
        <f>IF(A227="","",IFERROR(VALUE(RIGHT(TRIM(Input!D227&amp;""),1)),0))</f>
        <v/>
      </c>
      <c r="C227" t="str">
        <f t="shared" si="3"/>
        <v/>
      </c>
      <c r="D227" t="str">
        <f>IF(A227="","",IFERROR(VALUE(SUBSTITUTE(TRIM(Input!E227&amp;""),"%","")),0)/IF(AND(IFERROR(VALUE(SUBSTITUTE(TRIM(Input!E227&amp;""),"%","")),0)&gt;0,IFERROR(VALUE(SUBSTITUTE(TRIM(Input!E227&amp;""),"%","")),0)&lt;1),1,100))</f>
        <v/>
      </c>
      <c r="E227" t="str">
        <f>IF(A227="","",IFERROR(VALUE(SUBSTITUTE(TRIM(Input!F227&amp;""),"%","")),0)/IF(AND(IFERROR(VALUE(SUBSTITUTE(TRIM(Input!F227&amp;""),"%","")),0)&gt;0,IFERROR(VALUE(SUBSTITUTE(TRIM(Input!F227&amp;""),"%","")),0)&lt;1),1,100))</f>
        <v/>
      </c>
      <c r="F227" t="str">
        <f>IF(A227="","",IFERROR(VALUE(SUBSTITUTE(TRIM(Input!G227&amp;""),"%","")),0)/IF(AND(IFERROR(VALUE(SUBSTITUTE(TRIM(Input!G227&amp;""),"%","")),0)&gt;0,IFERROR(VALUE(SUBSTITUTE(TRIM(Input!G227&amp;""),"%","")),0)&lt;1),1,100))</f>
        <v/>
      </c>
      <c r="G227" t="str">
        <f>IF(A227="","",IFERROR(VALUE(SUBSTITUTE(TRIM(Input!H227&amp;""),"%","")),0)/IF(AND(IFERROR(VALUE(SUBSTITUTE(TRIM(Input!H227&amp;""),"%","")),0)&gt;0,IFERROR(VALUE(SUBSTITUTE(TRIM(Input!H227&amp;""),"%","")),0)&lt;1),1,100))</f>
        <v/>
      </c>
      <c r="H227" t="str">
        <f>IF(A227="","",IFERROR(VALUE(SUBSTITUTE(TRIM(Input!I227&amp;""),"%","")),0)/IF(AND(IFERROR(VALUE(SUBSTITUTE(TRIM(Input!I227&amp;""),"%","")),0)&gt;0,IFERROR(VALUE(SUBSTITUTE(TRIM(Input!I227&amp;""),"%","")),0)&lt;1),1,100))</f>
        <v/>
      </c>
    </row>
    <row r="228" spans="1:8">
      <c r="A228" t="str">
        <f>IF(TRIM(Input!B228&amp;"")="","",UPPER(TRIM(Input!B228&amp;"")))</f>
        <v/>
      </c>
      <c r="B228" t="str">
        <f>IF(A228="","",IFERROR(VALUE(RIGHT(TRIM(Input!D228&amp;""),1)),0))</f>
        <v/>
      </c>
      <c r="C228" t="str">
        <f t="shared" si="3"/>
        <v/>
      </c>
      <c r="D228" t="str">
        <f>IF(A228="","",IFERROR(VALUE(SUBSTITUTE(TRIM(Input!E228&amp;""),"%","")),0)/IF(AND(IFERROR(VALUE(SUBSTITUTE(TRIM(Input!E228&amp;""),"%","")),0)&gt;0,IFERROR(VALUE(SUBSTITUTE(TRIM(Input!E228&amp;""),"%","")),0)&lt;1),1,100))</f>
        <v/>
      </c>
      <c r="E228" t="str">
        <f>IF(A228="","",IFERROR(VALUE(SUBSTITUTE(TRIM(Input!F228&amp;""),"%","")),0)/IF(AND(IFERROR(VALUE(SUBSTITUTE(TRIM(Input!F228&amp;""),"%","")),0)&gt;0,IFERROR(VALUE(SUBSTITUTE(TRIM(Input!F228&amp;""),"%","")),0)&lt;1),1,100))</f>
        <v/>
      </c>
      <c r="F228" t="str">
        <f>IF(A228="","",IFERROR(VALUE(SUBSTITUTE(TRIM(Input!G228&amp;""),"%","")),0)/IF(AND(IFERROR(VALUE(SUBSTITUTE(TRIM(Input!G228&amp;""),"%","")),0)&gt;0,IFERROR(VALUE(SUBSTITUTE(TRIM(Input!G228&amp;""),"%","")),0)&lt;1),1,100))</f>
        <v/>
      </c>
      <c r="G228" t="str">
        <f>IF(A228="","",IFERROR(VALUE(SUBSTITUTE(TRIM(Input!H228&amp;""),"%","")),0)/IF(AND(IFERROR(VALUE(SUBSTITUTE(TRIM(Input!H228&amp;""),"%","")),0)&gt;0,IFERROR(VALUE(SUBSTITUTE(TRIM(Input!H228&amp;""),"%","")),0)&lt;1),1,100))</f>
        <v/>
      </c>
      <c r="H228" t="str">
        <f>IF(A228="","",IFERROR(VALUE(SUBSTITUTE(TRIM(Input!I228&amp;""),"%","")),0)/IF(AND(IFERROR(VALUE(SUBSTITUTE(TRIM(Input!I228&amp;""),"%","")),0)&gt;0,IFERROR(VALUE(SUBSTITUTE(TRIM(Input!I228&amp;""),"%","")),0)&lt;1),1,100))</f>
        <v/>
      </c>
    </row>
    <row r="229" spans="1:8">
      <c r="A229" t="str">
        <f>IF(TRIM(Input!B229&amp;"")="","",UPPER(TRIM(Input!B229&amp;"")))</f>
        <v/>
      </c>
      <c r="B229" t="str">
        <f>IF(A229="","",IFERROR(VALUE(RIGHT(TRIM(Input!D229&amp;""),1)),0))</f>
        <v/>
      </c>
      <c r="C229" t="str">
        <f t="shared" si="3"/>
        <v/>
      </c>
      <c r="D229" t="str">
        <f>IF(A229="","",IFERROR(VALUE(SUBSTITUTE(TRIM(Input!E229&amp;""),"%","")),0)/IF(AND(IFERROR(VALUE(SUBSTITUTE(TRIM(Input!E229&amp;""),"%","")),0)&gt;0,IFERROR(VALUE(SUBSTITUTE(TRIM(Input!E229&amp;""),"%","")),0)&lt;1),1,100))</f>
        <v/>
      </c>
      <c r="E229" t="str">
        <f>IF(A229="","",IFERROR(VALUE(SUBSTITUTE(TRIM(Input!F229&amp;""),"%","")),0)/IF(AND(IFERROR(VALUE(SUBSTITUTE(TRIM(Input!F229&amp;""),"%","")),0)&gt;0,IFERROR(VALUE(SUBSTITUTE(TRIM(Input!F229&amp;""),"%","")),0)&lt;1),1,100))</f>
        <v/>
      </c>
      <c r="F229" t="str">
        <f>IF(A229="","",IFERROR(VALUE(SUBSTITUTE(TRIM(Input!G229&amp;""),"%","")),0)/IF(AND(IFERROR(VALUE(SUBSTITUTE(TRIM(Input!G229&amp;""),"%","")),0)&gt;0,IFERROR(VALUE(SUBSTITUTE(TRIM(Input!G229&amp;""),"%","")),0)&lt;1),1,100))</f>
        <v/>
      </c>
      <c r="G229" t="str">
        <f>IF(A229="","",IFERROR(VALUE(SUBSTITUTE(TRIM(Input!H229&amp;""),"%","")),0)/IF(AND(IFERROR(VALUE(SUBSTITUTE(TRIM(Input!H229&amp;""),"%","")),0)&gt;0,IFERROR(VALUE(SUBSTITUTE(TRIM(Input!H229&amp;""),"%","")),0)&lt;1),1,100))</f>
        <v/>
      </c>
      <c r="H229" t="str">
        <f>IF(A229="","",IFERROR(VALUE(SUBSTITUTE(TRIM(Input!I229&amp;""),"%","")),0)/IF(AND(IFERROR(VALUE(SUBSTITUTE(TRIM(Input!I229&amp;""),"%","")),0)&gt;0,IFERROR(VALUE(SUBSTITUTE(TRIM(Input!I229&amp;""),"%","")),0)&lt;1),1,100))</f>
        <v/>
      </c>
    </row>
    <row r="230" spans="1:8">
      <c r="A230" t="str">
        <f>IF(TRIM(Input!B230&amp;"")="","",UPPER(TRIM(Input!B230&amp;"")))</f>
        <v/>
      </c>
      <c r="B230" t="str">
        <f>IF(A230="","",IFERROR(VALUE(RIGHT(TRIM(Input!D230&amp;""),1)),0))</f>
        <v/>
      </c>
      <c r="C230" t="str">
        <f t="shared" si="3"/>
        <v/>
      </c>
      <c r="D230" t="str">
        <f>IF(A230="","",IFERROR(VALUE(SUBSTITUTE(TRIM(Input!E230&amp;""),"%","")),0)/IF(AND(IFERROR(VALUE(SUBSTITUTE(TRIM(Input!E230&amp;""),"%","")),0)&gt;0,IFERROR(VALUE(SUBSTITUTE(TRIM(Input!E230&amp;""),"%","")),0)&lt;1),1,100))</f>
        <v/>
      </c>
      <c r="E230" t="str">
        <f>IF(A230="","",IFERROR(VALUE(SUBSTITUTE(TRIM(Input!F230&amp;""),"%","")),0)/IF(AND(IFERROR(VALUE(SUBSTITUTE(TRIM(Input!F230&amp;""),"%","")),0)&gt;0,IFERROR(VALUE(SUBSTITUTE(TRIM(Input!F230&amp;""),"%","")),0)&lt;1),1,100))</f>
        <v/>
      </c>
      <c r="F230" t="str">
        <f>IF(A230="","",IFERROR(VALUE(SUBSTITUTE(TRIM(Input!G230&amp;""),"%","")),0)/IF(AND(IFERROR(VALUE(SUBSTITUTE(TRIM(Input!G230&amp;""),"%","")),0)&gt;0,IFERROR(VALUE(SUBSTITUTE(TRIM(Input!G230&amp;""),"%","")),0)&lt;1),1,100))</f>
        <v/>
      </c>
      <c r="G230" t="str">
        <f>IF(A230="","",IFERROR(VALUE(SUBSTITUTE(TRIM(Input!H230&amp;""),"%","")),0)/IF(AND(IFERROR(VALUE(SUBSTITUTE(TRIM(Input!H230&amp;""),"%","")),0)&gt;0,IFERROR(VALUE(SUBSTITUTE(TRIM(Input!H230&amp;""),"%","")),0)&lt;1),1,100))</f>
        <v/>
      </c>
      <c r="H230" t="str">
        <f>IF(A230="","",IFERROR(VALUE(SUBSTITUTE(TRIM(Input!I230&amp;""),"%","")),0)/IF(AND(IFERROR(VALUE(SUBSTITUTE(TRIM(Input!I230&amp;""),"%","")),0)&gt;0,IFERROR(VALUE(SUBSTITUTE(TRIM(Input!I230&amp;""),"%","")),0)&lt;1),1,100))</f>
        <v/>
      </c>
    </row>
    <row r="231" spans="1:8">
      <c r="A231" t="str">
        <f>IF(TRIM(Input!B231&amp;"")="","",UPPER(TRIM(Input!B231&amp;"")))</f>
        <v/>
      </c>
      <c r="B231" t="str">
        <f>IF(A231="","",IFERROR(VALUE(RIGHT(TRIM(Input!D231&amp;""),1)),0))</f>
        <v/>
      </c>
      <c r="C231" t="str">
        <f t="shared" si="3"/>
        <v/>
      </c>
      <c r="D231" t="str">
        <f>IF(A231="","",IFERROR(VALUE(SUBSTITUTE(TRIM(Input!E231&amp;""),"%","")),0)/IF(AND(IFERROR(VALUE(SUBSTITUTE(TRIM(Input!E231&amp;""),"%","")),0)&gt;0,IFERROR(VALUE(SUBSTITUTE(TRIM(Input!E231&amp;""),"%","")),0)&lt;1),1,100))</f>
        <v/>
      </c>
      <c r="E231" t="str">
        <f>IF(A231="","",IFERROR(VALUE(SUBSTITUTE(TRIM(Input!F231&amp;""),"%","")),0)/IF(AND(IFERROR(VALUE(SUBSTITUTE(TRIM(Input!F231&amp;""),"%","")),0)&gt;0,IFERROR(VALUE(SUBSTITUTE(TRIM(Input!F231&amp;""),"%","")),0)&lt;1),1,100))</f>
        <v/>
      </c>
      <c r="F231" t="str">
        <f>IF(A231="","",IFERROR(VALUE(SUBSTITUTE(TRIM(Input!G231&amp;""),"%","")),0)/IF(AND(IFERROR(VALUE(SUBSTITUTE(TRIM(Input!G231&amp;""),"%","")),0)&gt;0,IFERROR(VALUE(SUBSTITUTE(TRIM(Input!G231&amp;""),"%","")),0)&lt;1),1,100))</f>
        <v/>
      </c>
      <c r="G231" t="str">
        <f>IF(A231="","",IFERROR(VALUE(SUBSTITUTE(TRIM(Input!H231&amp;""),"%","")),0)/IF(AND(IFERROR(VALUE(SUBSTITUTE(TRIM(Input!H231&amp;""),"%","")),0)&gt;0,IFERROR(VALUE(SUBSTITUTE(TRIM(Input!H231&amp;""),"%","")),0)&lt;1),1,100))</f>
        <v/>
      </c>
      <c r="H231" t="str">
        <f>IF(A231="","",IFERROR(VALUE(SUBSTITUTE(TRIM(Input!I231&amp;""),"%","")),0)/IF(AND(IFERROR(VALUE(SUBSTITUTE(TRIM(Input!I231&amp;""),"%","")),0)&gt;0,IFERROR(VALUE(SUBSTITUTE(TRIM(Input!I231&amp;""),"%","")),0)&lt;1),1,100))</f>
        <v/>
      </c>
    </row>
    <row r="232" spans="1:8">
      <c r="A232" t="str">
        <f>IF(TRIM(Input!B232&amp;"")="","",UPPER(TRIM(Input!B232&amp;"")))</f>
        <v/>
      </c>
      <c r="B232" t="str">
        <f>IF(A232="","",IFERROR(VALUE(RIGHT(TRIM(Input!D232&amp;""),1)),0))</f>
        <v/>
      </c>
      <c r="C232" t="str">
        <f t="shared" si="3"/>
        <v/>
      </c>
      <c r="D232" t="str">
        <f>IF(A232="","",IFERROR(VALUE(SUBSTITUTE(TRIM(Input!E232&amp;""),"%","")),0)/IF(AND(IFERROR(VALUE(SUBSTITUTE(TRIM(Input!E232&amp;""),"%","")),0)&gt;0,IFERROR(VALUE(SUBSTITUTE(TRIM(Input!E232&amp;""),"%","")),0)&lt;1),1,100))</f>
        <v/>
      </c>
      <c r="E232" t="str">
        <f>IF(A232="","",IFERROR(VALUE(SUBSTITUTE(TRIM(Input!F232&amp;""),"%","")),0)/IF(AND(IFERROR(VALUE(SUBSTITUTE(TRIM(Input!F232&amp;""),"%","")),0)&gt;0,IFERROR(VALUE(SUBSTITUTE(TRIM(Input!F232&amp;""),"%","")),0)&lt;1),1,100))</f>
        <v/>
      </c>
      <c r="F232" t="str">
        <f>IF(A232="","",IFERROR(VALUE(SUBSTITUTE(TRIM(Input!G232&amp;""),"%","")),0)/IF(AND(IFERROR(VALUE(SUBSTITUTE(TRIM(Input!G232&amp;""),"%","")),0)&gt;0,IFERROR(VALUE(SUBSTITUTE(TRIM(Input!G232&amp;""),"%","")),0)&lt;1),1,100))</f>
        <v/>
      </c>
      <c r="G232" t="str">
        <f>IF(A232="","",IFERROR(VALUE(SUBSTITUTE(TRIM(Input!H232&amp;""),"%","")),0)/IF(AND(IFERROR(VALUE(SUBSTITUTE(TRIM(Input!H232&amp;""),"%","")),0)&gt;0,IFERROR(VALUE(SUBSTITUTE(TRIM(Input!H232&amp;""),"%","")),0)&lt;1),1,100))</f>
        <v/>
      </c>
      <c r="H232" t="str">
        <f>IF(A232="","",IFERROR(VALUE(SUBSTITUTE(TRIM(Input!I232&amp;""),"%","")),0)/IF(AND(IFERROR(VALUE(SUBSTITUTE(TRIM(Input!I232&amp;""),"%","")),0)&gt;0,IFERROR(VALUE(SUBSTITUTE(TRIM(Input!I232&amp;""),"%","")),0)&lt;1),1,100))</f>
        <v/>
      </c>
    </row>
    <row r="233" spans="1:8">
      <c r="A233" t="str">
        <f>IF(TRIM(Input!B233&amp;"")="","",UPPER(TRIM(Input!B233&amp;"")))</f>
        <v/>
      </c>
      <c r="B233" t="str">
        <f>IF(A233="","",IFERROR(VALUE(RIGHT(TRIM(Input!D233&amp;""),1)),0))</f>
        <v/>
      </c>
      <c r="C233" t="str">
        <f t="shared" si="3"/>
        <v/>
      </c>
      <c r="D233" t="str">
        <f>IF(A233="","",IFERROR(VALUE(SUBSTITUTE(TRIM(Input!E233&amp;""),"%","")),0)/IF(AND(IFERROR(VALUE(SUBSTITUTE(TRIM(Input!E233&amp;""),"%","")),0)&gt;0,IFERROR(VALUE(SUBSTITUTE(TRIM(Input!E233&amp;""),"%","")),0)&lt;1),1,100))</f>
        <v/>
      </c>
      <c r="E233" t="str">
        <f>IF(A233="","",IFERROR(VALUE(SUBSTITUTE(TRIM(Input!F233&amp;""),"%","")),0)/IF(AND(IFERROR(VALUE(SUBSTITUTE(TRIM(Input!F233&amp;""),"%","")),0)&gt;0,IFERROR(VALUE(SUBSTITUTE(TRIM(Input!F233&amp;""),"%","")),0)&lt;1),1,100))</f>
        <v/>
      </c>
      <c r="F233" t="str">
        <f>IF(A233="","",IFERROR(VALUE(SUBSTITUTE(TRIM(Input!G233&amp;""),"%","")),0)/IF(AND(IFERROR(VALUE(SUBSTITUTE(TRIM(Input!G233&amp;""),"%","")),0)&gt;0,IFERROR(VALUE(SUBSTITUTE(TRIM(Input!G233&amp;""),"%","")),0)&lt;1),1,100))</f>
        <v/>
      </c>
      <c r="G233" t="str">
        <f>IF(A233="","",IFERROR(VALUE(SUBSTITUTE(TRIM(Input!H233&amp;""),"%","")),0)/IF(AND(IFERROR(VALUE(SUBSTITUTE(TRIM(Input!H233&amp;""),"%","")),0)&gt;0,IFERROR(VALUE(SUBSTITUTE(TRIM(Input!H233&amp;""),"%","")),0)&lt;1),1,100))</f>
        <v/>
      </c>
      <c r="H233" t="str">
        <f>IF(A233="","",IFERROR(VALUE(SUBSTITUTE(TRIM(Input!I233&amp;""),"%","")),0)/IF(AND(IFERROR(VALUE(SUBSTITUTE(TRIM(Input!I233&amp;""),"%","")),0)&gt;0,IFERROR(VALUE(SUBSTITUTE(TRIM(Input!I233&amp;""),"%","")),0)&lt;1),1,100))</f>
        <v/>
      </c>
    </row>
    <row r="234" spans="1:8">
      <c r="A234" t="str">
        <f>IF(TRIM(Input!B234&amp;"")="","",UPPER(TRIM(Input!B234&amp;"")))</f>
        <v/>
      </c>
      <c r="B234" t="str">
        <f>IF(A234="","",IFERROR(VALUE(RIGHT(TRIM(Input!D234&amp;""),1)),0))</f>
        <v/>
      </c>
      <c r="C234" t="str">
        <f t="shared" si="3"/>
        <v/>
      </c>
      <c r="D234" t="str">
        <f>IF(A234="","",IFERROR(VALUE(SUBSTITUTE(TRIM(Input!E234&amp;""),"%","")),0)/IF(AND(IFERROR(VALUE(SUBSTITUTE(TRIM(Input!E234&amp;""),"%","")),0)&gt;0,IFERROR(VALUE(SUBSTITUTE(TRIM(Input!E234&amp;""),"%","")),0)&lt;1),1,100))</f>
        <v/>
      </c>
      <c r="E234" t="str">
        <f>IF(A234="","",IFERROR(VALUE(SUBSTITUTE(TRIM(Input!F234&amp;""),"%","")),0)/IF(AND(IFERROR(VALUE(SUBSTITUTE(TRIM(Input!F234&amp;""),"%","")),0)&gt;0,IFERROR(VALUE(SUBSTITUTE(TRIM(Input!F234&amp;""),"%","")),0)&lt;1),1,100))</f>
        <v/>
      </c>
      <c r="F234" t="str">
        <f>IF(A234="","",IFERROR(VALUE(SUBSTITUTE(TRIM(Input!G234&amp;""),"%","")),0)/IF(AND(IFERROR(VALUE(SUBSTITUTE(TRIM(Input!G234&amp;""),"%","")),0)&gt;0,IFERROR(VALUE(SUBSTITUTE(TRIM(Input!G234&amp;""),"%","")),0)&lt;1),1,100))</f>
        <v/>
      </c>
      <c r="G234" t="str">
        <f>IF(A234="","",IFERROR(VALUE(SUBSTITUTE(TRIM(Input!H234&amp;""),"%","")),0)/IF(AND(IFERROR(VALUE(SUBSTITUTE(TRIM(Input!H234&amp;""),"%","")),0)&gt;0,IFERROR(VALUE(SUBSTITUTE(TRIM(Input!H234&amp;""),"%","")),0)&lt;1),1,100))</f>
        <v/>
      </c>
      <c r="H234" t="str">
        <f>IF(A234="","",IFERROR(VALUE(SUBSTITUTE(TRIM(Input!I234&amp;""),"%","")),0)/IF(AND(IFERROR(VALUE(SUBSTITUTE(TRIM(Input!I234&amp;""),"%","")),0)&gt;0,IFERROR(VALUE(SUBSTITUTE(TRIM(Input!I234&amp;""),"%","")),0)&lt;1),1,100))</f>
        <v/>
      </c>
    </row>
    <row r="235" spans="1:8">
      <c r="A235" t="str">
        <f>IF(TRIM(Input!B235&amp;"")="","",UPPER(TRIM(Input!B235&amp;"")))</f>
        <v/>
      </c>
      <c r="B235" t="str">
        <f>IF(A235="","",IFERROR(VALUE(RIGHT(TRIM(Input!D235&amp;""),1)),0))</f>
        <v/>
      </c>
      <c r="C235" t="str">
        <f t="shared" si="3"/>
        <v/>
      </c>
      <c r="D235" t="str">
        <f>IF(A235="","",IFERROR(VALUE(SUBSTITUTE(TRIM(Input!E235&amp;""),"%","")),0)/IF(AND(IFERROR(VALUE(SUBSTITUTE(TRIM(Input!E235&amp;""),"%","")),0)&gt;0,IFERROR(VALUE(SUBSTITUTE(TRIM(Input!E235&amp;""),"%","")),0)&lt;1),1,100))</f>
        <v/>
      </c>
      <c r="E235" t="str">
        <f>IF(A235="","",IFERROR(VALUE(SUBSTITUTE(TRIM(Input!F235&amp;""),"%","")),0)/IF(AND(IFERROR(VALUE(SUBSTITUTE(TRIM(Input!F235&amp;""),"%","")),0)&gt;0,IFERROR(VALUE(SUBSTITUTE(TRIM(Input!F235&amp;""),"%","")),0)&lt;1),1,100))</f>
        <v/>
      </c>
      <c r="F235" t="str">
        <f>IF(A235="","",IFERROR(VALUE(SUBSTITUTE(TRIM(Input!G235&amp;""),"%","")),0)/IF(AND(IFERROR(VALUE(SUBSTITUTE(TRIM(Input!G235&amp;""),"%","")),0)&gt;0,IFERROR(VALUE(SUBSTITUTE(TRIM(Input!G235&amp;""),"%","")),0)&lt;1),1,100))</f>
        <v/>
      </c>
      <c r="G235" t="str">
        <f>IF(A235="","",IFERROR(VALUE(SUBSTITUTE(TRIM(Input!H235&amp;""),"%","")),0)/IF(AND(IFERROR(VALUE(SUBSTITUTE(TRIM(Input!H235&amp;""),"%","")),0)&gt;0,IFERROR(VALUE(SUBSTITUTE(TRIM(Input!H235&amp;""),"%","")),0)&lt;1),1,100))</f>
        <v/>
      </c>
      <c r="H235" t="str">
        <f>IF(A235="","",IFERROR(VALUE(SUBSTITUTE(TRIM(Input!I235&amp;""),"%","")),0)/IF(AND(IFERROR(VALUE(SUBSTITUTE(TRIM(Input!I235&amp;""),"%","")),0)&gt;0,IFERROR(VALUE(SUBSTITUTE(TRIM(Input!I235&amp;""),"%","")),0)&lt;1),1,100))</f>
        <v/>
      </c>
    </row>
    <row r="236" spans="1:8">
      <c r="A236" t="str">
        <f>IF(TRIM(Input!B236&amp;"")="","",UPPER(TRIM(Input!B236&amp;"")))</f>
        <v/>
      </c>
      <c r="B236" t="str">
        <f>IF(A236="","",IFERROR(VALUE(RIGHT(TRIM(Input!D236&amp;""),1)),0))</f>
        <v/>
      </c>
      <c r="C236" t="str">
        <f t="shared" si="3"/>
        <v/>
      </c>
      <c r="D236" t="str">
        <f>IF(A236="","",IFERROR(VALUE(SUBSTITUTE(TRIM(Input!E236&amp;""),"%","")),0)/IF(AND(IFERROR(VALUE(SUBSTITUTE(TRIM(Input!E236&amp;""),"%","")),0)&gt;0,IFERROR(VALUE(SUBSTITUTE(TRIM(Input!E236&amp;""),"%","")),0)&lt;1),1,100))</f>
        <v/>
      </c>
      <c r="E236" t="str">
        <f>IF(A236="","",IFERROR(VALUE(SUBSTITUTE(TRIM(Input!F236&amp;""),"%","")),0)/IF(AND(IFERROR(VALUE(SUBSTITUTE(TRIM(Input!F236&amp;""),"%","")),0)&gt;0,IFERROR(VALUE(SUBSTITUTE(TRIM(Input!F236&amp;""),"%","")),0)&lt;1),1,100))</f>
        <v/>
      </c>
      <c r="F236" t="str">
        <f>IF(A236="","",IFERROR(VALUE(SUBSTITUTE(TRIM(Input!G236&amp;""),"%","")),0)/IF(AND(IFERROR(VALUE(SUBSTITUTE(TRIM(Input!G236&amp;""),"%","")),0)&gt;0,IFERROR(VALUE(SUBSTITUTE(TRIM(Input!G236&amp;""),"%","")),0)&lt;1),1,100))</f>
        <v/>
      </c>
      <c r="G236" t="str">
        <f>IF(A236="","",IFERROR(VALUE(SUBSTITUTE(TRIM(Input!H236&amp;""),"%","")),0)/IF(AND(IFERROR(VALUE(SUBSTITUTE(TRIM(Input!H236&amp;""),"%","")),0)&gt;0,IFERROR(VALUE(SUBSTITUTE(TRIM(Input!H236&amp;""),"%","")),0)&lt;1),1,100))</f>
        <v/>
      </c>
      <c r="H236" t="str">
        <f>IF(A236="","",IFERROR(VALUE(SUBSTITUTE(TRIM(Input!I236&amp;""),"%","")),0)/IF(AND(IFERROR(VALUE(SUBSTITUTE(TRIM(Input!I236&amp;""),"%","")),0)&gt;0,IFERROR(VALUE(SUBSTITUTE(TRIM(Input!I236&amp;""),"%","")),0)&lt;1),1,100))</f>
        <v/>
      </c>
    </row>
    <row r="237" spans="1:8">
      <c r="A237" t="str">
        <f>IF(TRIM(Input!B237&amp;"")="","",UPPER(TRIM(Input!B237&amp;"")))</f>
        <v/>
      </c>
      <c r="B237" t="str">
        <f>IF(A237="","",IFERROR(VALUE(RIGHT(TRIM(Input!D237&amp;""),1)),0))</f>
        <v/>
      </c>
      <c r="C237" t="str">
        <f t="shared" si="3"/>
        <v/>
      </c>
      <c r="D237" t="str">
        <f>IF(A237="","",IFERROR(VALUE(SUBSTITUTE(TRIM(Input!E237&amp;""),"%","")),0)/IF(AND(IFERROR(VALUE(SUBSTITUTE(TRIM(Input!E237&amp;""),"%","")),0)&gt;0,IFERROR(VALUE(SUBSTITUTE(TRIM(Input!E237&amp;""),"%","")),0)&lt;1),1,100))</f>
        <v/>
      </c>
      <c r="E237" t="str">
        <f>IF(A237="","",IFERROR(VALUE(SUBSTITUTE(TRIM(Input!F237&amp;""),"%","")),0)/IF(AND(IFERROR(VALUE(SUBSTITUTE(TRIM(Input!F237&amp;""),"%","")),0)&gt;0,IFERROR(VALUE(SUBSTITUTE(TRIM(Input!F237&amp;""),"%","")),0)&lt;1),1,100))</f>
        <v/>
      </c>
      <c r="F237" t="str">
        <f>IF(A237="","",IFERROR(VALUE(SUBSTITUTE(TRIM(Input!G237&amp;""),"%","")),0)/IF(AND(IFERROR(VALUE(SUBSTITUTE(TRIM(Input!G237&amp;""),"%","")),0)&gt;0,IFERROR(VALUE(SUBSTITUTE(TRIM(Input!G237&amp;""),"%","")),0)&lt;1),1,100))</f>
        <v/>
      </c>
      <c r="G237" t="str">
        <f>IF(A237="","",IFERROR(VALUE(SUBSTITUTE(TRIM(Input!H237&amp;""),"%","")),0)/IF(AND(IFERROR(VALUE(SUBSTITUTE(TRIM(Input!H237&amp;""),"%","")),0)&gt;0,IFERROR(VALUE(SUBSTITUTE(TRIM(Input!H237&amp;""),"%","")),0)&lt;1),1,100))</f>
        <v/>
      </c>
      <c r="H237" t="str">
        <f>IF(A237="","",IFERROR(VALUE(SUBSTITUTE(TRIM(Input!I237&amp;""),"%","")),0)/IF(AND(IFERROR(VALUE(SUBSTITUTE(TRIM(Input!I237&amp;""),"%","")),0)&gt;0,IFERROR(VALUE(SUBSTITUTE(TRIM(Input!I237&amp;""),"%","")),0)&lt;1),1,100))</f>
        <v/>
      </c>
    </row>
    <row r="238" spans="1:8">
      <c r="A238" t="str">
        <f>IF(TRIM(Input!B238&amp;"")="","",UPPER(TRIM(Input!B238&amp;"")))</f>
        <v/>
      </c>
      <c r="B238" t="str">
        <f>IF(A238="","",IFERROR(VALUE(RIGHT(TRIM(Input!D238&amp;""),1)),0))</f>
        <v/>
      </c>
      <c r="C238" t="str">
        <f t="shared" si="3"/>
        <v/>
      </c>
      <c r="D238" t="str">
        <f>IF(A238="","",IFERROR(VALUE(SUBSTITUTE(TRIM(Input!E238&amp;""),"%","")),0)/IF(AND(IFERROR(VALUE(SUBSTITUTE(TRIM(Input!E238&amp;""),"%","")),0)&gt;0,IFERROR(VALUE(SUBSTITUTE(TRIM(Input!E238&amp;""),"%","")),0)&lt;1),1,100))</f>
        <v/>
      </c>
      <c r="E238" t="str">
        <f>IF(A238="","",IFERROR(VALUE(SUBSTITUTE(TRIM(Input!F238&amp;""),"%","")),0)/IF(AND(IFERROR(VALUE(SUBSTITUTE(TRIM(Input!F238&amp;""),"%","")),0)&gt;0,IFERROR(VALUE(SUBSTITUTE(TRIM(Input!F238&amp;""),"%","")),0)&lt;1),1,100))</f>
        <v/>
      </c>
      <c r="F238" t="str">
        <f>IF(A238="","",IFERROR(VALUE(SUBSTITUTE(TRIM(Input!G238&amp;""),"%","")),0)/IF(AND(IFERROR(VALUE(SUBSTITUTE(TRIM(Input!G238&amp;""),"%","")),0)&gt;0,IFERROR(VALUE(SUBSTITUTE(TRIM(Input!G238&amp;""),"%","")),0)&lt;1),1,100))</f>
        <v/>
      </c>
      <c r="G238" t="str">
        <f>IF(A238="","",IFERROR(VALUE(SUBSTITUTE(TRIM(Input!H238&amp;""),"%","")),0)/IF(AND(IFERROR(VALUE(SUBSTITUTE(TRIM(Input!H238&amp;""),"%","")),0)&gt;0,IFERROR(VALUE(SUBSTITUTE(TRIM(Input!H238&amp;""),"%","")),0)&lt;1),1,100))</f>
        <v/>
      </c>
      <c r="H238" t="str">
        <f>IF(A238="","",IFERROR(VALUE(SUBSTITUTE(TRIM(Input!I238&amp;""),"%","")),0)/IF(AND(IFERROR(VALUE(SUBSTITUTE(TRIM(Input!I238&amp;""),"%","")),0)&gt;0,IFERROR(VALUE(SUBSTITUTE(TRIM(Input!I238&amp;""),"%","")),0)&lt;1),1,100))</f>
        <v/>
      </c>
    </row>
    <row r="239" spans="1:8">
      <c r="A239" t="str">
        <f>IF(TRIM(Input!B239&amp;"")="","",UPPER(TRIM(Input!B239&amp;"")))</f>
        <v/>
      </c>
      <c r="B239" t="str">
        <f>IF(A239="","",IFERROR(VALUE(RIGHT(TRIM(Input!D239&amp;""),1)),0))</f>
        <v/>
      </c>
      <c r="C239" t="str">
        <f t="shared" si="3"/>
        <v/>
      </c>
      <c r="D239" t="str">
        <f>IF(A239="","",IFERROR(VALUE(SUBSTITUTE(TRIM(Input!E239&amp;""),"%","")),0)/IF(AND(IFERROR(VALUE(SUBSTITUTE(TRIM(Input!E239&amp;""),"%","")),0)&gt;0,IFERROR(VALUE(SUBSTITUTE(TRIM(Input!E239&amp;""),"%","")),0)&lt;1),1,100))</f>
        <v/>
      </c>
      <c r="E239" t="str">
        <f>IF(A239="","",IFERROR(VALUE(SUBSTITUTE(TRIM(Input!F239&amp;""),"%","")),0)/IF(AND(IFERROR(VALUE(SUBSTITUTE(TRIM(Input!F239&amp;""),"%","")),0)&gt;0,IFERROR(VALUE(SUBSTITUTE(TRIM(Input!F239&amp;""),"%","")),0)&lt;1),1,100))</f>
        <v/>
      </c>
      <c r="F239" t="str">
        <f>IF(A239="","",IFERROR(VALUE(SUBSTITUTE(TRIM(Input!G239&amp;""),"%","")),0)/IF(AND(IFERROR(VALUE(SUBSTITUTE(TRIM(Input!G239&amp;""),"%","")),0)&gt;0,IFERROR(VALUE(SUBSTITUTE(TRIM(Input!G239&amp;""),"%","")),0)&lt;1),1,100))</f>
        <v/>
      </c>
      <c r="G239" t="str">
        <f>IF(A239="","",IFERROR(VALUE(SUBSTITUTE(TRIM(Input!H239&amp;""),"%","")),0)/IF(AND(IFERROR(VALUE(SUBSTITUTE(TRIM(Input!H239&amp;""),"%","")),0)&gt;0,IFERROR(VALUE(SUBSTITUTE(TRIM(Input!H239&amp;""),"%","")),0)&lt;1),1,100))</f>
        <v/>
      </c>
      <c r="H239" t="str">
        <f>IF(A239="","",IFERROR(VALUE(SUBSTITUTE(TRIM(Input!I239&amp;""),"%","")),0)/IF(AND(IFERROR(VALUE(SUBSTITUTE(TRIM(Input!I239&amp;""),"%","")),0)&gt;0,IFERROR(VALUE(SUBSTITUTE(TRIM(Input!I239&amp;""),"%","")),0)&lt;1),1,100))</f>
        <v/>
      </c>
    </row>
    <row r="240" spans="1:8">
      <c r="A240" t="str">
        <f>IF(TRIM(Input!B240&amp;"")="","",UPPER(TRIM(Input!B240&amp;"")))</f>
        <v/>
      </c>
      <c r="B240" t="str">
        <f>IF(A240="","",IFERROR(VALUE(RIGHT(TRIM(Input!D240&amp;""),1)),0))</f>
        <v/>
      </c>
      <c r="C240" t="str">
        <f t="shared" si="3"/>
        <v/>
      </c>
      <c r="D240" t="str">
        <f>IF(A240="","",IFERROR(VALUE(SUBSTITUTE(TRIM(Input!E240&amp;""),"%","")),0)/IF(AND(IFERROR(VALUE(SUBSTITUTE(TRIM(Input!E240&amp;""),"%","")),0)&gt;0,IFERROR(VALUE(SUBSTITUTE(TRIM(Input!E240&amp;""),"%","")),0)&lt;1),1,100))</f>
        <v/>
      </c>
      <c r="E240" t="str">
        <f>IF(A240="","",IFERROR(VALUE(SUBSTITUTE(TRIM(Input!F240&amp;""),"%","")),0)/IF(AND(IFERROR(VALUE(SUBSTITUTE(TRIM(Input!F240&amp;""),"%","")),0)&gt;0,IFERROR(VALUE(SUBSTITUTE(TRIM(Input!F240&amp;""),"%","")),0)&lt;1),1,100))</f>
        <v/>
      </c>
      <c r="F240" t="str">
        <f>IF(A240="","",IFERROR(VALUE(SUBSTITUTE(TRIM(Input!G240&amp;""),"%","")),0)/IF(AND(IFERROR(VALUE(SUBSTITUTE(TRIM(Input!G240&amp;""),"%","")),0)&gt;0,IFERROR(VALUE(SUBSTITUTE(TRIM(Input!G240&amp;""),"%","")),0)&lt;1),1,100))</f>
        <v/>
      </c>
      <c r="G240" t="str">
        <f>IF(A240="","",IFERROR(VALUE(SUBSTITUTE(TRIM(Input!H240&amp;""),"%","")),0)/IF(AND(IFERROR(VALUE(SUBSTITUTE(TRIM(Input!H240&amp;""),"%","")),0)&gt;0,IFERROR(VALUE(SUBSTITUTE(TRIM(Input!H240&amp;""),"%","")),0)&lt;1),1,100))</f>
        <v/>
      </c>
      <c r="H240" t="str">
        <f>IF(A240="","",IFERROR(VALUE(SUBSTITUTE(TRIM(Input!I240&amp;""),"%","")),0)/IF(AND(IFERROR(VALUE(SUBSTITUTE(TRIM(Input!I240&amp;""),"%","")),0)&gt;0,IFERROR(VALUE(SUBSTITUTE(TRIM(Input!I240&amp;""),"%","")),0)&lt;1),1,100))</f>
        <v/>
      </c>
    </row>
    <row r="241" spans="1:8">
      <c r="A241" t="str">
        <f>IF(TRIM(Input!B241&amp;"")="","",UPPER(TRIM(Input!B241&amp;"")))</f>
        <v/>
      </c>
      <c r="B241" t="str">
        <f>IF(A241="","",IFERROR(VALUE(RIGHT(TRIM(Input!D241&amp;""),1)),0))</f>
        <v/>
      </c>
      <c r="C241" t="str">
        <f t="shared" si="3"/>
        <v/>
      </c>
      <c r="D241" t="str">
        <f>IF(A241="","",IFERROR(VALUE(SUBSTITUTE(TRIM(Input!E241&amp;""),"%","")),0)/IF(AND(IFERROR(VALUE(SUBSTITUTE(TRIM(Input!E241&amp;""),"%","")),0)&gt;0,IFERROR(VALUE(SUBSTITUTE(TRIM(Input!E241&amp;""),"%","")),0)&lt;1),1,100))</f>
        <v/>
      </c>
      <c r="E241" t="str">
        <f>IF(A241="","",IFERROR(VALUE(SUBSTITUTE(TRIM(Input!F241&amp;""),"%","")),0)/IF(AND(IFERROR(VALUE(SUBSTITUTE(TRIM(Input!F241&amp;""),"%","")),0)&gt;0,IFERROR(VALUE(SUBSTITUTE(TRIM(Input!F241&amp;""),"%","")),0)&lt;1),1,100))</f>
        <v/>
      </c>
      <c r="F241" t="str">
        <f>IF(A241="","",IFERROR(VALUE(SUBSTITUTE(TRIM(Input!G241&amp;""),"%","")),0)/IF(AND(IFERROR(VALUE(SUBSTITUTE(TRIM(Input!G241&amp;""),"%","")),0)&gt;0,IFERROR(VALUE(SUBSTITUTE(TRIM(Input!G241&amp;""),"%","")),0)&lt;1),1,100))</f>
        <v/>
      </c>
      <c r="G241" t="str">
        <f>IF(A241="","",IFERROR(VALUE(SUBSTITUTE(TRIM(Input!H241&amp;""),"%","")),0)/IF(AND(IFERROR(VALUE(SUBSTITUTE(TRIM(Input!H241&amp;""),"%","")),0)&gt;0,IFERROR(VALUE(SUBSTITUTE(TRIM(Input!H241&amp;""),"%","")),0)&lt;1),1,100))</f>
        <v/>
      </c>
      <c r="H241" t="str">
        <f>IF(A241="","",IFERROR(VALUE(SUBSTITUTE(TRIM(Input!I241&amp;""),"%","")),0)/IF(AND(IFERROR(VALUE(SUBSTITUTE(TRIM(Input!I241&amp;""),"%","")),0)&gt;0,IFERROR(VALUE(SUBSTITUTE(TRIM(Input!I241&amp;""),"%","")),0)&lt;1),1,100))</f>
        <v/>
      </c>
    </row>
    <row r="242" spans="1:8">
      <c r="A242" t="str">
        <f>IF(TRIM(Input!B242&amp;"")="","",UPPER(TRIM(Input!B242&amp;"")))</f>
        <v/>
      </c>
      <c r="B242" t="str">
        <f>IF(A242="","",IFERROR(VALUE(RIGHT(TRIM(Input!D242&amp;""),1)),0))</f>
        <v/>
      </c>
      <c r="C242" t="str">
        <f t="shared" si="3"/>
        <v/>
      </c>
      <c r="D242" t="str">
        <f>IF(A242="","",IFERROR(VALUE(SUBSTITUTE(TRIM(Input!E242&amp;""),"%","")),0)/IF(AND(IFERROR(VALUE(SUBSTITUTE(TRIM(Input!E242&amp;""),"%","")),0)&gt;0,IFERROR(VALUE(SUBSTITUTE(TRIM(Input!E242&amp;""),"%","")),0)&lt;1),1,100))</f>
        <v/>
      </c>
      <c r="E242" t="str">
        <f>IF(A242="","",IFERROR(VALUE(SUBSTITUTE(TRIM(Input!F242&amp;""),"%","")),0)/IF(AND(IFERROR(VALUE(SUBSTITUTE(TRIM(Input!F242&amp;""),"%","")),0)&gt;0,IFERROR(VALUE(SUBSTITUTE(TRIM(Input!F242&amp;""),"%","")),0)&lt;1),1,100))</f>
        <v/>
      </c>
      <c r="F242" t="str">
        <f>IF(A242="","",IFERROR(VALUE(SUBSTITUTE(TRIM(Input!G242&amp;""),"%","")),0)/IF(AND(IFERROR(VALUE(SUBSTITUTE(TRIM(Input!G242&amp;""),"%","")),0)&gt;0,IFERROR(VALUE(SUBSTITUTE(TRIM(Input!G242&amp;""),"%","")),0)&lt;1),1,100))</f>
        <v/>
      </c>
      <c r="G242" t="str">
        <f>IF(A242="","",IFERROR(VALUE(SUBSTITUTE(TRIM(Input!H242&amp;""),"%","")),0)/IF(AND(IFERROR(VALUE(SUBSTITUTE(TRIM(Input!H242&amp;""),"%","")),0)&gt;0,IFERROR(VALUE(SUBSTITUTE(TRIM(Input!H242&amp;""),"%","")),0)&lt;1),1,100))</f>
        <v/>
      </c>
      <c r="H242" t="str">
        <f>IF(A242="","",IFERROR(VALUE(SUBSTITUTE(TRIM(Input!I242&amp;""),"%","")),0)/IF(AND(IFERROR(VALUE(SUBSTITUTE(TRIM(Input!I242&amp;""),"%","")),0)&gt;0,IFERROR(VALUE(SUBSTITUTE(TRIM(Input!I242&amp;""),"%","")),0)&lt;1),1,100))</f>
        <v/>
      </c>
    </row>
    <row r="243" spans="1:8">
      <c r="A243" t="str">
        <f>IF(TRIM(Input!B243&amp;"")="","",UPPER(TRIM(Input!B243&amp;"")))</f>
        <v/>
      </c>
      <c r="B243" t="str">
        <f>IF(A243="","",IFERROR(VALUE(RIGHT(TRIM(Input!D243&amp;""),1)),0))</f>
        <v/>
      </c>
      <c r="C243" t="str">
        <f t="shared" si="3"/>
        <v/>
      </c>
      <c r="D243" t="str">
        <f>IF(A243="","",IFERROR(VALUE(SUBSTITUTE(TRIM(Input!E243&amp;""),"%","")),0)/IF(AND(IFERROR(VALUE(SUBSTITUTE(TRIM(Input!E243&amp;""),"%","")),0)&gt;0,IFERROR(VALUE(SUBSTITUTE(TRIM(Input!E243&amp;""),"%","")),0)&lt;1),1,100))</f>
        <v/>
      </c>
      <c r="E243" t="str">
        <f>IF(A243="","",IFERROR(VALUE(SUBSTITUTE(TRIM(Input!F243&amp;""),"%","")),0)/IF(AND(IFERROR(VALUE(SUBSTITUTE(TRIM(Input!F243&amp;""),"%","")),0)&gt;0,IFERROR(VALUE(SUBSTITUTE(TRIM(Input!F243&amp;""),"%","")),0)&lt;1),1,100))</f>
        <v/>
      </c>
      <c r="F243" t="str">
        <f>IF(A243="","",IFERROR(VALUE(SUBSTITUTE(TRIM(Input!G243&amp;""),"%","")),0)/IF(AND(IFERROR(VALUE(SUBSTITUTE(TRIM(Input!G243&amp;""),"%","")),0)&gt;0,IFERROR(VALUE(SUBSTITUTE(TRIM(Input!G243&amp;""),"%","")),0)&lt;1),1,100))</f>
        <v/>
      </c>
      <c r="G243" t="str">
        <f>IF(A243="","",IFERROR(VALUE(SUBSTITUTE(TRIM(Input!H243&amp;""),"%","")),0)/IF(AND(IFERROR(VALUE(SUBSTITUTE(TRIM(Input!H243&amp;""),"%","")),0)&gt;0,IFERROR(VALUE(SUBSTITUTE(TRIM(Input!H243&amp;""),"%","")),0)&lt;1),1,100))</f>
        <v/>
      </c>
      <c r="H243" t="str">
        <f>IF(A243="","",IFERROR(VALUE(SUBSTITUTE(TRIM(Input!I243&amp;""),"%","")),0)/IF(AND(IFERROR(VALUE(SUBSTITUTE(TRIM(Input!I243&amp;""),"%","")),0)&gt;0,IFERROR(VALUE(SUBSTITUTE(TRIM(Input!I243&amp;""),"%","")),0)&lt;1),1,100))</f>
        <v/>
      </c>
    </row>
    <row r="244" spans="1:8">
      <c r="A244" t="str">
        <f>IF(TRIM(Input!B244&amp;"")="","",UPPER(TRIM(Input!B244&amp;"")))</f>
        <v/>
      </c>
      <c r="B244" t="str">
        <f>IF(A244="","",IFERROR(VALUE(RIGHT(TRIM(Input!D244&amp;""),1)),0))</f>
        <v/>
      </c>
      <c r="C244" t="str">
        <f t="shared" si="3"/>
        <v/>
      </c>
      <c r="D244" t="str">
        <f>IF(A244="","",IFERROR(VALUE(SUBSTITUTE(TRIM(Input!E244&amp;""),"%","")),0)/IF(AND(IFERROR(VALUE(SUBSTITUTE(TRIM(Input!E244&amp;""),"%","")),0)&gt;0,IFERROR(VALUE(SUBSTITUTE(TRIM(Input!E244&amp;""),"%","")),0)&lt;1),1,100))</f>
        <v/>
      </c>
      <c r="E244" t="str">
        <f>IF(A244="","",IFERROR(VALUE(SUBSTITUTE(TRIM(Input!F244&amp;""),"%","")),0)/IF(AND(IFERROR(VALUE(SUBSTITUTE(TRIM(Input!F244&amp;""),"%","")),0)&gt;0,IFERROR(VALUE(SUBSTITUTE(TRIM(Input!F244&amp;""),"%","")),0)&lt;1),1,100))</f>
        <v/>
      </c>
      <c r="F244" t="str">
        <f>IF(A244="","",IFERROR(VALUE(SUBSTITUTE(TRIM(Input!G244&amp;""),"%","")),0)/IF(AND(IFERROR(VALUE(SUBSTITUTE(TRIM(Input!G244&amp;""),"%","")),0)&gt;0,IFERROR(VALUE(SUBSTITUTE(TRIM(Input!G244&amp;""),"%","")),0)&lt;1),1,100))</f>
        <v/>
      </c>
      <c r="G244" t="str">
        <f>IF(A244="","",IFERROR(VALUE(SUBSTITUTE(TRIM(Input!H244&amp;""),"%","")),0)/IF(AND(IFERROR(VALUE(SUBSTITUTE(TRIM(Input!H244&amp;""),"%","")),0)&gt;0,IFERROR(VALUE(SUBSTITUTE(TRIM(Input!H244&amp;""),"%","")),0)&lt;1),1,100))</f>
        <v/>
      </c>
      <c r="H244" t="str">
        <f>IF(A244="","",IFERROR(VALUE(SUBSTITUTE(TRIM(Input!I244&amp;""),"%","")),0)/IF(AND(IFERROR(VALUE(SUBSTITUTE(TRIM(Input!I244&amp;""),"%","")),0)&gt;0,IFERROR(VALUE(SUBSTITUTE(TRIM(Input!I244&amp;""),"%","")),0)&lt;1),1,100))</f>
        <v/>
      </c>
    </row>
    <row r="245" spans="1:8">
      <c r="A245" t="str">
        <f>IF(TRIM(Input!B245&amp;"")="","",UPPER(TRIM(Input!B245&amp;"")))</f>
        <v/>
      </c>
      <c r="B245" t="str">
        <f>IF(A245="","",IFERROR(VALUE(RIGHT(TRIM(Input!D245&amp;""),1)),0))</f>
        <v/>
      </c>
      <c r="C245" t="str">
        <f t="shared" si="3"/>
        <v/>
      </c>
      <c r="D245" t="str">
        <f>IF(A245="","",IFERROR(VALUE(SUBSTITUTE(TRIM(Input!E245&amp;""),"%","")),0)/IF(AND(IFERROR(VALUE(SUBSTITUTE(TRIM(Input!E245&amp;""),"%","")),0)&gt;0,IFERROR(VALUE(SUBSTITUTE(TRIM(Input!E245&amp;""),"%","")),0)&lt;1),1,100))</f>
        <v/>
      </c>
      <c r="E245" t="str">
        <f>IF(A245="","",IFERROR(VALUE(SUBSTITUTE(TRIM(Input!F245&amp;""),"%","")),0)/IF(AND(IFERROR(VALUE(SUBSTITUTE(TRIM(Input!F245&amp;""),"%","")),0)&gt;0,IFERROR(VALUE(SUBSTITUTE(TRIM(Input!F245&amp;""),"%","")),0)&lt;1),1,100))</f>
        <v/>
      </c>
      <c r="F245" t="str">
        <f>IF(A245="","",IFERROR(VALUE(SUBSTITUTE(TRIM(Input!G245&amp;""),"%","")),0)/IF(AND(IFERROR(VALUE(SUBSTITUTE(TRIM(Input!G245&amp;""),"%","")),0)&gt;0,IFERROR(VALUE(SUBSTITUTE(TRIM(Input!G245&amp;""),"%","")),0)&lt;1),1,100))</f>
        <v/>
      </c>
      <c r="G245" t="str">
        <f>IF(A245="","",IFERROR(VALUE(SUBSTITUTE(TRIM(Input!H245&amp;""),"%","")),0)/IF(AND(IFERROR(VALUE(SUBSTITUTE(TRIM(Input!H245&amp;""),"%","")),0)&gt;0,IFERROR(VALUE(SUBSTITUTE(TRIM(Input!H245&amp;""),"%","")),0)&lt;1),1,100))</f>
        <v/>
      </c>
      <c r="H245" t="str">
        <f>IF(A245="","",IFERROR(VALUE(SUBSTITUTE(TRIM(Input!I245&amp;""),"%","")),0)/IF(AND(IFERROR(VALUE(SUBSTITUTE(TRIM(Input!I245&amp;""),"%","")),0)&gt;0,IFERROR(VALUE(SUBSTITUTE(TRIM(Input!I245&amp;""),"%","")),0)&lt;1),1,100))</f>
        <v/>
      </c>
    </row>
    <row r="246" spans="1:8">
      <c r="A246" t="str">
        <f>IF(TRIM(Input!B246&amp;"")="","",UPPER(TRIM(Input!B246&amp;"")))</f>
        <v/>
      </c>
      <c r="B246" t="str">
        <f>IF(A246="","",IFERROR(VALUE(RIGHT(TRIM(Input!D246&amp;""),1)),0))</f>
        <v/>
      </c>
      <c r="C246" t="str">
        <f t="shared" si="3"/>
        <v/>
      </c>
      <c r="D246" t="str">
        <f>IF(A246="","",IFERROR(VALUE(SUBSTITUTE(TRIM(Input!E246&amp;""),"%","")),0)/IF(AND(IFERROR(VALUE(SUBSTITUTE(TRIM(Input!E246&amp;""),"%","")),0)&gt;0,IFERROR(VALUE(SUBSTITUTE(TRIM(Input!E246&amp;""),"%","")),0)&lt;1),1,100))</f>
        <v/>
      </c>
      <c r="E246" t="str">
        <f>IF(A246="","",IFERROR(VALUE(SUBSTITUTE(TRIM(Input!F246&amp;""),"%","")),0)/IF(AND(IFERROR(VALUE(SUBSTITUTE(TRIM(Input!F246&amp;""),"%","")),0)&gt;0,IFERROR(VALUE(SUBSTITUTE(TRIM(Input!F246&amp;""),"%","")),0)&lt;1),1,100))</f>
        <v/>
      </c>
      <c r="F246" t="str">
        <f>IF(A246="","",IFERROR(VALUE(SUBSTITUTE(TRIM(Input!G246&amp;""),"%","")),0)/IF(AND(IFERROR(VALUE(SUBSTITUTE(TRIM(Input!G246&amp;""),"%","")),0)&gt;0,IFERROR(VALUE(SUBSTITUTE(TRIM(Input!G246&amp;""),"%","")),0)&lt;1),1,100))</f>
        <v/>
      </c>
      <c r="G246" t="str">
        <f>IF(A246="","",IFERROR(VALUE(SUBSTITUTE(TRIM(Input!H246&amp;""),"%","")),0)/IF(AND(IFERROR(VALUE(SUBSTITUTE(TRIM(Input!H246&amp;""),"%","")),0)&gt;0,IFERROR(VALUE(SUBSTITUTE(TRIM(Input!H246&amp;""),"%","")),0)&lt;1),1,100))</f>
        <v/>
      </c>
      <c r="H246" t="str">
        <f>IF(A246="","",IFERROR(VALUE(SUBSTITUTE(TRIM(Input!I246&amp;""),"%","")),0)/IF(AND(IFERROR(VALUE(SUBSTITUTE(TRIM(Input!I246&amp;""),"%","")),0)&gt;0,IFERROR(VALUE(SUBSTITUTE(TRIM(Input!I246&amp;""),"%","")),0)&lt;1),1,100))</f>
        <v/>
      </c>
    </row>
    <row r="247" spans="1:8">
      <c r="A247" t="str">
        <f>IF(TRIM(Input!B247&amp;"")="","",UPPER(TRIM(Input!B247&amp;"")))</f>
        <v/>
      </c>
      <c r="B247" t="str">
        <f>IF(A247="","",IFERROR(VALUE(RIGHT(TRIM(Input!D247&amp;""),1)),0))</f>
        <v/>
      </c>
      <c r="C247" t="str">
        <f t="shared" si="3"/>
        <v/>
      </c>
      <c r="D247" t="str">
        <f>IF(A247="","",IFERROR(VALUE(SUBSTITUTE(TRIM(Input!E247&amp;""),"%","")),0)/IF(AND(IFERROR(VALUE(SUBSTITUTE(TRIM(Input!E247&amp;""),"%","")),0)&gt;0,IFERROR(VALUE(SUBSTITUTE(TRIM(Input!E247&amp;""),"%","")),0)&lt;1),1,100))</f>
        <v/>
      </c>
      <c r="E247" t="str">
        <f>IF(A247="","",IFERROR(VALUE(SUBSTITUTE(TRIM(Input!F247&amp;""),"%","")),0)/IF(AND(IFERROR(VALUE(SUBSTITUTE(TRIM(Input!F247&amp;""),"%","")),0)&gt;0,IFERROR(VALUE(SUBSTITUTE(TRIM(Input!F247&amp;""),"%","")),0)&lt;1),1,100))</f>
        <v/>
      </c>
      <c r="F247" t="str">
        <f>IF(A247="","",IFERROR(VALUE(SUBSTITUTE(TRIM(Input!G247&amp;""),"%","")),0)/IF(AND(IFERROR(VALUE(SUBSTITUTE(TRIM(Input!G247&amp;""),"%","")),0)&gt;0,IFERROR(VALUE(SUBSTITUTE(TRIM(Input!G247&amp;""),"%","")),0)&lt;1),1,100))</f>
        <v/>
      </c>
      <c r="G247" t="str">
        <f>IF(A247="","",IFERROR(VALUE(SUBSTITUTE(TRIM(Input!H247&amp;""),"%","")),0)/IF(AND(IFERROR(VALUE(SUBSTITUTE(TRIM(Input!H247&amp;""),"%","")),0)&gt;0,IFERROR(VALUE(SUBSTITUTE(TRIM(Input!H247&amp;""),"%","")),0)&lt;1),1,100))</f>
        <v/>
      </c>
      <c r="H247" t="str">
        <f>IF(A247="","",IFERROR(VALUE(SUBSTITUTE(TRIM(Input!I247&amp;""),"%","")),0)/IF(AND(IFERROR(VALUE(SUBSTITUTE(TRIM(Input!I247&amp;""),"%","")),0)&gt;0,IFERROR(VALUE(SUBSTITUTE(TRIM(Input!I247&amp;""),"%","")),0)&lt;1),1,100))</f>
        <v/>
      </c>
    </row>
    <row r="248" spans="1:8">
      <c r="A248" t="str">
        <f>IF(TRIM(Input!B248&amp;"")="","",UPPER(TRIM(Input!B248&amp;"")))</f>
        <v/>
      </c>
      <c r="B248" t="str">
        <f>IF(A248="","",IFERROR(VALUE(RIGHT(TRIM(Input!D248&amp;""),1)),0))</f>
        <v/>
      </c>
      <c r="C248" t="str">
        <f t="shared" si="3"/>
        <v/>
      </c>
      <c r="D248" t="str">
        <f>IF(A248="","",IFERROR(VALUE(SUBSTITUTE(TRIM(Input!E248&amp;""),"%","")),0)/IF(AND(IFERROR(VALUE(SUBSTITUTE(TRIM(Input!E248&amp;""),"%","")),0)&gt;0,IFERROR(VALUE(SUBSTITUTE(TRIM(Input!E248&amp;""),"%","")),0)&lt;1),1,100))</f>
        <v/>
      </c>
      <c r="E248" t="str">
        <f>IF(A248="","",IFERROR(VALUE(SUBSTITUTE(TRIM(Input!F248&amp;""),"%","")),0)/IF(AND(IFERROR(VALUE(SUBSTITUTE(TRIM(Input!F248&amp;""),"%","")),0)&gt;0,IFERROR(VALUE(SUBSTITUTE(TRIM(Input!F248&amp;""),"%","")),0)&lt;1),1,100))</f>
        <v/>
      </c>
      <c r="F248" t="str">
        <f>IF(A248="","",IFERROR(VALUE(SUBSTITUTE(TRIM(Input!G248&amp;""),"%","")),0)/IF(AND(IFERROR(VALUE(SUBSTITUTE(TRIM(Input!G248&amp;""),"%","")),0)&gt;0,IFERROR(VALUE(SUBSTITUTE(TRIM(Input!G248&amp;""),"%","")),0)&lt;1),1,100))</f>
        <v/>
      </c>
      <c r="G248" t="str">
        <f>IF(A248="","",IFERROR(VALUE(SUBSTITUTE(TRIM(Input!H248&amp;""),"%","")),0)/IF(AND(IFERROR(VALUE(SUBSTITUTE(TRIM(Input!H248&amp;""),"%","")),0)&gt;0,IFERROR(VALUE(SUBSTITUTE(TRIM(Input!H248&amp;""),"%","")),0)&lt;1),1,100))</f>
        <v/>
      </c>
      <c r="H248" t="str">
        <f>IF(A248="","",IFERROR(VALUE(SUBSTITUTE(TRIM(Input!I248&amp;""),"%","")),0)/IF(AND(IFERROR(VALUE(SUBSTITUTE(TRIM(Input!I248&amp;""),"%","")),0)&gt;0,IFERROR(VALUE(SUBSTITUTE(TRIM(Input!I248&amp;""),"%","")),0)&lt;1),1,100))</f>
        <v/>
      </c>
    </row>
    <row r="249" spans="1:8">
      <c r="A249" t="str">
        <f>IF(TRIM(Input!B249&amp;"")="","",UPPER(TRIM(Input!B249&amp;"")))</f>
        <v/>
      </c>
      <c r="B249" t="str">
        <f>IF(A249="","",IFERROR(VALUE(RIGHT(TRIM(Input!D249&amp;""),1)),0))</f>
        <v/>
      </c>
      <c r="C249" t="str">
        <f t="shared" si="3"/>
        <v/>
      </c>
      <c r="D249" t="str">
        <f>IF(A249="","",IFERROR(VALUE(SUBSTITUTE(TRIM(Input!E249&amp;""),"%","")),0)/IF(AND(IFERROR(VALUE(SUBSTITUTE(TRIM(Input!E249&amp;""),"%","")),0)&gt;0,IFERROR(VALUE(SUBSTITUTE(TRIM(Input!E249&amp;""),"%","")),0)&lt;1),1,100))</f>
        <v/>
      </c>
      <c r="E249" t="str">
        <f>IF(A249="","",IFERROR(VALUE(SUBSTITUTE(TRIM(Input!F249&amp;""),"%","")),0)/IF(AND(IFERROR(VALUE(SUBSTITUTE(TRIM(Input!F249&amp;""),"%","")),0)&gt;0,IFERROR(VALUE(SUBSTITUTE(TRIM(Input!F249&amp;""),"%","")),0)&lt;1),1,100))</f>
        <v/>
      </c>
      <c r="F249" t="str">
        <f>IF(A249="","",IFERROR(VALUE(SUBSTITUTE(TRIM(Input!G249&amp;""),"%","")),0)/IF(AND(IFERROR(VALUE(SUBSTITUTE(TRIM(Input!G249&amp;""),"%","")),0)&gt;0,IFERROR(VALUE(SUBSTITUTE(TRIM(Input!G249&amp;""),"%","")),0)&lt;1),1,100))</f>
        <v/>
      </c>
      <c r="G249" t="str">
        <f>IF(A249="","",IFERROR(VALUE(SUBSTITUTE(TRIM(Input!H249&amp;""),"%","")),0)/IF(AND(IFERROR(VALUE(SUBSTITUTE(TRIM(Input!H249&amp;""),"%","")),0)&gt;0,IFERROR(VALUE(SUBSTITUTE(TRIM(Input!H249&amp;""),"%","")),0)&lt;1),1,100))</f>
        <v/>
      </c>
      <c r="H249" t="str">
        <f>IF(A249="","",IFERROR(VALUE(SUBSTITUTE(TRIM(Input!I249&amp;""),"%","")),0)/IF(AND(IFERROR(VALUE(SUBSTITUTE(TRIM(Input!I249&amp;""),"%","")),0)&gt;0,IFERROR(VALUE(SUBSTITUTE(TRIM(Input!I249&amp;""),"%","")),0)&lt;1),1,100))</f>
        <v/>
      </c>
    </row>
    <row r="250" spans="1:8">
      <c r="A250" t="str">
        <f>IF(TRIM(Input!B250&amp;"")="","",UPPER(TRIM(Input!B250&amp;"")))</f>
        <v/>
      </c>
      <c r="B250" t="str">
        <f>IF(A250="","",IFERROR(VALUE(RIGHT(TRIM(Input!D250&amp;""),1)),0))</f>
        <v/>
      </c>
      <c r="C250" t="str">
        <f t="shared" si="3"/>
        <v/>
      </c>
      <c r="D250" t="str">
        <f>IF(A250="","",IFERROR(VALUE(SUBSTITUTE(TRIM(Input!E250&amp;""),"%","")),0)/IF(AND(IFERROR(VALUE(SUBSTITUTE(TRIM(Input!E250&amp;""),"%","")),0)&gt;0,IFERROR(VALUE(SUBSTITUTE(TRIM(Input!E250&amp;""),"%","")),0)&lt;1),1,100))</f>
        <v/>
      </c>
      <c r="E250" t="str">
        <f>IF(A250="","",IFERROR(VALUE(SUBSTITUTE(TRIM(Input!F250&amp;""),"%","")),0)/IF(AND(IFERROR(VALUE(SUBSTITUTE(TRIM(Input!F250&amp;""),"%","")),0)&gt;0,IFERROR(VALUE(SUBSTITUTE(TRIM(Input!F250&amp;""),"%","")),0)&lt;1),1,100))</f>
        <v/>
      </c>
      <c r="F250" t="str">
        <f>IF(A250="","",IFERROR(VALUE(SUBSTITUTE(TRIM(Input!G250&amp;""),"%","")),0)/IF(AND(IFERROR(VALUE(SUBSTITUTE(TRIM(Input!G250&amp;""),"%","")),0)&gt;0,IFERROR(VALUE(SUBSTITUTE(TRIM(Input!G250&amp;""),"%","")),0)&lt;1),1,100))</f>
        <v/>
      </c>
      <c r="G250" t="str">
        <f>IF(A250="","",IFERROR(VALUE(SUBSTITUTE(TRIM(Input!H250&amp;""),"%","")),0)/IF(AND(IFERROR(VALUE(SUBSTITUTE(TRIM(Input!H250&amp;""),"%","")),0)&gt;0,IFERROR(VALUE(SUBSTITUTE(TRIM(Input!H250&amp;""),"%","")),0)&lt;1),1,100))</f>
        <v/>
      </c>
      <c r="H250" t="str">
        <f>IF(A250="","",IFERROR(VALUE(SUBSTITUTE(TRIM(Input!I250&amp;""),"%","")),0)/IF(AND(IFERROR(VALUE(SUBSTITUTE(TRIM(Input!I250&amp;""),"%","")),0)&gt;0,IFERROR(VALUE(SUBSTITUTE(TRIM(Input!I250&amp;""),"%","")),0)&lt;1),1,100))</f>
        <v/>
      </c>
    </row>
    <row r="251" spans="1:8">
      <c r="A251" t="str">
        <f>IF(TRIM(Input!B251&amp;"")="","",UPPER(TRIM(Input!B251&amp;"")))</f>
        <v/>
      </c>
      <c r="B251" t="str">
        <f>IF(A251="","",IFERROR(VALUE(RIGHT(TRIM(Input!D251&amp;""),1)),0))</f>
        <v/>
      </c>
      <c r="C251" t="str">
        <f t="shared" si="3"/>
        <v/>
      </c>
      <c r="D251" t="str">
        <f>IF(A251="","",IFERROR(VALUE(SUBSTITUTE(TRIM(Input!E251&amp;""),"%","")),0)/IF(AND(IFERROR(VALUE(SUBSTITUTE(TRIM(Input!E251&amp;""),"%","")),0)&gt;0,IFERROR(VALUE(SUBSTITUTE(TRIM(Input!E251&amp;""),"%","")),0)&lt;1),1,100))</f>
        <v/>
      </c>
      <c r="E251" t="str">
        <f>IF(A251="","",IFERROR(VALUE(SUBSTITUTE(TRIM(Input!F251&amp;""),"%","")),0)/IF(AND(IFERROR(VALUE(SUBSTITUTE(TRIM(Input!F251&amp;""),"%","")),0)&gt;0,IFERROR(VALUE(SUBSTITUTE(TRIM(Input!F251&amp;""),"%","")),0)&lt;1),1,100))</f>
        <v/>
      </c>
      <c r="F251" t="str">
        <f>IF(A251="","",IFERROR(VALUE(SUBSTITUTE(TRIM(Input!G251&amp;""),"%","")),0)/IF(AND(IFERROR(VALUE(SUBSTITUTE(TRIM(Input!G251&amp;""),"%","")),0)&gt;0,IFERROR(VALUE(SUBSTITUTE(TRIM(Input!G251&amp;""),"%","")),0)&lt;1),1,100))</f>
        <v/>
      </c>
      <c r="G251" t="str">
        <f>IF(A251="","",IFERROR(VALUE(SUBSTITUTE(TRIM(Input!H251&amp;""),"%","")),0)/IF(AND(IFERROR(VALUE(SUBSTITUTE(TRIM(Input!H251&amp;""),"%","")),0)&gt;0,IFERROR(VALUE(SUBSTITUTE(TRIM(Input!H251&amp;""),"%","")),0)&lt;1),1,100))</f>
        <v/>
      </c>
      <c r="H251" t="str">
        <f>IF(A251="","",IFERROR(VALUE(SUBSTITUTE(TRIM(Input!I251&amp;""),"%","")),0)/IF(AND(IFERROR(VALUE(SUBSTITUTE(TRIM(Input!I251&amp;""),"%","")),0)&gt;0,IFERROR(VALUE(SUBSTITUTE(TRIM(Input!I251&amp;""),"%","")),0)&lt;1),1,100))</f>
        <v/>
      </c>
    </row>
    <row r="252" spans="1:8">
      <c r="A252" t="str">
        <f>IF(TRIM(Input!B252&amp;"")="","",UPPER(TRIM(Input!B252&amp;"")))</f>
        <v/>
      </c>
      <c r="B252" t="str">
        <f>IF(A252="","",IFERROR(VALUE(RIGHT(TRIM(Input!D252&amp;""),1)),0))</f>
        <v/>
      </c>
      <c r="C252" t="str">
        <f t="shared" si="3"/>
        <v/>
      </c>
      <c r="D252" t="str">
        <f>IF(A252="","",IFERROR(VALUE(SUBSTITUTE(TRIM(Input!E252&amp;""),"%","")),0)/IF(AND(IFERROR(VALUE(SUBSTITUTE(TRIM(Input!E252&amp;""),"%","")),0)&gt;0,IFERROR(VALUE(SUBSTITUTE(TRIM(Input!E252&amp;""),"%","")),0)&lt;1),1,100))</f>
        <v/>
      </c>
      <c r="E252" t="str">
        <f>IF(A252="","",IFERROR(VALUE(SUBSTITUTE(TRIM(Input!F252&amp;""),"%","")),0)/IF(AND(IFERROR(VALUE(SUBSTITUTE(TRIM(Input!F252&amp;""),"%","")),0)&gt;0,IFERROR(VALUE(SUBSTITUTE(TRIM(Input!F252&amp;""),"%","")),0)&lt;1),1,100))</f>
        <v/>
      </c>
      <c r="F252" t="str">
        <f>IF(A252="","",IFERROR(VALUE(SUBSTITUTE(TRIM(Input!G252&amp;""),"%","")),0)/IF(AND(IFERROR(VALUE(SUBSTITUTE(TRIM(Input!G252&amp;""),"%","")),0)&gt;0,IFERROR(VALUE(SUBSTITUTE(TRIM(Input!G252&amp;""),"%","")),0)&lt;1),1,100))</f>
        <v/>
      </c>
      <c r="G252" t="str">
        <f>IF(A252="","",IFERROR(VALUE(SUBSTITUTE(TRIM(Input!H252&amp;""),"%","")),0)/IF(AND(IFERROR(VALUE(SUBSTITUTE(TRIM(Input!H252&amp;""),"%","")),0)&gt;0,IFERROR(VALUE(SUBSTITUTE(TRIM(Input!H252&amp;""),"%","")),0)&lt;1),1,100))</f>
        <v/>
      </c>
      <c r="H252" t="str">
        <f>IF(A252="","",IFERROR(VALUE(SUBSTITUTE(TRIM(Input!I252&amp;""),"%","")),0)/IF(AND(IFERROR(VALUE(SUBSTITUTE(TRIM(Input!I252&amp;""),"%","")),0)&gt;0,IFERROR(VALUE(SUBSTITUTE(TRIM(Input!I252&amp;""),"%","")),0)&lt;1),1,100))</f>
        <v/>
      </c>
    </row>
    <row r="253" spans="1:8">
      <c r="A253" t="str">
        <f>IF(TRIM(Input!B253&amp;"")="","",UPPER(TRIM(Input!B253&amp;"")))</f>
        <v/>
      </c>
      <c r="B253" t="str">
        <f>IF(A253="","",IFERROR(VALUE(RIGHT(TRIM(Input!D253&amp;""),1)),0))</f>
        <v/>
      </c>
      <c r="C253" t="str">
        <f t="shared" si="3"/>
        <v/>
      </c>
      <c r="D253" t="str">
        <f>IF(A253="","",IFERROR(VALUE(SUBSTITUTE(TRIM(Input!E253&amp;""),"%","")),0)/IF(AND(IFERROR(VALUE(SUBSTITUTE(TRIM(Input!E253&amp;""),"%","")),0)&gt;0,IFERROR(VALUE(SUBSTITUTE(TRIM(Input!E253&amp;""),"%","")),0)&lt;1),1,100))</f>
        <v/>
      </c>
      <c r="E253" t="str">
        <f>IF(A253="","",IFERROR(VALUE(SUBSTITUTE(TRIM(Input!F253&amp;""),"%","")),0)/IF(AND(IFERROR(VALUE(SUBSTITUTE(TRIM(Input!F253&amp;""),"%","")),0)&gt;0,IFERROR(VALUE(SUBSTITUTE(TRIM(Input!F253&amp;""),"%","")),0)&lt;1),1,100))</f>
        <v/>
      </c>
      <c r="F253" t="str">
        <f>IF(A253="","",IFERROR(VALUE(SUBSTITUTE(TRIM(Input!G253&amp;""),"%","")),0)/IF(AND(IFERROR(VALUE(SUBSTITUTE(TRIM(Input!G253&amp;""),"%","")),0)&gt;0,IFERROR(VALUE(SUBSTITUTE(TRIM(Input!G253&amp;""),"%","")),0)&lt;1),1,100))</f>
        <v/>
      </c>
      <c r="G253" t="str">
        <f>IF(A253="","",IFERROR(VALUE(SUBSTITUTE(TRIM(Input!H253&amp;""),"%","")),0)/IF(AND(IFERROR(VALUE(SUBSTITUTE(TRIM(Input!H253&amp;""),"%","")),0)&gt;0,IFERROR(VALUE(SUBSTITUTE(TRIM(Input!H253&amp;""),"%","")),0)&lt;1),1,100))</f>
        <v/>
      </c>
      <c r="H253" t="str">
        <f>IF(A253="","",IFERROR(VALUE(SUBSTITUTE(TRIM(Input!I253&amp;""),"%","")),0)/IF(AND(IFERROR(VALUE(SUBSTITUTE(TRIM(Input!I253&amp;""),"%","")),0)&gt;0,IFERROR(VALUE(SUBSTITUTE(TRIM(Input!I253&amp;""),"%","")),0)&lt;1),1,100))</f>
        <v/>
      </c>
    </row>
    <row r="254" spans="1:8">
      <c r="A254" t="str">
        <f>IF(TRIM(Input!B254&amp;"")="","",UPPER(TRIM(Input!B254&amp;"")))</f>
        <v/>
      </c>
      <c r="B254" t="str">
        <f>IF(A254="","",IFERROR(VALUE(RIGHT(TRIM(Input!D254&amp;""),1)),0))</f>
        <v/>
      </c>
      <c r="C254" t="str">
        <f t="shared" si="3"/>
        <v/>
      </c>
      <c r="D254" t="str">
        <f>IF(A254="","",IFERROR(VALUE(SUBSTITUTE(TRIM(Input!E254&amp;""),"%","")),0)/IF(AND(IFERROR(VALUE(SUBSTITUTE(TRIM(Input!E254&amp;""),"%","")),0)&gt;0,IFERROR(VALUE(SUBSTITUTE(TRIM(Input!E254&amp;""),"%","")),0)&lt;1),1,100))</f>
        <v/>
      </c>
      <c r="E254" t="str">
        <f>IF(A254="","",IFERROR(VALUE(SUBSTITUTE(TRIM(Input!F254&amp;""),"%","")),0)/IF(AND(IFERROR(VALUE(SUBSTITUTE(TRIM(Input!F254&amp;""),"%","")),0)&gt;0,IFERROR(VALUE(SUBSTITUTE(TRIM(Input!F254&amp;""),"%","")),0)&lt;1),1,100))</f>
        <v/>
      </c>
      <c r="F254" t="str">
        <f>IF(A254="","",IFERROR(VALUE(SUBSTITUTE(TRIM(Input!G254&amp;""),"%","")),0)/IF(AND(IFERROR(VALUE(SUBSTITUTE(TRIM(Input!G254&amp;""),"%","")),0)&gt;0,IFERROR(VALUE(SUBSTITUTE(TRIM(Input!G254&amp;""),"%","")),0)&lt;1),1,100))</f>
        <v/>
      </c>
      <c r="G254" t="str">
        <f>IF(A254="","",IFERROR(VALUE(SUBSTITUTE(TRIM(Input!H254&amp;""),"%","")),0)/IF(AND(IFERROR(VALUE(SUBSTITUTE(TRIM(Input!H254&amp;""),"%","")),0)&gt;0,IFERROR(VALUE(SUBSTITUTE(TRIM(Input!H254&amp;""),"%","")),0)&lt;1),1,100))</f>
        <v/>
      </c>
      <c r="H254" t="str">
        <f>IF(A254="","",IFERROR(VALUE(SUBSTITUTE(TRIM(Input!I254&amp;""),"%","")),0)/IF(AND(IFERROR(VALUE(SUBSTITUTE(TRIM(Input!I254&amp;""),"%","")),0)&gt;0,IFERROR(VALUE(SUBSTITUTE(TRIM(Input!I254&amp;""),"%","")),0)&lt;1),1,100))</f>
        <v/>
      </c>
    </row>
    <row r="255" spans="1:8">
      <c r="A255" t="str">
        <f>IF(TRIM(Input!B255&amp;"")="","",UPPER(TRIM(Input!B255&amp;"")))</f>
        <v/>
      </c>
      <c r="B255" t="str">
        <f>IF(A255="","",IFERROR(VALUE(RIGHT(TRIM(Input!D255&amp;""),1)),0))</f>
        <v/>
      </c>
      <c r="C255" t="str">
        <f t="shared" si="3"/>
        <v/>
      </c>
      <c r="D255" t="str">
        <f>IF(A255="","",IFERROR(VALUE(SUBSTITUTE(TRIM(Input!E255&amp;""),"%","")),0)/IF(AND(IFERROR(VALUE(SUBSTITUTE(TRIM(Input!E255&amp;""),"%","")),0)&gt;0,IFERROR(VALUE(SUBSTITUTE(TRIM(Input!E255&amp;""),"%","")),0)&lt;1),1,100))</f>
        <v/>
      </c>
      <c r="E255" t="str">
        <f>IF(A255="","",IFERROR(VALUE(SUBSTITUTE(TRIM(Input!F255&amp;""),"%","")),0)/IF(AND(IFERROR(VALUE(SUBSTITUTE(TRIM(Input!F255&amp;""),"%","")),0)&gt;0,IFERROR(VALUE(SUBSTITUTE(TRIM(Input!F255&amp;""),"%","")),0)&lt;1),1,100))</f>
        <v/>
      </c>
      <c r="F255" t="str">
        <f>IF(A255="","",IFERROR(VALUE(SUBSTITUTE(TRIM(Input!G255&amp;""),"%","")),0)/IF(AND(IFERROR(VALUE(SUBSTITUTE(TRIM(Input!G255&amp;""),"%","")),0)&gt;0,IFERROR(VALUE(SUBSTITUTE(TRIM(Input!G255&amp;""),"%","")),0)&lt;1),1,100))</f>
        <v/>
      </c>
      <c r="G255" t="str">
        <f>IF(A255="","",IFERROR(VALUE(SUBSTITUTE(TRIM(Input!H255&amp;""),"%","")),0)/IF(AND(IFERROR(VALUE(SUBSTITUTE(TRIM(Input!H255&amp;""),"%","")),0)&gt;0,IFERROR(VALUE(SUBSTITUTE(TRIM(Input!H255&amp;""),"%","")),0)&lt;1),1,100))</f>
        <v/>
      </c>
      <c r="H255" t="str">
        <f>IF(A255="","",IFERROR(VALUE(SUBSTITUTE(TRIM(Input!I255&amp;""),"%","")),0)/IF(AND(IFERROR(VALUE(SUBSTITUTE(TRIM(Input!I255&amp;""),"%","")),0)&gt;0,IFERROR(VALUE(SUBSTITUTE(TRIM(Input!I255&amp;""),"%","")),0)&lt;1),1,100))</f>
        <v/>
      </c>
    </row>
    <row r="256" spans="1:8">
      <c r="A256" t="str">
        <f>IF(TRIM(Input!B256&amp;"")="","",UPPER(TRIM(Input!B256&amp;"")))</f>
        <v/>
      </c>
      <c r="B256" t="str">
        <f>IF(A256="","",IFERROR(VALUE(RIGHT(TRIM(Input!D256&amp;""),1)),0))</f>
        <v/>
      </c>
      <c r="C256" t="str">
        <f t="shared" si="3"/>
        <v/>
      </c>
      <c r="D256" t="str">
        <f>IF(A256="","",IFERROR(VALUE(SUBSTITUTE(TRIM(Input!E256&amp;""),"%","")),0)/IF(AND(IFERROR(VALUE(SUBSTITUTE(TRIM(Input!E256&amp;""),"%","")),0)&gt;0,IFERROR(VALUE(SUBSTITUTE(TRIM(Input!E256&amp;""),"%","")),0)&lt;1),1,100))</f>
        <v/>
      </c>
      <c r="E256" t="str">
        <f>IF(A256="","",IFERROR(VALUE(SUBSTITUTE(TRIM(Input!F256&amp;""),"%","")),0)/IF(AND(IFERROR(VALUE(SUBSTITUTE(TRIM(Input!F256&amp;""),"%","")),0)&gt;0,IFERROR(VALUE(SUBSTITUTE(TRIM(Input!F256&amp;""),"%","")),0)&lt;1),1,100))</f>
        <v/>
      </c>
      <c r="F256" t="str">
        <f>IF(A256="","",IFERROR(VALUE(SUBSTITUTE(TRIM(Input!G256&amp;""),"%","")),0)/IF(AND(IFERROR(VALUE(SUBSTITUTE(TRIM(Input!G256&amp;""),"%","")),0)&gt;0,IFERROR(VALUE(SUBSTITUTE(TRIM(Input!G256&amp;""),"%","")),0)&lt;1),1,100))</f>
        <v/>
      </c>
      <c r="G256" t="str">
        <f>IF(A256="","",IFERROR(VALUE(SUBSTITUTE(TRIM(Input!H256&amp;""),"%","")),0)/IF(AND(IFERROR(VALUE(SUBSTITUTE(TRIM(Input!H256&amp;""),"%","")),0)&gt;0,IFERROR(VALUE(SUBSTITUTE(TRIM(Input!H256&amp;""),"%","")),0)&lt;1),1,100))</f>
        <v/>
      </c>
      <c r="H256" t="str">
        <f>IF(A256="","",IFERROR(VALUE(SUBSTITUTE(TRIM(Input!I256&amp;""),"%","")),0)/IF(AND(IFERROR(VALUE(SUBSTITUTE(TRIM(Input!I256&amp;""),"%","")),0)&gt;0,IFERROR(VALUE(SUBSTITUTE(TRIM(Input!I256&amp;""),"%","")),0)&lt;1),1,100))</f>
        <v/>
      </c>
    </row>
    <row r="257" spans="1:8">
      <c r="A257" t="str">
        <f>IF(TRIM(Input!B257&amp;"")="","",UPPER(TRIM(Input!B257&amp;"")))</f>
        <v/>
      </c>
      <c r="B257" t="str">
        <f>IF(A257="","",IFERROR(VALUE(RIGHT(TRIM(Input!D257&amp;""),1)),0))</f>
        <v/>
      </c>
      <c r="C257" t="str">
        <f t="shared" si="3"/>
        <v/>
      </c>
      <c r="D257" t="str">
        <f>IF(A257="","",IFERROR(VALUE(SUBSTITUTE(TRIM(Input!E257&amp;""),"%","")),0)/IF(AND(IFERROR(VALUE(SUBSTITUTE(TRIM(Input!E257&amp;""),"%","")),0)&gt;0,IFERROR(VALUE(SUBSTITUTE(TRIM(Input!E257&amp;""),"%","")),0)&lt;1),1,100))</f>
        <v/>
      </c>
      <c r="E257" t="str">
        <f>IF(A257="","",IFERROR(VALUE(SUBSTITUTE(TRIM(Input!F257&amp;""),"%","")),0)/IF(AND(IFERROR(VALUE(SUBSTITUTE(TRIM(Input!F257&amp;""),"%","")),0)&gt;0,IFERROR(VALUE(SUBSTITUTE(TRIM(Input!F257&amp;""),"%","")),0)&lt;1),1,100))</f>
        <v/>
      </c>
      <c r="F257" t="str">
        <f>IF(A257="","",IFERROR(VALUE(SUBSTITUTE(TRIM(Input!G257&amp;""),"%","")),0)/IF(AND(IFERROR(VALUE(SUBSTITUTE(TRIM(Input!G257&amp;""),"%","")),0)&gt;0,IFERROR(VALUE(SUBSTITUTE(TRIM(Input!G257&amp;""),"%","")),0)&lt;1),1,100))</f>
        <v/>
      </c>
      <c r="G257" t="str">
        <f>IF(A257="","",IFERROR(VALUE(SUBSTITUTE(TRIM(Input!H257&amp;""),"%","")),0)/IF(AND(IFERROR(VALUE(SUBSTITUTE(TRIM(Input!H257&amp;""),"%","")),0)&gt;0,IFERROR(VALUE(SUBSTITUTE(TRIM(Input!H257&amp;""),"%","")),0)&lt;1),1,100))</f>
        <v/>
      </c>
      <c r="H257" t="str">
        <f>IF(A257="","",IFERROR(VALUE(SUBSTITUTE(TRIM(Input!I257&amp;""),"%","")),0)/IF(AND(IFERROR(VALUE(SUBSTITUTE(TRIM(Input!I257&amp;""),"%","")),0)&gt;0,IFERROR(VALUE(SUBSTITUTE(TRIM(Input!I257&amp;""),"%","")),0)&lt;1),1,100))</f>
        <v/>
      </c>
    </row>
    <row r="258" spans="1:8">
      <c r="A258" t="str">
        <f>IF(TRIM(Input!B258&amp;"")="","",UPPER(TRIM(Input!B258&amp;"")))</f>
        <v/>
      </c>
      <c r="B258" t="str">
        <f>IF(A258="","",IFERROR(VALUE(RIGHT(TRIM(Input!D258&amp;""),1)),0))</f>
        <v/>
      </c>
      <c r="C258" t="str">
        <f t="shared" ref="C258:C321" si="4">IF(A258="","",A258&amp;"|"&amp;B258)</f>
        <v/>
      </c>
      <c r="D258" t="str">
        <f>IF(A258="","",IFERROR(VALUE(SUBSTITUTE(TRIM(Input!E258&amp;""),"%","")),0)/IF(AND(IFERROR(VALUE(SUBSTITUTE(TRIM(Input!E258&amp;""),"%","")),0)&gt;0,IFERROR(VALUE(SUBSTITUTE(TRIM(Input!E258&amp;""),"%","")),0)&lt;1),1,100))</f>
        <v/>
      </c>
      <c r="E258" t="str">
        <f>IF(A258="","",IFERROR(VALUE(SUBSTITUTE(TRIM(Input!F258&amp;""),"%","")),0)/IF(AND(IFERROR(VALUE(SUBSTITUTE(TRIM(Input!F258&amp;""),"%","")),0)&gt;0,IFERROR(VALUE(SUBSTITUTE(TRIM(Input!F258&amp;""),"%","")),0)&lt;1),1,100))</f>
        <v/>
      </c>
      <c r="F258" t="str">
        <f>IF(A258="","",IFERROR(VALUE(SUBSTITUTE(TRIM(Input!G258&amp;""),"%","")),0)/IF(AND(IFERROR(VALUE(SUBSTITUTE(TRIM(Input!G258&amp;""),"%","")),0)&gt;0,IFERROR(VALUE(SUBSTITUTE(TRIM(Input!G258&amp;""),"%","")),0)&lt;1),1,100))</f>
        <v/>
      </c>
      <c r="G258" t="str">
        <f>IF(A258="","",IFERROR(VALUE(SUBSTITUTE(TRIM(Input!H258&amp;""),"%","")),0)/IF(AND(IFERROR(VALUE(SUBSTITUTE(TRIM(Input!H258&amp;""),"%","")),0)&gt;0,IFERROR(VALUE(SUBSTITUTE(TRIM(Input!H258&amp;""),"%","")),0)&lt;1),1,100))</f>
        <v/>
      </c>
      <c r="H258" t="str">
        <f>IF(A258="","",IFERROR(VALUE(SUBSTITUTE(TRIM(Input!I258&amp;""),"%","")),0)/IF(AND(IFERROR(VALUE(SUBSTITUTE(TRIM(Input!I258&amp;""),"%","")),0)&gt;0,IFERROR(VALUE(SUBSTITUTE(TRIM(Input!I258&amp;""),"%","")),0)&lt;1),1,100))</f>
        <v/>
      </c>
    </row>
    <row r="259" spans="1:8">
      <c r="A259" t="str">
        <f>IF(TRIM(Input!B259&amp;"")="","",UPPER(TRIM(Input!B259&amp;"")))</f>
        <v/>
      </c>
      <c r="B259" t="str">
        <f>IF(A259="","",IFERROR(VALUE(RIGHT(TRIM(Input!D259&amp;""),1)),0))</f>
        <v/>
      </c>
      <c r="C259" t="str">
        <f t="shared" si="4"/>
        <v/>
      </c>
      <c r="D259" t="str">
        <f>IF(A259="","",IFERROR(VALUE(SUBSTITUTE(TRIM(Input!E259&amp;""),"%","")),0)/IF(AND(IFERROR(VALUE(SUBSTITUTE(TRIM(Input!E259&amp;""),"%","")),0)&gt;0,IFERROR(VALUE(SUBSTITUTE(TRIM(Input!E259&amp;""),"%","")),0)&lt;1),1,100))</f>
        <v/>
      </c>
      <c r="E259" t="str">
        <f>IF(A259="","",IFERROR(VALUE(SUBSTITUTE(TRIM(Input!F259&amp;""),"%","")),0)/IF(AND(IFERROR(VALUE(SUBSTITUTE(TRIM(Input!F259&amp;""),"%","")),0)&gt;0,IFERROR(VALUE(SUBSTITUTE(TRIM(Input!F259&amp;""),"%","")),0)&lt;1),1,100))</f>
        <v/>
      </c>
      <c r="F259" t="str">
        <f>IF(A259="","",IFERROR(VALUE(SUBSTITUTE(TRIM(Input!G259&amp;""),"%","")),0)/IF(AND(IFERROR(VALUE(SUBSTITUTE(TRIM(Input!G259&amp;""),"%","")),0)&gt;0,IFERROR(VALUE(SUBSTITUTE(TRIM(Input!G259&amp;""),"%","")),0)&lt;1),1,100))</f>
        <v/>
      </c>
      <c r="G259" t="str">
        <f>IF(A259="","",IFERROR(VALUE(SUBSTITUTE(TRIM(Input!H259&amp;""),"%","")),0)/IF(AND(IFERROR(VALUE(SUBSTITUTE(TRIM(Input!H259&amp;""),"%","")),0)&gt;0,IFERROR(VALUE(SUBSTITUTE(TRIM(Input!H259&amp;""),"%","")),0)&lt;1),1,100))</f>
        <v/>
      </c>
      <c r="H259" t="str">
        <f>IF(A259="","",IFERROR(VALUE(SUBSTITUTE(TRIM(Input!I259&amp;""),"%","")),0)/IF(AND(IFERROR(VALUE(SUBSTITUTE(TRIM(Input!I259&amp;""),"%","")),0)&gt;0,IFERROR(VALUE(SUBSTITUTE(TRIM(Input!I259&amp;""),"%","")),0)&lt;1),1,100))</f>
        <v/>
      </c>
    </row>
    <row r="260" spans="1:8">
      <c r="A260" t="str">
        <f>IF(TRIM(Input!B260&amp;"")="","",UPPER(TRIM(Input!B260&amp;"")))</f>
        <v/>
      </c>
      <c r="B260" t="str">
        <f>IF(A260="","",IFERROR(VALUE(RIGHT(TRIM(Input!D260&amp;""),1)),0))</f>
        <v/>
      </c>
      <c r="C260" t="str">
        <f t="shared" si="4"/>
        <v/>
      </c>
      <c r="D260" t="str">
        <f>IF(A260="","",IFERROR(VALUE(SUBSTITUTE(TRIM(Input!E260&amp;""),"%","")),0)/IF(AND(IFERROR(VALUE(SUBSTITUTE(TRIM(Input!E260&amp;""),"%","")),0)&gt;0,IFERROR(VALUE(SUBSTITUTE(TRIM(Input!E260&amp;""),"%","")),0)&lt;1),1,100))</f>
        <v/>
      </c>
      <c r="E260" t="str">
        <f>IF(A260="","",IFERROR(VALUE(SUBSTITUTE(TRIM(Input!F260&amp;""),"%","")),0)/IF(AND(IFERROR(VALUE(SUBSTITUTE(TRIM(Input!F260&amp;""),"%","")),0)&gt;0,IFERROR(VALUE(SUBSTITUTE(TRIM(Input!F260&amp;""),"%","")),0)&lt;1),1,100))</f>
        <v/>
      </c>
      <c r="F260" t="str">
        <f>IF(A260="","",IFERROR(VALUE(SUBSTITUTE(TRIM(Input!G260&amp;""),"%","")),0)/IF(AND(IFERROR(VALUE(SUBSTITUTE(TRIM(Input!G260&amp;""),"%","")),0)&gt;0,IFERROR(VALUE(SUBSTITUTE(TRIM(Input!G260&amp;""),"%","")),0)&lt;1),1,100))</f>
        <v/>
      </c>
      <c r="G260" t="str">
        <f>IF(A260="","",IFERROR(VALUE(SUBSTITUTE(TRIM(Input!H260&amp;""),"%","")),0)/IF(AND(IFERROR(VALUE(SUBSTITUTE(TRIM(Input!H260&amp;""),"%","")),0)&gt;0,IFERROR(VALUE(SUBSTITUTE(TRIM(Input!H260&amp;""),"%","")),0)&lt;1),1,100))</f>
        <v/>
      </c>
      <c r="H260" t="str">
        <f>IF(A260="","",IFERROR(VALUE(SUBSTITUTE(TRIM(Input!I260&amp;""),"%","")),0)/IF(AND(IFERROR(VALUE(SUBSTITUTE(TRIM(Input!I260&amp;""),"%","")),0)&gt;0,IFERROR(VALUE(SUBSTITUTE(TRIM(Input!I260&amp;""),"%","")),0)&lt;1),1,100))</f>
        <v/>
      </c>
    </row>
    <row r="261" spans="1:8">
      <c r="A261" t="str">
        <f>IF(TRIM(Input!B261&amp;"")="","",UPPER(TRIM(Input!B261&amp;"")))</f>
        <v/>
      </c>
      <c r="B261" t="str">
        <f>IF(A261="","",IFERROR(VALUE(RIGHT(TRIM(Input!D261&amp;""),1)),0))</f>
        <v/>
      </c>
      <c r="C261" t="str">
        <f t="shared" si="4"/>
        <v/>
      </c>
      <c r="D261" t="str">
        <f>IF(A261="","",IFERROR(VALUE(SUBSTITUTE(TRIM(Input!E261&amp;""),"%","")),0)/IF(AND(IFERROR(VALUE(SUBSTITUTE(TRIM(Input!E261&amp;""),"%","")),0)&gt;0,IFERROR(VALUE(SUBSTITUTE(TRIM(Input!E261&amp;""),"%","")),0)&lt;1),1,100))</f>
        <v/>
      </c>
      <c r="E261" t="str">
        <f>IF(A261="","",IFERROR(VALUE(SUBSTITUTE(TRIM(Input!F261&amp;""),"%","")),0)/IF(AND(IFERROR(VALUE(SUBSTITUTE(TRIM(Input!F261&amp;""),"%","")),0)&gt;0,IFERROR(VALUE(SUBSTITUTE(TRIM(Input!F261&amp;""),"%","")),0)&lt;1),1,100))</f>
        <v/>
      </c>
      <c r="F261" t="str">
        <f>IF(A261="","",IFERROR(VALUE(SUBSTITUTE(TRIM(Input!G261&amp;""),"%","")),0)/IF(AND(IFERROR(VALUE(SUBSTITUTE(TRIM(Input!G261&amp;""),"%","")),0)&gt;0,IFERROR(VALUE(SUBSTITUTE(TRIM(Input!G261&amp;""),"%","")),0)&lt;1),1,100))</f>
        <v/>
      </c>
      <c r="G261" t="str">
        <f>IF(A261="","",IFERROR(VALUE(SUBSTITUTE(TRIM(Input!H261&amp;""),"%","")),0)/IF(AND(IFERROR(VALUE(SUBSTITUTE(TRIM(Input!H261&amp;""),"%","")),0)&gt;0,IFERROR(VALUE(SUBSTITUTE(TRIM(Input!H261&amp;""),"%","")),0)&lt;1),1,100))</f>
        <v/>
      </c>
      <c r="H261" t="str">
        <f>IF(A261="","",IFERROR(VALUE(SUBSTITUTE(TRIM(Input!I261&amp;""),"%","")),0)/IF(AND(IFERROR(VALUE(SUBSTITUTE(TRIM(Input!I261&amp;""),"%","")),0)&gt;0,IFERROR(VALUE(SUBSTITUTE(TRIM(Input!I261&amp;""),"%","")),0)&lt;1),1,100))</f>
        <v/>
      </c>
    </row>
    <row r="262" spans="1:8">
      <c r="A262" t="str">
        <f>IF(TRIM(Input!B262&amp;"")="","",UPPER(TRIM(Input!B262&amp;"")))</f>
        <v/>
      </c>
      <c r="B262" t="str">
        <f>IF(A262="","",IFERROR(VALUE(RIGHT(TRIM(Input!D262&amp;""),1)),0))</f>
        <v/>
      </c>
      <c r="C262" t="str">
        <f t="shared" si="4"/>
        <v/>
      </c>
      <c r="D262" t="str">
        <f>IF(A262="","",IFERROR(VALUE(SUBSTITUTE(TRIM(Input!E262&amp;""),"%","")),0)/IF(AND(IFERROR(VALUE(SUBSTITUTE(TRIM(Input!E262&amp;""),"%","")),0)&gt;0,IFERROR(VALUE(SUBSTITUTE(TRIM(Input!E262&amp;""),"%","")),0)&lt;1),1,100))</f>
        <v/>
      </c>
      <c r="E262" t="str">
        <f>IF(A262="","",IFERROR(VALUE(SUBSTITUTE(TRIM(Input!F262&amp;""),"%","")),0)/IF(AND(IFERROR(VALUE(SUBSTITUTE(TRIM(Input!F262&amp;""),"%","")),0)&gt;0,IFERROR(VALUE(SUBSTITUTE(TRIM(Input!F262&amp;""),"%","")),0)&lt;1),1,100))</f>
        <v/>
      </c>
      <c r="F262" t="str">
        <f>IF(A262="","",IFERROR(VALUE(SUBSTITUTE(TRIM(Input!G262&amp;""),"%","")),0)/IF(AND(IFERROR(VALUE(SUBSTITUTE(TRIM(Input!G262&amp;""),"%","")),0)&gt;0,IFERROR(VALUE(SUBSTITUTE(TRIM(Input!G262&amp;""),"%","")),0)&lt;1),1,100))</f>
        <v/>
      </c>
      <c r="G262" t="str">
        <f>IF(A262="","",IFERROR(VALUE(SUBSTITUTE(TRIM(Input!H262&amp;""),"%","")),0)/IF(AND(IFERROR(VALUE(SUBSTITUTE(TRIM(Input!H262&amp;""),"%","")),0)&gt;0,IFERROR(VALUE(SUBSTITUTE(TRIM(Input!H262&amp;""),"%","")),0)&lt;1),1,100))</f>
        <v/>
      </c>
      <c r="H262" t="str">
        <f>IF(A262="","",IFERROR(VALUE(SUBSTITUTE(TRIM(Input!I262&amp;""),"%","")),0)/IF(AND(IFERROR(VALUE(SUBSTITUTE(TRIM(Input!I262&amp;""),"%","")),0)&gt;0,IFERROR(VALUE(SUBSTITUTE(TRIM(Input!I262&amp;""),"%","")),0)&lt;1),1,100))</f>
        <v/>
      </c>
    </row>
    <row r="263" spans="1:8">
      <c r="A263" t="str">
        <f>IF(TRIM(Input!B263&amp;"")="","",UPPER(TRIM(Input!B263&amp;"")))</f>
        <v/>
      </c>
      <c r="B263" t="str">
        <f>IF(A263="","",IFERROR(VALUE(RIGHT(TRIM(Input!D263&amp;""),1)),0))</f>
        <v/>
      </c>
      <c r="C263" t="str">
        <f t="shared" si="4"/>
        <v/>
      </c>
      <c r="D263" t="str">
        <f>IF(A263="","",IFERROR(VALUE(SUBSTITUTE(TRIM(Input!E263&amp;""),"%","")),0)/IF(AND(IFERROR(VALUE(SUBSTITUTE(TRIM(Input!E263&amp;""),"%","")),0)&gt;0,IFERROR(VALUE(SUBSTITUTE(TRIM(Input!E263&amp;""),"%","")),0)&lt;1),1,100))</f>
        <v/>
      </c>
      <c r="E263" t="str">
        <f>IF(A263="","",IFERROR(VALUE(SUBSTITUTE(TRIM(Input!F263&amp;""),"%","")),0)/IF(AND(IFERROR(VALUE(SUBSTITUTE(TRIM(Input!F263&amp;""),"%","")),0)&gt;0,IFERROR(VALUE(SUBSTITUTE(TRIM(Input!F263&amp;""),"%","")),0)&lt;1),1,100))</f>
        <v/>
      </c>
      <c r="F263" t="str">
        <f>IF(A263="","",IFERROR(VALUE(SUBSTITUTE(TRIM(Input!G263&amp;""),"%","")),0)/IF(AND(IFERROR(VALUE(SUBSTITUTE(TRIM(Input!G263&amp;""),"%","")),0)&gt;0,IFERROR(VALUE(SUBSTITUTE(TRIM(Input!G263&amp;""),"%","")),0)&lt;1),1,100))</f>
        <v/>
      </c>
      <c r="G263" t="str">
        <f>IF(A263="","",IFERROR(VALUE(SUBSTITUTE(TRIM(Input!H263&amp;""),"%","")),0)/IF(AND(IFERROR(VALUE(SUBSTITUTE(TRIM(Input!H263&amp;""),"%","")),0)&gt;0,IFERROR(VALUE(SUBSTITUTE(TRIM(Input!H263&amp;""),"%","")),0)&lt;1),1,100))</f>
        <v/>
      </c>
      <c r="H263" t="str">
        <f>IF(A263="","",IFERROR(VALUE(SUBSTITUTE(TRIM(Input!I263&amp;""),"%","")),0)/IF(AND(IFERROR(VALUE(SUBSTITUTE(TRIM(Input!I263&amp;""),"%","")),0)&gt;0,IFERROR(VALUE(SUBSTITUTE(TRIM(Input!I263&amp;""),"%","")),0)&lt;1),1,100))</f>
        <v/>
      </c>
    </row>
    <row r="264" spans="1:8">
      <c r="A264" t="str">
        <f>IF(TRIM(Input!B264&amp;"")="","",UPPER(TRIM(Input!B264&amp;"")))</f>
        <v/>
      </c>
      <c r="B264" t="str">
        <f>IF(A264="","",IFERROR(VALUE(RIGHT(TRIM(Input!D264&amp;""),1)),0))</f>
        <v/>
      </c>
      <c r="C264" t="str">
        <f t="shared" si="4"/>
        <v/>
      </c>
      <c r="D264" t="str">
        <f>IF(A264="","",IFERROR(VALUE(SUBSTITUTE(TRIM(Input!E264&amp;""),"%","")),0)/IF(AND(IFERROR(VALUE(SUBSTITUTE(TRIM(Input!E264&amp;""),"%","")),0)&gt;0,IFERROR(VALUE(SUBSTITUTE(TRIM(Input!E264&amp;""),"%","")),0)&lt;1),1,100))</f>
        <v/>
      </c>
      <c r="E264" t="str">
        <f>IF(A264="","",IFERROR(VALUE(SUBSTITUTE(TRIM(Input!F264&amp;""),"%","")),0)/IF(AND(IFERROR(VALUE(SUBSTITUTE(TRIM(Input!F264&amp;""),"%","")),0)&gt;0,IFERROR(VALUE(SUBSTITUTE(TRIM(Input!F264&amp;""),"%","")),0)&lt;1),1,100))</f>
        <v/>
      </c>
      <c r="F264" t="str">
        <f>IF(A264="","",IFERROR(VALUE(SUBSTITUTE(TRIM(Input!G264&amp;""),"%","")),0)/IF(AND(IFERROR(VALUE(SUBSTITUTE(TRIM(Input!G264&amp;""),"%","")),0)&gt;0,IFERROR(VALUE(SUBSTITUTE(TRIM(Input!G264&amp;""),"%","")),0)&lt;1),1,100))</f>
        <v/>
      </c>
      <c r="G264" t="str">
        <f>IF(A264="","",IFERROR(VALUE(SUBSTITUTE(TRIM(Input!H264&amp;""),"%","")),0)/IF(AND(IFERROR(VALUE(SUBSTITUTE(TRIM(Input!H264&amp;""),"%","")),0)&gt;0,IFERROR(VALUE(SUBSTITUTE(TRIM(Input!H264&amp;""),"%","")),0)&lt;1),1,100))</f>
        <v/>
      </c>
      <c r="H264" t="str">
        <f>IF(A264="","",IFERROR(VALUE(SUBSTITUTE(TRIM(Input!I264&amp;""),"%","")),0)/IF(AND(IFERROR(VALUE(SUBSTITUTE(TRIM(Input!I264&amp;""),"%","")),0)&gt;0,IFERROR(VALUE(SUBSTITUTE(TRIM(Input!I264&amp;""),"%","")),0)&lt;1),1,100))</f>
        <v/>
      </c>
    </row>
    <row r="265" spans="1:8">
      <c r="A265" t="str">
        <f>IF(TRIM(Input!B265&amp;"")="","",UPPER(TRIM(Input!B265&amp;"")))</f>
        <v/>
      </c>
      <c r="B265" t="str">
        <f>IF(A265="","",IFERROR(VALUE(RIGHT(TRIM(Input!D265&amp;""),1)),0))</f>
        <v/>
      </c>
      <c r="C265" t="str">
        <f t="shared" si="4"/>
        <v/>
      </c>
      <c r="D265" t="str">
        <f>IF(A265="","",IFERROR(VALUE(SUBSTITUTE(TRIM(Input!E265&amp;""),"%","")),0)/IF(AND(IFERROR(VALUE(SUBSTITUTE(TRIM(Input!E265&amp;""),"%","")),0)&gt;0,IFERROR(VALUE(SUBSTITUTE(TRIM(Input!E265&amp;""),"%","")),0)&lt;1),1,100))</f>
        <v/>
      </c>
      <c r="E265" t="str">
        <f>IF(A265="","",IFERROR(VALUE(SUBSTITUTE(TRIM(Input!F265&amp;""),"%","")),0)/IF(AND(IFERROR(VALUE(SUBSTITUTE(TRIM(Input!F265&amp;""),"%","")),0)&gt;0,IFERROR(VALUE(SUBSTITUTE(TRIM(Input!F265&amp;""),"%","")),0)&lt;1),1,100))</f>
        <v/>
      </c>
      <c r="F265" t="str">
        <f>IF(A265="","",IFERROR(VALUE(SUBSTITUTE(TRIM(Input!G265&amp;""),"%","")),0)/IF(AND(IFERROR(VALUE(SUBSTITUTE(TRIM(Input!G265&amp;""),"%","")),0)&gt;0,IFERROR(VALUE(SUBSTITUTE(TRIM(Input!G265&amp;""),"%","")),0)&lt;1),1,100))</f>
        <v/>
      </c>
      <c r="G265" t="str">
        <f>IF(A265="","",IFERROR(VALUE(SUBSTITUTE(TRIM(Input!H265&amp;""),"%","")),0)/IF(AND(IFERROR(VALUE(SUBSTITUTE(TRIM(Input!H265&amp;""),"%","")),0)&gt;0,IFERROR(VALUE(SUBSTITUTE(TRIM(Input!H265&amp;""),"%","")),0)&lt;1),1,100))</f>
        <v/>
      </c>
      <c r="H265" t="str">
        <f>IF(A265="","",IFERROR(VALUE(SUBSTITUTE(TRIM(Input!I265&amp;""),"%","")),0)/IF(AND(IFERROR(VALUE(SUBSTITUTE(TRIM(Input!I265&amp;""),"%","")),0)&gt;0,IFERROR(VALUE(SUBSTITUTE(TRIM(Input!I265&amp;""),"%","")),0)&lt;1),1,100))</f>
        <v/>
      </c>
    </row>
    <row r="266" spans="1:8">
      <c r="A266" t="str">
        <f>IF(TRIM(Input!B266&amp;"")="","",UPPER(TRIM(Input!B266&amp;"")))</f>
        <v/>
      </c>
      <c r="B266" t="str">
        <f>IF(A266="","",IFERROR(VALUE(RIGHT(TRIM(Input!D266&amp;""),1)),0))</f>
        <v/>
      </c>
      <c r="C266" t="str">
        <f t="shared" si="4"/>
        <v/>
      </c>
      <c r="D266" t="str">
        <f>IF(A266="","",IFERROR(VALUE(SUBSTITUTE(TRIM(Input!E266&amp;""),"%","")),0)/IF(AND(IFERROR(VALUE(SUBSTITUTE(TRIM(Input!E266&amp;""),"%","")),0)&gt;0,IFERROR(VALUE(SUBSTITUTE(TRIM(Input!E266&amp;""),"%","")),0)&lt;1),1,100))</f>
        <v/>
      </c>
      <c r="E266" t="str">
        <f>IF(A266="","",IFERROR(VALUE(SUBSTITUTE(TRIM(Input!F266&amp;""),"%","")),0)/IF(AND(IFERROR(VALUE(SUBSTITUTE(TRIM(Input!F266&amp;""),"%","")),0)&gt;0,IFERROR(VALUE(SUBSTITUTE(TRIM(Input!F266&amp;""),"%","")),0)&lt;1),1,100))</f>
        <v/>
      </c>
      <c r="F266" t="str">
        <f>IF(A266="","",IFERROR(VALUE(SUBSTITUTE(TRIM(Input!G266&amp;""),"%","")),0)/IF(AND(IFERROR(VALUE(SUBSTITUTE(TRIM(Input!G266&amp;""),"%","")),0)&gt;0,IFERROR(VALUE(SUBSTITUTE(TRIM(Input!G266&amp;""),"%","")),0)&lt;1),1,100))</f>
        <v/>
      </c>
      <c r="G266" t="str">
        <f>IF(A266="","",IFERROR(VALUE(SUBSTITUTE(TRIM(Input!H266&amp;""),"%","")),0)/IF(AND(IFERROR(VALUE(SUBSTITUTE(TRIM(Input!H266&amp;""),"%","")),0)&gt;0,IFERROR(VALUE(SUBSTITUTE(TRIM(Input!H266&amp;""),"%","")),0)&lt;1),1,100))</f>
        <v/>
      </c>
      <c r="H266" t="str">
        <f>IF(A266="","",IFERROR(VALUE(SUBSTITUTE(TRIM(Input!I266&amp;""),"%","")),0)/IF(AND(IFERROR(VALUE(SUBSTITUTE(TRIM(Input!I266&amp;""),"%","")),0)&gt;0,IFERROR(VALUE(SUBSTITUTE(TRIM(Input!I266&amp;""),"%","")),0)&lt;1),1,100))</f>
        <v/>
      </c>
    </row>
    <row r="267" spans="1:8">
      <c r="A267" t="str">
        <f>IF(TRIM(Input!B267&amp;"")="","",UPPER(TRIM(Input!B267&amp;"")))</f>
        <v/>
      </c>
      <c r="B267" t="str">
        <f>IF(A267="","",IFERROR(VALUE(RIGHT(TRIM(Input!D267&amp;""),1)),0))</f>
        <v/>
      </c>
      <c r="C267" t="str">
        <f t="shared" si="4"/>
        <v/>
      </c>
      <c r="D267" t="str">
        <f>IF(A267="","",IFERROR(VALUE(SUBSTITUTE(TRIM(Input!E267&amp;""),"%","")),0)/IF(AND(IFERROR(VALUE(SUBSTITUTE(TRIM(Input!E267&amp;""),"%","")),0)&gt;0,IFERROR(VALUE(SUBSTITUTE(TRIM(Input!E267&amp;""),"%","")),0)&lt;1),1,100))</f>
        <v/>
      </c>
      <c r="E267" t="str">
        <f>IF(A267="","",IFERROR(VALUE(SUBSTITUTE(TRIM(Input!F267&amp;""),"%","")),0)/IF(AND(IFERROR(VALUE(SUBSTITUTE(TRIM(Input!F267&amp;""),"%","")),0)&gt;0,IFERROR(VALUE(SUBSTITUTE(TRIM(Input!F267&amp;""),"%","")),0)&lt;1),1,100))</f>
        <v/>
      </c>
      <c r="F267" t="str">
        <f>IF(A267="","",IFERROR(VALUE(SUBSTITUTE(TRIM(Input!G267&amp;""),"%","")),0)/IF(AND(IFERROR(VALUE(SUBSTITUTE(TRIM(Input!G267&amp;""),"%","")),0)&gt;0,IFERROR(VALUE(SUBSTITUTE(TRIM(Input!G267&amp;""),"%","")),0)&lt;1),1,100))</f>
        <v/>
      </c>
      <c r="G267" t="str">
        <f>IF(A267="","",IFERROR(VALUE(SUBSTITUTE(TRIM(Input!H267&amp;""),"%","")),0)/IF(AND(IFERROR(VALUE(SUBSTITUTE(TRIM(Input!H267&amp;""),"%","")),0)&gt;0,IFERROR(VALUE(SUBSTITUTE(TRIM(Input!H267&amp;""),"%","")),0)&lt;1),1,100))</f>
        <v/>
      </c>
      <c r="H267" t="str">
        <f>IF(A267="","",IFERROR(VALUE(SUBSTITUTE(TRIM(Input!I267&amp;""),"%","")),0)/IF(AND(IFERROR(VALUE(SUBSTITUTE(TRIM(Input!I267&amp;""),"%","")),0)&gt;0,IFERROR(VALUE(SUBSTITUTE(TRIM(Input!I267&amp;""),"%","")),0)&lt;1),1,100))</f>
        <v/>
      </c>
    </row>
    <row r="268" spans="1:8">
      <c r="A268" t="str">
        <f>IF(TRIM(Input!B268&amp;"")="","",UPPER(TRIM(Input!B268&amp;"")))</f>
        <v/>
      </c>
      <c r="B268" t="str">
        <f>IF(A268="","",IFERROR(VALUE(RIGHT(TRIM(Input!D268&amp;""),1)),0))</f>
        <v/>
      </c>
      <c r="C268" t="str">
        <f t="shared" si="4"/>
        <v/>
      </c>
      <c r="D268" t="str">
        <f>IF(A268="","",IFERROR(VALUE(SUBSTITUTE(TRIM(Input!E268&amp;""),"%","")),0)/IF(AND(IFERROR(VALUE(SUBSTITUTE(TRIM(Input!E268&amp;""),"%","")),0)&gt;0,IFERROR(VALUE(SUBSTITUTE(TRIM(Input!E268&amp;""),"%","")),0)&lt;1),1,100))</f>
        <v/>
      </c>
      <c r="E268" t="str">
        <f>IF(A268="","",IFERROR(VALUE(SUBSTITUTE(TRIM(Input!F268&amp;""),"%","")),0)/IF(AND(IFERROR(VALUE(SUBSTITUTE(TRIM(Input!F268&amp;""),"%","")),0)&gt;0,IFERROR(VALUE(SUBSTITUTE(TRIM(Input!F268&amp;""),"%","")),0)&lt;1),1,100))</f>
        <v/>
      </c>
      <c r="F268" t="str">
        <f>IF(A268="","",IFERROR(VALUE(SUBSTITUTE(TRIM(Input!G268&amp;""),"%","")),0)/IF(AND(IFERROR(VALUE(SUBSTITUTE(TRIM(Input!G268&amp;""),"%","")),0)&gt;0,IFERROR(VALUE(SUBSTITUTE(TRIM(Input!G268&amp;""),"%","")),0)&lt;1),1,100))</f>
        <v/>
      </c>
      <c r="G268" t="str">
        <f>IF(A268="","",IFERROR(VALUE(SUBSTITUTE(TRIM(Input!H268&amp;""),"%","")),0)/IF(AND(IFERROR(VALUE(SUBSTITUTE(TRIM(Input!H268&amp;""),"%","")),0)&gt;0,IFERROR(VALUE(SUBSTITUTE(TRIM(Input!H268&amp;""),"%","")),0)&lt;1),1,100))</f>
        <v/>
      </c>
      <c r="H268" t="str">
        <f>IF(A268="","",IFERROR(VALUE(SUBSTITUTE(TRIM(Input!I268&amp;""),"%","")),0)/IF(AND(IFERROR(VALUE(SUBSTITUTE(TRIM(Input!I268&amp;""),"%","")),0)&gt;0,IFERROR(VALUE(SUBSTITUTE(TRIM(Input!I268&amp;""),"%","")),0)&lt;1),1,100))</f>
        <v/>
      </c>
    </row>
    <row r="269" spans="1:8">
      <c r="A269" t="str">
        <f>IF(TRIM(Input!B269&amp;"")="","",UPPER(TRIM(Input!B269&amp;"")))</f>
        <v/>
      </c>
      <c r="B269" t="str">
        <f>IF(A269="","",IFERROR(VALUE(RIGHT(TRIM(Input!D269&amp;""),1)),0))</f>
        <v/>
      </c>
      <c r="C269" t="str">
        <f t="shared" si="4"/>
        <v/>
      </c>
      <c r="D269" t="str">
        <f>IF(A269="","",IFERROR(VALUE(SUBSTITUTE(TRIM(Input!E269&amp;""),"%","")),0)/IF(AND(IFERROR(VALUE(SUBSTITUTE(TRIM(Input!E269&amp;""),"%","")),0)&gt;0,IFERROR(VALUE(SUBSTITUTE(TRIM(Input!E269&amp;""),"%","")),0)&lt;1),1,100))</f>
        <v/>
      </c>
      <c r="E269" t="str">
        <f>IF(A269="","",IFERROR(VALUE(SUBSTITUTE(TRIM(Input!F269&amp;""),"%","")),0)/IF(AND(IFERROR(VALUE(SUBSTITUTE(TRIM(Input!F269&amp;""),"%","")),0)&gt;0,IFERROR(VALUE(SUBSTITUTE(TRIM(Input!F269&amp;""),"%","")),0)&lt;1),1,100))</f>
        <v/>
      </c>
      <c r="F269" t="str">
        <f>IF(A269="","",IFERROR(VALUE(SUBSTITUTE(TRIM(Input!G269&amp;""),"%","")),0)/IF(AND(IFERROR(VALUE(SUBSTITUTE(TRIM(Input!G269&amp;""),"%","")),0)&gt;0,IFERROR(VALUE(SUBSTITUTE(TRIM(Input!G269&amp;""),"%","")),0)&lt;1),1,100))</f>
        <v/>
      </c>
      <c r="G269" t="str">
        <f>IF(A269="","",IFERROR(VALUE(SUBSTITUTE(TRIM(Input!H269&amp;""),"%","")),0)/IF(AND(IFERROR(VALUE(SUBSTITUTE(TRIM(Input!H269&amp;""),"%","")),0)&gt;0,IFERROR(VALUE(SUBSTITUTE(TRIM(Input!H269&amp;""),"%","")),0)&lt;1),1,100))</f>
        <v/>
      </c>
      <c r="H269" t="str">
        <f>IF(A269="","",IFERROR(VALUE(SUBSTITUTE(TRIM(Input!I269&amp;""),"%","")),0)/IF(AND(IFERROR(VALUE(SUBSTITUTE(TRIM(Input!I269&amp;""),"%","")),0)&gt;0,IFERROR(VALUE(SUBSTITUTE(TRIM(Input!I269&amp;""),"%","")),0)&lt;1),1,100))</f>
        <v/>
      </c>
    </row>
    <row r="270" spans="1:8">
      <c r="A270" t="str">
        <f>IF(TRIM(Input!B270&amp;"")="","",UPPER(TRIM(Input!B270&amp;"")))</f>
        <v/>
      </c>
      <c r="B270" t="str">
        <f>IF(A270="","",IFERROR(VALUE(RIGHT(TRIM(Input!D270&amp;""),1)),0))</f>
        <v/>
      </c>
      <c r="C270" t="str">
        <f t="shared" si="4"/>
        <v/>
      </c>
      <c r="D270" t="str">
        <f>IF(A270="","",IFERROR(VALUE(SUBSTITUTE(TRIM(Input!E270&amp;""),"%","")),0)/IF(AND(IFERROR(VALUE(SUBSTITUTE(TRIM(Input!E270&amp;""),"%","")),0)&gt;0,IFERROR(VALUE(SUBSTITUTE(TRIM(Input!E270&amp;""),"%","")),0)&lt;1),1,100))</f>
        <v/>
      </c>
      <c r="E270" t="str">
        <f>IF(A270="","",IFERROR(VALUE(SUBSTITUTE(TRIM(Input!F270&amp;""),"%","")),0)/IF(AND(IFERROR(VALUE(SUBSTITUTE(TRIM(Input!F270&amp;""),"%","")),0)&gt;0,IFERROR(VALUE(SUBSTITUTE(TRIM(Input!F270&amp;""),"%","")),0)&lt;1),1,100))</f>
        <v/>
      </c>
      <c r="F270" t="str">
        <f>IF(A270="","",IFERROR(VALUE(SUBSTITUTE(TRIM(Input!G270&amp;""),"%","")),0)/IF(AND(IFERROR(VALUE(SUBSTITUTE(TRIM(Input!G270&amp;""),"%","")),0)&gt;0,IFERROR(VALUE(SUBSTITUTE(TRIM(Input!G270&amp;""),"%","")),0)&lt;1),1,100))</f>
        <v/>
      </c>
      <c r="G270" t="str">
        <f>IF(A270="","",IFERROR(VALUE(SUBSTITUTE(TRIM(Input!H270&amp;""),"%","")),0)/IF(AND(IFERROR(VALUE(SUBSTITUTE(TRIM(Input!H270&amp;""),"%","")),0)&gt;0,IFERROR(VALUE(SUBSTITUTE(TRIM(Input!H270&amp;""),"%","")),0)&lt;1),1,100))</f>
        <v/>
      </c>
      <c r="H270" t="str">
        <f>IF(A270="","",IFERROR(VALUE(SUBSTITUTE(TRIM(Input!I270&amp;""),"%","")),0)/IF(AND(IFERROR(VALUE(SUBSTITUTE(TRIM(Input!I270&amp;""),"%","")),0)&gt;0,IFERROR(VALUE(SUBSTITUTE(TRIM(Input!I270&amp;""),"%","")),0)&lt;1),1,100))</f>
        <v/>
      </c>
    </row>
    <row r="271" spans="1:8">
      <c r="A271" t="str">
        <f>IF(TRIM(Input!B271&amp;"")="","",UPPER(TRIM(Input!B271&amp;"")))</f>
        <v/>
      </c>
      <c r="B271" t="str">
        <f>IF(A271="","",IFERROR(VALUE(RIGHT(TRIM(Input!D271&amp;""),1)),0))</f>
        <v/>
      </c>
      <c r="C271" t="str">
        <f t="shared" si="4"/>
        <v/>
      </c>
      <c r="D271" t="str">
        <f>IF(A271="","",IFERROR(VALUE(SUBSTITUTE(TRIM(Input!E271&amp;""),"%","")),0)/IF(AND(IFERROR(VALUE(SUBSTITUTE(TRIM(Input!E271&amp;""),"%","")),0)&gt;0,IFERROR(VALUE(SUBSTITUTE(TRIM(Input!E271&amp;""),"%","")),0)&lt;1),1,100))</f>
        <v/>
      </c>
      <c r="E271" t="str">
        <f>IF(A271="","",IFERROR(VALUE(SUBSTITUTE(TRIM(Input!F271&amp;""),"%","")),0)/IF(AND(IFERROR(VALUE(SUBSTITUTE(TRIM(Input!F271&amp;""),"%","")),0)&gt;0,IFERROR(VALUE(SUBSTITUTE(TRIM(Input!F271&amp;""),"%","")),0)&lt;1),1,100))</f>
        <v/>
      </c>
      <c r="F271" t="str">
        <f>IF(A271="","",IFERROR(VALUE(SUBSTITUTE(TRIM(Input!G271&amp;""),"%","")),0)/IF(AND(IFERROR(VALUE(SUBSTITUTE(TRIM(Input!G271&amp;""),"%","")),0)&gt;0,IFERROR(VALUE(SUBSTITUTE(TRIM(Input!G271&amp;""),"%","")),0)&lt;1),1,100))</f>
        <v/>
      </c>
      <c r="G271" t="str">
        <f>IF(A271="","",IFERROR(VALUE(SUBSTITUTE(TRIM(Input!H271&amp;""),"%","")),0)/IF(AND(IFERROR(VALUE(SUBSTITUTE(TRIM(Input!H271&amp;""),"%","")),0)&gt;0,IFERROR(VALUE(SUBSTITUTE(TRIM(Input!H271&amp;""),"%","")),0)&lt;1),1,100))</f>
        <v/>
      </c>
      <c r="H271" t="str">
        <f>IF(A271="","",IFERROR(VALUE(SUBSTITUTE(TRIM(Input!I271&amp;""),"%","")),0)/IF(AND(IFERROR(VALUE(SUBSTITUTE(TRIM(Input!I271&amp;""),"%","")),0)&gt;0,IFERROR(VALUE(SUBSTITUTE(TRIM(Input!I271&amp;""),"%","")),0)&lt;1),1,100))</f>
        <v/>
      </c>
    </row>
    <row r="272" spans="1:8">
      <c r="A272" t="str">
        <f>IF(TRIM(Input!B272&amp;"")="","",UPPER(TRIM(Input!B272&amp;"")))</f>
        <v/>
      </c>
      <c r="B272" t="str">
        <f>IF(A272="","",IFERROR(VALUE(RIGHT(TRIM(Input!D272&amp;""),1)),0))</f>
        <v/>
      </c>
      <c r="C272" t="str">
        <f t="shared" si="4"/>
        <v/>
      </c>
      <c r="D272" t="str">
        <f>IF(A272="","",IFERROR(VALUE(SUBSTITUTE(TRIM(Input!E272&amp;""),"%","")),0)/IF(AND(IFERROR(VALUE(SUBSTITUTE(TRIM(Input!E272&amp;""),"%","")),0)&gt;0,IFERROR(VALUE(SUBSTITUTE(TRIM(Input!E272&amp;""),"%","")),0)&lt;1),1,100))</f>
        <v/>
      </c>
      <c r="E272" t="str">
        <f>IF(A272="","",IFERROR(VALUE(SUBSTITUTE(TRIM(Input!F272&amp;""),"%","")),0)/IF(AND(IFERROR(VALUE(SUBSTITUTE(TRIM(Input!F272&amp;""),"%","")),0)&gt;0,IFERROR(VALUE(SUBSTITUTE(TRIM(Input!F272&amp;""),"%","")),0)&lt;1),1,100))</f>
        <v/>
      </c>
      <c r="F272" t="str">
        <f>IF(A272="","",IFERROR(VALUE(SUBSTITUTE(TRIM(Input!G272&amp;""),"%","")),0)/IF(AND(IFERROR(VALUE(SUBSTITUTE(TRIM(Input!G272&amp;""),"%","")),0)&gt;0,IFERROR(VALUE(SUBSTITUTE(TRIM(Input!G272&amp;""),"%","")),0)&lt;1),1,100))</f>
        <v/>
      </c>
      <c r="G272" t="str">
        <f>IF(A272="","",IFERROR(VALUE(SUBSTITUTE(TRIM(Input!H272&amp;""),"%","")),0)/IF(AND(IFERROR(VALUE(SUBSTITUTE(TRIM(Input!H272&amp;""),"%","")),0)&gt;0,IFERROR(VALUE(SUBSTITUTE(TRIM(Input!H272&amp;""),"%","")),0)&lt;1),1,100))</f>
        <v/>
      </c>
      <c r="H272" t="str">
        <f>IF(A272="","",IFERROR(VALUE(SUBSTITUTE(TRIM(Input!I272&amp;""),"%","")),0)/IF(AND(IFERROR(VALUE(SUBSTITUTE(TRIM(Input!I272&amp;""),"%","")),0)&gt;0,IFERROR(VALUE(SUBSTITUTE(TRIM(Input!I272&amp;""),"%","")),0)&lt;1),1,100))</f>
        <v/>
      </c>
    </row>
    <row r="273" spans="1:8">
      <c r="A273" t="str">
        <f>IF(TRIM(Input!B273&amp;"")="","",UPPER(TRIM(Input!B273&amp;"")))</f>
        <v/>
      </c>
      <c r="B273" t="str">
        <f>IF(A273="","",IFERROR(VALUE(RIGHT(TRIM(Input!D273&amp;""),1)),0))</f>
        <v/>
      </c>
      <c r="C273" t="str">
        <f t="shared" si="4"/>
        <v/>
      </c>
      <c r="D273" t="str">
        <f>IF(A273="","",IFERROR(VALUE(SUBSTITUTE(TRIM(Input!E273&amp;""),"%","")),0)/IF(AND(IFERROR(VALUE(SUBSTITUTE(TRIM(Input!E273&amp;""),"%","")),0)&gt;0,IFERROR(VALUE(SUBSTITUTE(TRIM(Input!E273&amp;""),"%","")),0)&lt;1),1,100))</f>
        <v/>
      </c>
      <c r="E273" t="str">
        <f>IF(A273="","",IFERROR(VALUE(SUBSTITUTE(TRIM(Input!F273&amp;""),"%","")),0)/IF(AND(IFERROR(VALUE(SUBSTITUTE(TRIM(Input!F273&amp;""),"%","")),0)&gt;0,IFERROR(VALUE(SUBSTITUTE(TRIM(Input!F273&amp;""),"%","")),0)&lt;1),1,100))</f>
        <v/>
      </c>
      <c r="F273" t="str">
        <f>IF(A273="","",IFERROR(VALUE(SUBSTITUTE(TRIM(Input!G273&amp;""),"%","")),0)/IF(AND(IFERROR(VALUE(SUBSTITUTE(TRIM(Input!G273&amp;""),"%","")),0)&gt;0,IFERROR(VALUE(SUBSTITUTE(TRIM(Input!G273&amp;""),"%","")),0)&lt;1),1,100))</f>
        <v/>
      </c>
      <c r="G273" t="str">
        <f>IF(A273="","",IFERROR(VALUE(SUBSTITUTE(TRIM(Input!H273&amp;""),"%","")),0)/IF(AND(IFERROR(VALUE(SUBSTITUTE(TRIM(Input!H273&amp;""),"%","")),0)&gt;0,IFERROR(VALUE(SUBSTITUTE(TRIM(Input!H273&amp;""),"%","")),0)&lt;1),1,100))</f>
        <v/>
      </c>
      <c r="H273" t="str">
        <f>IF(A273="","",IFERROR(VALUE(SUBSTITUTE(TRIM(Input!I273&amp;""),"%","")),0)/IF(AND(IFERROR(VALUE(SUBSTITUTE(TRIM(Input!I273&amp;""),"%","")),0)&gt;0,IFERROR(VALUE(SUBSTITUTE(TRIM(Input!I273&amp;""),"%","")),0)&lt;1),1,100))</f>
        <v/>
      </c>
    </row>
    <row r="274" spans="1:8">
      <c r="A274" t="str">
        <f>IF(TRIM(Input!B274&amp;"")="","",UPPER(TRIM(Input!B274&amp;"")))</f>
        <v/>
      </c>
      <c r="B274" t="str">
        <f>IF(A274="","",IFERROR(VALUE(RIGHT(TRIM(Input!D274&amp;""),1)),0))</f>
        <v/>
      </c>
      <c r="C274" t="str">
        <f t="shared" si="4"/>
        <v/>
      </c>
      <c r="D274" t="str">
        <f>IF(A274="","",IFERROR(VALUE(SUBSTITUTE(TRIM(Input!E274&amp;""),"%","")),0)/IF(AND(IFERROR(VALUE(SUBSTITUTE(TRIM(Input!E274&amp;""),"%","")),0)&gt;0,IFERROR(VALUE(SUBSTITUTE(TRIM(Input!E274&amp;""),"%","")),0)&lt;1),1,100))</f>
        <v/>
      </c>
      <c r="E274" t="str">
        <f>IF(A274="","",IFERROR(VALUE(SUBSTITUTE(TRIM(Input!F274&amp;""),"%","")),0)/IF(AND(IFERROR(VALUE(SUBSTITUTE(TRIM(Input!F274&amp;""),"%","")),0)&gt;0,IFERROR(VALUE(SUBSTITUTE(TRIM(Input!F274&amp;""),"%","")),0)&lt;1),1,100))</f>
        <v/>
      </c>
      <c r="F274" t="str">
        <f>IF(A274="","",IFERROR(VALUE(SUBSTITUTE(TRIM(Input!G274&amp;""),"%","")),0)/IF(AND(IFERROR(VALUE(SUBSTITUTE(TRIM(Input!G274&amp;""),"%","")),0)&gt;0,IFERROR(VALUE(SUBSTITUTE(TRIM(Input!G274&amp;""),"%","")),0)&lt;1),1,100))</f>
        <v/>
      </c>
      <c r="G274" t="str">
        <f>IF(A274="","",IFERROR(VALUE(SUBSTITUTE(TRIM(Input!H274&amp;""),"%","")),0)/IF(AND(IFERROR(VALUE(SUBSTITUTE(TRIM(Input!H274&amp;""),"%","")),0)&gt;0,IFERROR(VALUE(SUBSTITUTE(TRIM(Input!H274&amp;""),"%","")),0)&lt;1),1,100))</f>
        <v/>
      </c>
      <c r="H274" t="str">
        <f>IF(A274="","",IFERROR(VALUE(SUBSTITUTE(TRIM(Input!I274&amp;""),"%","")),0)/IF(AND(IFERROR(VALUE(SUBSTITUTE(TRIM(Input!I274&amp;""),"%","")),0)&gt;0,IFERROR(VALUE(SUBSTITUTE(TRIM(Input!I274&amp;""),"%","")),0)&lt;1),1,100))</f>
        <v/>
      </c>
    </row>
    <row r="275" spans="1:8">
      <c r="A275" t="str">
        <f>IF(TRIM(Input!B275&amp;"")="","",UPPER(TRIM(Input!B275&amp;"")))</f>
        <v/>
      </c>
      <c r="B275" t="str">
        <f>IF(A275="","",IFERROR(VALUE(RIGHT(TRIM(Input!D275&amp;""),1)),0))</f>
        <v/>
      </c>
      <c r="C275" t="str">
        <f t="shared" si="4"/>
        <v/>
      </c>
      <c r="D275" t="str">
        <f>IF(A275="","",IFERROR(VALUE(SUBSTITUTE(TRIM(Input!E275&amp;""),"%","")),0)/IF(AND(IFERROR(VALUE(SUBSTITUTE(TRIM(Input!E275&amp;""),"%","")),0)&gt;0,IFERROR(VALUE(SUBSTITUTE(TRIM(Input!E275&amp;""),"%","")),0)&lt;1),1,100))</f>
        <v/>
      </c>
      <c r="E275" t="str">
        <f>IF(A275="","",IFERROR(VALUE(SUBSTITUTE(TRIM(Input!F275&amp;""),"%","")),0)/IF(AND(IFERROR(VALUE(SUBSTITUTE(TRIM(Input!F275&amp;""),"%","")),0)&gt;0,IFERROR(VALUE(SUBSTITUTE(TRIM(Input!F275&amp;""),"%","")),0)&lt;1),1,100))</f>
        <v/>
      </c>
      <c r="F275" t="str">
        <f>IF(A275="","",IFERROR(VALUE(SUBSTITUTE(TRIM(Input!G275&amp;""),"%","")),0)/IF(AND(IFERROR(VALUE(SUBSTITUTE(TRIM(Input!G275&amp;""),"%","")),0)&gt;0,IFERROR(VALUE(SUBSTITUTE(TRIM(Input!G275&amp;""),"%","")),0)&lt;1),1,100))</f>
        <v/>
      </c>
      <c r="G275" t="str">
        <f>IF(A275="","",IFERROR(VALUE(SUBSTITUTE(TRIM(Input!H275&amp;""),"%","")),0)/IF(AND(IFERROR(VALUE(SUBSTITUTE(TRIM(Input!H275&amp;""),"%","")),0)&gt;0,IFERROR(VALUE(SUBSTITUTE(TRIM(Input!H275&amp;""),"%","")),0)&lt;1),1,100))</f>
        <v/>
      </c>
      <c r="H275" t="str">
        <f>IF(A275="","",IFERROR(VALUE(SUBSTITUTE(TRIM(Input!I275&amp;""),"%","")),0)/IF(AND(IFERROR(VALUE(SUBSTITUTE(TRIM(Input!I275&amp;""),"%","")),0)&gt;0,IFERROR(VALUE(SUBSTITUTE(TRIM(Input!I275&amp;""),"%","")),0)&lt;1),1,100))</f>
        <v/>
      </c>
    </row>
    <row r="276" spans="1:8">
      <c r="A276" t="str">
        <f>IF(TRIM(Input!B276&amp;"")="","",UPPER(TRIM(Input!B276&amp;"")))</f>
        <v/>
      </c>
      <c r="B276" t="str">
        <f>IF(A276="","",IFERROR(VALUE(RIGHT(TRIM(Input!D276&amp;""),1)),0))</f>
        <v/>
      </c>
      <c r="C276" t="str">
        <f t="shared" si="4"/>
        <v/>
      </c>
      <c r="D276" t="str">
        <f>IF(A276="","",IFERROR(VALUE(SUBSTITUTE(TRIM(Input!E276&amp;""),"%","")),0)/IF(AND(IFERROR(VALUE(SUBSTITUTE(TRIM(Input!E276&amp;""),"%","")),0)&gt;0,IFERROR(VALUE(SUBSTITUTE(TRIM(Input!E276&amp;""),"%","")),0)&lt;1),1,100))</f>
        <v/>
      </c>
      <c r="E276" t="str">
        <f>IF(A276="","",IFERROR(VALUE(SUBSTITUTE(TRIM(Input!F276&amp;""),"%","")),0)/IF(AND(IFERROR(VALUE(SUBSTITUTE(TRIM(Input!F276&amp;""),"%","")),0)&gt;0,IFERROR(VALUE(SUBSTITUTE(TRIM(Input!F276&amp;""),"%","")),0)&lt;1),1,100))</f>
        <v/>
      </c>
      <c r="F276" t="str">
        <f>IF(A276="","",IFERROR(VALUE(SUBSTITUTE(TRIM(Input!G276&amp;""),"%","")),0)/IF(AND(IFERROR(VALUE(SUBSTITUTE(TRIM(Input!G276&amp;""),"%","")),0)&gt;0,IFERROR(VALUE(SUBSTITUTE(TRIM(Input!G276&amp;""),"%","")),0)&lt;1),1,100))</f>
        <v/>
      </c>
      <c r="G276" t="str">
        <f>IF(A276="","",IFERROR(VALUE(SUBSTITUTE(TRIM(Input!H276&amp;""),"%","")),0)/IF(AND(IFERROR(VALUE(SUBSTITUTE(TRIM(Input!H276&amp;""),"%","")),0)&gt;0,IFERROR(VALUE(SUBSTITUTE(TRIM(Input!H276&amp;""),"%","")),0)&lt;1),1,100))</f>
        <v/>
      </c>
      <c r="H276" t="str">
        <f>IF(A276="","",IFERROR(VALUE(SUBSTITUTE(TRIM(Input!I276&amp;""),"%","")),0)/IF(AND(IFERROR(VALUE(SUBSTITUTE(TRIM(Input!I276&amp;""),"%","")),0)&gt;0,IFERROR(VALUE(SUBSTITUTE(TRIM(Input!I276&amp;""),"%","")),0)&lt;1),1,100))</f>
        <v/>
      </c>
    </row>
    <row r="277" spans="1:8">
      <c r="A277" t="str">
        <f>IF(TRIM(Input!B277&amp;"")="","",UPPER(TRIM(Input!B277&amp;"")))</f>
        <v/>
      </c>
      <c r="B277" t="str">
        <f>IF(A277="","",IFERROR(VALUE(RIGHT(TRIM(Input!D277&amp;""),1)),0))</f>
        <v/>
      </c>
      <c r="C277" t="str">
        <f t="shared" si="4"/>
        <v/>
      </c>
      <c r="D277" t="str">
        <f>IF(A277="","",IFERROR(VALUE(SUBSTITUTE(TRIM(Input!E277&amp;""),"%","")),0)/IF(AND(IFERROR(VALUE(SUBSTITUTE(TRIM(Input!E277&amp;""),"%","")),0)&gt;0,IFERROR(VALUE(SUBSTITUTE(TRIM(Input!E277&amp;""),"%","")),0)&lt;1),1,100))</f>
        <v/>
      </c>
      <c r="E277" t="str">
        <f>IF(A277="","",IFERROR(VALUE(SUBSTITUTE(TRIM(Input!F277&amp;""),"%","")),0)/IF(AND(IFERROR(VALUE(SUBSTITUTE(TRIM(Input!F277&amp;""),"%","")),0)&gt;0,IFERROR(VALUE(SUBSTITUTE(TRIM(Input!F277&amp;""),"%","")),0)&lt;1),1,100))</f>
        <v/>
      </c>
      <c r="F277" t="str">
        <f>IF(A277="","",IFERROR(VALUE(SUBSTITUTE(TRIM(Input!G277&amp;""),"%","")),0)/IF(AND(IFERROR(VALUE(SUBSTITUTE(TRIM(Input!G277&amp;""),"%","")),0)&gt;0,IFERROR(VALUE(SUBSTITUTE(TRIM(Input!G277&amp;""),"%","")),0)&lt;1),1,100))</f>
        <v/>
      </c>
      <c r="G277" t="str">
        <f>IF(A277="","",IFERROR(VALUE(SUBSTITUTE(TRIM(Input!H277&amp;""),"%","")),0)/IF(AND(IFERROR(VALUE(SUBSTITUTE(TRIM(Input!H277&amp;""),"%","")),0)&gt;0,IFERROR(VALUE(SUBSTITUTE(TRIM(Input!H277&amp;""),"%","")),0)&lt;1),1,100))</f>
        <v/>
      </c>
      <c r="H277" t="str">
        <f>IF(A277="","",IFERROR(VALUE(SUBSTITUTE(TRIM(Input!I277&amp;""),"%","")),0)/IF(AND(IFERROR(VALUE(SUBSTITUTE(TRIM(Input!I277&amp;""),"%","")),0)&gt;0,IFERROR(VALUE(SUBSTITUTE(TRIM(Input!I277&amp;""),"%","")),0)&lt;1),1,100))</f>
        <v/>
      </c>
    </row>
    <row r="278" spans="1:8">
      <c r="A278" t="str">
        <f>IF(TRIM(Input!B278&amp;"")="","",UPPER(TRIM(Input!B278&amp;"")))</f>
        <v/>
      </c>
      <c r="B278" t="str">
        <f>IF(A278="","",IFERROR(VALUE(RIGHT(TRIM(Input!D278&amp;""),1)),0))</f>
        <v/>
      </c>
      <c r="C278" t="str">
        <f t="shared" si="4"/>
        <v/>
      </c>
      <c r="D278" t="str">
        <f>IF(A278="","",IFERROR(VALUE(SUBSTITUTE(TRIM(Input!E278&amp;""),"%","")),0)/IF(AND(IFERROR(VALUE(SUBSTITUTE(TRIM(Input!E278&amp;""),"%","")),0)&gt;0,IFERROR(VALUE(SUBSTITUTE(TRIM(Input!E278&amp;""),"%","")),0)&lt;1),1,100))</f>
        <v/>
      </c>
      <c r="E278" t="str">
        <f>IF(A278="","",IFERROR(VALUE(SUBSTITUTE(TRIM(Input!F278&amp;""),"%","")),0)/IF(AND(IFERROR(VALUE(SUBSTITUTE(TRIM(Input!F278&amp;""),"%","")),0)&gt;0,IFERROR(VALUE(SUBSTITUTE(TRIM(Input!F278&amp;""),"%","")),0)&lt;1),1,100))</f>
        <v/>
      </c>
      <c r="F278" t="str">
        <f>IF(A278="","",IFERROR(VALUE(SUBSTITUTE(TRIM(Input!G278&amp;""),"%","")),0)/IF(AND(IFERROR(VALUE(SUBSTITUTE(TRIM(Input!G278&amp;""),"%","")),0)&gt;0,IFERROR(VALUE(SUBSTITUTE(TRIM(Input!G278&amp;""),"%","")),0)&lt;1),1,100))</f>
        <v/>
      </c>
      <c r="G278" t="str">
        <f>IF(A278="","",IFERROR(VALUE(SUBSTITUTE(TRIM(Input!H278&amp;""),"%","")),0)/IF(AND(IFERROR(VALUE(SUBSTITUTE(TRIM(Input!H278&amp;""),"%","")),0)&gt;0,IFERROR(VALUE(SUBSTITUTE(TRIM(Input!H278&amp;""),"%","")),0)&lt;1),1,100))</f>
        <v/>
      </c>
      <c r="H278" t="str">
        <f>IF(A278="","",IFERROR(VALUE(SUBSTITUTE(TRIM(Input!I278&amp;""),"%","")),0)/IF(AND(IFERROR(VALUE(SUBSTITUTE(TRIM(Input!I278&amp;""),"%","")),0)&gt;0,IFERROR(VALUE(SUBSTITUTE(TRIM(Input!I278&amp;""),"%","")),0)&lt;1),1,100))</f>
        <v/>
      </c>
    </row>
    <row r="279" spans="1:8">
      <c r="A279" t="str">
        <f>IF(TRIM(Input!B279&amp;"")="","",UPPER(TRIM(Input!B279&amp;"")))</f>
        <v/>
      </c>
      <c r="B279" t="str">
        <f>IF(A279="","",IFERROR(VALUE(RIGHT(TRIM(Input!D279&amp;""),1)),0))</f>
        <v/>
      </c>
      <c r="C279" t="str">
        <f t="shared" si="4"/>
        <v/>
      </c>
      <c r="D279" t="str">
        <f>IF(A279="","",IFERROR(VALUE(SUBSTITUTE(TRIM(Input!E279&amp;""),"%","")),0)/IF(AND(IFERROR(VALUE(SUBSTITUTE(TRIM(Input!E279&amp;""),"%","")),0)&gt;0,IFERROR(VALUE(SUBSTITUTE(TRIM(Input!E279&amp;""),"%","")),0)&lt;1),1,100))</f>
        <v/>
      </c>
      <c r="E279" t="str">
        <f>IF(A279="","",IFERROR(VALUE(SUBSTITUTE(TRIM(Input!F279&amp;""),"%","")),0)/IF(AND(IFERROR(VALUE(SUBSTITUTE(TRIM(Input!F279&amp;""),"%","")),0)&gt;0,IFERROR(VALUE(SUBSTITUTE(TRIM(Input!F279&amp;""),"%","")),0)&lt;1),1,100))</f>
        <v/>
      </c>
      <c r="F279" t="str">
        <f>IF(A279="","",IFERROR(VALUE(SUBSTITUTE(TRIM(Input!G279&amp;""),"%","")),0)/IF(AND(IFERROR(VALUE(SUBSTITUTE(TRIM(Input!G279&amp;""),"%","")),0)&gt;0,IFERROR(VALUE(SUBSTITUTE(TRIM(Input!G279&amp;""),"%","")),0)&lt;1),1,100))</f>
        <v/>
      </c>
      <c r="G279" t="str">
        <f>IF(A279="","",IFERROR(VALUE(SUBSTITUTE(TRIM(Input!H279&amp;""),"%","")),0)/IF(AND(IFERROR(VALUE(SUBSTITUTE(TRIM(Input!H279&amp;""),"%","")),0)&gt;0,IFERROR(VALUE(SUBSTITUTE(TRIM(Input!H279&amp;""),"%","")),0)&lt;1),1,100))</f>
        <v/>
      </c>
      <c r="H279" t="str">
        <f>IF(A279="","",IFERROR(VALUE(SUBSTITUTE(TRIM(Input!I279&amp;""),"%","")),0)/IF(AND(IFERROR(VALUE(SUBSTITUTE(TRIM(Input!I279&amp;""),"%","")),0)&gt;0,IFERROR(VALUE(SUBSTITUTE(TRIM(Input!I279&amp;""),"%","")),0)&lt;1),1,100))</f>
        <v/>
      </c>
    </row>
    <row r="280" spans="1:8">
      <c r="A280" t="str">
        <f>IF(TRIM(Input!B280&amp;"")="","",UPPER(TRIM(Input!B280&amp;"")))</f>
        <v/>
      </c>
      <c r="B280" t="str">
        <f>IF(A280="","",IFERROR(VALUE(RIGHT(TRIM(Input!D280&amp;""),1)),0))</f>
        <v/>
      </c>
      <c r="C280" t="str">
        <f t="shared" si="4"/>
        <v/>
      </c>
      <c r="D280" t="str">
        <f>IF(A280="","",IFERROR(VALUE(SUBSTITUTE(TRIM(Input!E280&amp;""),"%","")),0)/IF(AND(IFERROR(VALUE(SUBSTITUTE(TRIM(Input!E280&amp;""),"%","")),0)&gt;0,IFERROR(VALUE(SUBSTITUTE(TRIM(Input!E280&amp;""),"%","")),0)&lt;1),1,100))</f>
        <v/>
      </c>
      <c r="E280" t="str">
        <f>IF(A280="","",IFERROR(VALUE(SUBSTITUTE(TRIM(Input!F280&amp;""),"%","")),0)/IF(AND(IFERROR(VALUE(SUBSTITUTE(TRIM(Input!F280&amp;""),"%","")),0)&gt;0,IFERROR(VALUE(SUBSTITUTE(TRIM(Input!F280&amp;""),"%","")),0)&lt;1),1,100))</f>
        <v/>
      </c>
      <c r="F280" t="str">
        <f>IF(A280="","",IFERROR(VALUE(SUBSTITUTE(TRIM(Input!G280&amp;""),"%","")),0)/IF(AND(IFERROR(VALUE(SUBSTITUTE(TRIM(Input!G280&amp;""),"%","")),0)&gt;0,IFERROR(VALUE(SUBSTITUTE(TRIM(Input!G280&amp;""),"%","")),0)&lt;1),1,100))</f>
        <v/>
      </c>
      <c r="G280" t="str">
        <f>IF(A280="","",IFERROR(VALUE(SUBSTITUTE(TRIM(Input!H280&amp;""),"%","")),0)/IF(AND(IFERROR(VALUE(SUBSTITUTE(TRIM(Input!H280&amp;""),"%","")),0)&gt;0,IFERROR(VALUE(SUBSTITUTE(TRIM(Input!H280&amp;""),"%","")),0)&lt;1),1,100))</f>
        <v/>
      </c>
      <c r="H280" t="str">
        <f>IF(A280="","",IFERROR(VALUE(SUBSTITUTE(TRIM(Input!I280&amp;""),"%","")),0)/IF(AND(IFERROR(VALUE(SUBSTITUTE(TRIM(Input!I280&amp;""),"%","")),0)&gt;0,IFERROR(VALUE(SUBSTITUTE(TRIM(Input!I280&amp;""),"%","")),0)&lt;1),1,100))</f>
        <v/>
      </c>
    </row>
    <row r="281" spans="1:8">
      <c r="A281" t="str">
        <f>IF(TRIM(Input!B281&amp;"")="","",UPPER(TRIM(Input!B281&amp;"")))</f>
        <v/>
      </c>
      <c r="B281" t="str">
        <f>IF(A281="","",IFERROR(VALUE(RIGHT(TRIM(Input!D281&amp;""),1)),0))</f>
        <v/>
      </c>
      <c r="C281" t="str">
        <f t="shared" si="4"/>
        <v/>
      </c>
      <c r="D281" t="str">
        <f>IF(A281="","",IFERROR(VALUE(SUBSTITUTE(TRIM(Input!E281&amp;""),"%","")),0)/IF(AND(IFERROR(VALUE(SUBSTITUTE(TRIM(Input!E281&amp;""),"%","")),0)&gt;0,IFERROR(VALUE(SUBSTITUTE(TRIM(Input!E281&amp;""),"%","")),0)&lt;1),1,100))</f>
        <v/>
      </c>
      <c r="E281" t="str">
        <f>IF(A281="","",IFERROR(VALUE(SUBSTITUTE(TRIM(Input!F281&amp;""),"%","")),0)/IF(AND(IFERROR(VALUE(SUBSTITUTE(TRIM(Input!F281&amp;""),"%","")),0)&gt;0,IFERROR(VALUE(SUBSTITUTE(TRIM(Input!F281&amp;""),"%","")),0)&lt;1),1,100))</f>
        <v/>
      </c>
      <c r="F281" t="str">
        <f>IF(A281="","",IFERROR(VALUE(SUBSTITUTE(TRIM(Input!G281&amp;""),"%","")),0)/IF(AND(IFERROR(VALUE(SUBSTITUTE(TRIM(Input!G281&amp;""),"%","")),0)&gt;0,IFERROR(VALUE(SUBSTITUTE(TRIM(Input!G281&amp;""),"%","")),0)&lt;1),1,100))</f>
        <v/>
      </c>
      <c r="G281" t="str">
        <f>IF(A281="","",IFERROR(VALUE(SUBSTITUTE(TRIM(Input!H281&amp;""),"%","")),0)/IF(AND(IFERROR(VALUE(SUBSTITUTE(TRIM(Input!H281&amp;""),"%","")),0)&gt;0,IFERROR(VALUE(SUBSTITUTE(TRIM(Input!H281&amp;""),"%","")),0)&lt;1),1,100))</f>
        <v/>
      </c>
      <c r="H281" t="str">
        <f>IF(A281="","",IFERROR(VALUE(SUBSTITUTE(TRIM(Input!I281&amp;""),"%","")),0)/IF(AND(IFERROR(VALUE(SUBSTITUTE(TRIM(Input!I281&amp;""),"%","")),0)&gt;0,IFERROR(VALUE(SUBSTITUTE(TRIM(Input!I281&amp;""),"%","")),0)&lt;1),1,100))</f>
        <v/>
      </c>
    </row>
    <row r="282" spans="1:8">
      <c r="A282" t="str">
        <f>IF(TRIM(Input!B282&amp;"")="","",UPPER(TRIM(Input!B282&amp;"")))</f>
        <v/>
      </c>
      <c r="B282" t="str">
        <f>IF(A282="","",IFERROR(VALUE(RIGHT(TRIM(Input!D282&amp;""),1)),0))</f>
        <v/>
      </c>
      <c r="C282" t="str">
        <f t="shared" si="4"/>
        <v/>
      </c>
      <c r="D282" t="str">
        <f>IF(A282="","",IFERROR(VALUE(SUBSTITUTE(TRIM(Input!E282&amp;""),"%","")),0)/IF(AND(IFERROR(VALUE(SUBSTITUTE(TRIM(Input!E282&amp;""),"%","")),0)&gt;0,IFERROR(VALUE(SUBSTITUTE(TRIM(Input!E282&amp;""),"%","")),0)&lt;1),1,100))</f>
        <v/>
      </c>
      <c r="E282" t="str">
        <f>IF(A282="","",IFERROR(VALUE(SUBSTITUTE(TRIM(Input!F282&amp;""),"%","")),0)/IF(AND(IFERROR(VALUE(SUBSTITUTE(TRIM(Input!F282&amp;""),"%","")),0)&gt;0,IFERROR(VALUE(SUBSTITUTE(TRIM(Input!F282&amp;""),"%","")),0)&lt;1),1,100))</f>
        <v/>
      </c>
      <c r="F282" t="str">
        <f>IF(A282="","",IFERROR(VALUE(SUBSTITUTE(TRIM(Input!G282&amp;""),"%","")),0)/IF(AND(IFERROR(VALUE(SUBSTITUTE(TRIM(Input!G282&amp;""),"%","")),0)&gt;0,IFERROR(VALUE(SUBSTITUTE(TRIM(Input!G282&amp;""),"%","")),0)&lt;1),1,100))</f>
        <v/>
      </c>
      <c r="G282" t="str">
        <f>IF(A282="","",IFERROR(VALUE(SUBSTITUTE(TRIM(Input!H282&amp;""),"%","")),0)/IF(AND(IFERROR(VALUE(SUBSTITUTE(TRIM(Input!H282&amp;""),"%","")),0)&gt;0,IFERROR(VALUE(SUBSTITUTE(TRIM(Input!H282&amp;""),"%","")),0)&lt;1),1,100))</f>
        <v/>
      </c>
      <c r="H282" t="str">
        <f>IF(A282="","",IFERROR(VALUE(SUBSTITUTE(TRIM(Input!I282&amp;""),"%","")),0)/IF(AND(IFERROR(VALUE(SUBSTITUTE(TRIM(Input!I282&amp;""),"%","")),0)&gt;0,IFERROR(VALUE(SUBSTITUTE(TRIM(Input!I282&amp;""),"%","")),0)&lt;1),1,100))</f>
        <v/>
      </c>
    </row>
    <row r="283" spans="1:8">
      <c r="A283" t="str">
        <f>IF(TRIM(Input!B283&amp;"")="","",UPPER(TRIM(Input!B283&amp;"")))</f>
        <v/>
      </c>
      <c r="B283" t="str">
        <f>IF(A283="","",IFERROR(VALUE(RIGHT(TRIM(Input!D283&amp;""),1)),0))</f>
        <v/>
      </c>
      <c r="C283" t="str">
        <f t="shared" si="4"/>
        <v/>
      </c>
      <c r="D283" t="str">
        <f>IF(A283="","",IFERROR(VALUE(SUBSTITUTE(TRIM(Input!E283&amp;""),"%","")),0)/IF(AND(IFERROR(VALUE(SUBSTITUTE(TRIM(Input!E283&amp;""),"%","")),0)&gt;0,IFERROR(VALUE(SUBSTITUTE(TRIM(Input!E283&amp;""),"%","")),0)&lt;1),1,100))</f>
        <v/>
      </c>
      <c r="E283" t="str">
        <f>IF(A283="","",IFERROR(VALUE(SUBSTITUTE(TRIM(Input!F283&amp;""),"%","")),0)/IF(AND(IFERROR(VALUE(SUBSTITUTE(TRIM(Input!F283&amp;""),"%","")),0)&gt;0,IFERROR(VALUE(SUBSTITUTE(TRIM(Input!F283&amp;""),"%","")),0)&lt;1),1,100))</f>
        <v/>
      </c>
      <c r="F283" t="str">
        <f>IF(A283="","",IFERROR(VALUE(SUBSTITUTE(TRIM(Input!G283&amp;""),"%","")),0)/IF(AND(IFERROR(VALUE(SUBSTITUTE(TRIM(Input!G283&amp;""),"%","")),0)&gt;0,IFERROR(VALUE(SUBSTITUTE(TRIM(Input!G283&amp;""),"%","")),0)&lt;1),1,100))</f>
        <v/>
      </c>
      <c r="G283" t="str">
        <f>IF(A283="","",IFERROR(VALUE(SUBSTITUTE(TRIM(Input!H283&amp;""),"%","")),0)/IF(AND(IFERROR(VALUE(SUBSTITUTE(TRIM(Input!H283&amp;""),"%","")),0)&gt;0,IFERROR(VALUE(SUBSTITUTE(TRIM(Input!H283&amp;""),"%","")),0)&lt;1),1,100))</f>
        <v/>
      </c>
      <c r="H283" t="str">
        <f>IF(A283="","",IFERROR(VALUE(SUBSTITUTE(TRIM(Input!I283&amp;""),"%","")),0)/IF(AND(IFERROR(VALUE(SUBSTITUTE(TRIM(Input!I283&amp;""),"%","")),0)&gt;0,IFERROR(VALUE(SUBSTITUTE(TRIM(Input!I283&amp;""),"%","")),0)&lt;1),1,100))</f>
        <v/>
      </c>
    </row>
    <row r="284" spans="1:8">
      <c r="A284" t="str">
        <f>IF(TRIM(Input!B284&amp;"")="","",UPPER(TRIM(Input!B284&amp;"")))</f>
        <v/>
      </c>
      <c r="B284" t="str">
        <f>IF(A284="","",IFERROR(VALUE(RIGHT(TRIM(Input!D284&amp;""),1)),0))</f>
        <v/>
      </c>
      <c r="C284" t="str">
        <f t="shared" si="4"/>
        <v/>
      </c>
      <c r="D284" t="str">
        <f>IF(A284="","",IFERROR(VALUE(SUBSTITUTE(TRIM(Input!E284&amp;""),"%","")),0)/IF(AND(IFERROR(VALUE(SUBSTITUTE(TRIM(Input!E284&amp;""),"%","")),0)&gt;0,IFERROR(VALUE(SUBSTITUTE(TRIM(Input!E284&amp;""),"%","")),0)&lt;1),1,100))</f>
        <v/>
      </c>
      <c r="E284" t="str">
        <f>IF(A284="","",IFERROR(VALUE(SUBSTITUTE(TRIM(Input!F284&amp;""),"%","")),0)/IF(AND(IFERROR(VALUE(SUBSTITUTE(TRIM(Input!F284&amp;""),"%","")),0)&gt;0,IFERROR(VALUE(SUBSTITUTE(TRIM(Input!F284&amp;""),"%","")),0)&lt;1),1,100))</f>
        <v/>
      </c>
      <c r="F284" t="str">
        <f>IF(A284="","",IFERROR(VALUE(SUBSTITUTE(TRIM(Input!G284&amp;""),"%","")),0)/IF(AND(IFERROR(VALUE(SUBSTITUTE(TRIM(Input!G284&amp;""),"%","")),0)&gt;0,IFERROR(VALUE(SUBSTITUTE(TRIM(Input!G284&amp;""),"%","")),0)&lt;1),1,100))</f>
        <v/>
      </c>
      <c r="G284" t="str">
        <f>IF(A284="","",IFERROR(VALUE(SUBSTITUTE(TRIM(Input!H284&amp;""),"%","")),0)/IF(AND(IFERROR(VALUE(SUBSTITUTE(TRIM(Input!H284&amp;""),"%","")),0)&gt;0,IFERROR(VALUE(SUBSTITUTE(TRIM(Input!H284&amp;""),"%","")),0)&lt;1),1,100))</f>
        <v/>
      </c>
      <c r="H284" t="str">
        <f>IF(A284="","",IFERROR(VALUE(SUBSTITUTE(TRIM(Input!I284&amp;""),"%","")),0)/IF(AND(IFERROR(VALUE(SUBSTITUTE(TRIM(Input!I284&amp;""),"%","")),0)&gt;0,IFERROR(VALUE(SUBSTITUTE(TRIM(Input!I284&amp;""),"%","")),0)&lt;1),1,100))</f>
        <v/>
      </c>
    </row>
    <row r="285" spans="1:8">
      <c r="A285" t="str">
        <f>IF(TRIM(Input!B285&amp;"")="","",UPPER(TRIM(Input!B285&amp;"")))</f>
        <v/>
      </c>
      <c r="B285" t="str">
        <f>IF(A285="","",IFERROR(VALUE(RIGHT(TRIM(Input!D285&amp;""),1)),0))</f>
        <v/>
      </c>
      <c r="C285" t="str">
        <f t="shared" si="4"/>
        <v/>
      </c>
      <c r="D285" t="str">
        <f>IF(A285="","",IFERROR(VALUE(SUBSTITUTE(TRIM(Input!E285&amp;""),"%","")),0)/IF(AND(IFERROR(VALUE(SUBSTITUTE(TRIM(Input!E285&amp;""),"%","")),0)&gt;0,IFERROR(VALUE(SUBSTITUTE(TRIM(Input!E285&amp;""),"%","")),0)&lt;1),1,100))</f>
        <v/>
      </c>
      <c r="E285" t="str">
        <f>IF(A285="","",IFERROR(VALUE(SUBSTITUTE(TRIM(Input!F285&amp;""),"%","")),0)/IF(AND(IFERROR(VALUE(SUBSTITUTE(TRIM(Input!F285&amp;""),"%","")),0)&gt;0,IFERROR(VALUE(SUBSTITUTE(TRIM(Input!F285&amp;""),"%","")),0)&lt;1),1,100))</f>
        <v/>
      </c>
      <c r="F285" t="str">
        <f>IF(A285="","",IFERROR(VALUE(SUBSTITUTE(TRIM(Input!G285&amp;""),"%","")),0)/IF(AND(IFERROR(VALUE(SUBSTITUTE(TRIM(Input!G285&amp;""),"%","")),0)&gt;0,IFERROR(VALUE(SUBSTITUTE(TRIM(Input!G285&amp;""),"%","")),0)&lt;1),1,100))</f>
        <v/>
      </c>
      <c r="G285" t="str">
        <f>IF(A285="","",IFERROR(VALUE(SUBSTITUTE(TRIM(Input!H285&amp;""),"%","")),0)/IF(AND(IFERROR(VALUE(SUBSTITUTE(TRIM(Input!H285&amp;""),"%","")),0)&gt;0,IFERROR(VALUE(SUBSTITUTE(TRIM(Input!H285&amp;""),"%","")),0)&lt;1),1,100))</f>
        <v/>
      </c>
      <c r="H285" t="str">
        <f>IF(A285="","",IFERROR(VALUE(SUBSTITUTE(TRIM(Input!I285&amp;""),"%","")),0)/IF(AND(IFERROR(VALUE(SUBSTITUTE(TRIM(Input!I285&amp;""),"%","")),0)&gt;0,IFERROR(VALUE(SUBSTITUTE(TRIM(Input!I285&amp;""),"%","")),0)&lt;1),1,100))</f>
        <v/>
      </c>
    </row>
    <row r="286" spans="1:8">
      <c r="A286" t="str">
        <f>IF(TRIM(Input!B286&amp;"")="","",UPPER(TRIM(Input!B286&amp;"")))</f>
        <v/>
      </c>
      <c r="B286" t="str">
        <f>IF(A286="","",IFERROR(VALUE(RIGHT(TRIM(Input!D286&amp;""),1)),0))</f>
        <v/>
      </c>
      <c r="C286" t="str">
        <f t="shared" si="4"/>
        <v/>
      </c>
      <c r="D286" t="str">
        <f>IF(A286="","",IFERROR(VALUE(SUBSTITUTE(TRIM(Input!E286&amp;""),"%","")),0)/IF(AND(IFERROR(VALUE(SUBSTITUTE(TRIM(Input!E286&amp;""),"%","")),0)&gt;0,IFERROR(VALUE(SUBSTITUTE(TRIM(Input!E286&amp;""),"%","")),0)&lt;1),1,100))</f>
        <v/>
      </c>
      <c r="E286" t="str">
        <f>IF(A286="","",IFERROR(VALUE(SUBSTITUTE(TRIM(Input!F286&amp;""),"%","")),0)/IF(AND(IFERROR(VALUE(SUBSTITUTE(TRIM(Input!F286&amp;""),"%","")),0)&gt;0,IFERROR(VALUE(SUBSTITUTE(TRIM(Input!F286&amp;""),"%","")),0)&lt;1),1,100))</f>
        <v/>
      </c>
      <c r="F286" t="str">
        <f>IF(A286="","",IFERROR(VALUE(SUBSTITUTE(TRIM(Input!G286&amp;""),"%","")),0)/IF(AND(IFERROR(VALUE(SUBSTITUTE(TRIM(Input!G286&amp;""),"%","")),0)&gt;0,IFERROR(VALUE(SUBSTITUTE(TRIM(Input!G286&amp;""),"%","")),0)&lt;1),1,100))</f>
        <v/>
      </c>
      <c r="G286" t="str">
        <f>IF(A286="","",IFERROR(VALUE(SUBSTITUTE(TRIM(Input!H286&amp;""),"%","")),0)/IF(AND(IFERROR(VALUE(SUBSTITUTE(TRIM(Input!H286&amp;""),"%","")),0)&gt;0,IFERROR(VALUE(SUBSTITUTE(TRIM(Input!H286&amp;""),"%","")),0)&lt;1),1,100))</f>
        <v/>
      </c>
      <c r="H286" t="str">
        <f>IF(A286="","",IFERROR(VALUE(SUBSTITUTE(TRIM(Input!I286&amp;""),"%","")),0)/IF(AND(IFERROR(VALUE(SUBSTITUTE(TRIM(Input!I286&amp;""),"%","")),0)&gt;0,IFERROR(VALUE(SUBSTITUTE(TRIM(Input!I286&amp;""),"%","")),0)&lt;1),1,100))</f>
        <v/>
      </c>
    </row>
    <row r="287" spans="1:8">
      <c r="A287" t="str">
        <f>IF(TRIM(Input!B287&amp;"")="","",UPPER(TRIM(Input!B287&amp;"")))</f>
        <v/>
      </c>
      <c r="B287" t="str">
        <f>IF(A287="","",IFERROR(VALUE(RIGHT(TRIM(Input!D287&amp;""),1)),0))</f>
        <v/>
      </c>
      <c r="C287" t="str">
        <f t="shared" si="4"/>
        <v/>
      </c>
      <c r="D287" t="str">
        <f>IF(A287="","",IFERROR(VALUE(SUBSTITUTE(TRIM(Input!E287&amp;""),"%","")),0)/IF(AND(IFERROR(VALUE(SUBSTITUTE(TRIM(Input!E287&amp;""),"%","")),0)&gt;0,IFERROR(VALUE(SUBSTITUTE(TRIM(Input!E287&amp;""),"%","")),0)&lt;1),1,100))</f>
        <v/>
      </c>
      <c r="E287" t="str">
        <f>IF(A287="","",IFERROR(VALUE(SUBSTITUTE(TRIM(Input!F287&amp;""),"%","")),0)/IF(AND(IFERROR(VALUE(SUBSTITUTE(TRIM(Input!F287&amp;""),"%","")),0)&gt;0,IFERROR(VALUE(SUBSTITUTE(TRIM(Input!F287&amp;""),"%","")),0)&lt;1),1,100))</f>
        <v/>
      </c>
      <c r="F287" t="str">
        <f>IF(A287="","",IFERROR(VALUE(SUBSTITUTE(TRIM(Input!G287&amp;""),"%","")),0)/IF(AND(IFERROR(VALUE(SUBSTITUTE(TRIM(Input!G287&amp;""),"%","")),0)&gt;0,IFERROR(VALUE(SUBSTITUTE(TRIM(Input!G287&amp;""),"%","")),0)&lt;1),1,100))</f>
        <v/>
      </c>
      <c r="G287" t="str">
        <f>IF(A287="","",IFERROR(VALUE(SUBSTITUTE(TRIM(Input!H287&amp;""),"%","")),0)/IF(AND(IFERROR(VALUE(SUBSTITUTE(TRIM(Input!H287&amp;""),"%","")),0)&gt;0,IFERROR(VALUE(SUBSTITUTE(TRIM(Input!H287&amp;""),"%","")),0)&lt;1),1,100))</f>
        <v/>
      </c>
      <c r="H287" t="str">
        <f>IF(A287="","",IFERROR(VALUE(SUBSTITUTE(TRIM(Input!I287&amp;""),"%","")),0)/IF(AND(IFERROR(VALUE(SUBSTITUTE(TRIM(Input!I287&amp;""),"%","")),0)&gt;0,IFERROR(VALUE(SUBSTITUTE(TRIM(Input!I287&amp;""),"%","")),0)&lt;1),1,100))</f>
        <v/>
      </c>
    </row>
    <row r="288" spans="1:8">
      <c r="A288" t="str">
        <f>IF(TRIM(Input!B288&amp;"")="","",UPPER(TRIM(Input!B288&amp;"")))</f>
        <v/>
      </c>
      <c r="B288" t="str">
        <f>IF(A288="","",IFERROR(VALUE(RIGHT(TRIM(Input!D288&amp;""),1)),0))</f>
        <v/>
      </c>
      <c r="C288" t="str">
        <f t="shared" si="4"/>
        <v/>
      </c>
      <c r="D288" t="str">
        <f>IF(A288="","",IFERROR(VALUE(SUBSTITUTE(TRIM(Input!E288&amp;""),"%","")),0)/IF(AND(IFERROR(VALUE(SUBSTITUTE(TRIM(Input!E288&amp;""),"%","")),0)&gt;0,IFERROR(VALUE(SUBSTITUTE(TRIM(Input!E288&amp;""),"%","")),0)&lt;1),1,100))</f>
        <v/>
      </c>
      <c r="E288" t="str">
        <f>IF(A288="","",IFERROR(VALUE(SUBSTITUTE(TRIM(Input!F288&amp;""),"%","")),0)/IF(AND(IFERROR(VALUE(SUBSTITUTE(TRIM(Input!F288&amp;""),"%","")),0)&gt;0,IFERROR(VALUE(SUBSTITUTE(TRIM(Input!F288&amp;""),"%","")),0)&lt;1),1,100))</f>
        <v/>
      </c>
      <c r="F288" t="str">
        <f>IF(A288="","",IFERROR(VALUE(SUBSTITUTE(TRIM(Input!G288&amp;""),"%","")),0)/IF(AND(IFERROR(VALUE(SUBSTITUTE(TRIM(Input!G288&amp;""),"%","")),0)&gt;0,IFERROR(VALUE(SUBSTITUTE(TRIM(Input!G288&amp;""),"%","")),0)&lt;1),1,100))</f>
        <v/>
      </c>
      <c r="G288" t="str">
        <f>IF(A288="","",IFERROR(VALUE(SUBSTITUTE(TRIM(Input!H288&amp;""),"%","")),0)/IF(AND(IFERROR(VALUE(SUBSTITUTE(TRIM(Input!H288&amp;""),"%","")),0)&gt;0,IFERROR(VALUE(SUBSTITUTE(TRIM(Input!H288&amp;""),"%","")),0)&lt;1),1,100))</f>
        <v/>
      </c>
      <c r="H288" t="str">
        <f>IF(A288="","",IFERROR(VALUE(SUBSTITUTE(TRIM(Input!I288&amp;""),"%","")),0)/IF(AND(IFERROR(VALUE(SUBSTITUTE(TRIM(Input!I288&amp;""),"%","")),0)&gt;0,IFERROR(VALUE(SUBSTITUTE(TRIM(Input!I288&amp;""),"%","")),0)&lt;1),1,100))</f>
        <v/>
      </c>
    </row>
    <row r="289" spans="1:8">
      <c r="A289" t="str">
        <f>IF(TRIM(Input!B289&amp;"")="","",UPPER(TRIM(Input!B289&amp;"")))</f>
        <v/>
      </c>
      <c r="B289" t="str">
        <f>IF(A289="","",IFERROR(VALUE(RIGHT(TRIM(Input!D289&amp;""),1)),0))</f>
        <v/>
      </c>
      <c r="C289" t="str">
        <f t="shared" si="4"/>
        <v/>
      </c>
      <c r="D289" t="str">
        <f>IF(A289="","",IFERROR(VALUE(SUBSTITUTE(TRIM(Input!E289&amp;""),"%","")),0)/IF(AND(IFERROR(VALUE(SUBSTITUTE(TRIM(Input!E289&amp;""),"%","")),0)&gt;0,IFERROR(VALUE(SUBSTITUTE(TRIM(Input!E289&amp;""),"%","")),0)&lt;1),1,100))</f>
        <v/>
      </c>
      <c r="E289" t="str">
        <f>IF(A289="","",IFERROR(VALUE(SUBSTITUTE(TRIM(Input!F289&amp;""),"%","")),0)/IF(AND(IFERROR(VALUE(SUBSTITUTE(TRIM(Input!F289&amp;""),"%","")),0)&gt;0,IFERROR(VALUE(SUBSTITUTE(TRIM(Input!F289&amp;""),"%","")),0)&lt;1),1,100))</f>
        <v/>
      </c>
      <c r="F289" t="str">
        <f>IF(A289="","",IFERROR(VALUE(SUBSTITUTE(TRIM(Input!G289&amp;""),"%","")),0)/IF(AND(IFERROR(VALUE(SUBSTITUTE(TRIM(Input!G289&amp;""),"%","")),0)&gt;0,IFERROR(VALUE(SUBSTITUTE(TRIM(Input!G289&amp;""),"%","")),0)&lt;1),1,100))</f>
        <v/>
      </c>
      <c r="G289" t="str">
        <f>IF(A289="","",IFERROR(VALUE(SUBSTITUTE(TRIM(Input!H289&amp;""),"%","")),0)/IF(AND(IFERROR(VALUE(SUBSTITUTE(TRIM(Input!H289&amp;""),"%","")),0)&gt;0,IFERROR(VALUE(SUBSTITUTE(TRIM(Input!H289&amp;""),"%","")),0)&lt;1),1,100))</f>
        <v/>
      </c>
      <c r="H289" t="str">
        <f>IF(A289="","",IFERROR(VALUE(SUBSTITUTE(TRIM(Input!I289&amp;""),"%","")),0)/IF(AND(IFERROR(VALUE(SUBSTITUTE(TRIM(Input!I289&amp;""),"%","")),0)&gt;0,IFERROR(VALUE(SUBSTITUTE(TRIM(Input!I289&amp;""),"%","")),0)&lt;1),1,100))</f>
        <v/>
      </c>
    </row>
    <row r="290" spans="1:8">
      <c r="A290" t="str">
        <f>IF(TRIM(Input!B290&amp;"")="","",UPPER(TRIM(Input!B290&amp;"")))</f>
        <v/>
      </c>
      <c r="B290" t="str">
        <f>IF(A290="","",IFERROR(VALUE(RIGHT(TRIM(Input!D290&amp;""),1)),0))</f>
        <v/>
      </c>
      <c r="C290" t="str">
        <f t="shared" si="4"/>
        <v/>
      </c>
      <c r="D290" t="str">
        <f>IF(A290="","",IFERROR(VALUE(SUBSTITUTE(TRIM(Input!E290&amp;""),"%","")),0)/IF(AND(IFERROR(VALUE(SUBSTITUTE(TRIM(Input!E290&amp;""),"%","")),0)&gt;0,IFERROR(VALUE(SUBSTITUTE(TRIM(Input!E290&amp;""),"%","")),0)&lt;1),1,100))</f>
        <v/>
      </c>
      <c r="E290" t="str">
        <f>IF(A290="","",IFERROR(VALUE(SUBSTITUTE(TRIM(Input!F290&amp;""),"%","")),0)/IF(AND(IFERROR(VALUE(SUBSTITUTE(TRIM(Input!F290&amp;""),"%","")),0)&gt;0,IFERROR(VALUE(SUBSTITUTE(TRIM(Input!F290&amp;""),"%","")),0)&lt;1),1,100))</f>
        <v/>
      </c>
      <c r="F290" t="str">
        <f>IF(A290="","",IFERROR(VALUE(SUBSTITUTE(TRIM(Input!G290&amp;""),"%","")),0)/IF(AND(IFERROR(VALUE(SUBSTITUTE(TRIM(Input!G290&amp;""),"%","")),0)&gt;0,IFERROR(VALUE(SUBSTITUTE(TRIM(Input!G290&amp;""),"%","")),0)&lt;1),1,100))</f>
        <v/>
      </c>
      <c r="G290" t="str">
        <f>IF(A290="","",IFERROR(VALUE(SUBSTITUTE(TRIM(Input!H290&amp;""),"%","")),0)/IF(AND(IFERROR(VALUE(SUBSTITUTE(TRIM(Input!H290&amp;""),"%","")),0)&gt;0,IFERROR(VALUE(SUBSTITUTE(TRIM(Input!H290&amp;""),"%","")),0)&lt;1),1,100))</f>
        <v/>
      </c>
      <c r="H290" t="str">
        <f>IF(A290="","",IFERROR(VALUE(SUBSTITUTE(TRIM(Input!I290&amp;""),"%","")),0)/IF(AND(IFERROR(VALUE(SUBSTITUTE(TRIM(Input!I290&amp;""),"%","")),0)&gt;0,IFERROR(VALUE(SUBSTITUTE(TRIM(Input!I290&amp;""),"%","")),0)&lt;1),1,100))</f>
        <v/>
      </c>
    </row>
    <row r="291" spans="1:8">
      <c r="A291" t="str">
        <f>IF(TRIM(Input!B291&amp;"")="","",UPPER(TRIM(Input!B291&amp;"")))</f>
        <v/>
      </c>
      <c r="B291" t="str">
        <f>IF(A291="","",IFERROR(VALUE(RIGHT(TRIM(Input!D291&amp;""),1)),0))</f>
        <v/>
      </c>
      <c r="C291" t="str">
        <f t="shared" si="4"/>
        <v/>
      </c>
      <c r="D291" t="str">
        <f>IF(A291="","",IFERROR(VALUE(SUBSTITUTE(TRIM(Input!E291&amp;""),"%","")),0)/IF(AND(IFERROR(VALUE(SUBSTITUTE(TRIM(Input!E291&amp;""),"%","")),0)&gt;0,IFERROR(VALUE(SUBSTITUTE(TRIM(Input!E291&amp;""),"%","")),0)&lt;1),1,100))</f>
        <v/>
      </c>
      <c r="E291" t="str">
        <f>IF(A291="","",IFERROR(VALUE(SUBSTITUTE(TRIM(Input!F291&amp;""),"%","")),0)/IF(AND(IFERROR(VALUE(SUBSTITUTE(TRIM(Input!F291&amp;""),"%","")),0)&gt;0,IFERROR(VALUE(SUBSTITUTE(TRIM(Input!F291&amp;""),"%","")),0)&lt;1),1,100))</f>
        <v/>
      </c>
      <c r="F291" t="str">
        <f>IF(A291="","",IFERROR(VALUE(SUBSTITUTE(TRIM(Input!G291&amp;""),"%","")),0)/IF(AND(IFERROR(VALUE(SUBSTITUTE(TRIM(Input!G291&amp;""),"%","")),0)&gt;0,IFERROR(VALUE(SUBSTITUTE(TRIM(Input!G291&amp;""),"%","")),0)&lt;1),1,100))</f>
        <v/>
      </c>
      <c r="G291" t="str">
        <f>IF(A291="","",IFERROR(VALUE(SUBSTITUTE(TRIM(Input!H291&amp;""),"%","")),0)/IF(AND(IFERROR(VALUE(SUBSTITUTE(TRIM(Input!H291&amp;""),"%","")),0)&gt;0,IFERROR(VALUE(SUBSTITUTE(TRIM(Input!H291&amp;""),"%","")),0)&lt;1),1,100))</f>
        <v/>
      </c>
      <c r="H291" t="str">
        <f>IF(A291="","",IFERROR(VALUE(SUBSTITUTE(TRIM(Input!I291&amp;""),"%","")),0)/IF(AND(IFERROR(VALUE(SUBSTITUTE(TRIM(Input!I291&amp;""),"%","")),0)&gt;0,IFERROR(VALUE(SUBSTITUTE(TRIM(Input!I291&amp;""),"%","")),0)&lt;1),1,100))</f>
        <v/>
      </c>
    </row>
    <row r="292" spans="1:8">
      <c r="A292" t="str">
        <f>IF(TRIM(Input!B292&amp;"")="","",UPPER(TRIM(Input!B292&amp;"")))</f>
        <v/>
      </c>
      <c r="B292" t="str">
        <f>IF(A292="","",IFERROR(VALUE(RIGHT(TRIM(Input!D292&amp;""),1)),0))</f>
        <v/>
      </c>
      <c r="C292" t="str">
        <f t="shared" si="4"/>
        <v/>
      </c>
      <c r="D292" t="str">
        <f>IF(A292="","",IFERROR(VALUE(SUBSTITUTE(TRIM(Input!E292&amp;""),"%","")),0)/IF(AND(IFERROR(VALUE(SUBSTITUTE(TRIM(Input!E292&amp;""),"%","")),0)&gt;0,IFERROR(VALUE(SUBSTITUTE(TRIM(Input!E292&amp;""),"%","")),0)&lt;1),1,100))</f>
        <v/>
      </c>
      <c r="E292" t="str">
        <f>IF(A292="","",IFERROR(VALUE(SUBSTITUTE(TRIM(Input!F292&amp;""),"%","")),0)/IF(AND(IFERROR(VALUE(SUBSTITUTE(TRIM(Input!F292&amp;""),"%","")),0)&gt;0,IFERROR(VALUE(SUBSTITUTE(TRIM(Input!F292&amp;""),"%","")),0)&lt;1),1,100))</f>
        <v/>
      </c>
      <c r="F292" t="str">
        <f>IF(A292="","",IFERROR(VALUE(SUBSTITUTE(TRIM(Input!G292&amp;""),"%","")),0)/IF(AND(IFERROR(VALUE(SUBSTITUTE(TRIM(Input!G292&amp;""),"%","")),0)&gt;0,IFERROR(VALUE(SUBSTITUTE(TRIM(Input!G292&amp;""),"%","")),0)&lt;1),1,100))</f>
        <v/>
      </c>
      <c r="G292" t="str">
        <f>IF(A292="","",IFERROR(VALUE(SUBSTITUTE(TRIM(Input!H292&amp;""),"%","")),0)/IF(AND(IFERROR(VALUE(SUBSTITUTE(TRIM(Input!H292&amp;""),"%","")),0)&gt;0,IFERROR(VALUE(SUBSTITUTE(TRIM(Input!H292&amp;""),"%","")),0)&lt;1),1,100))</f>
        <v/>
      </c>
      <c r="H292" t="str">
        <f>IF(A292="","",IFERROR(VALUE(SUBSTITUTE(TRIM(Input!I292&amp;""),"%","")),0)/IF(AND(IFERROR(VALUE(SUBSTITUTE(TRIM(Input!I292&amp;""),"%","")),0)&gt;0,IFERROR(VALUE(SUBSTITUTE(TRIM(Input!I292&amp;""),"%","")),0)&lt;1),1,100))</f>
        <v/>
      </c>
    </row>
    <row r="293" spans="1:8">
      <c r="A293" t="str">
        <f>IF(TRIM(Input!B293&amp;"")="","",UPPER(TRIM(Input!B293&amp;"")))</f>
        <v/>
      </c>
      <c r="B293" t="str">
        <f>IF(A293="","",IFERROR(VALUE(RIGHT(TRIM(Input!D293&amp;""),1)),0))</f>
        <v/>
      </c>
      <c r="C293" t="str">
        <f t="shared" si="4"/>
        <v/>
      </c>
      <c r="D293" t="str">
        <f>IF(A293="","",IFERROR(VALUE(SUBSTITUTE(TRIM(Input!E293&amp;""),"%","")),0)/IF(AND(IFERROR(VALUE(SUBSTITUTE(TRIM(Input!E293&amp;""),"%","")),0)&gt;0,IFERROR(VALUE(SUBSTITUTE(TRIM(Input!E293&amp;""),"%","")),0)&lt;1),1,100))</f>
        <v/>
      </c>
      <c r="E293" t="str">
        <f>IF(A293="","",IFERROR(VALUE(SUBSTITUTE(TRIM(Input!F293&amp;""),"%","")),0)/IF(AND(IFERROR(VALUE(SUBSTITUTE(TRIM(Input!F293&amp;""),"%","")),0)&gt;0,IFERROR(VALUE(SUBSTITUTE(TRIM(Input!F293&amp;""),"%","")),0)&lt;1),1,100))</f>
        <v/>
      </c>
      <c r="F293" t="str">
        <f>IF(A293="","",IFERROR(VALUE(SUBSTITUTE(TRIM(Input!G293&amp;""),"%","")),0)/IF(AND(IFERROR(VALUE(SUBSTITUTE(TRIM(Input!G293&amp;""),"%","")),0)&gt;0,IFERROR(VALUE(SUBSTITUTE(TRIM(Input!G293&amp;""),"%","")),0)&lt;1),1,100))</f>
        <v/>
      </c>
      <c r="G293" t="str">
        <f>IF(A293="","",IFERROR(VALUE(SUBSTITUTE(TRIM(Input!H293&amp;""),"%","")),0)/IF(AND(IFERROR(VALUE(SUBSTITUTE(TRIM(Input!H293&amp;""),"%","")),0)&gt;0,IFERROR(VALUE(SUBSTITUTE(TRIM(Input!H293&amp;""),"%","")),0)&lt;1),1,100))</f>
        <v/>
      </c>
      <c r="H293" t="str">
        <f>IF(A293="","",IFERROR(VALUE(SUBSTITUTE(TRIM(Input!I293&amp;""),"%","")),0)/IF(AND(IFERROR(VALUE(SUBSTITUTE(TRIM(Input!I293&amp;""),"%","")),0)&gt;0,IFERROR(VALUE(SUBSTITUTE(TRIM(Input!I293&amp;""),"%","")),0)&lt;1),1,100))</f>
        <v/>
      </c>
    </row>
    <row r="294" spans="1:8">
      <c r="A294" t="str">
        <f>IF(TRIM(Input!B294&amp;"")="","",UPPER(TRIM(Input!B294&amp;"")))</f>
        <v/>
      </c>
      <c r="B294" t="str">
        <f>IF(A294="","",IFERROR(VALUE(RIGHT(TRIM(Input!D294&amp;""),1)),0))</f>
        <v/>
      </c>
      <c r="C294" t="str">
        <f t="shared" si="4"/>
        <v/>
      </c>
      <c r="D294" t="str">
        <f>IF(A294="","",IFERROR(VALUE(SUBSTITUTE(TRIM(Input!E294&amp;""),"%","")),0)/IF(AND(IFERROR(VALUE(SUBSTITUTE(TRIM(Input!E294&amp;""),"%","")),0)&gt;0,IFERROR(VALUE(SUBSTITUTE(TRIM(Input!E294&amp;""),"%","")),0)&lt;1),1,100))</f>
        <v/>
      </c>
      <c r="E294" t="str">
        <f>IF(A294="","",IFERROR(VALUE(SUBSTITUTE(TRIM(Input!F294&amp;""),"%","")),0)/IF(AND(IFERROR(VALUE(SUBSTITUTE(TRIM(Input!F294&amp;""),"%","")),0)&gt;0,IFERROR(VALUE(SUBSTITUTE(TRIM(Input!F294&amp;""),"%","")),0)&lt;1),1,100))</f>
        <v/>
      </c>
      <c r="F294" t="str">
        <f>IF(A294="","",IFERROR(VALUE(SUBSTITUTE(TRIM(Input!G294&amp;""),"%","")),0)/IF(AND(IFERROR(VALUE(SUBSTITUTE(TRIM(Input!G294&amp;""),"%","")),0)&gt;0,IFERROR(VALUE(SUBSTITUTE(TRIM(Input!G294&amp;""),"%","")),0)&lt;1),1,100))</f>
        <v/>
      </c>
      <c r="G294" t="str">
        <f>IF(A294="","",IFERROR(VALUE(SUBSTITUTE(TRIM(Input!H294&amp;""),"%","")),0)/IF(AND(IFERROR(VALUE(SUBSTITUTE(TRIM(Input!H294&amp;""),"%","")),0)&gt;0,IFERROR(VALUE(SUBSTITUTE(TRIM(Input!H294&amp;""),"%","")),0)&lt;1),1,100))</f>
        <v/>
      </c>
      <c r="H294" t="str">
        <f>IF(A294="","",IFERROR(VALUE(SUBSTITUTE(TRIM(Input!I294&amp;""),"%","")),0)/IF(AND(IFERROR(VALUE(SUBSTITUTE(TRIM(Input!I294&amp;""),"%","")),0)&gt;0,IFERROR(VALUE(SUBSTITUTE(TRIM(Input!I294&amp;""),"%","")),0)&lt;1),1,100))</f>
        <v/>
      </c>
    </row>
    <row r="295" spans="1:8">
      <c r="A295" t="str">
        <f>IF(TRIM(Input!B295&amp;"")="","",UPPER(TRIM(Input!B295&amp;"")))</f>
        <v/>
      </c>
      <c r="B295" t="str">
        <f>IF(A295="","",IFERROR(VALUE(RIGHT(TRIM(Input!D295&amp;""),1)),0))</f>
        <v/>
      </c>
      <c r="C295" t="str">
        <f t="shared" si="4"/>
        <v/>
      </c>
      <c r="D295" t="str">
        <f>IF(A295="","",IFERROR(VALUE(SUBSTITUTE(TRIM(Input!E295&amp;""),"%","")),0)/IF(AND(IFERROR(VALUE(SUBSTITUTE(TRIM(Input!E295&amp;""),"%","")),0)&gt;0,IFERROR(VALUE(SUBSTITUTE(TRIM(Input!E295&amp;""),"%","")),0)&lt;1),1,100))</f>
        <v/>
      </c>
      <c r="E295" t="str">
        <f>IF(A295="","",IFERROR(VALUE(SUBSTITUTE(TRIM(Input!F295&amp;""),"%","")),0)/IF(AND(IFERROR(VALUE(SUBSTITUTE(TRIM(Input!F295&amp;""),"%","")),0)&gt;0,IFERROR(VALUE(SUBSTITUTE(TRIM(Input!F295&amp;""),"%","")),0)&lt;1),1,100))</f>
        <v/>
      </c>
      <c r="F295" t="str">
        <f>IF(A295="","",IFERROR(VALUE(SUBSTITUTE(TRIM(Input!G295&amp;""),"%","")),0)/IF(AND(IFERROR(VALUE(SUBSTITUTE(TRIM(Input!G295&amp;""),"%","")),0)&gt;0,IFERROR(VALUE(SUBSTITUTE(TRIM(Input!G295&amp;""),"%","")),0)&lt;1),1,100))</f>
        <v/>
      </c>
      <c r="G295" t="str">
        <f>IF(A295="","",IFERROR(VALUE(SUBSTITUTE(TRIM(Input!H295&amp;""),"%","")),0)/IF(AND(IFERROR(VALUE(SUBSTITUTE(TRIM(Input!H295&amp;""),"%","")),0)&gt;0,IFERROR(VALUE(SUBSTITUTE(TRIM(Input!H295&amp;""),"%","")),0)&lt;1),1,100))</f>
        <v/>
      </c>
      <c r="H295" t="str">
        <f>IF(A295="","",IFERROR(VALUE(SUBSTITUTE(TRIM(Input!I295&amp;""),"%","")),0)/IF(AND(IFERROR(VALUE(SUBSTITUTE(TRIM(Input!I295&amp;""),"%","")),0)&gt;0,IFERROR(VALUE(SUBSTITUTE(TRIM(Input!I295&amp;""),"%","")),0)&lt;1),1,100))</f>
        <v/>
      </c>
    </row>
    <row r="296" spans="1:8">
      <c r="A296" t="str">
        <f>IF(TRIM(Input!B296&amp;"")="","",UPPER(TRIM(Input!B296&amp;"")))</f>
        <v/>
      </c>
      <c r="B296" t="str">
        <f>IF(A296="","",IFERROR(VALUE(RIGHT(TRIM(Input!D296&amp;""),1)),0))</f>
        <v/>
      </c>
      <c r="C296" t="str">
        <f t="shared" si="4"/>
        <v/>
      </c>
      <c r="D296" t="str">
        <f>IF(A296="","",IFERROR(VALUE(SUBSTITUTE(TRIM(Input!E296&amp;""),"%","")),0)/IF(AND(IFERROR(VALUE(SUBSTITUTE(TRIM(Input!E296&amp;""),"%","")),0)&gt;0,IFERROR(VALUE(SUBSTITUTE(TRIM(Input!E296&amp;""),"%","")),0)&lt;1),1,100))</f>
        <v/>
      </c>
      <c r="E296" t="str">
        <f>IF(A296="","",IFERROR(VALUE(SUBSTITUTE(TRIM(Input!F296&amp;""),"%","")),0)/IF(AND(IFERROR(VALUE(SUBSTITUTE(TRIM(Input!F296&amp;""),"%","")),0)&gt;0,IFERROR(VALUE(SUBSTITUTE(TRIM(Input!F296&amp;""),"%","")),0)&lt;1),1,100))</f>
        <v/>
      </c>
      <c r="F296" t="str">
        <f>IF(A296="","",IFERROR(VALUE(SUBSTITUTE(TRIM(Input!G296&amp;""),"%","")),0)/IF(AND(IFERROR(VALUE(SUBSTITUTE(TRIM(Input!G296&amp;""),"%","")),0)&gt;0,IFERROR(VALUE(SUBSTITUTE(TRIM(Input!G296&amp;""),"%","")),0)&lt;1),1,100))</f>
        <v/>
      </c>
      <c r="G296" t="str">
        <f>IF(A296="","",IFERROR(VALUE(SUBSTITUTE(TRIM(Input!H296&amp;""),"%","")),0)/IF(AND(IFERROR(VALUE(SUBSTITUTE(TRIM(Input!H296&amp;""),"%","")),0)&gt;0,IFERROR(VALUE(SUBSTITUTE(TRIM(Input!H296&amp;""),"%","")),0)&lt;1),1,100))</f>
        <v/>
      </c>
      <c r="H296" t="str">
        <f>IF(A296="","",IFERROR(VALUE(SUBSTITUTE(TRIM(Input!I296&amp;""),"%","")),0)/IF(AND(IFERROR(VALUE(SUBSTITUTE(TRIM(Input!I296&amp;""),"%","")),0)&gt;0,IFERROR(VALUE(SUBSTITUTE(TRIM(Input!I296&amp;""),"%","")),0)&lt;1),1,100))</f>
        <v/>
      </c>
    </row>
    <row r="297" spans="1:8">
      <c r="A297" t="str">
        <f>IF(TRIM(Input!B297&amp;"")="","",UPPER(TRIM(Input!B297&amp;"")))</f>
        <v/>
      </c>
      <c r="B297" t="str">
        <f>IF(A297="","",IFERROR(VALUE(RIGHT(TRIM(Input!D297&amp;""),1)),0))</f>
        <v/>
      </c>
      <c r="C297" t="str">
        <f t="shared" si="4"/>
        <v/>
      </c>
      <c r="D297" t="str">
        <f>IF(A297="","",IFERROR(VALUE(SUBSTITUTE(TRIM(Input!E297&amp;""),"%","")),0)/IF(AND(IFERROR(VALUE(SUBSTITUTE(TRIM(Input!E297&amp;""),"%","")),0)&gt;0,IFERROR(VALUE(SUBSTITUTE(TRIM(Input!E297&amp;""),"%","")),0)&lt;1),1,100))</f>
        <v/>
      </c>
      <c r="E297" t="str">
        <f>IF(A297="","",IFERROR(VALUE(SUBSTITUTE(TRIM(Input!F297&amp;""),"%","")),0)/IF(AND(IFERROR(VALUE(SUBSTITUTE(TRIM(Input!F297&amp;""),"%","")),0)&gt;0,IFERROR(VALUE(SUBSTITUTE(TRIM(Input!F297&amp;""),"%","")),0)&lt;1),1,100))</f>
        <v/>
      </c>
      <c r="F297" t="str">
        <f>IF(A297="","",IFERROR(VALUE(SUBSTITUTE(TRIM(Input!G297&amp;""),"%","")),0)/IF(AND(IFERROR(VALUE(SUBSTITUTE(TRIM(Input!G297&amp;""),"%","")),0)&gt;0,IFERROR(VALUE(SUBSTITUTE(TRIM(Input!G297&amp;""),"%","")),0)&lt;1),1,100))</f>
        <v/>
      </c>
      <c r="G297" t="str">
        <f>IF(A297="","",IFERROR(VALUE(SUBSTITUTE(TRIM(Input!H297&amp;""),"%","")),0)/IF(AND(IFERROR(VALUE(SUBSTITUTE(TRIM(Input!H297&amp;""),"%","")),0)&gt;0,IFERROR(VALUE(SUBSTITUTE(TRIM(Input!H297&amp;""),"%","")),0)&lt;1),1,100))</f>
        <v/>
      </c>
      <c r="H297" t="str">
        <f>IF(A297="","",IFERROR(VALUE(SUBSTITUTE(TRIM(Input!I297&amp;""),"%","")),0)/IF(AND(IFERROR(VALUE(SUBSTITUTE(TRIM(Input!I297&amp;""),"%","")),0)&gt;0,IFERROR(VALUE(SUBSTITUTE(TRIM(Input!I297&amp;""),"%","")),0)&lt;1),1,100))</f>
        <v/>
      </c>
    </row>
    <row r="298" spans="1:8">
      <c r="A298" t="str">
        <f>IF(TRIM(Input!B298&amp;"")="","",UPPER(TRIM(Input!B298&amp;"")))</f>
        <v/>
      </c>
      <c r="B298" t="str">
        <f>IF(A298="","",IFERROR(VALUE(RIGHT(TRIM(Input!D298&amp;""),1)),0))</f>
        <v/>
      </c>
      <c r="C298" t="str">
        <f t="shared" si="4"/>
        <v/>
      </c>
      <c r="D298" t="str">
        <f>IF(A298="","",IFERROR(VALUE(SUBSTITUTE(TRIM(Input!E298&amp;""),"%","")),0)/IF(AND(IFERROR(VALUE(SUBSTITUTE(TRIM(Input!E298&amp;""),"%","")),0)&gt;0,IFERROR(VALUE(SUBSTITUTE(TRIM(Input!E298&amp;""),"%","")),0)&lt;1),1,100))</f>
        <v/>
      </c>
      <c r="E298" t="str">
        <f>IF(A298="","",IFERROR(VALUE(SUBSTITUTE(TRIM(Input!F298&amp;""),"%","")),0)/IF(AND(IFERROR(VALUE(SUBSTITUTE(TRIM(Input!F298&amp;""),"%","")),0)&gt;0,IFERROR(VALUE(SUBSTITUTE(TRIM(Input!F298&amp;""),"%","")),0)&lt;1),1,100))</f>
        <v/>
      </c>
      <c r="F298" t="str">
        <f>IF(A298="","",IFERROR(VALUE(SUBSTITUTE(TRIM(Input!G298&amp;""),"%","")),0)/IF(AND(IFERROR(VALUE(SUBSTITUTE(TRIM(Input!G298&amp;""),"%","")),0)&gt;0,IFERROR(VALUE(SUBSTITUTE(TRIM(Input!G298&amp;""),"%","")),0)&lt;1),1,100))</f>
        <v/>
      </c>
      <c r="G298" t="str">
        <f>IF(A298="","",IFERROR(VALUE(SUBSTITUTE(TRIM(Input!H298&amp;""),"%","")),0)/IF(AND(IFERROR(VALUE(SUBSTITUTE(TRIM(Input!H298&amp;""),"%","")),0)&gt;0,IFERROR(VALUE(SUBSTITUTE(TRIM(Input!H298&amp;""),"%","")),0)&lt;1),1,100))</f>
        <v/>
      </c>
      <c r="H298" t="str">
        <f>IF(A298="","",IFERROR(VALUE(SUBSTITUTE(TRIM(Input!I298&amp;""),"%","")),0)/IF(AND(IFERROR(VALUE(SUBSTITUTE(TRIM(Input!I298&amp;""),"%","")),0)&gt;0,IFERROR(VALUE(SUBSTITUTE(TRIM(Input!I298&amp;""),"%","")),0)&lt;1),1,100))</f>
        <v/>
      </c>
    </row>
    <row r="299" spans="1:8">
      <c r="A299" t="str">
        <f>IF(TRIM(Input!B299&amp;"")="","",UPPER(TRIM(Input!B299&amp;"")))</f>
        <v/>
      </c>
      <c r="B299" t="str">
        <f>IF(A299="","",IFERROR(VALUE(RIGHT(TRIM(Input!D299&amp;""),1)),0))</f>
        <v/>
      </c>
      <c r="C299" t="str">
        <f t="shared" si="4"/>
        <v/>
      </c>
      <c r="D299" t="str">
        <f>IF(A299="","",IFERROR(VALUE(SUBSTITUTE(TRIM(Input!E299&amp;""),"%","")),0)/IF(AND(IFERROR(VALUE(SUBSTITUTE(TRIM(Input!E299&amp;""),"%","")),0)&gt;0,IFERROR(VALUE(SUBSTITUTE(TRIM(Input!E299&amp;""),"%","")),0)&lt;1),1,100))</f>
        <v/>
      </c>
      <c r="E299" t="str">
        <f>IF(A299="","",IFERROR(VALUE(SUBSTITUTE(TRIM(Input!F299&amp;""),"%","")),0)/IF(AND(IFERROR(VALUE(SUBSTITUTE(TRIM(Input!F299&amp;""),"%","")),0)&gt;0,IFERROR(VALUE(SUBSTITUTE(TRIM(Input!F299&amp;""),"%","")),0)&lt;1),1,100))</f>
        <v/>
      </c>
      <c r="F299" t="str">
        <f>IF(A299="","",IFERROR(VALUE(SUBSTITUTE(TRIM(Input!G299&amp;""),"%","")),0)/IF(AND(IFERROR(VALUE(SUBSTITUTE(TRIM(Input!G299&amp;""),"%","")),0)&gt;0,IFERROR(VALUE(SUBSTITUTE(TRIM(Input!G299&amp;""),"%","")),0)&lt;1),1,100))</f>
        <v/>
      </c>
      <c r="G299" t="str">
        <f>IF(A299="","",IFERROR(VALUE(SUBSTITUTE(TRIM(Input!H299&amp;""),"%","")),0)/IF(AND(IFERROR(VALUE(SUBSTITUTE(TRIM(Input!H299&amp;""),"%","")),0)&gt;0,IFERROR(VALUE(SUBSTITUTE(TRIM(Input!H299&amp;""),"%","")),0)&lt;1),1,100))</f>
        <v/>
      </c>
      <c r="H299" t="str">
        <f>IF(A299="","",IFERROR(VALUE(SUBSTITUTE(TRIM(Input!I299&amp;""),"%","")),0)/IF(AND(IFERROR(VALUE(SUBSTITUTE(TRIM(Input!I299&amp;""),"%","")),0)&gt;0,IFERROR(VALUE(SUBSTITUTE(TRIM(Input!I299&amp;""),"%","")),0)&lt;1),1,100))</f>
        <v/>
      </c>
    </row>
    <row r="300" spans="1:8">
      <c r="A300" t="str">
        <f>IF(TRIM(Input!B300&amp;"")="","",UPPER(TRIM(Input!B300&amp;"")))</f>
        <v/>
      </c>
      <c r="B300" t="str">
        <f>IF(A300="","",IFERROR(VALUE(RIGHT(TRIM(Input!D300&amp;""),1)),0))</f>
        <v/>
      </c>
      <c r="C300" t="str">
        <f t="shared" si="4"/>
        <v/>
      </c>
      <c r="D300" t="str">
        <f>IF(A300="","",IFERROR(VALUE(SUBSTITUTE(TRIM(Input!E300&amp;""),"%","")),0)/IF(AND(IFERROR(VALUE(SUBSTITUTE(TRIM(Input!E300&amp;""),"%","")),0)&gt;0,IFERROR(VALUE(SUBSTITUTE(TRIM(Input!E300&amp;""),"%","")),0)&lt;1),1,100))</f>
        <v/>
      </c>
      <c r="E300" t="str">
        <f>IF(A300="","",IFERROR(VALUE(SUBSTITUTE(TRIM(Input!F300&amp;""),"%","")),0)/IF(AND(IFERROR(VALUE(SUBSTITUTE(TRIM(Input!F300&amp;""),"%","")),0)&gt;0,IFERROR(VALUE(SUBSTITUTE(TRIM(Input!F300&amp;""),"%","")),0)&lt;1),1,100))</f>
        <v/>
      </c>
      <c r="F300" t="str">
        <f>IF(A300="","",IFERROR(VALUE(SUBSTITUTE(TRIM(Input!G300&amp;""),"%","")),0)/IF(AND(IFERROR(VALUE(SUBSTITUTE(TRIM(Input!G300&amp;""),"%","")),0)&gt;0,IFERROR(VALUE(SUBSTITUTE(TRIM(Input!G300&amp;""),"%","")),0)&lt;1),1,100))</f>
        <v/>
      </c>
      <c r="G300" t="str">
        <f>IF(A300="","",IFERROR(VALUE(SUBSTITUTE(TRIM(Input!H300&amp;""),"%","")),0)/IF(AND(IFERROR(VALUE(SUBSTITUTE(TRIM(Input!H300&amp;""),"%","")),0)&gt;0,IFERROR(VALUE(SUBSTITUTE(TRIM(Input!H300&amp;""),"%","")),0)&lt;1),1,100))</f>
        <v/>
      </c>
      <c r="H300" t="str">
        <f>IF(A300="","",IFERROR(VALUE(SUBSTITUTE(TRIM(Input!I300&amp;""),"%","")),0)/IF(AND(IFERROR(VALUE(SUBSTITUTE(TRIM(Input!I300&amp;""),"%","")),0)&gt;0,IFERROR(VALUE(SUBSTITUTE(TRIM(Input!I300&amp;""),"%","")),0)&lt;1),1,100))</f>
        <v/>
      </c>
    </row>
    <row r="301" spans="1:8">
      <c r="A301" t="str">
        <f>IF(TRIM(Input!B301&amp;"")="","",UPPER(TRIM(Input!B301&amp;"")))</f>
        <v/>
      </c>
      <c r="B301" t="str">
        <f>IF(A301="","",IFERROR(VALUE(RIGHT(TRIM(Input!D301&amp;""),1)),0))</f>
        <v/>
      </c>
      <c r="C301" t="str">
        <f t="shared" si="4"/>
        <v/>
      </c>
      <c r="D301" t="str">
        <f>IF(A301="","",IFERROR(VALUE(SUBSTITUTE(TRIM(Input!E301&amp;""),"%","")),0)/IF(AND(IFERROR(VALUE(SUBSTITUTE(TRIM(Input!E301&amp;""),"%","")),0)&gt;0,IFERROR(VALUE(SUBSTITUTE(TRIM(Input!E301&amp;""),"%","")),0)&lt;1),1,100))</f>
        <v/>
      </c>
      <c r="E301" t="str">
        <f>IF(A301="","",IFERROR(VALUE(SUBSTITUTE(TRIM(Input!F301&amp;""),"%","")),0)/IF(AND(IFERROR(VALUE(SUBSTITUTE(TRIM(Input!F301&amp;""),"%","")),0)&gt;0,IFERROR(VALUE(SUBSTITUTE(TRIM(Input!F301&amp;""),"%","")),0)&lt;1),1,100))</f>
        <v/>
      </c>
      <c r="F301" t="str">
        <f>IF(A301="","",IFERROR(VALUE(SUBSTITUTE(TRIM(Input!G301&amp;""),"%","")),0)/IF(AND(IFERROR(VALUE(SUBSTITUTE(TRIM(Input!G301&amp;""),"%","")),0)&gt;0,IFERROR(VALUE(SUBSTITUTE(TRIM(Input!G301&amp;""),"%","")),0)&lt;1),1,100))</f>
        <v/>
      </c>
      <c r="G301" t="str">
        <f>IF(A301="","",IFERROR(VALUE(SUBSTITUTE(TRIM(Input!H301&amp;""),"%","")),0)/IF(AND(IFERROR(VALUE(SUBSTITUTE(TRIM(Input!H301&amp;""),"%","")),0)&gt;0,IFERROR(VALUE(SUBSTITUTE(TRIM(Input!H301&amp;""),"%","")),0)&lt;1),1,100))</f>
        <v/>
      </c>
      <c r="H301" t="str">
        <f>IF(A301="","",IFERROR(VALUE(SUBSTITUTE(TRIM(Input!I301&amp;""),"%","")),0)/IF(AND(IFERROR(VALUE(SUBSTITUTE(TRIM(Input!I301&amp;""),"%","")),0)&gt;0,IFERROR(VALUE(SUBSTITUTE(TRIM(Input!I301&amp;""),"%","")),0)&lt;1),1,100))</f>
        <v/>
      </c>
    </row>
    <row r="302" spans="1:8">
      <c r="A302" t="str">
        <f>IF(TRIM(Input!B302&amp;"")="","",UPPER(TRIM(Input!B302&amp;"")))</f>
        <v/>
      </c>
      <c r="B302" t="str">
        <f>IF(A302="","",IFERROR(VALUE(RIGHT(TRIM(Input!D302&amp;""),1)),0))</f>
        <v/>
      </c>
      <c r="C302" t="str">
        <f t="shared" si="4"/>
        <v/>
      </c>
      <c r="D302" t="str">
        <f>IF(A302="","",IFERROR(VALUE(SUBSTITUTE(TRIM(Input!E302&amp;""),"%","")),0)/IF(AND(IFERROR(VALUE(SUBSTITUTE(TRIM(Input!E302&amp;""),"%","")),0)&gt;0,IFERROR(VALUE(SUBSTITUTE(TRIM(Input!E302&amp;""),"%","")),0)&lt;1),1,100))</f>
        <v/>
      </c>
      <c r="E302" t="str">
        <f>IF(A302="","",IFERROR(VALUE(SUBSTITUTE(TRIM(Input!F302&amp;""),"%","")),0)/IF(AND(IFERROR(VALUE(SUBSTITUTE(TRIM(Input!F302&amp;""),"%","")),0)&gt;0,IFERROR(VALUE(SUBSTITUTE(TRIM(Input!F302&amp;""),"%","")),0)&lt;1),1,100))</f>
        <v/>
      </c>
      <c r="F302" t="str">
        <f>IF(A302="","",IFERROR(VALUE(SUBSTITUTE(TRIM(Input!G302&amp;""),"%","")),0)/IF(AND(IFERROR(VALUE(SUBSTITUTE(TRIM(Input!G302&amp;""),"%","")),0)&gt;0,IFERROR(VALUE(SUBSTITUTE(TRIM(Input!G302&amp;""),"%","")),0)&lt;1),1,100))</f>
        <v/>
      </c>
      <c r="G302" t="str">
        <f>IF(A302="","",IFERROR(VALUE(SUBSTITUTE(TRIM(Input!H302&amp;""),"%","")),0)/IF(AND(IFERROR(VALUE(SUBSTITUTE(TRIM(Input!H302&amp;""),"%","")),0)&gt;0,IFERROR(VALUE(SUBSTITUTE(TRIM(Input!H302&amp;""),"%","")),0)&lt;1),1,100))</f>
        <v/>
      </c>
      <c r="H302" t="str">
        <f>IF(A302="","",IFERROR(VALUE(SUBSTITUTE(TRIM(Input!I302&amp;""),"%","")),0)/IF(AND(IFERROR(VALUE(SUBSTITUTE(TRIM(Input!I302&amp;""),"%","")),0)&gt;0,IFERROR(VALUE(SUBSTITUTE(TRIM(Input!I302&amp;""),"%","")),0)&lt;1),1,100))</f>
        <v/>
      </c>
    </row>
    <row r="303" spans="1:8">
      <c r="A303" t="str">
        <f>IF(TRIM(Input!B303&amp;"")="","",UPPER(TRIM(Input!B303&amp;"")))</f>
        <v/>
      </c>
      <c r="B303" t="str">
        <f>IF(A303="","",IFERROR(VALUE(RIGHT(TRIM(Input!D303&amp;""),1)),0))</f>
        <v/>
      </c>
      <c r="C303" t="str">
        <f t="shared" si="4"/>
        <v/>
      </c>
      <c r="D303" t="str">
        <f>IF(A303="","",IFERROR(VALUE(SUBSTITUTE(TRIM(Input!E303&amp;""),"%","")),0)/IF(AND(IFERROR(VALUE(SUBSTITUTE(TRIM(Input!E303&amp;""),"%","")),0)&gt;0,IFERROR(VALUE(SUBSTITUTE(TRIM(Input!E303&amp;""),"%","")),0)&lt;1),1,100))</f>
        <v/>
      </c>
      <c r="E303" t="str">
        <f>IF(A303="","",IFERROR(VALUE(SUBSTITUTE(TRIM(Input!F303&amp;""),"%","")),0)/IF(AND(IFERROR(VALUE(SUBSTITUTE(TRIM(Input!F303&amp;""),"%","")),0)&gt;0,IFERROR(VALUE(SUBSTITUTE(TRIM(Input!F303&amp;""),"%","")),0)&lt;1),1,100))</f>
        <v/>
      </c>
      <c r="F303" t="str">
        <f>IF(A303="","",IFERROR(VALUE(SUBSTITUTE(TRIM(Input!G303&amp;""),"%","")),0)/IF(AND(IFERROR(VALUE(SUBSTITUTE(TRIM(Input!G303&amp;""),"%","")),0)&gt;0,IFERROR(VALUE(SUBSTITUTE(TRIM(Input!G303&amp;""),"%","")),0)&lt;1),1,100))</f>
        <v/>
      </c>
      <c r="G303" t="str">
        <f>IF(A303="","",IFERROR(VALUE(SUBSTITUTE(TRIM(Input!H303&amp;""),"%","")),0)/IF(AND(IFERROR(VALUE(SUBSTITUTE(TRIM(Input!H303&amp;""),"%","")),0)&gt;0,IFERROR(VALUE(SUBSTITUTE(TRIM(Input!H303&amp;""),"%","")),0)&lt;1),1,100))</f>
        <v/>
      </c>
      <c r="H303" t="str">
        <f>IF(A303="","",IFERROR(VALUE(SUBSTITUTE(TRIM(Input!I303&amp;""),"%","")),0)/IF(AND(IFERROR(VALUE(SUBSTITUTE(TRIM(Input!I303&amp;""),"%","")),0)&gt;0,IFERROR(VALUE(SUBSTITUTE(TRIM(Input!I303&amp;""),"%","")),0)&lt;1),1,100))</f>
        <v/>
      </c>
    </row>
    <row r="304" spans="1:8">
      <c r="A304" t="str">
        <f>IF(TRIM(Input!B304&amp;"")="","",UPPER(TRIM(Input!B304&amp;"")))</f>
        <v/>
      </c>
      <c r="B304" t="str">
        <f>IF(A304="","",IFERROR(VALUE(RIGHT(TRIM(Input!D304&amp;""),1)),0))</f>
        <v/>
      </c>
      <c r="C304" t="str">
        <f t="shared" si="4"/>
        <v/>
      </c>
      <c r="D304" t="str">
        <f>IF(A304="","",IFERROR(VALUE(SUBSTITUTE(TRIM(Input!E304&amp;""),"%","")),0)/IF(AND(IFERROR(VALUE(SUBSTITUTE(TRIM(Input!E304&amp;""),"%","")),0)&gt;0,IFERROR(VALUE(SUBSTITUTE(TRIM(Input!E304&amp;""),"%","")),0)&lt;1),1,100))</f>
        <v/>
      </c>
      <c r="E304" t="str">
        <f>IF(A304="","",IFERROR(VALUE(SUBSTITUTE(TRIM(Input!F304&amp;""),"%","")),0)/IF(AND(IFERROR(VALUE(SUBSTITUTE(TRIM(Input!F304&amp;""),"%","")),0)&gt;0,IFERROR(VALUE(SUBSTITUTE(TRIM(Input!F304&amp;""),"%","")),0)&lt;1),1,100))</f>
        <v/>
      </c>
      <c r="F304" t="str">
        <f>IF(A304="","",IFERROR(VALUE(SUBSTITUTE(TRIM(Input!G304&amp;""),"%","")),0)/IF(AND(IFERROR(VALUE(SUBSTITUTE(TRIM(Input!G304&amp;""),"%","")),0)&gt;0,IFERROR(VALUE(SUBSTITUTE(TRIM(Input!G304&amp;""),"%","")),0)&lt;1),1,100))</f>
        <v/>
      </c>
      <c r="G304" t="str">
        <f>IF(A304="","",IFERROR(VALUE(SUBSTITUTE(TRIM(Input!H304&amp;""),"%","")),0)/IF(AND(IFERROR(VALUE(SUBSTITUTE(TRIM(Input!H304&amp;""),"%","")),0)&gt;0,IFERROR(VALUE(SUBSTITUTE(TRIM(Input!H304&amp;""),"%","")),0)&lt;1),1,100))</f>
        <v/>
      </c>
      <c r="H304" t="str">
        <f>IF(A304="","",IFERROR(VALUE(SUBSTITUTE(TRIM(Input!I304&amp;""),"%","")),0)/IF(AND(IFERROR(VALUE(SUBSTITUTE(TRIM(Input!I304&amp;""),"%","")),0)&gt;0,IFERROR(VALUE(SUBSTITUTE(TRIM(Input!I304&amp;""),"%","")),0)&lt;1),1,100))</f>
        <v/>
      </c>
    </row>
    <row r="305" spans="1:8">
      <c r="A305" t="str">
        <f>IF(TRIM(Input!B305&amp;"")="","",UPPER(TRIM(Input!B305&amp;"")))</f>
        <v/>
      </c>
      <c r="B305" t="str">
        <f>IF(A305="","",IFERROR(VALUE(RIGHT(TRIM(Input!D305&amp;""),1)),0))</f>
        <v/>
      </c>
      <c r="C305" t="str">
        <f t="shared" si="4"/>
        <v/>
      </c>
      <c r="D305" t="str">
        <f>IF(A305="","",IFERROR(VALUE(SUBSTITUTE(TRIM(Input!E305&amp;""),"%","")),0)/IF(AND(IFERROR(VALUE(SUBSTITUTE(TRIM(Input!E305&amp;""),"%","")),0)&gt;0,IFERROR(VALUE(SUBSTITUTE(TRIM(Input!E305&amp;""),"%","")),0)&lt;1),1,100))</f>
        <v/>
      </c>
      <c r="E305" t="str">
        <f>IF(A305="","",IFERROR(VALUE(SUBSTITUTE(TRIM(Input!F305&amp;""),"%","")),0)/IF(AND(IFERROR(VALUE(SUBSTITUTE(TRIM(Input!F305&amp;""),"%","")),0)&gt;0,IFERROR(VALUE(SUBSTITUTE(TRIM(Input!F305&amp;""),"%","")),0)&lt;1),1,100))</f>
        <v/>
      </c>
      <c r="F305" t="str">
        <f>IF(A305="","",IFERROR(VALUE(SUBSTITUTE(TRIM(Input!G305&amp;""),"%","")),0)/IF(AND(IFERROR(VALUE(SUBSTITUTE(TRIM(Input!G305&amp;""),"%","")),0)&gt;0,IFERROR(VALUE(SUBSTITUTE(TRIM(Input!G305&amp;""),"%","")),0)&lt;1),1,100))</f>
        <v/>
      </c>
      <c r="G305" t="str">
        <f>IF(A305="","",IFERROR(VALUE(SUBSTITUTE(TRIM(Input!H305&amp;""),"%","")),0)/IF(AND(IFERROR(VALUE(SUBSTITUTE(TRIM(Input!H305&amp;""),"%","")),0)&gt;0,IFERROR(VALUE(SUBSTITUTE(TRIM(Input!H305&amp;""),"%","")),0)&lt;1),1,100))</f>
        <v/>
      </c>
      <c r="H305" t="str">
        <f>IF(A305="","",IFERROR(VALUE(SUBSTITUTE(TRIM(Input!I305&amp;""),"%","")),0)/IF(AND(IFERROR(VALUE(SUBSTITUTE(TRIM(Input!I305&amp;""),"%","")),0)&gt;0,IFERROR(VALUE(SUBSTITUTE(TRIM(Input!I305&amp;""),"%","")),0)&lt;1),1,100))</f>
        <v/>
      </c>
    </row>
    <row r="306" spans="1:8">
      <c r="A306" t="str">
        <f>IF(TRIM(Input!B306&amp;"")="","",UPPER(TRIM(Input!B306&amp;"")))</f>
        <v/>
      </c>
      <c r="B306" t="str">
        <f>IF(A306="","",IFERROR(VALUE(RIGHT(TRIM(Input!D306&amp;""),1)),0))</f>
        <v/>
      </c>
      <c r="C306" t="str">
        <f t="shared" si="4"/>
        <v/>
      </c>
      <c r="D306" t="str">
        <f>IF(A306="","",IFERROR(VALUE(SUBSTITUTE(TRIM(Input!E306&amp;""),"%","")),0)/IF(AND(IFERROR(VALUE(SUBSTITUTE(TRIM(Input!E306&amp;""),"%","")),0)&gt;0,IFERROR(VALUE(SUBSTITUTE(TRIM(Input!E306&amp;""),"%","")),0)&lt;1),1,100))</f>
        <v/>
      </c>
      <c r="E306" t="str">
        <f>IF(A306="","",IFERROR(VALUE(SUBSTITUTE(TRIM(Input!F306&amp;""),"%","")),0)/IF(AND(IFERROR(VALUE(SUBSTITUTE(TRIM(Input!F306&amp;""),"%","")),0)&gt;0,IFERROR(VALUE(SUBSTITUTE(TRIM(Input!F306&amp;""),"%","")),0)&lt;1),1,100))</f>
        <v/>
      </c>
      <c r="F306" t="str">
        <f>IF(A306="","",IFERROR(VALUE(SUBSTITUTE(TRIM(Input!G306&amp;""),"%","")),0)/IF(AND(IFERROR(VALUE(SUBSTITUTE(TRIM(Input!G306&amp;""),"%","")),0)&gt;0,IFERROR(VALUE(SUBSTITUTE(TRIM(Input!G306&amp;""),"%","")),0)&lt;1),1,100))</f>
        <v/>
      </c>
      <c r="G306" t="str">
        <f>IF(A306="","",IFERROR(VALUE(SUBSTITUTE(TRIM(Input!H306&amp;""),"%","")),0)/IF(AND(IFERROR(VALUE(SUBSTITUTE(TRIM(Input!H306&amp;""),"%","")),0)&gt;0,IFERROR(VALUE(SUBSTITUTE(TRIM(Input!H306&amp;""),"%","")),0)&lt;1),1,100))</f>
        <v/>
      </c>
      <c r="H306" t="str">
        <f>IF(A306="","",IFERROR(VALUE(SUBSTITUTE(TRIM(Input!I306&amp;""),"%","")),0)/IF(AND(IFERROR(VALUE(SUBSTITUTE(TRIM(Input!I306&amp;""),"%","")),0)&gt;0,IFERROR(VALUE(SUBSTITUTE(TRIM(Input!I306&amp;""),"%","")),0)&lt;1),1,100))</f>
        <v/>
      </c>
    </row>
    <row r="307" spans="1:8">
      <c r="A307" t="str">
        <f>IF(TRIM(Input!B307&amp;"")="","",UPPER(TRIM(Input!B307&amp;"")))</f>
        <v/>
      </c>
      <c r="B307" t="str">
        <f>IF(A307="","",IFERROR(VALUE(RIGHT(TRIM(Input!D307&amp;""),1)),0))</f>
        <v/>
      </c>
      <c r="C307" t="str">
        <f t="shared" si="4"/>
        <v/>
      </c>
      <c r="D307" t="str">
        <f>IF(A307="","",IFERROR(VALUE(SUBSTITUTE(TRIM(Input!E307&amp;""),"%","")),0)/IF(AND(IFERROR(VALUE(SUBSTITUTE(TRIM(Input!E307&amp;""),"%","")),0)&gt;0,IFERROR(VALUE(SUBSTITUTE(TRIM(Input!E307&amp;""),"%","")),0)&lt;1),1,100))</f>
        <v/>
      </c>
      <c r="E307" t="str">
        <f>IF(A307="","",IFERROR(VALUE(SUBSTITUTE(TRIM(Input!F307&amp;""),"%","")),0)/IF(AND(IFERROR(VALUE(SUBSTITUTE(TRIM(Input!F307&amp;""),"%","")),0)&gt;0,IFERROR(VALUE(SUBSTITUTE(TRIM(Input!F307&amp;""),"%","")),0)&lt;1),1,100))</f>
        <v/>
      </c>
      <c r="F307" t="str">
        <f>IF(A307="","",IFERROR(VALUE(SUBSTITUTE(TRIM(Input!G307&amp;""),"%","")),0)/IF(AND(IFERROR(VALUE(SUBSTITUTE(TRIM(Input!G307&amp;""),"%","")),0)&gt;0,IFERROR(VALUE(SUBSTITUTE(TRIM(Input!G307&amp;""),"%","")),0)&lt;1),1,100))</f>
        <v/>
      </c>
      <c r="G307" t="str">
        <f>IF(A307="","",IFERROR(VALUE(SUBSTITUTE(TRIM(Input!H307&amp;""),"%","")),0)/IF(AND(IFERROR(VALUE(SUBSTITUTE(TRIM(Input!H307&amp;""),"%","")),0)&gt;0,IFERROR(VALUE(SUBSTITUTE(TRIM(Input!H307&amp;""),"%","")),0)&lt;1),1,100))</f>
        <v/>
      </c>
      <c r="H307" t="str">
        <f>IF(A307="","",IFERROR(VALUE(SUBSTITUTE(TRIM(Input!I307&amp;""),"%","")),0)/IF(AND(IFERROR(VALUE(SUBSTITUTE(TRIM(Input!I307&amp;""),"%","")),0)&gt;0,IFERROR(VALUE(SUBSTITUTE(TRIM(Input!I307&amp;""),"%","")),0)&lt;1),1,100))</f>
        <v/>
      </c>
    </row>
    <row r="308" spans="1:8">
      <c r="A308" t="str">
        <f>IF(TRIM(Input!B308&amp;"")="","",UPPER(TRIM(Input!B308&amp;"")))</f>
        <v/>
      </c>
      <c r="B308" t="str">
        <f>IF(A308="","",IFERROR(VALUE(RIGHT(TRIM(Input!D308&amp;""),1)),0))</f>
        <v/>
      </c>
      <c r="C308" t="str">
        <f t="shared" si="4"/>
        <v/>
      </c>
      <c r="D308" t="str">
        <f>IF(A308="","",IFERROR(VALUE(SUBSTITUTE(TRIM(Input!E308&amp;""),"%","")),0)/IF(AND(IFERROR(VALUE(SUBSTITUTE(TRIM(Input!E308&amp;""),"%","")),0)&gt;0,IFERROR(VALUE(SUBSTITUTE(TRIM(Input!E308&amp;""),"%","")),0)&lt;1),1,100))</f>
        <v/>
      </c>
      <c r="E308" t="str">
        <f>IF(A308="","",IFERROR(VALUE(SUBSTITUTE(TRIM(Input!F308&amp;""),"%","")),0)/IF(AND(IFERROR(VALUE(SUBSTITUTE(TRIM(Input!F308&amp;""),"%","")),0)&gt;0,IFERROR(VALUE(SUBSTITUTE(TRIM(Input!F308&amp;""),"%","")),0)&lt;1),1,100))</f>
        <v/>
      </c>
      <c r="F308" t="str">
        <f>IF(A308="","",IFERROR(VALUE(SUBSTITUTE(TRIM(Input!G308&amp;""),"%","")),0)/IF(AND(IFERROR(VALUE(SUBSTITUTE(TRIM(Input!G308&amp;""),"%","")),0)&gt;0,IFERROR(VALUE(SUBSTITUTE(TRIM(Input!G308&amp;""),"%","")),0)&lt;1),1,100))</f>
        <v/>
      </c>
      <c r="G308" t="str">
        <f>IF(A308="","",IFERROR(VALUE(SUBSTITUTE(TRIM(Input!H308&amp;""),"%","")),0)/IF(AND(IFERROR(VALUE(SUBSTITUTE(TRIM(Input!H308&amp;""),"%","")),0)&gt;0,IFERROR(VALUE(SUBSTITUTE(TRIM(Input!H308&amp;""),"%","")),0)&lt;1),1,100))</f>
        <v/>
      </c>
      <c r="H308" t="str">
        <f>IF(A308="","",IFERROR(VALUE(SUBSTITUTE(TRIM(Input!I308&amp;""),"%","")),0)/IF(AND(IFERROR(VALUE(SUBSTITUTE(TRIM(Input!I308&amp;""),"%","")),0)&gt;0,IFERROR(VALUE(SUBSTITUTE(TRIM(Input!I308&amp;""),"%","")),0)&lt;1),1,100))</f>
        <v/>
      </c>
    </row>
    <row r="309" spans="1:8">
      <c r="A309" t="str">
        <f>IF(TRIM(Input!B309&amp;"")="","",UPPER(TRIM(Input!B309&amp;"")))</f>
        <v/>
      </c>
      <c r="B309" t="str">
        <f>IF(A309="","",IFERROR(VALUE(RIGHT(TRIM(Input!D309&amp;""),1)),0))</f>
        <v/>
      </c>
      <c r="C309" t="str">
        <f t="shared" si="4"/>
        <v/>
      </c>
      <c r="D309" t="str">
        <f>IF(A309="","",IFERROR(VALUE(SUBSTITUTE(TRIM(Input!E309&amp;""),"%","")),0)/IF(AND(IFERROR(VALUE(SUBSTITUTE(TRIM(Input!E309&amp;""),"%","")),0)&gt;0,IFERROR(VALUE(SUBSTITUTE(TRIM(Input!E309&amp;""),"%","")),0)&lt;1),1,100))</f>
        <v/>
      </c>
      <c r="E309" t="str">
        <f>IF(A309="","",IFERROR(VALUE(SUBSTITUTE(TRIM(Input!F309&amp;""),"%","")),0)/IF(AND(IFERROR(VALUE(SUBSTITUTE(TRIM(Input!F309&amp;""),"%","")),0)&gt;0,IFERROR(VALUE(SUBSTITUTE(TRIM(Input!F309&amp;""),"%","")),0)&lt;1),1,100))</f>
        <v/>
      </c>
      <c r="F309" t="str">
        <f>IF(A309="","",IFERROR(VALUE(SUBSTITUTE(TRIM(Input!G309&amp;""),"%","")),0)/IF(AND(IFERROR(VALUE(SUBSTITUTE(TRIM(Input!G309&amp;""),"%","")),0)&gt;0,IFERROR(VALUE(SUBSTITUTE(TRIM(Input!G309&amp;""),"%","")),0)&lt;1),1,100))</f>
        <v/>
      </c>
      <c r="G309" t="str">
        <f>IF(A309="","",IFERROR(VALUE(SUBSTITUTE(TRIM(Input!H309&amp;""),"%","")),0)/IF(AND(IFERROR(VALUE(SUBSTITUTE(TRIM(Input!H309&amp;""),"%","")),0)&gt;0,IFERROR(VALUE(SUBSTITUTE(TRIM(Input!H309&amp;""),"%","")),0)&lt;1),1,100))</f>
        <v/>
      </c>
      <c r="H309" t="str">
        <f>IF(A309="","",IFERROR(VALUE(SUBSTITUTE(TRIM(Input!I309&amp;""),"%","")),0)/IF(AND(IFERROR(VALUE(SUBSTITUTE(TRIM(Input!I309&amp;""),"%","")),0)&gt;0,IFERROR(VALUE(SUBSTITUTE(TRIM(Input!I309&amp;""),"%","")),0)&lt;1),1,100))</f>
        <v/>
      </c>
    </row>
    <row r="310" spans="1:8">
      <c r="A310" t="str">
        <f>IF(TRIM(Input!B310&amp;"")="","",UPPER(TRIM(Input!B310&amp;"")))</f>
        <v/>
      </c>
      <c r="B310" t="str">
        <f>IF(A310="","",IFERROR(VALUE(RIGHT(TRIM(Input!D310&amp;""),1)),0))</f>
        <v/>
      </c>
      <c r="C310" t="str">
        <f t="shared" si="4"/>
        <v/>
      </c>
      <c r="D310" t="str">
        <f>IF(A310="","",IFERROR(VALUE(SUBSTITUTE(TRIM(Input!E310&amp;""),"%","")),0)/IF(AND(IFERROR(VALUE(SUBSTITUTE(TRIM(Input!E310&amp;""),"%","")),0)&gt;0,IFERROR(VALUE(SUBSTITUTE(TRIM(Input!E310&amp;""),"%","")),0)&lt;1),1,100))</f>
        <v/>
      </c>
      <c r="E310" t="str">
        <f>IF(A310="","",IFERROR(VALUE(SUBSTITUTE(TRIM(Input!F310&amp;""),"%","")),0)/IF(AND(IFERROR(VALUE(SUBSTITUTE(TRIM(Input!F310&amp;""),"%","")),0)&gt;0,IFERROR(VALUE(SUBSTITUTE(TRIM(Input!F310&amp;""),"%","")),0)&lt;1),1,100))</f>
        <v/>
      </c>
      <c r="F310" t="str">
        <f>IF(A310="","",IFERROR(VALUE(SUBSTITUTE(TRIM(Input!G310&amp;""),"%","")),0)/IF(AND(IFERROR(VALUE(SUBSTITUTE(TRIM(Input!G310&amp;""),"%","")),0)&gt;0,IFERROR(VALUE(SUBSTITUTE(TRIM(Input!G310&amp;""),"%","")),0)&lt;1),1,100))</f>
        <v/>
      </c>
      <c r="G310" t="str">
        <f>IF(A310="","",IFERROR(VALUE(SUBSTITUTE(TRIM(Input!H310&amp;""),"%","")),0)/IF(AND(IFERROR(VALUE(SUBSTITUTE(TRIM(Input!H310&amp;""),"%","")),0)&gt;0,IFERROR(VALUE(SUBSTITUTE(TRIM(Input!H310&amp;""),"%","")),0)&lt;1),1,100))</f>
        <v/>
      </c>
      <c r="H310" t="str">
        <f>IF(A310="","",IFERROR(VALUE(SUBSTITUTE(TRIM(Input!I310&amp;""),"%","")),0)/IF(AND(IFERROR(VALUE(SUBSTITUTE(TRIM(Input!I310&amp;""),"%","")),0)&gt;0,IFERROR(VALUE(SUBSTITUTE(TRIM(Input!I310&amp;""),"%","")),0)&lt;1),1,100))</f>
        <v/>
      </c>
    </row>
    <row r="311" spans="1:8">
      <c r="A311" t="str">
        <f>IF(TRIM(Input!B311&amp;"")="","",UPPER(TRIM(Input!B311&amp;"")))</f>
        <v/>
      </c>
      <c r="B311" t="str">
        <f>IF(A311="","",IFERROR(VALUE(RIGHT(TRIM(Input!D311&amp;""),1)),0))</f>
        <v/>
      </c>
      <c r="C311" t="str">
        <f t="shared" si="4"/>
        <v/>
      </c>
      <c r="D311" t="str">
        <f>IF(A311="","",IFERROR(VALUE(SUBSTITUTE(TRIM(Input!E311&amp;""),"%","")),0)/IF(AND(IFERROR(VALUE(SUBSTITUTE(TRIM(Input!E311&amp;""),"%","")),0)&gt;0,IFERROR(VALUE(SUBSTITUTE(TRIM(Input!E311&amp;""),"%","")),0)&lt;1),1,100))</f>
        <v/>
      </c>
      <c r="E311" t="str">
        <f>IF(A311="","",IFERROR(VALUE(SUBSTITUTE(TRIM(Input!F311&amp;""),"%","")),0)/IF(AND(IFERROR(VALUE(SUBSTITUTE(TRIM(Input!F311&amp;""),"%","")),0)&gt;0,IFERROR(VALUE(SUBSTITUTE(TRIM(Input!F311&amp;""),"%","")),0)&lt;1),1,100))</f>
        <v/>
      </c>
      <c r="F311" t="str">
        <f>IF(A311="","",IFERROR(VALUE(SUBSTITUTE(TRIM(Input!G311&amp;""),"%","")),0)/IF(AND(IFERROR(VALUE(SUBSTITUTE(TRIM(Input!G311&amp;""),"%","")),0)&gt;0,IFERROR(VALUE(SUBSTITUTE(TRIM(Input!G311&amp;""),"%","")),0)&lt;1),1,100))</f>
        <v/>
      </c>
      <c r="G311" t="str">
        <f>IF(A311="","",IFERROR(VALUE(SUBSTITUTE(TRIM(Input!H311&amp;""),"%","")),0)/IF(AND(IFERROR(VALUE(SUBSTITUTE(TRIM(Input!H311&amp;""),"%","")),0)&gt;0,IFERROR(VALUE(SUBSTITUTE(TRIM(Input!H311&amp;""),"%","")),0)&lt;1),1,100))</f>
        <v/>
      </c>
      <c r="H311" t="str">
        <f>IF(A311="","",IFERROR(VALUE(SUBSTITUTE(TRIM(Input!I311&amp;""),"%","")),0)/IF(AND(IFERROR(VALUE(SUBSTITUTE(TRIM(Input!I311&amp;""),"%","")),0)&gt;0,IFERROR(VALUE(SUBSTITUTE(TRIM(Input!I311&amp;""),"%","")),0)&lt;1),1,100))</f>
        <v/>
      </c>
    </row>
    <row r="312" spans="1:8">
      <c r="A312" t="str">
        <f>IF(TRIM(Input!B312&amp;"")="","",UPPER(TRIM(Input!B312&amp;"")))</f>
        <v/>
      </c>
      <c r="B312" t="str">
        <f>IF(A312="","",IFERROR(VALUE(RIGHT(TRIM(Input!D312&amp;""),1)),0))</f>
        <v/>
      </c>
      <c r="C312" t="str">
        <f t="shared" si="4"/>
        <v/>
      </c>
      <c r="D312" t="str">
        <f>IF(A312="","",IFERROR(VALUE(SUBSTITUTE(TRIM(Input!E312&amp;""),"%","")),0)/IF(AND(IFERROR(VALUE(SUBSTITUTE(TRIM(Input!E312&amp;""),"%","")),0)&gt;0,IFERROR(VALUE(SUBSTITUTE(TRIM(Input!E312&amp;""),"%","")),0)&lt;1),1,100))</f>
        <v/>
      </c>
      <c r="E312" t="str">
        <f>IF(A312="","",IFERROR(VALUE(SUBSTITUTE(TRIM(Input!F312&amp;""),"%","")),0)/IF(AND(IFERROR(VALUE(SUBSTITUTE(TRIM(Input!F312&amp;""),"%","")),0)&gt;0,IFERROR(VALUE(SUBSTITUTE(TRIM(Input!F312&amp;""),"%","")),0)&lt;1),1,100))</f>
        <v/>
      </c>
      <c r="F312" t="str">
        <f>IF(A312="","",IFERROR(VALUE(SUBSTITUTE(TRIM(Input!G312&amp;""),"%","")),0)/IF(AND(IFERROR(VALUE(SUBSTITUTE(TRIM(Input!G312&amp;""),"%","")),0)&gt;0,IFERROR(VALUE(SUBSTITUTE(TRIM(Input!G312&amp;""),"%","")),0)&lt;1),1,100))</f>
        <v/>
      </c>
      <c r="G312" t="str">
        <f>IF(A312="","",IFERROR(VALUE(SUBSTITUTE(TRIM(Input!H312&amp;""),"%","")),0)/IF(AND(IFERROR(VALUE(SUBSTITUTE(TRIM(Input!H312&amp;""),"%","")),0)&gt;0,IFERROR(VALUE(SUBSTITUTE(TRIM(Input!H312&amp;""),"%","")),0)&lt;1),1,100))</f>
        <v/>
      </c>
      <c r="H312" t="str">
        <f>IF(A312="","",IFERROR(VALUE(SUBSTITUTE(TRIM(Input!I312&amp;""),"%","")),0)/IF(AND(IFERROR(VALUE(SUBSTITUTE(TRIM(Input!I312&amp;""),"%","")),0)&gt;0,IFERROR(VALUE(SUBSTITUTE(TRIM(Input!I312&amp;""),"%","")),0)&lt;1),1,100))</f>
        <v/>
      </c>
    </row>
    <row r="313" spans="1:8">
      <c r="A313" t="str">
        <f>IF(TRIM(Input!B313&amp;"")="","",UPPER(TRIM(Input!B313&amp;"")))</f>
        <v/>
      </c>
      <c r="B313" t="str">
        <f>IF(A313="","",IFERROR(VALUE(RIGHT(TRIM(Input!D313&amp;""),1)),0))</f>
        <v/>
      </c>
      <c r="C313" t="str">
        <f t="shared" si="4"/>
        <v/>
      </c>
      <c r="D313" t="str">
        <f>IF(A313="","",IFERROR(VALUE(SUBSTITUTE(TRIM(Input!E313&amp;""),"%","")),0)/IF(AND(IFERROR(VALUE(SUBSTITUTE(TRIM(Input!E313&amp;""),"%","")),0)&gt;0,IFERROR(VALUE(SUBSTITUTE(TRIM(Input!E313&amp;""),"%","")),0)&lt;1),1,100))</f>
        <v/>
      </c>
      <c r="E313" t="str">
        <f>IF(A313="","",IFERROR(VALUE(SUBSTITUTE(TRIM(Input!F313&amp;""),"%","")),0)/IF(AND(IFERROR(VALUE(SUBSTITUTE(TRIM(Input!F313&amp;""),"%","")),0)&gt;0,IFERROR(VALUE(SUBSTITUTE(TRIM(Input!F313&amp;""),"%","")),0)&lt;1),1,100))</f>
        <v/>
      </c>
      <c r="F313" t="str">
        <f>IF(A313="","",IFERROR(VALUE(SUBSTITUTE(TRIM(Input!G313&amp;""),"%","")),0)/IF(AND(IFERROR(VALUE(SUBSTITUTE(TRIM(Input!G313&amp;""),"%","")),0)&gt;0,IFERROR(VALUE(SUBSTITUTE(TRIM(Input!G313&amp;""),"%","")),0)&lt;1),1,100))</f>
        <v/>
      </c>
      <c r="G313" t="str">
        <f>IF(A313="","",IFERROR(VALUE(SUBSTITUTE(TRIM(Input!H313&amp;""),"%","")),0)/IF(AND(IFERROR(VALUE(SUBSTITUTE(TRIM(Input!H313&amp;""),"%","")),0)&gt;0,IFERROR(VALUE(SUBSTITUTE(TRIM(Input!H313&amp;""),"%","")),0)&lt;1),1,100))</f>
        <v/>
      </c>
      <c r="H313" t="str">
        <f>IF(A313="","",IFERROR(VALUE(SUBSTITUTE(TRIM(Input!I313&amp;""),"%","")),0)/IF(AND(IFERROR(VALUE(SUBSTITUTE(TRIM(Input!I313&amp;""),"%","")),0)&gt;0,IFERROR(VALUE(SUBSTITUTE(TRIM(Input!I313&amp;""),"%","")),0)&lt;1),1,100))</f>
        <v/>
      </c>
    </row>
    <row r="314" spans="1:8">
      <c r="A314" t="str">
        <f>IF(TRIM(Input!B314&amp;"")="","",UPPER(TRIM(Input!B314&amp;"")))</f>
        <v/>
      </c>
      <c r="B314" t="str">
        <f>IF(A314="","",IFERROR(VALUE(RIGHT(TRIM(Input!D314&amp;""),1)),0))</f>
        <v/>
      </c>
      <c r="C314" t="str">
        <f t="shared" si="4"/>
        <v/>
      </c>
      <c r="D314" t="str">
        <f>IF(A314="","",IFERROR(VALUE(SUBSTITUTE(TRIM(Input!E314&amp;""),"%","")),0)/IF(AND(IFERROR(VALUE(SUBSTITUTE(TRIM(Input!E314&amp;""),"%","")),0)&gt;0,IFERROR(VALUE(SUBSTITUTE(TRIM(Input!E314&amp;""),"%","")),0)&lt;1),1,100))</f>
        <v/>
      </c>
      <c r="E314" t="str">
        <f>IF(A314="","",IFERROR(VALUE(SUBSTITUTE(TRIM(Input!F314&amp;""),"%","")),0)/IF(AND(IFERROR(VALUE(SUBSTITUTE(TRIM(Input!F314&amp;""),"%","")),0)&gt;0,IFERROR(VALUE(SUBSTITUTE(TRIM(Input!F314&amp;""),"%","")),0)&lt;1),1,100))</f>
        <v/>
      </c>
      <c r="F314" t="str">
        <f>IF(A314="","",IFERROR(VALUE(SUBSTITUTE(TRIM(Input!G314&amp;""),"%","")),0)/IF(AND(IFERROR(VALUE(SUBSTITUTE(TRIM(Input!G314&amp;""),"%","")),0)&gt;0,IFERROR(VALUE(SUBSTITUTE(TRIM(Input!G314&amp;""),"%","")),0)&lt;1),1,100))</f>
        <v/>
      </c>
      <c r="G314" t="str">
        <f>IF(A314="","",IFERROR(VALUE(SUBSTITUTE(TRIM(Input!H314&amp;""),"%","")),0)/IF(AND(IFERROR(VALUE(SUBSTITUTE(TRIM(Input!H314&amp;""),"%","")),0)&gt;0,IFERROR(VALUE(SUBSTITUTE(TRIM(Input!H314&amp;""),"%","")),0)&lt;1),1,100))</f>
        <v/>
      </c>
      <c r="H314" t="str">
        <f>IF(A314="","",IFERROR(VALUE(SUBSTITUTE(TRIM(Input!I314&amp;""),"%","")),0)/IF(AND(IFERROR(VALUE(SUBSTITUTE(TRIM(Input!I314&amp;""),"%","")),0)&gt;0,IFERROR(VALUE(SUBSTITUTE(TRIM(Input!I314&amp;""),"%","")),0)&lt;1),1,100))</f>
        <v/>
      </c>
    </row>
    <row r="315" spans="1:8">
      <c r="A315" t="str">
        <f>IF(TRIM(Input!B315&amp;"")="","",UPPER(TRIM(Input!B315&amp;"")))</f>
        <v/>
      </c>
      <c r="B315" t="str">
        <f>IF(A315="","",IFERROR(VALUE(RIGHT(TRIM(Input!D315&amp;""),1)),0))</f>
        <v/>
      </c>
      <c r="C315" t="str">
        <f t="shared" si="4"/>
        <v/>
      </c>
      <c r="D315" t="str">
        <f>IF(A315="","",IFERROR(VALUE(SUBSTITUTE(TRIM(Input!E315&amp;""),"%","")),0)/IF(AND(IFERROR(VALUE(SUBSTITUTE(TRIM(Input!E315&amp;""),"%","")),0)&gt;0,IFERROR(VALUE(SUBSTITUTE(TRIM(Input!E315&amp;""),"%","")),0)&lt;1),1,100))</f>
        <v/>
      </c>
      <c r="E315" t="str">
        <f>IF(A315="","",IFERROR(VALUE(SUBSTITUTE(TRIM(Input!F315&amp;""),"%","")),0)/IF(AND(IFERROR(VALUE(SUBSTITUTE(TRIM(Input!F315&amp;""),"%","")),0)&gt;0,IFERROR(VALUE(SUBSTITUTE(TRIM(Input!F315&amp;""),"%","")),0)&lt;1),1,100))</f>
        <v/>
      </c>
      <c r="F315" t="str">
        <f>IF(A315="","",IFERROR(VALUE(SUBSTITUTE(TRIM(Input!G315&amp;""),"%","")),0)/IF(AND(IFERROR(VALUE(SUBSTITUTE(TRIM(Input!G315&amp;""),"%","")),0)&gt;0,IFERROR(VALUE(SUBSTITUTE(TRIM(Input!G315&amp;""),"%","")),0)&lt;1),1,100))</f>
        <v/>
      </c>
      <c r="G315" t="str">
        <f>IF(A315="","",IFERROR(VALUE(SUBSTITUTE(TRIM(Input!H315&amp;""),"%","")),0)/IF(AND(IFERROR(VALUE(SUBSTITUTE(TRIM(Input!H315&amp;""),"%","")),0)&gt;0,IFERROR(VALUE(SUBSTITUTE(TRIM(Input!H315&amp;""),"%","")),0)&lt;1),1,100))</f>
        <v/>
      </c>
      <c r="H315" t="str">
        <f>IF(A315="","",IFERROR(VALUE(SUBSTITUTE(TRIM(Input!I315&amp;""),"%","")),0)/IF(AND(IFERROR(VALUE(SUBSTITUTE(TRIM(Input!I315&amp;""),"%","")),0)&gt;0,IFERROR(VALUE(SUBSTITUTE(TRIM(Input!I315&amp;""),"%","")),0)&lt;1),1,100))</f>
        <v/>
      </c>
    </row>
    <row r="316" spans="1:8">
      <c r="A316" t="str">
        <f>IF(TRIM(Input!B316&amp;"")="","",UPPER(TRIM(Input!B316&amp;"")))</f>
        <v/>
      </c>
      <c r="B316" t="str">
        <f>IF(A316="","",IFERROR(VALUE(RIGHT(TRIM(Input!D316&amp;""),1)),0))</f>
        <v/>
      </c>
      <c r="C316" t="str">
        <f t="shared" si="4"/>
        <v/>
      </c>
      <c r="D316" t="str">
        <f>IF(A316="","",IFERROR(VALUE(SUBSTITUTE(TRIM(Input!E316&amp;""),"%","")),0)/IF(AND(IFERROR(VALUE(SUBSTITUTE(TRIM(Input!E316&amp;""),"%","")),0)&gt;0,IFERROR(VALUE(SUBSTITUTE(TRIM(Input!E316&amp;""),"%","")),0)&lt;1),1,100))</f>
        <v/>
      </c>
      <c r="E316" t="str">
        <f>IF(A316="","",IFERROR(VALUE(SUBSTITUTE(TRIM(Input!F316&amp;""),"%","")),0)/IF(AND(IFERROR(VALUE(SUBSTITUTE(TRIM(Input!F316&amp;""),"%","")),0)&gt;0,IFERROR(VALUE(SUBSTITUTE(TRIM(Input!F316&amp;""),"%","")),0)&lt;1),1,100))</f>
        <v/>
      </c>
      <c r="F316" t="str">
        <f>IF(A316="","",IFERROR(VALUE(SUBSTITUTE(TRIM(Input!G316&amp;""),"%","")),0)/IF(AND(IFERROR(VALUE(SUBSTITUTE(TRIM(Input!G316&amp;""),"%","")),0)&gt;0,IFERROR(VALUE(SUBSTITUTE(TRIM(Input!G316&amp;""),"%","")),0)&lt;1),1,100))</f>
        <v/>
      </c>
      <c r="G316" t="str">
        <f>IF(A316="","",IFERROR(VALUE(SUBSTITUTE(TRIM(Input!H316&amp;""),"%","")),0)/IF(AND(IFERROR(VALUE(SUBSTITUTE(TRIM(Input!H316&amp;""),"%","")),0)&gt;0,IFERROR(VALUE(SUBSTITUTE(TRIM(Input!H316&amp;""),"%","")),0)&lt;1),1,100))</f>
        <v/>
      </c>
      <c r="H316" t="str">
        <f>IF(A316="","",IFERROR(VALUE(SUBSTITUTE(TRIM(Input!I316&amp;""),"%","")),0)/IF(AND(IFERROR(VALUE(SUBSTITUTE(TRIM(Input!I316&amp;""),"%","")),0)&gt;0,IFERROR(VALUE(SUBSTITUTE(TRIM(Input!I316&amp;""),"%","")),0)&lt;1),1,100))</f>
        <v/>
      </c>
    </row>
    <row r="317" spans="1:8">
      <c r="A317" t="str">
        <f>IF(TRIM(Input!B317&amp;"")="","",UPPER(TRIM(Input!B317&amp;"")))</f>
        <v/>
      </c>
      <c r="B317" t="str">
        <f>IF(A317="","",IFERROR(VALUE(RIGHT(TRIM(Input!D317&amp;""),1)),0))</f>
        <v/>
      </c>
      <c r="C317" t="str">
        <f t="shared" si="4"/>
        <v/>
      </c>
      <c r="D317" t="str">
        <f>IF(A317="","",IFERROR(VALUE(SUBSTITUTE(TRIM(Input!E317&amp;""),"%","")),0)/IF(AND(IFERROR(VALUE(SUBSTITUTE(TRIM(Input!E317&amp;""),"%","")),0)&gt;0,IFERROR(VALUE(SUBSTITUTE(TRIM(Input!E317&amp;""),"%","")),0)&lt;1),1,100))</f>
        <v/>
      </c>
      <c r="E317" t="str">
        <f>IF(A317="","",IFERROR(VALUE(SUBSTITUTE(TRIM(Input!F317&amp;""),"%","")),0)/IF(AND(IFERROR(VALUE(SUBSTITUTE(TRIM(Input!F317&amp;""),"%","")),0)&gt;0,IFERROR(VALUE(SUBSTITUTE(TRIM(Input!F317&amp;""),"%","")),0)&lt;1),1,100))</f>
        <v/>
      </c>
      <c r="F317" t="str">
        <f>IF(A317="","",IFERROR(VALUE(SUBSTITUTE(TRIM(Input!G317&amp;""),"%","")),0)/IF(AND(IFERROR(VALUE(SUBSTITUTE(TRIM(Input!G317&amp;""),"%","")),0)&gt;0,IFERROR(VALUE(SUBSTITUTE(TRIM(Input!G317&amp;""),"%","")),0)&lt;1),1,100))</f>
        <v/>
      </c>
      <c r="G317" t="str">
        <f>IF(A317="","",IFERROR(VALUE(SUBSTITUTE(TRIM(Input!H317&amp;""),"%","")),0)/IF(AND(IFERROR(VALUE(SUBSTITUTE(TRIM(Input!H317&amp;""),"%","")),0)&gt;0,IFERROR(VALUE(SUBSTITUTE(TRIM(Input!H317&amp;""),"%","")),0)&lt;1),1,100))</f>
        <v/>
      </c>
      <c r="H317" t="str">
        <f>IF(A317="","",IFERROR(VALUE(SUBSTITUTE(TRIM(Input!I317&amp;""),"%","")),0)/IF(AND(IFERROR(VALUE(SUBSTITUTE(TRIM(Input!I317&amp;""),"%","")),0)&gt;0,IFERROR(VALUE(SUBSTITUTE(TRIM(Input!I317&amp;""),"%","")),0)&lt;1),1,100))</f>
        <v/>
      </c>
    </row>
    <row r="318" spans="1:8">
      <c r="A318" t="str">
        <f>IF(TRIM(Input!B318&amp;"")="","",UPPER(TRIM(Input!B318&amp;"")))</f>
        <v/>
      </c>
      <c r="B318" t="str">
        <f>IF(A318="","",IFERROR(VALUE(RIGHT(TRIM(Input!D318&amp;""),1)),0))</f>
        <v/>
      </c>
      <c r="C318" t="str">
        <f t="shared" si="4"/>
        <v/>
      </c>
      <c r="D318" t="str">
        <f>IF(A318="","",IFERROR(VALUE(SUBSTITUTE(TRIM(Input!E318&amp;""),"%","")),0)/IF(AND(IFERROR(VALUE(SUBSTITUTE(TRIM(Input!E318&amp;""),"%","")),0)&gt;0,IFERROR(VALUE(SUBSTITUTE(TRIM(Input!E318&amp;""),"%","")),0)&lt;1),1,100))</f>
        <v/>
      </c>
      <c r="E318" t="str">
        <f>IF(A318="","",IFERROR(VALUE(SUBSTITUTE(TRIM(Input!F318&amp;""),"%","")),0)/IF(AND(IFERROR(VALUE(SUBSTITUTE(TRIM(Input!F318&amp;""),"%","")),0)&gt;0,IFERROR(VALUE(SUBSTITUTE(TRIM(Input!F318&amp;""),"%","")),0)&lt;1),1,100))</f>
        <v/>
      </c>
      <c r="F318" t="str">
        <f>IF(A318="","",IFERROR(VALUE(SUBSTITUTE(TRIM(Input!G318&amp;""),"%","")),0)/IF(AND(IFERROR(VALUE(SUBSTITUTE(TRIM(Input!G318&amp;""),"%","")),0)&gt;0,IFERROR(VALUE(SUBSTITUTE(TRIM(Input!G318&amp;""),"%","")),0)&lt;1),1,100))</f>
        <v/>
      </c>
      <c r="G318" t="str">
        <f>IF(A318="","",IFERROR(VALUE(SUBSTITUTE(TRIM(Input!H318&amp;""),"%","")),0)/IF(AND(IFERROR(VALUE(SUBSTITUTE(TRIM(Input!H318&amp;""),"%","")),0)&gt;0,IFERROR(VALUE(SUBSTITUTE(TRIM(Input!H318&amp;""),"%","")),0)&lt;1),1,100))</f>
        <v/>
      </c>
      <c r="H318" t="str">
        <f>IF(A318="","",IFERROR(VALUE(SUBSTITUTE(TRIM(Input!I318&amp;""),"%","")),0)/IF(AND(IFERROR(VALUE(SUBSTITUTE(TRIM(Input!I318&amp;""),"%","")),0)&gt;0,IFERROR(VALUE(SUBSTITUTE(TRIM(Input!I318&amp;""),"%","")),0)&lt;1),1,100))</f>
        <v/>
      </c>
    </row>
    <row r="319" spans="1:8">
      <c r="A319" t="str">
        <f>IF(TRIM(Input!B319&amp;"")="","",UPPER(TRIM(Input!B319&amp;"")))</f>
        <v/>
      </c>
      <c r="B319" t="str">
        <f>IF(A319="","",IFERROR(VALUE(RIGHT(TRIM(Input!D319&amp;""),1)),0))</f>
        <v/>
      </c>
      <c r="C319" t="str">
        <f t="shared" si="4"/>
        <v/>
      </c>
      <c r="D319" t="str">
        <f>IF(A319="","",IFERROR(VALUE(SUBSTITUTE(TRIM(Input!E319&amp;""),"%","")),0)/IF(AND(IFERROR(VALUE(SUBSTITUTE(TRIM(Input!E319&amp;""),"%","")),0)&gt;0,IFERROR(VALUE(SUBSTITUTE(TRIM(Input!E319&amp;""),"%","")),0)&lt;1),1,100))</f>
        <v/>
      </c>
      <c r="E319" t="str">
        <f>IF(A319="","",IFERROR(VALUE(SUBSTITUTE(TRIM(Input!F319&amp;""),"%","")),0)/IF(AND(IFERROR(VALUE(SUBSTITUTE(TRIM(Input!F319&amp;""),"%","")),0)&gt;0,IFERROR(VALUE(SUBSTITUTE(TRIM(Input!F319&amp;""),"%","")),0)&lt;1),1,100))</f>
        <v/>
      </c>
      <c r="F319" t="str">
        <f>IF(A319="","",IFERROR(VALUE(SUBSTITUTE(TRIM(Input!G319&amp;""),"%","")),0)/IF(AND(IFERROR(VALUE(SUBSTITUTE(TRIM(Input!G319&amp;""),"%","")),0)&gt;0,IFERROR(VALUE(SUBSTITUTE(TRIM(Input!G319&amp;""),"%","")),0)&lt;1),1,100))</f>
        <v/>
      </c>
      <c r="G319" t="str">
        <f>IF(A319="","",IFERROR(VALUE(SUBSTITUTE(TRIM(Input!H319&amp;""),"%","")),0)/IF(AND(IFERROR(VALUE(SUBSTITUTE(TRIM(Input!H319&amp;""),"%","")),0)&gt;0,IFERROR(VALUE(SUBSTITUTE(TRIM(Input!H319&amp;""),"%","")),0)&lt;1),1,100))</f>
        <v/>
      </c>
      <c r="H319" t="str">
        <f>IF(A319="","",IFERROR(VALUE(SUBSTITUTE(TRIM(Input!I319&amp;""),"%","")),0)/IF(AND(IFERROR(VALUE(SUBSTITUTE(TRIM(Input!I319&amp;""),"%","")),0)&gt;0,IFERROR(VALUE(SUBSTITUTE(TRIM(Input!I319&amp;""),"%","")),0)&lt;1),1,100))</f>
        <v/>
      </c>
    </row>
    <row r="320" spans="1:8">
      <c r="A320" t="str">
        <f>IF(TRIM(Input!B320&amp;"")="","",UPPER(TRIM(Input!B320&amp;"")))</f>
        <v/>
      </c>
      <c r="B320" t="str">
        <f>IF(A320="","",IFERROR(VALUE(RIGHT(TRIM(Input!D320&amp;""),1)),0))</f>
        <v/>
      </c>
      <c r="C320" t="str">
        <f t="shared" si="4"/>
        <v/>
      </c>
      <c r="D320" t="str">
        <f>IF(A320="","",IFERROR(VALUE(SUBSTITUTE(TRIM(Input!E320&amp;""),"%","")),0)/IF(AND(IFERROR(VALUE(SUBSTITUTE(TRIM(Input!E320&amp;""),"%","")),0)&gt;0,IFERROR(VALUE(SUBSTITUTE(TRIM(Input!E320&amp;""),"%","")),0)&lt;1),1,100))</f>
        <v/>
      </c>
      <c r="E320" t="str">
        <f>IF(A320="","",IFERROR(VALUE(SUBSTITUTE(TRIM(Input!F320&amp;""),"%","")),0)/IF(AND(IFERROR(VALUE(SUBSTITUTE(TRIM(Input!F320&amp;""),"%","")),0)&gt;0,IFERROR(VALUE(SUBSTITUTE(TRIM(Input!F320&amp;""),"%","")),0)&lt;1),1,100))</f>
        <v/>
      </c>
      <c r="F320" t="str">
        <f>IF(A320="","",IFERROR(VALUE(SUBSTITUTE(TRIM(Input!G320&amp;""),"%","")),0)/IF(AND(IFERROR(VALUE(SUBSTITUTE(TRIM(Input!G320&amp;""),"%","")),0)&gt;0,IFERROR(VALUE(SUBSTITUTE(TRIM(Input!G320&amp;""),"%","")),0)&lt;1),1,100))</f>
        <v/>
      </c>
      <c r="G320" t="str">
        <f>IF(A320="","",IFERROR(VALUE(SUBSTITUTE(TRIM(Input!H320&amp;""),"%","")),0)/IF(AND(IFERROR(VALUE(SUBSTITUTE(TRIM(Input!H320&amp;""),"%","")),0)&gt;0,IFERROR(VALUE(SUBSTITUTE(TRIM(Input!H320&amp;""),"%","")),0)&lt;1),1,100))</f>
        <v/>
      </c>
      <c r="H320" t="str">
        <f>IF(A320="","",IFERROR(VALUE(SUBSTITUTE(TRIM(Input!I320&amp;""),"%","")),0)/IF(AND(IFERROR(VALUE(SUBSTITUTE(TRIM(Input!I320&amp;""),"%","")),0)&gt;0,IFERROR(VALUE(SUBSTITUTE(TRIM(Input!I320&amp;""),"%","")),0)&lt;1),1,100))</f>
        <v/>
      </c>
    </row>
    <row r="321" spans="1:8">
      <c r="A321" t="str">
        <f>IF(TRIM(Input!B321&amp;"")="","",UPPER(TRIM(Input!B321&amp;"")))</f>
        <v/>
      </c>
      <c r="B321" t="str">
        <f>IF(A321="","",IFERROR(VALUE(RIGHT(TRIM(Input!D321&amp;""),1)),0))</f>
        <v/>
      </c>
      <c r="C321" t="str">
        <f t="shared" si="4"/>
        <v/>
      </c>
      <c r="D321" t="str">
        <f>IF(A321="","",IFERROR(VALUE(SUBSTITUTE(TRIM(Input!E321&amp;""),"%","")),0)/IF(AND(IFERROR(VALUE(SUBSTITUTE(TRIM(Input!E321&amp;""),"%","")),0)&gt;0,IFERROR(VALUE(SUBSTITUTE(TRIM(Input!E321&amp;""),"%","")),0)&lt;1),1,100))</f>
        <v/>
      </c>
      <c r="E321" t="str">
        <f>IF(A321="","",IFERROR(VALUE(SUBSTITUTE(TRIM(Input!F321&amp;""),"%","")),0)/IF(AND(IFERROR(VALUE(SUBSTITUTE(TRIM(Input!F321&amp;""),"%","")),0)&gt;0,IFERROR(VALUE(SUBSTITUTE(TRIM(Input!F321&amp;""),"%","")),0)&lt;1),1,100))</f>
        <v/>
      </c>
      <c r="F321" t="str">
        <f>IF(A321="","",IFERROR(VALUE(SUBSTITUTE(TRIM(Input!G321&amp;""),"%","")),0)/IF(AND(IFERROR(VALUE(SUBSTITUTE(TRIM(Input!G321&amp;""),"%","")),0)&gt;0,IFERROR(VALUE(SUBSTITUTE(TRIM(Input!G321&amp;""),"%","")),0)&lt;1),1,100))</f>
        <v/>
      </c>
      <c r="G321" t="str">
        <f>IF(A321="","",IFERROR(VALUE(SUBSTITUTE(TRIM(Input!H321&amp;""),"%","")),0)/IF(AND(IFERROR(VALUE(SUBSTITUTE(TRIM(Input!H321&amp;""),"%","")),0)&gt;0,IFERROR(VALUE(SUBSTITUTE(TRIM(Input!H321&amp;""),"%","")),0)&lt;1),1,100))</f>
        <v/>
      </c>
      <c r="H321" t="str">
        <f>IF(A321="","",IFERROR(VALUE(SUBSTITUTE(TRIM(Input!I321&amp;""),"%","")),0)/IF(AND(IFERROR(VALUE(SUBSTITUTE(TRIM(Input!I321&amp;""),"%","")),0)&gt;0,IFERROR(VALUE(SUBSTITUTE(TRIM(Input!I321&amp;""),"%","")),0)&lt;1),1,100))</f>
        <v/>
      </c>
    </row>
    <row r="322" spans="1:8">
      <c r="A322" t="str">
        <f>IF(TRIM(Input!B322&amp;"")="","",UPPER(TRIM(Input!B322&amp;"")))</f>
        <v/>
      </c>
      <c r="B322" t="str">
        <f>IF(A322="","",IFERROR(VALUE(RIGHT(TRIM(Input!D322&amp;""),1)),0))</f>
        <v/>
      </c>
      <c r="C322" t="str">
        <f t="shared" ref="C322:C385" si="5">IF(A322="","",A322&amp;"|"&amp;B322)</f>
        <v/>
      </c>
      <c r="D322" t="str">
        <f>IF(A322="","",IFERROR(VALUE(SUBSTITUTE(TRIM(Input!E322&amp;""),"%","")),0)/IF(AND(IFERROR(VALUE(SUBSTITUTE(TRIM(Input!E322&amp;""),"%","")),0)&gt;0,IFERROR(VALUE(SUBSTITUTE(TRIM(Input!E322&amp;""),"%","")),0)&lt;1),1,100))</f>
        <v/>
      </c>
      <c r="E322" t="str">
        <f>IF(A322="","",IFERROR(VALUE(SUBSTITUTE(TRIM(Input!F322&amp;""),"%","")),0)/IF(AND(IFERROR(VALUE(SUBSTITUTE(TRIM(Input!F322&amp;""),"%","")),0)&gt;0,IFERROR(VALUE(SUBSTITUTE(TRIM(Input!F322&amp;""),"%","")),0)&lt;1),1,100))</f>
        <v/>
      </c>
      <c r="F322" t="str">
        <f>IF(A322="","",IFERROR(VALUE(SUBSTITUTE(TRIM(Input!G322&amp;""),"%","")),0)/IF(AND(IFERROR(VALUE(SUBSTITUTE(TRIM(Input!G322&amp;""),"%","")),0)&gt;0,IFERROR(VALUE(SUBSTITUTE(TRIM(Input!G322&amp;""),"%","")),0)&lt;1),1,100))</f>
        <v/>
      </c>
      <c r="G322" t="str">
        <f>IF(A322="","",IFERROR(VALUE(SUBSTITUTE(TRIM(Input!H322&amp;""),"%","")),0)/IF(AND(IFERROR(VALUE(SUBSTITUTE(TRIM(Input!H322&amp;""),"%","")),0)&gt;0,IFERROR(VALUE(SUBSTITUTE(TRIM(Input!H322&amp;""),"%","")),0)&lt;1),1,100))</f>
        <v/>
      </c>
      <c r="H322" t="str">
        <f>IF(A322="","",IFERROR(VALUE(SUBSTITUTE(TRIM(Input!I322&amp;""),"%","")),0)/IF(AND(IFERROR(VALUE(SUBSTITUTE(TRIM(Input!I322&amp;""),"%","")),0)&gt;0,IFERROR(VALUE(SUBSTITUTE(TRIM(Input!I322&amp;""),"%","")),0)&lt;1),1,100))</f>
        <v/>
      </c>
    </row>
    <row r="323" spans="1:8">
      <c r="A323" t="str">
        <f>IF(TRIM(Input!B323&amp;"")="","",UPPER(TRIM(Input!B323&amp;"")))</f>
        <v/>
      </c>
      <c r="B323" t="str">
        <f>IF(A323="","",IFERROR(VALUE(RIGHT(TRIM(Input!D323&amp;""),1)),0))</f>
        <v/>
      </c>
      <c r="C323" t="str">
        <f t="shared" si="5"/>
        <v/>
      </c>
      <c r="D323" t="str">
        <f>IF(A323="","",IFERROR(VALUE(SUBSTITUTE(TRIM(Input!E323&amp;""),"%","")),0)/IF(AND(IFERROR(VALUE(SUBSTITUTE(TRIM(Input!E323&amp;""),"%","")),0)&gt;0,IFERROR(VALUE(SUBSTITUTE(TRIM(Input!E323&amp;""),"%","")),0)&lt;1),1,100))</f>
        <v/>
      </c>
      <c r="E323" t="str">
        <f>IF(A323="","",IFERROR(VALUE(SUBSTITUTE(TRIM(Input!F323&amp;""),"%","")),0)/IF(AND(IFERROR(VALUE(SUBSTITUTE(TRIM(Input!F323&amp;""),"%","")),0)&gt;0,IFERROR(VALUE(SUBSTITUTE(TRIM(Input!F323&amp;""),"%","")),0)&lt;1),1,100))</f>
        <v/>
      </c>
      <c r="F323" t="str">
        <f>IF(A323="","",IFERROR(VALUE(SUBSTITUTE(TRIM(Input!G323&amp;""),"%","")),0)/IF(AND(IFERROR(VALUE(SUBSTITUTE(TRIM(Input!G323&amp;""),"%","")),0)&gt;0,IFERROR(VALUE(SUBSTITUTE(TRIM(Input!G323&amp;""),"%","")),0)&lt;1),1,100))</f>
        <v/>
      </c>
      <c r="G323" t="str">
        <f>IF(A323="","",IFERROR(VALUE(SUBSTITUTE(TRIM(Input!H323&amp;""),"%","")),0)/IF(AND(IFERROR(VALUE(SUBSTITUTE(TRIM(Input!H323&amp;""),"%","")),0)&gt;0,IFERROR(VALUE(SUBSTITUTE(TRIM(Input!H323&amp;""),"%","")),0)&lt;1),1,100))</f>
        <v/>
      </c>
      <c r="H323" t="str">
        <f>IF(A323="","",IFERROR(VALUE(SUBSTITUTE(TRIM(Input!I323&amp;""),"%","")),0)/IF(AND(IFERROR(VALUE(SUBSTITUTE(TRIM(Input!I323&amp;""),"%","")),0)&gt;0,IFERROR(VALUE(SUBSTITUTE(TRIM(Input!I323&amp;""),"%","")),0)&lt;1),1,100))</f>
        <v/>
      </c>
    </row>
    <row r="324" spans="1:8">
      <c r="A324" t="str">
        <f>IF(TRIM(Input!B324&amp;"")="","",UPPER(TRIM(Input!B324&amp;"")))</f>
        <v/>
      </c>
      <c r="B324" t="str">
        <f>IF(A324="","",IFERROR(VALUE(RIGHT(TRIM(Input!D324&amp;""),1)),0))</f>
        <v/>
      </c>
      <c r="C324" t="str">
        <f t="shared" si="5"/>
        <v/>
      </c>
      <c r="D324" t="str">
        <f>IF(A324="","",IFERROR(VALUE(SUBSTITUTE(TRIM(Input!E324&amp;""),"%","")),0)/IF(AND(IFERROR(VALUE(SUBSTITUTE(TRIM(Input!E324&amp;""),"%","")),0)&gt;0,IFERROR(VALUE(SUBSTITUTE(TRIM(Input!E324&amp;""),"%","")),0)&lt;1),1,100))</f>
        <v/>
      </c>
      <c r="E324" t="str">
        <f>IF(A324="","",IFERROR(VALUE(SUBSTITUTE(TRIM(Input!F324&amp;""),"%","")),0)/IF(AND(IFERROR(VALUE(SUBSTITUTE(TRIM(Input!F324&amp;""),"%","")),0)&gt;0,IFERROR(VALUE(SUBSTITUTE(TRIM(Input!F324&amp;""),"%","")),0)&lt;1),1,100))</f>
        <v/>
      </c>
      <c r="F324" t="str">
        <f>IF(A324="","",IFERROR(VALUE(SUBSTITUTE(TRIM(Input!G324&amp;""),"%","")),0)/IF(AND(IFERROR(VALUE(SUBSTITUTE(TRIM(Input!G324&amp;""),"%","")),0)&gt;0,IFERROR(VALUE(SUBSTITUTE(TRIM(Input!G324&amp;""),"%","")),0)&lt;1),1,100))</f>
        <v/>
      </c>
      <c r="G324" t="str">
        <f>IF(A324="","",IFERROR(VALUE(SUBSTITUTE(TRIM(Input!H324&amp;""),"%","")),0)/IF(AND(IFERROR(VALUE(SUBSTITUTE(TRIM(Input!H324&amp;""),"%","")),0)&gt;0,IFERROR(VALUE(SUBSTITUTE(TRIM(Input!H324&amp;""),"%","")),0)&lt;1),1,100))</f>
        <v/>
      </c>
      <c r="H324" t="str">
        <f>IF(A324="","",IFERROR(VALUE(SUBSTITUTE(TRIM(Input!I324&amp;""),"%","")),0)/IF(AND(IFERROR(VALUE(SUBSTITUTE(TRIM(Input!I324&amp;""),"%","")),0)&gt;0,IFERROR(VALUE(SUBSTITUTE(TRIM(Input!I324&amp;""),"%","")),0)&lt;1),1,100))</f>
        <v/>
      </c>
    </row>
    <row r="325" spans="1:8">
      <c r="A325" t="str">
        <f>IF(TRIM(Input!B325&amp;"")="","",UPPER(TRIM(Input!B325&amp;"")))</f>
        <v/>
      </c>
      <c r="B325" t="str">
        <f>IF(A325="","",IFERROR(VALUE(RIGHT(TRIM(Input!D325&amp;""),1)),0))</f>
        <v/>
      </c>
      <c r="C325" t="str">
        <f t="shared" si="5"/>
        <v/>
      </c>
      <c r="D325" t="str">
        <f>IF(A325="","",IFERROR(VALUE(SUBSTITUTE(TRIM(Input!E325&amp;""),"%","")),0)/IF(AND(IFERROR(VALUE(SUBSTITUTE(TRIM(Input!E325&amp;""),"%","")),0)&gt;0,IFERROR(VALUE(SUBSTITUTE(TRIM(Input!E325&amp;""),"%","")),0)&lt;1),1,100))</f>
        <v/>
      </c>
      <c r="E325" t="str">
        <f>IF(A325="","",IFERROR(VALUE(SUBSTITUTE(TRIM(Input!F325&amp;""),"%","")),0)/IF(AND(IFERROR(VALUE(SUBSTITUTE(TRIM(Input!F325&amp;""),"%","")),0)&gt;0,IFERROR(VALUE(SUBSTITUTE(TRIM(Input!F325&amp;""),"%","")),0)&lt;1),1,100))</f>
        <v/>
      </c>
      <c r="F325" t="str">
        <f>IF(A325="","",IFERROR(VALUE(SUBSTITUTE(TRIM(Input!G325&amp;""),"%","")),0)/IF(AND(IFERROR(VALUE(SUBSTITUTE(TRIM(Input!G325&amp;""),"%","")),0)&gt;0,IFERROR(VALUE(SUBSTITUTE(TRIM(Input!G325&amp;""),"%","")),0)&lt;1),1,100))</f>
        <v/>
      </c>
      <c r="G325" t="str">
        <f>IF(A325="","",IFERROR(VALUE(SUBSTITUTE(TRIM(Input!H325&amp;""),"%","")),0)/IF(AND(IFERROR(VALUE(SUBSTITUTE(TRIM(Input!H325&amp;""),"%","")),0)&gt;0,IFERROR(VALUE(SUBSTITUTE(TRIM(Input!H325&amp;""),"%","")),0)&lt;1),1,100))</f>
        <v/>
      </c>
      <c r="H325" t="str">
        <f>IF(A325="","",IFERROR(VALUE(SUBSTITUTE(TRIM(Input!I325&amp;""),"%","")),0)/IF(AND(IFERROR(VALUE(SUBSTITUTE(TRIM(Input!I325&amp;""),"%","")),0)&gt;0,IFERROR(VALUE(SUBSTITUTE(TRIM(Input!I325&amp;""),"%","")),0)&lt;1),1,100))</f>
        <v/>
      </c>
    </row>
    <row r="326" spans="1:8">
      <c r="A326" t="str">
        <f>IF(TRIM(Input!B326&amp;"")="","",UPPER(TRIM(Input!B326&amp;"")))</f>
        <v/>
      </c>
      <c r="B326" t="str">
        <f>IF(A326="","",IFERROR(VALUE(RIGHT(TRIM(Input!D326&amp;""),1)),0))</f>
        <v/>
      </c>
      <c r="C326" t="str">
        <f t="shared" si="5"/>
        <v/>
      </c>
      <c r="D326" t="str">
        <f>IF(A326="","",IFERROR(VALUE(SUBSTITUTE(TRIM(Input!E326&amp;""),"%","")),0)/IF(AND(IFERROR(VALUE(SUBSTITUTE(TRIM(Input!E326&amp;""),"%","")),0)&gt;0,IFERROR(VALUE(SUBSTITUTE(TRIM(Input!E326&amp;""),"%","")),0)&lt;1),1,100))</f>
        <v/>
      </c>
      <c r="E326" t="str">
        <f>IF(A326="","",IFERROR(VALUE(SUBSTITUTE(TRIM(Input!F326&amp;""),"%","")),0)/IF(AND(IFERROR(VALUE(SUBSTITUTE(TRIM(Input!F326&amp;""),"%","")),0)&gt;0,IFERROR(VALUE(SUBSTITUTE(TRIM(Input!F326&amp;""),"%","")),0)&lt;1),1,100))</f>
        <v/>
      </c>
      <c r="F326" t="str">
        <f>IF(A326="","",IFERROR(VALUE(SUBSTITUTE(TRIM(Input!G326&amp;""),"%","")),0)/IF(AND(IFERROR(VALUE(SUBSTITUTE(TRIM(Input!G326&amp;""),"%","")),0)&gt;0,IFERROR(VALUE(SUBSTITUTE(TRIM(Input!G326&amp;""),"%","")),0)&lt;1),1,100))</f>
        <v/>
      </c>
      <c r="G326" t="str">
        <f>IF(A326="","",IFERROR(VALUE(SUBSTITUTE(TRIM(Input!H326&amp;""),"%","")),0)/IF(AND(IFERROR(VALUE(SUBSTITUTE(TRIM(Input!H326&amp;""),"%","")),0)&gt;0,IFERROR(VALUE(SUBSTITUTE(TRIM(Input!H326&amp;""),"%","")),0)&lt;1),1,100))</f>
        <v/>
      </c>
      <c r="H326" t="str">
        <f>IF(A326="","",IFERROR(VALUE(SUBSTITUTE(TRIM(Input!I326&amp;""),"%","")),0)/IF(AND(IFERROR(VALUE(SUBSTITUTE(TRIM(Input!I326&amp;""),"%","")),0)&gt;0,IFERROR(VALUE(SUBSTITUTE(TRIM(Input!I326&amp;""),"%","")),0)&lt;1),1,100))</f>
        <v/>
      </c>
    </row>
    <row r="327" spans="1:8">
      <c r="A327" t="str">
        <f>IF(TRIM(Input!B327&amp;"")="","",UPPER(TRIM(Input!B327&amp;"")))</f>
        <v/>
      </c>
      <c r="B327" t="str">
        <f>IF(A327="","",IFERROR(VALUE(RIGHT(TRIM(Input!D327&amp;""),1)),0))</f>
        <v/>
      </c>
      <c r="C327" t="str">
        <f t="shared" si="5"/>
        <v/>
      </c>
      <c r="D327" t="str">
        <f>IF(A327="","",IFERROR(VALUE(SUBSTITUTE(TRIM(Input!E327&amp;""),"%","")),0)/IF(AND(IFERROR(VALUE(SUBSTITUTE(TRIM(Input!E327&amp;""),"%","")),0)&gt;0,IFERROR(VALUE(SUBSTITUTE(TRIM(Input!E327&amp;""),"%","")),0)&lt;1),1,100))</f>
        <v/>
      </c>
      <c r="E327" t="str">
        <f>IF(A327="","",IFERROR(VALUE(SUBSTITUTE(TRIM(Input!F327&amp;""),"%","")),0)/IF(AND(IFERROR(VALUE(SUBSTITUTE(TRIM(Input!F327&amp;""),"%","")),0)&gt;0,IFERROR(VALUE(SUBSTITUTE(TRIM(Input!F327&amp;""),"%","")),0)&lt;1),1,100))</f>
        <v/>
      </c>
      <c r="F327" t="str">
        <f>IF(A327="","",IFERROR(VALUE(SUBSTITUTE(TRIM(Input!G327&amp;""),"%","")),0)/IF(AND(IFERROR(VALUE(SUBSTITUTE(TRIM(Input!G327&amp;""),"%","")),0)&gt;0,IFERROR(VALUE(SUBSTITUTE(TRIM(Input!G327&amp;""),"%","")),0)&lt;1),1,100))</f>
        <v/>
      </c>
      <c r="G327" t="str">
        <f>IF(A327="","",IFERROR(VALUE(SUBSTITUTE(TRIM(Input!H327&amp;""),"%","")),0)/IF(AND(IFERROR(VALUE(SUBSTITUTE(TRIM(Input!H327&amp;""),"%","")),0)&gt;0,IFERROR(VALUE(SUBSTITUTE(TRIM(Input!H327&amp;""),"%","")),0)&lt;1),1,100))</f>
        <v/>
      </c>
      <c r="H327" t="str">
        <f>IF(A327="","",IFERROR(VALUE(SUBSTITUTE(TRIM(Input!I327&amp;""),"%","")),0)/IF(AND(IFERROR(VALUE(SUBSTITUTE(TRIM(Input!I327&amp;""),"%","")),0)&gt;0,IFERROR(VALUE(SUBSTITUTE(TRIM(Input!I327&amp;""),"%","")),0)&lt;1),1,100))</f>
        <v/>
      </c>
    </row>
    <row r="328" spans="1:8">
      <c r="A328" t="str">
        <f>IF(TRIM(Input!B328&amp;"")="","",UPPER(TRIM(Input!B328&amp;"")))</f>
        <v/>
      </c>
      <c r="B328" t="str">
        <f>IF(A328="","",IFERROR(VALUE(RIGHT(TRIM(Input!D328&amp;""),1)),0))</f>
        <v/>
      </c>
      <c r="C328" t="str">
        <f t="shared" si="5"/>
        <v/>
      </c>
      <c r="D328" t="str">
        <f>IF(A328="","",IFERROR(VALUE(SUBSTITUTE(TRIM(Input!E328&amp;""),"%","")),0)/IF(AND(IFERROR(VALUE(SUBSTITUTE(TRIM(Input!E328&amp;""),"%","")),0)&gt;0,IFERROR(VALUE(SUBSTITUTE(TRIM(Input!E328&amp;""),"%","")),0)&lt;1),1,100))</f>
        <v/>
      </c>
      <c r="E328" t="str">
        <f>IF(A328="","",IFERROR(VALUE(SUBSTITUTE(TRIM(Input!F328&amp;""),"%","")),0)/IF(AND(IFERROR(VALUE(SUBSTITUTE(TRIM(Input!F328&amp;""),"%","")),0)&gt;0,IFERROR(VALUE(SUBSTITUTE(TRIM(Input!F328&amp;""),"%","")),0)&lt;1),1,100))</f>
        <v/>
      </c>
      <c r="F328" t="str">
        <f>IF(A328="","",IFERROR(VALUE(SUBSTITUTE(TRIM(Input!G328&amp;""),"%","")),0)/IF(AND(IFERROR(VALUE(SUBSTITUTE(TRIM(Input!G328&amp;""),"%","")),0)&gt;0,IFERROR(VALUE(SUBSTITUTE(TRIM(Input!G328&amp;""),"%","")),0)&lt;1),1,100))</f>
        <v/>
      </c>
      <c r="G328" t="str">
        <f>IF(A328="","",IFERROR(VALUE(SUBSTITUTE(TRIM(Input!H328&amp;""),"%","")),0)/IF(AND(IFERROR(VALUE(SUBSTITUTE(TRIM(Input!H328&amp;""),"%","")),0)&gt;0,IFERROR(VALUE(SUBSTITUTE(TRIM(Input!H328&amp;""),"%","")),0)&lt;1),1,100))</f>
        <v/>
      </c>
      <c r="H328" t="str">
        <f>IF(A328="","",IFERROR(VALUE(SUBSTITUTE(TRIM(Input!I328&amp;""),"%","")),0)/IF(AND(IFERROR(VALUE(SUBSTITUTE(TRIM(Input!I328&amp;""),"%","")),0)&gt;0,IFERROR(VALUE(SUBSTITUTE(TRIM(Input!I328&amp;""),"%","")),0)&lt;1),1,100))</f>
        <v/>
      </c>
    </row>
    <row r="329" spans="1:8">
      <c r="A329" t="str">
        <f>IF(TRIM(Input!B329&amp;"")="","",UPPER(TRIM(Input!B329&amp;"")))</f>
        <v/>
      </c>
      <c r="B329" t="str">
        <f>IF(A329="","",IFERROR(VALUE(RIGHT(TRIM(Input!D329&amp;""),1)),0))</f>
        <v/>
      </c>
      <c r="C329" t="str">
        <f t="shared" si="5"/>
        <v/>
      </c>
      <c r="D329" t="str">
        <f>IF(A329="","",IFERROR(VALUE(SUBSTITUTE(TRIM(Input!E329&amp;""),"%","")),0)/IF(AND(IFERROR(VALUE(SUBSTITUTE(TRIM(Input!E329&amp;""),"%","")),0)&gt;0,IFERROR(VALUE(SUBSTITUTE(TRIM(Input!E329&amp;""),"%","")),0)&lt;1),1,100))</f>
        <v/>
      </c>
      <c r="E329" t="str">
        <f>IF(A329="","",IFERROR(VALUE(SUBSTITUTE(TRIM(Input!F329&amp;""),"%","")),0)/IF(AND(IFERROR(VALUE(SUBSTITUTE(TRIM(Input!F329&amp;""),"%","")),0)&gt;0,IFERROR(VALUE(SUBSTITUTE(TRIM(Input!F329&amp;""),"%","")),0)&lt;1),1,100))</f>
        <v/>
      </c>
      <c r="F329" t="str">
        <f>IF(A329="","",IFERROR(VALUE(SUBSTITUTE(TRIM(Input!G329&amp;""),"%","")),0)/IF(AND(IFERROR(VALUE(SUBSTITUTE(TRIM(Input!G329&amp;""),"%","")),0)&gt;0,IFERROR(VALUE(SUBSTITUTE(TRIM(Input!G329&amp;""),"%","")),0)&lt;1),1,100))</f>
        <v/>
      </c>
      <c r="G329" t="str">
        <f>IF(A329="","",IFERROR(VALUE(SUBSTITUTE(TRIM(Input!H329&amp;""),"%","")),0)/IF(AND(IFERROR(VALUE(SUBSTITUTE(TRIM(Input!H329&amp;""),"%","")),0)&gt;0,IFERROR(VALUE(SUBSTITUTE(TRIM(Input!H329&amp;""),"%","")),0)&lt;1),1,100))</f>
        <v/>
      </c>
      <c r="H329" t="str">
        <f>IF(A329="","",IFERROR(VALUE(SUBSTITUTE(TRIM(Input!I329&amp;""),"%","")),0)/IF(AND(IFERROR(VALUE(SUBSTITUTE(TRIM(Input!I329&amp;""),"%","")),0)&gt;0,IFERROR(VALUE(SUBSTITUTE(TRIM(Input!I329&amp;""),"%","")),0)&lt;1),1,100))</f>
        <v/>
      </c>
    </row>
    <row r="330" spans="1:8">
      <c r="A330" t="str">
        <f>IF(TRIM(Input!B330&amp;"")="","",UPPER(TRIM(Input!B330&amp;"")))</f>
        <v/>
      </c>
      <c r="B330" t="str">
        <f>IF(A330="","",IFERROR(VALUE(RIGHT(TRIM(Input!D330&amp;""),1)),0))</f>
        <v/>
      </c>
      <c r="C330" t="str">
        <f t="shared" si="5"/>
        <v/>
      </c>
      <c r="D330" t="str">
        <f>IF(A330="","",IFERROR(VALUE(SUBSTITUTE(TRIM(Input!E330&amp;""),"%","")),0)/IF(AND(IFERROR(VALUE(SUBSTITUTE(TRIM(Input!E330&amp;""),"%","")),0)&gt;0,IFERROR(VALUE(SUBSTITUTE(TRIM(Input!E330&amp;""),"%","")),0)&lt;1),1,100))</f>
        <v/>
      </c>
      <c r="E330" t="str">
        <f>IF(A330="","",IFERROR(VALUE(SUBSTITUTE(TRIM(Input!F330&amp;""),"%","")),0)/IF(AND(IFERROR(VALUE(SUBSTITUTE(TRIM(Input!F330&amp;""),"%","")),0)&gt;0,IFERROR(VALUE(SUBSTITUTE(TRIM(Input!F330&amp;""),"%","")),0)&lt;1),1,100))</f>
        <v/>
      </c>
      <c r="F330" t="str">
        <f>IF(A330="","",IFERROR(VALUE(SUBSTITUTE(TRIM(Input!G330&amp;""),"%","")),0)/IF(AND(IFERROR(VALUE(SUBSTITUTE(TRIM(Input!G330&amp;""),"%","")),0)&gt;0,IFERROR(VALUE(SUBSTITUTE(TRIM(Input!G330&amp;""),"%","")),0)&lt;1),1,100))</f>
        <v/>
      </c>
      <c r="G330" t="str">
        <f>IF(A330="","",IFERROR(VALUE(SUBSTITUTE(TRIM(Input!H330&amp;""),"%","")),0)/IF(AND(IFERROR(VALUE(SUBSTITUTE(TRIM(Input!H330&amp;""),"%","")),0)&gt;0,IFERROR(VALUE(SUBSTITUTE(TRIM(Input!H330&amp;""),"%","")),0)&lt;1),1,100))</f>
        <v/>
      </c>
      <c r="H330" t="str">
        <f>IF(A330="","",IFERROR(VALUE(SUBSTITUTE(TRIM(Input!I330&amp;""),"%","")),0)/IF(AND(IFERROR(VALUE(SUBSTITUTE(TRIM(Input!I330&amp;""),"%","")),0)&gt;0,IFERROR(VALUE(SUBSTITUTE(TRIM(Input!I330&amp;""),"%","")),0)&lt;1),1,100))</f>
        <v/>
      </c>
    </row>
    <row r="331" spans="1:8">
      <c r="A331" t="str">
        <f>IF(TRIM(Input!B331&amp;"")="","",UPPER(TRIM(Input!B331&amp;"")))</f>
        <v/>
      </c>
      <c r="B331" t="str">
        <f>IF(A331="","",IFERROR(VALUE(RIGHT(TRIM(Input!D331&amp;""),1)),0))</f>
        <v/>
      </c>
      <c r="C331" t="str">
        <f t="shared" si="5"/>
        <v/>
      </c>
      <c r="D331" t="str">
        <f>IF(A331="","",IFERROR(VALUE(SUBSTITUTE(TRIM(Input!E331&amp;""),"%","")),0)/IF(AND(IFERROR(VALUE(SUBSTITUTE(TRIM(Input!E331&amp;""),"%","")),0)&gt;0,IFERROR(VALUE(SUBSTITUTE(TRIM(Input!E331&amp;""),"%","")),0)&lt;1),1,100))</f>
        <v/>
      </c>
      <c r="E331" t="str">
        <f>IF(A331="","",IFERROR(VALUE(SUBSTITUTE(TRIM(Input!F331&amp;""),"%","")),0)/IF(AND(IFERROR(VALUE(SUBSTITUTE(TRIM(Input!F331&amp;""),"%","")),0)&gt;0,IFERROR(VALUE(SUBSTITUTE(TRIM(Input!F331&amp;""),"%","")),0)&lt;1),1,100))</f>
        <v/>
      </c>
      <c r="F331" t="str">
        <f>IF(A331="","",IFERROR(VALUE(SUBSTITUTE(TRIM(Input!G331&amp;""),"%","")),0)/IF(AND(IFERROR(VALUE(SUBSTITUTE(TRIM(Input!G331&amp;""),"%","")),0)&gt;0,IFERROR(VALUE(SUBSTITUTE(TRIM(Input!G331&amp;""),"%","")),0)&lt;1),1,100))</f>
        <v/>
      </c>
      <c r="G331" t="str">
        <f>IF(A331="","",IFERROR(VALUE(SUBSTITUTE(TRIM(Input!H331&amp;""),"%","")),0)/IF(AND(IFERROR(VALUE(SUBSTITUTE(TRIM(Input!H331&amp;""),"%","")),0)&gt;0,IFERROR(VALUE(SUBSTITUTE(TRIM(Input!H331&amp;""),"%","")),0)&lt;1),1,100))</f>
        <v/>
      </c>
      <c r="H331" t="str">
        <f>IF(A331="","",IFERROR(VALUE(SUBSTITUTE(TRIM(Input!I331&amp;""),"%","")),0)/IF(AND(IFERROR(VALUE(SUBSTITUTE(TRIM(Input!I331&amp;""),"%","")),0)&gt;0,IFERROR(VALUE(SUBSTITUTE(TRIM(Input!I331&amp;""),"%","")),0)&lt;1),1,100))</f>
        <v/>
      </c>
    </row>
    <row r="332" spans="1:8">
      <c r="A332" t="str">
        <f>IF(TRIM(Input!B332&amp;"")="","",UPPER(TRIM(Input!B332&amp;"")))</f>
        <v/>
      </c>
      <c r="B332" t="str">
        <f>IF(A332="","",IFERROR(VALUE(RIGHT(TRIM(Input!D332&amp;""),1)),0))</f>
        <v/>
      </c>
      <c r="C332" t="str">
        <f t="shared" si="5"/>
        <v/>
      </c>
      <c r="D332" t="str">
        <f>IF(A332="","",IFERROR(VALUE(SUBSTITUTE(TRIM(Input!E332&amp;""),"%","")),0)/IF(AND(IFERROR(VALUE(SUBSTITUTE(TRIM(Input!E332&amp;""),"%","")),0)&gt;0,IFERROR(VALUE(SUBSTITUTE(TRIM(Input!E332&amp;""),"%","")),0)&lt;1),1,100))</f>
        <v/>
      </c>
      <c r="E332" t="str">
        <f>IF(A332="","",IFERROR(VALUE(SUBSTITUTE(TRIM(Input!F332&amp;""),"%","")),0)/IF(AND(IFERROR(VALUE(SUBSTITUTE(TRIM(Input!F332&amp;""),"%","")),0)&gt;0,IFERROR(VALUE(SUBSTITUTE(TRIM(Input!F332&amp;""),"%","")),0)&lt;1),1,100))</f>
        <v/>
      </c>
      <c r="F332" t="str">
        <f>IF(A332="","",IFERROR(VALUE(SUBSTITUTE(TRIM(Input!G332&amp;""),"%","")),0)/IF(AND(IFERROR(VALUE(SUBSTITUTE(TRIM(Input!G332&amp;""),"%","")),0)&gt;0,IFERROR(VALUE(SUBSTITUTE(TRIM(Input!G332&amp;""),"%","")),0)&lt;1),1,100))</f>
        <v/>
      </c>
      <c r="G332" t="str">
        <f>IF(A332="","",IFERROR(VALUE(SUBSTITUTE(TRIM(Input!H332&amp;""),"%","")),0)/IF(AND(IFERROR(VALUE(SUBSTITUTE(TRIM(Input!H332&amp;""),"%","")),0)&gt;0,IFERROR(VALUE(SUBSTITUTE(TRIM(Input!H332&amp;""),"%","")),0)&lt;1),1,100))</f>
        <v/>
      </c>
      <c r="H332" t="str">
        <f>IF(A332="","",IFERROR(VALUE(SUBSTITUTE(TRIM(Input!I332&amp;""),"%","")),0)/IF(AND(IFERROR(VALUE(SUBSTITUTE(TRIM(Input!I332&amp;""),"%","")),0)&gt;0,IFERROR(VALUE(SUBSTITUTE(TRIM(Input!I332&amp;""),"%","")),0)&lt;1),1,100))</f>
        <v/>
      </c>
    </row>
    <row r="333" spans="1:8">
      <c r="A333" t="str">
        <f>IF(TRIM(Input!B333&amp;"")="","",UPPER(TRIM(Input!B333&amp;"")))</f>
        <v/>
      </c>
      <c r="B333" t="str">
        <f>IF(A333="","",IFERROR(VALUE(RIGHT(TRIM(Input!D333&amp;""),1)),0))</f>
        <v/>
      </c>
      <c r="C333" t="str">
        <f t="shared" si="5"/>
        <v/>
      </c>
      <c r="D333" t="str">
        <f>IF(A333="","",IFERROR(VALUE(SUBSTITUTE(TRIM(Input!E333&amp;""),"%","")),0)/IF(AND(IFERROR(VALUE(SUBSTITUTE(TRIM(Input!E333&amp;""),"%","")),0)&gt;0,IFERROR(VALUE(SUBSTITUTE(TRIM(Input!E333&amp;""),"%","")),0)&lt;1),1,100))</f>
        <v/>
      </c>
      <c r="E333" t="str">
        <f>IF(A333="","",IFERROR(VALUE(SUBSTITUTE(TRIM(Input!F333&amp;""),"%","")),0)/IF(AND(IFERROR(VALUE(SUBSTITUTE(TRIM(Input!F333&amp;""),"%","")),0)&gt;0,IFERROR(VALUE(SUBSTITUTE(TRIM(Input!F333&amp;""),"%","")),0)&lt;1),1,100))</f>
        <v/>
      </c>
      <c r="F333" t="str">
        <f>IF(A333="","",IFERROR(VALUE(SUBSTITUTE(TRIM(Input!G333&amp;""),"%","")),0)/IF(AND(IFERROR(VALUE(SUBSTITUTE(TRIM(Input!G333&amp;""),"%","")),0)&gt;0,IFERROR(VALUE(SUBSTITUTE(TRIM(Input!G333&amp;""),"%","")),0)&lt;1),1,100))</f>
        <v/>
      </c>
      <c r="G333" t="str">
        <f>IF(A333="","",IFERROR(VALUE(SUBSTITUTE(TRIM(Input!H333&amp;""),"%","")),0)/IF(AND(IFERROR(VALUE(SUBSTITUTE(TRIM(Input!H333&amp;""),"%","")),0)&gt;0,IFERROR(VALUE(SUBSTITUTE(TRIM(Input!H333&amp;""),"%","")),0)&lt;1),1,100))</f>
        <v/>
      </c>
      <c r="H333" t="str">
        <f>IF(A333="","",IFERROR(VALUE(SUBSTITUTE(TRIM(Input!I333&amp;""),"%","")),0)/IF(AND(IFERROR(VALUE(SUBSTITUTE(TRIM(Input!I333&amp;""),"%","")),0)&gt;0,IFERROR(VALUE(SUBSTITUTE(TRIM(Input!I333&amp;""),"%","")),0)&lt;1),1,100))</f>
        <v/>
      </c>
    </row>
    <row r="334" spans="1:8">
      <c r="A334" t="str">
        <f>IF(TRIM(Input!B334&amp;"")="","",UPPER(TRIM(Input!B334&amp;"")))</f>
        <v/>
      </c>
      <c r="B334" t="str">
        <f>IF(A334="","",IFERROR(VALUE(RIGHT(TRIM(Input!D334&amp;""),1)),0))</f>
        <v/>
      </c>
      <c r="C334" t="str">
        <f t="shared" si="5"/>
        <v/>
      </c>
      <c r="D334" t="str">
        <f>IF(A334="","",IFERROR(VALUE(SUBSTITUTE(TRIM(Input!E334&amp;""),"%","")),0)/IF(AND(IFERROR(VALUE(SUBSTITUTE(TRIM(Input!E334&amp;""),"%","")),0)&gt;0,IFERROR(VALUE(SUBSTITUTE(TRIM(Input!E334&amp;""),"%","")),0)&lt;1),1,100))</f>
        <v/>
      </c>
      <c r="E334" t="str">
        <f>IF(A334="","",IFERROR(VALUE(SUBSTITUTE(TRIM(Input!F334&amp;""),"%","")),0)/IF(AND(IFERROR(VALUE(SUBSTITUTE(TRIM(Input!F334&amp;""),"%","")),0)&gt;0,IFERROR(VALUE(SUBSTITUTE(TRIM(Input!F334&amp;""),"%","")),0)&lt;1),1,100))</f>
        <v/>
      </c>
      <c r="F334" t="str">
        <f>IF(A334="","",IFERROR(VALUE(SUBSTITUTE(TRIM(Input!G334&amp;""),"%","")),0)/IF(AND(IFERROR(VALUE(SUBSTITUTE(TRIM(Input!G334&amp;""),"%","")),0)&gt;0,IFERROR(VALUE(SUBSTITUTE(TRIM(Input!G334&amp;""),"%","")),0)&lt;1),1,100))</f>
        <v/>
      </c>
      <c r="G334" t="str">
        <f>IF(A334="","",IFERROR(VALUE(SUBSTITUTE(TRIM(Input!H334&amp;""),"%","")),0)/IF(AND(IFERROR(VALUE(SUBSTITUTE(TRIM(Input!H334&amp;""),"%","")),0)&gt;0,IFERROR(VALUE(SUBSTITUTE(TRIM(Input!H334&amp;""),"%","")),0)&lt;1),1,100))</f>
        <v/>
      </c>
      <c r="H334" t="str">
        <f>IF(A334="","",IFERROR(VALUE(SUBSTITUTE(TRIM(Input!I334&amp;""),"%","")),0)/IF(AND(IFERROR(VALUE(SUBSTITUTE(TRIM(Input!I334&amp;""),"%","")),0)&gt;0,IFERROR(VALUE(SUBSTITUTE(TRIM(Input!I334&amp;""),"%","")),0)&lt;1),1,100))</f>
        <v/>
      </c>
    </row>
    <row r="335" spans="1:8">
      <c r="A335" t="str">
        <f>IF(TRIM(Input!B335&amp;"")="","",UPPER(TRIM(Input!B335&amp;"")))</f>
        <v/>
      </c>
      <c r="B335" t="str">
        <f>IF(A335="","",IFERROR(VALUE(RIGHT(TRIM(Input!D335&amp;""),1)),0))</f>
        <v/>
      </c>
      <c r="C335" t="str">
        <f t="shared" si="5"/>
        <v/>
      </c>
      <c r="D335" t="str">
        <f>IF(A335="","",IFERROR(VALUE(SUBSTITUTE(TRIM(Input!E335&amp;""),"%","")),0)/IF(AND(IFERROR(VALUE(SUBSTITUTE(TRIM(Input!E335&amp;""),"%","")),0)&gt;0,IFERROR(VALUE(SUBSTITUTE(TRIM(Input!E335&amp;""),"%","")),0)&lt;1),1,100))</f>
        <v/>
      </c>
      <c r="E335" t="str">
        <f>IF(A335="","",IFERROR(VALUE(SUBSTITUTE(TRIM(Input!F335&amp;""),"%","")),0)/IF(AND(IFERROR(VALUE(SUBSTITUTE(TRIM(Input!F335&amp;""),"%","")),0)&gt;0,IFERROR(VALUE(SUBSTITUTE(TRIM(Input!F335&amp;""),"%","")),0)&lt;1),1,100))</f>
        <v/>
      </c>
      <c r="F335" t="str">
        <f>IF(A335="","",IFERROR(VALUE(SUBSTITUTE(TRIM(Input!G335&amp;""),"%","")),0)/IF(AND(IFERROR(VALUE(SUBSTITUTE(TRIM(Input!G335&amp;""),"%","")),0)&gt;0,IFERROR(VALUE(SUBSTITUTE(TRIM(Input!G335&amp;""),"%","")),0)&lt;1),1,100))</f>
        <v/>
      </c>
      <c r="G335" t="str">
        <f>IF(A335="","",IFERROR(VALUE(SUBSTITUTE(TRIM(Input!H335&amp;""),"%","")),0)/IF(AND(IFERROR(VALUE(SUBSTITUTE(TRIM(Input!H335&amp;""),"%","")),0)&gt;0,IFERROR(VALUE(SUBSTITUTE(TRIM(Input!H335&amp;""),"%","")),0)&lt;1),1,100))</f>
        <v/>
      </c>
      <c r="H335" t="str">
        <f>IF(A335="","",IFERROR(VALUE(SUBSTITUTE(TRIM(Input!I335&amp;""),"%","")),0)/IF(AND(IFERROR(VALUE(SUBSTITUTE(TRIM(Input!I335&amp;""),"%","")),0)&gt;0,IFERROR(VALUE(SUBSTITUTE(TRIM(Input!I335&amp;""),"%","")),0)&lt;1),1,100))</f>
        <v/>
      </c>
    </row>
    <row r="336" spans="1:8">
      <c r="A336" t="str">
        <f>IF(TRIM(Input!B336&amp;"")="","",UPPER(TRIM(Input!B336&amp;"")))</f>
        <v/>
      </c>
      <c r="B336" t="str">
        <f>IF(A336="","",IFERROR(VALUE(RIGHT(TRIM(Input!D336&amp;""),1)),0))</f>
        <v/>
      </c>
      <c r="C336" t="str">
        <f t="shared" si="5"/>
        <v/>
      </c>
      <c r="D336" t="str">
        <f>IF(A336="","",IFERROR(VALUE(SUBSTITUTE(TRIM(Input!E336&amp;""),"%","")),0)/IF(AND(IFERROR(VALUE(SUBSTITUTE(TRIM(Input!E336&amp;""),"%","")),0)&gt;0,IFERROR(VALUE(SUBSTITUTE(TRIM(Input!E336&amp;""),"%","")),0)&lt;1),1,100))</f>
        <v/>
      </c>
      <c r="E336" t="str">
        <f>IF(A336="","",IFERROR(VALUE(SUBSTITUTE(TRIM(Input!F336&amp;""),"%","")),0)/IF(AND(IFERROR(VALUE(SUBSTITUTE(TRIM(Input!F336&amp;""),"%","")),0)&gt;0,IFERROR(VALUE(SUBSTITUTE(TRIM(Input!F336&amp;""),"%","")),0)&lt;1),1,100))</f>
        <v/>
      </c>
      <c r="F336" t="str">
        <f>IF(A336="","",IFERROR(VALUE(SUBSTITUTE(TRIM(Input!G336&amp;""),"%","")),0)/IF(AND(IFERROR(VALUE(SUBSTITUTE(TRIM(Input!G336&amp;""),"%","")),0)&gt;0,IFERROR(VALUE(SUBSTITUTE(TRIM(Input!G336&amp;""),"%","")),0)&lt;1),1,100))</f>
        <v/>
      </c>
      <c r="G336" t="str">
        <f>IF(A336="","",IFERROR(VALUE(SUBSTITUTE(TRIM(Input!H336&amp;""),"%","")),0)/IF(AND(IFERROR(VALUE(SUBSTITUTE(TRIM(Input!H336&amp;""),"%","")),0)&gt;0,IFERROR(VALUE(SUBSTITUTE(TRIM(Input!H336&amp;""),"%","")),0)&lt;1),1,100))</f>
        <v/>
      </c>
      <c r="H336" t="str">
        <f>IF(A336="","",IFERROR(VALUE(SUBSTITUTE(TRIM(Input!I336&amp;""),"%","")),0)/IF(AND(IFERROR(VALUE(SUBSTITUTE(TRIM(Input!I336&amp;""),"%","")),0)&gt;0,IFERROR(VALUE(SUBSTITUTE(TRIM(Input!I336&amp;""),"%","")),0)&lt;1),1,100))</f>
        <v/>
      </c>
    </row>
    <row r="337" spans="1:8">
      <c r="A337" t="str">
        <f>IF(TRIM(Input!B337&amp;"")="","",UPPER(TRIM(Input!B337&amp;"")))</f>
        <v/>
      </c>
      <c r="B337" t="str">
        <f>IF(A337="","",IFERROR(VALUE(RIGHT(TRIM(Input!D337&amp;""),1)),0))</f>
        <v/>
      </c>
      <c r="C337" t="str">
        <f t="shared" si="5"/>
        <v/>
      </c>
      <c r="D337" t="str">
        <f>IF(A337="","",IFERROR(VALUE(SUBSTITUTE(TRIM(Input!E337&amp;""),"%","")),0)/IF(AND(IFERROR(VALUE(SUBSTITUTE(TRIM(Input!E337&amp;""),"%","")),0)&gt;0,IFERROR(VALUE(SUBSTITUTE(TRIM(Input!E337&amp;""),"%","")),0)&lt;1),1,100))</f>
        <v/>
      </c>
      <c r="E337" t="str">
        <f>IF(A337="","",IFERROR(VALUE(SUBSTITUTE(TRIM(Input!F337&amp;""),"%","")),0)/IF(AND(IFERROR(VALUE(SUBSTITUTE(TRIM(Input!F337&amp;""),"%","")),0)&gt;0,IFERROR(VALUE(SUBSTITUTE(TRIM(Input!F337&amp;""),"%","")),0)&lt;1),1,100))</f>
        <v/>
      </c>
      <c r="F337" t="str">
        <f>IF(A337="","",IFERROR(VALUE(SUBSTITUTE(TRIM(Input!G337&amp;""),"%","")),0)/IF(AND(IFERROR(VALUE(SUBSTITUTE(TRIM(Input!G337&amp;""),"%","")),0)&gt;0,IFERROR(VALUE(SUBSTITUTE(TRIM(Input!G337&amp;""),"%","")),0)&lt;1),1,100))</f>
        <v/>
      </c>
      <c r="G337" t="str">
        <f>IF(A337="","",IFERROR(VALUE(SUBSTITUTE(TRIM(Input!H337&amp;""),"%","")),0)/IF(AND(IFERROR(VALUE(SUBSTITUTE(TRIM(Input!H337&amp;""),"%","")),0)&gt;0,IFERROR(VALUE(SUBSTITUTE(TRIM(Input!H337&amp;""),"%","")),0)&lt;1),1,100))</f>
        <v/>
      </c>
      <c r="H337" t="str">
        <f>IF(A337="","",IFERROR(VALUE(SUBSTITUTE(TRIM(Input!I337&amp;""),"%","")),0)/IF(AND(IFERROR(VALUE(SUBSTITUTE(TRIM(Input!I337&amp;""),"%","")),0)&gt;0,IFERROR(VALUE(SUBSTITUTE(TRIM(Input!I337&amp;""),"%","")),0)&lt;1),1,100))</f>
        <v/>
      </c>
    </row>
    <row r="338" spans="1:8">
      <c r="A338" t="str">
        <f>IF(TRIM(Input!B338&amp;"")="","",UPPER(TRIM(Input!B338&amp;"")))</f>
        <v/>
      </c>
      <c r="B338" t="str">
        <f>IF(A338="","",IFERROR(VALUE(RIGHT(TRIM(Input!D338&amp;""),1)),0))</f>
        <v/>
      </c>
      <c r="C338" t="str">
        <f t="shared" si="5"/>
        <v/>
      </c>
      <c r="D338" t="str">
        <f>IF(A338="","",IFERROR(VALUE(SUBSTITUTE(TRIM(Input!E338&amp;""),"%","")),0)/IF(AND(IFERROR(VALUE(SUBSTITUTE(TRIM(Input!E338&amp;""),"%","")),0)&gt;0,IFERROR(VALUE(SUBSTITUTE(TRIM(Input!E338&amp;""),"%","")),0)&lt;1),1,100))</f>
        <v/>
      </c>
      <c r="E338" t="str">
        <f>IF(A338="","",IFERROR(VALUE(SUBSTITUTE(TRIM(Input!F338&amp;""),"%","")),0)/IF(AND(IFERROR(VALUE(SUBSTITUTE(TRIM(Input!F338&amp;""),"%","")),0)&gt;0,IFERROR(VALUE(SUBSTITUTE(TRIM(Input!F338&amp;""),"%","")),0)&lt;1),1,100))</f>
        <v/>
      </c>
      <c r="F338" t="str">
        <f>IF(A338="","",IFERROR(VALUE(SUBSTITUTE(TRIM(Input!G338&amp;""),"%","")),0)/IF(AND(IFERROR(VALUE(SUBSTITUTE(TRIM(Input!G338&amp;""),"%","")),0)&gt;0,IFERROR(VALUE(SUBSTITUTE(TRIM(Input!G338&amp;""),"%","")),0)&lt;1),1,100))</f>
        <v/>
      </c>
      <c r="G338" t="str">
        <f>IF(A338="","",IFERROR(VALUE(SUBSTITUTE(TRIM(Input!H338&amp;""),"%","")),0)/IF(AND(IFERROR(VALUE(SUBSTITUTE(TRIM(Input!H338&amp;""),"%","")),0)&gt;0,IFERROR(VALUE(SUBSTITUTE(TRIM(Input!H338&amp;""),"%","")),0)&lt;1),1,100))</f>
        <v/>
      </c>
      <c r="H338" t="str">
        <f>IF(A338="","",IFERROR(VALUE(SUBSTITUTE(TRIM(Input!I338&amp;""),"%","")),0)/IF(AND(IFERROR(VALUE(SUBSTITUTE(TRIM(Input!I338&amp;""),"%","")),0)&gt;0,IFERROR(VALUE(SUBSTITUTE(TRIM(Input!I338&amp;""),"%","")),0)&lt;1),1,100))</f>
        <v/>
      </c>
    </row>
    <row r="339" spans="1:8">
      <c r="A339" t="str">
        <f>IF(TRIM(Input!B339&amp;"")="","",UPPER(TRIM(Input!B339&amp;"")))</f>
        <v/>
      </c>
      <c r="B339" t="str">
        <f>IF(A339="","",IFERROR(VALUE(RIGHT(TRIM(Input!D339&amp;""),1)),0))</f>
        <v/>
      </c>
      <c r="C339" t="str">
        <f t="shared" si="5"/>
        <v/>
      </c>
      <c r="D339" t="str">
        <f>IF(A339="","",IFERROR(VALUE(SUBSTITUTE(TRIM(Input!E339&amp;""),"%","")),0)/IF(AND(IFERROR(VALUE(SUBSTITUTE(TRIM(Input!E339&amp;""),"%","")),0)&gt;0,IFERROR(VALUE(SUBSTITUTE(TRIM(Input!E339&amp;""),"%","")),0)&lt;1),1,100))</f>
        <v/>
      </c>
      <c r="E339" t="str">
        <f>IF(A339="","",IFERROR(VALUE(SUBSTITUTE(TRIM(Input!F339&amp;""),"%","")),0)/IF(AND(IFERROR(VALUE(SUBSTITUTE(TRIM(Input!F339&amp;""),"%","")),0)&gt;0,IFERROR(VALUE(SUBSTITUTE(TRIM(Input!F339&amp;""),"%","")),0)&lt;1),1,100))</f>
        <v/>
      </c>
      <c r="F339" t="str">
        <f>IF(A339="","",IFERROR(VALUE(SUBSTITUTE(TRIM(Input!G339&amp;""),"%","")),0)/IF(AND(IFERROR(VALUE(SUBSTITUTE(TRIM(Input!G339&amp;""),"%","")),0)&gt;0,IFERROR(VALUE(SUBSTITUTE(TRIM(Input!G339&amp;""),"%","")),0)&lt;1),1,100))</f>
        <v/>
      </c>
      <c r="G339" t="str">
        <f>IF(A339="","",IFERROR(VALUE(SUBSTITUTE(TRIM(Input!H339&amp;""),"%","")),0)/IF(AND(IFERROR(VALUE(SUBSTITUTE(TRIM(Input!H339&amp;""),"%","")),0)&gt;0,IFERROR(VALUE(SUBSTITUTE(TRIM(Input!H339&amp;""),"%","")),0)&lt;1),1,100))</f>
        <v/>
      </c>
      <c r="H339" t="str">
        <f>IF(A339="","",IFERROR(VALUE(SUBSTITUTE(TRIM(Input!I339&amp;""),"%","")),0)/IF(AND(IFERROR(VALUE(SUBSTITUTE(TRIM(Input!I339&amp;""),"%","")),0)&gt;0,IFERROR(VALUE(SUBSTITUTE(TRIM(Input!I339&amp;""),"%","")),0)&lt;1),1,100))</f>
        <v/>
      </c>
    </row>
    <row r="340" spans="1:8">
      <c r="A340" t="str">
        <f>IF(TRIM(Input!B340&amp;"")="","",UPPER(TRIM(Input!B340&amp;"")))</f>
        <v/>
      </c>
      <c r="B340" t="str">
        <f>IF(A340="","",IFERROR(VALUE(RIGHT(TRIM(Input!D340&amp;""),1)),0))</f>
        <v/>
      </c>
      <c r="C340" t="str">
        <f t="shared" si="5"/>
        <v/>
      </c>
      <c r="D340" t="str">
        <f>IF(A340="","",IFERROR(VALUE(SUBSTITUTE(TRIM(Input!E340&amp;""),"%","")),0)/IF(AND(IFERROR(VALUE(SUBSTITUTE(TRIM(Input!E340&amp;""),"%","")),0)&gt;0,IFERROR(VALUE(SUBSTITUTE(TRIM(Input!E340&amp;""),"%","")),0)&lt;1),1,100))</f>
        <v/>
      </c>
      <c r="E340" t="str">
        <f>IF(A340="","",IFERROR(VALUE(SUBSTITUTE(TRIM(Input!F340&amp;""),"%","")),0)/IF(AND(IFERROR(VALUE(SUBSTITUTE(TRIM(Input!F340&amp;""),"%","")),0)&gt;0,IFERROR(VALUE(SUBSTITUTE(TRIM(Input!F340&amp;""),"%","")),0)&lt;1),1,100))</f>
        <v/>
      </c>
      <c r="F340" t="str">
        <f>IF(A340="","",IFERROR(VALUE(SUBSTITUTE(TRIM(Input!G340&amp;""),"%","")),0)/IF(AND(IFERROR(VALUE(SUBSTITUTE(TRIM(Input!G340&amp;""),"%","")),0)&gt;0,IFERROR(VALUE(SUBSTITUTE(TRIM(Input!G340&amp;""),"%","")),0)&lt;1),1,100))</f>
        <v/>
      </c>
      <c r="G340" t="str">
        <f>IF(A340="","",IFERROR(VALUE(SUBSTITUTE(TRIM(Input!H340&amp;""),"%","")),0)/IF(AND(IFERROR(VALUE(SUBSTITUTE(TRIM(Input!H340&amp;""),"%","")),0)&gt;0,IFERROR(VALUE(SUBSTITUTE(TRIM(Input!H340&amp;""),"%","")),0)&lt;1),1,100))</f>
        <v/>
      </c>
      <c r="H340" t="str">
        <f>IF(A340="","",IFERROR(VALUE(SUBSTITUTE(TRIM(Input!I340&amp;""),"%","")),0)/IF(AND(IFERROR(VALUE(SUBSTITUTE(TRIM(Input!I340&amp;""),"%","")),0)&gt;0,IFERROR(VALUE(SUBSTITUTE(TRIM(Input!I340&amp;""),"%","")),0)&lt;1),1,100))</f>
        <v/>
      </c>
    </row>
    <row r="341" spans="1:8">
      <c r="A341" t="str">
        <f>IF(TRIM(Input!B341&amp;"")="","",UPPER(TRIM(Input!B341&amp;"")))</f>
        <v/>
      </c>
      <c r="B341" t="str">
        <f>IF(A341="","",IFERROR(VALUE(RIGHT(TRIM(Input!D341&amp;""),1)),0))</f>
        <v/>
      </c>
      <c r="C341" t="str">
        <f t="shared" si="5"/>
        <v/>
      </c>
      <c r="D341" t="str">
        <f>IF(A341="","",IFERROR(VALUE(SUBSTITUTE(TRIM(Input!E341&amp;""),"%","")),0)/IF(AND(IFERROR(VALUE(SUBSTITUTE(TRIM(Input!E341&amp;""),"%","")),0)&gt;0,IFERROR(VALUE(SUBSTITUTE(TRIM(Input!E341&amp;""),"%","")),0)&lt;1),1,100))</f>
        <v/>
      </c>
      <c r="E341" t="str">
        <f>IF(A341="","",IFERROR(VALUE(SUBSTITUTE(TRIM(Input!F341&amp;""),"%","")),0)/IF(AND(IFERROR(VALUE(SUBSTITUTE(TRIM(Input!F341&amp;""),"%","")),0)&gt;0,IFERROR(VALUE(SUBSTITUTE(TRIM(Input!F341&amp;""),"%","")),0)&lt;1),1,100))</f>
        <v/>
      </c>
      <c r="F341" t="str">
        <f>IF(A341="","",IFERROR(VALUE(SUBSTITUTE(TRIM(Input!G341&amp;""),"%","")),0)/IF(AND(IFERROR(VALUE(SUBSTITUTE(TRIM(Input!G341&amp;""),"%","")),0)&gt;0,IFERROR(VALUE(SUBSTITUTE(TRIM(Input!G341&amp;""),"%","")),0)&lt;1),1,100))</f>
        <v/>
      </c>
      <c r="G341" t="str">
        <f>IF(A341="","",IFERROR(VALUE(SUBSTITUTE(TRIM(Input!H341&amp;""),"%","")),0)/IF(AND(IFERROR(VALUE(SUBSTITUTE(TRIM(Input!H341&amp;""),"%","")),0)&gt;0,IFERROR(VALUE(SUBSTITUTE(TRIM(Input!H341&amp;""),"%","")),0)&lt;1),1,100))</f>
        <v/>
      </c>
      <c r="H341" t="str">
        <f>IF(A341="","",IFERROR(VALUE(SUBSTITUTE(TRIM(Input!I341&amp;""),"%","")),0)/IF(AND(IFERROR(VALUE(SUBSTITUTE(TRIM(Input!I341&amp;""),"%","")),0)&gt;0,IFERROR(VALUE(SUBSTITUTE(TRIM(Input!I341&amp;""),"%","")),0)&lt;1),1,100))</f>
        <v/>
      </c>
    </row>
    <row r="342" spans="1:8">
      <c r="A342" t="str">
        <f>IF(TRIM(Input!B342&amp;"")="","",UPPER(TRIM(Input!B342&amp;"")))</f>
        <v/>
      </c>
      <c r="B342" t="str">
        <f>IF(A342="","",IFERROR(VALUE(RIGHT(TRIM(Input!D342&amp;""),1)),0))</f>
        <v/>
      </c>
      <c r="C342" t="str">
        <f t="shared" si="5"/>
        <v/>
      </c>
      <c r="D342" t="str">
        <f>IF(A342="","",IFERROR(VALUE(SUBSTITUTE(TRIM(Input!E342&amp;""),"%","")),0)/IF(AND(IFERROR(VALUE(SUBSTITUTE(TRIM(Input!E342&amp;""),"%","")),0)&gt;0,IFERROR(VALUE(SUBSTITUTE(TRIM(Input!E342&amp;""),"%","")),0)&lt;1),1,100))</f>
        <v/>
      </c>
      <c r="E342" t="str">
        <f>IF(A342="","",IFERROR(VALUE(SUBSTITUTE(TRIM(Input!F342&amp;""),"%","")),0)/IF(AND(IFERROR(VALUE(SUBSTITUTE(TRIM(Input!F342&amp;""),"%","")),0)&gt;0,IFERROR(VALUE(SUBSTITUTE(TRIM(Input!F342&amp;""),"%","")),0)&lt;1),1,100))</f>
        <v/>
      </c>
      <c r="F342" t="str">
        <f>IF(A342="","",IFERROR(VALUE(SUBSTITUTE(TRIM(Input!G342&amp;""),"%","")),0)/IF(AND(IFERROR(VALUE(SUBSTITUTE(TRIM(Input!G342&amp;""),"%","")),0)&gt;0,IFERROR(VALUE(SUBSTITUTE(TRIM(Input!G342&amp;""),"%","")),0)&lt;1),1,100))</f>
        <v/>
      </c>
      <c r="G342" t="str">
        <f>IF(A342="","",IFERROR(VALUE(SUBSTITUTE(TRIM(Input!H342&amp;""),"%","")),0)/IF(AND(IFERROR(VALUE(SUBSTITUTE(TRIM(Input!H342&amp;""),"%","")),0)&gt;0,IFERROR(VALUE(SUBSTITUTE(TRIM(Input!H342&amp;""),"%","")),0)&lt;1),1,100))</f>
        <v/>
      </c>
      <c r="H342" t="str">
        <f>IF(A342="","",IFERROR(VALUE(SUBSTITUTE(TRIM(Input!I342&amp;""),"%","")),0)/IF(AND(IFERROR(VALUE(SUBSTITUTE(TRIM(Input!I342&amp;""),"%","")),0)&gt;0,IFERROR(VALUE(SUBSTITUTE(TRIM(Input!I342&amp;""),"%","")),0)&lt;1),1,100))</f>
        <v/>
      </c>
    </row>
    <row r="343" spans="1:8">
      <c r="A343" t="str">
        <f>IF(TRIM(Input!B343&amp;"")="","",UPPER(TRIM(Input!B343&amp;"")))</f>
        <v/>
      </c>
      <c r="B343" t="str">
        <f>IF(A343="","",IFERROR(VALUE(RIGHT(TRIM(Input!D343&amp;""),1)),0))</f>
        <v/>
      </c>
      <c r="C343" t="str">
        <f t="shared" si="5"/>
        <v/>
      </c>
      <c r="D343" t="str">
        <f>IF(A343="","",IFERROR(VALUE(SUBSTITUTE(TRIM(Input!E343&amp;""),"%","")),0)/IF(AND(IFERROR(VALUE(SUBSTITUTE(TRIM(Input!E343&amp;""),"%","")),0)&gt;0,IFERROR(VALUE(SUBSTITUTE(TRIM(Input!E343&amp;""),"%","")),0)&lt;1),1,100))</f>
        <v/>
      </c>
      <c r="E343" t="str">
        <f>IF(A343="","",IFERROR(VALUE(SUBSTITUTE(TRIM(Input!F343&amp;""),"%","")),0)/IF(AND(IFERROR(VALUE(SUBSTITUTE(TRIM(Input!F343&amp;""),"%","")),0)&gt;0,IFERROR(VALUE(SUBSTITUTE(TRIM(Input!F343&amp;""),"%","")),0)&lt;1),1,100))</f>
        <v/>
      </c>
      <c r="F343" t="str">
        <f>IF(A343="","",IFERROR(VALUE(SUBSTITUTE(TRIM(Input!G343&amp;""),"%","")),0)/IF(AND(IFERROR(VALUE(SUBSTITUTE(TRIM(Input!G343&amp;""),"%","")),0)&gt;0,IFERROR(VALUE(SUBSTITUTE(TRIM(Input!G343&amp;""),"%","")),0)&lt;1),1,100))</f>
        <v/>
      </c>
      <c r="G343" t="str">
        <f>IF(A343="","",IFERROR(VALUE(SUBSTITUTE(TRIM(Input!H343&amp;""),"%","")),0)/IF(AND(IFERROR(VALUE(SUBSTITUTE(TRIM(Input!H343&amp;""),"%","")),0)&gt;0,IFERROR(VALUE(SUBSTITUTE(TRIM(Input!H343&amp;""),"%","")),0)&lt;1),1,100))</f>
        <v/>
      </c>
      <c r="H343" t="str">
        <f>IF(A343="","",IFERROR(VALUE(SUBSTITUTE(TRIM(Input!I343&amp;""),"%","")),0)/IF(AND(IFERROR(VALUE(SUBSTITUTE(TRIM(Input!I343&amp;""),"%","")),0)&gt;0,IFERROR(VALUE(SUBSTITUTE(TRIM(Input!I343&amp;""),"%","")),0)&lt;1),1,100))</f>
        <v/>
      </c>
    </row>
    <row r="344" spans="1:8">
      <c r="A344" t="str">
        <f>IF(TRIM(Input!B344&amp;"")="","",UPPER(TRIM(Input!B344&amp;"")))</f>
        <v/>
      </c>
      <c r="B344" t="str">
        <f>IF(A344="","",IFERROR(VALUE(RIGHT(TRIM(Input!D344&amp;""),1)),0))</f>
        <v/>
      </c>
      <c r="C344" t="str">
        <f t="shared" si="5"/>
        <v/>
      </c>
      <c r="D344" t="str">
        <f>IF(A344="","",IFERROR(VALUE(SUBSTITUTE(TRIM(Input!E344&amp;""),"%","")),0)/IF(AND(IFERROR(VALUE(SUBSTITUTE(TRIM(Input!E344&amp;""),"%","")),0)&gt;0,IFERROR(VALUE(SUBSTITUTE(TRIM(Input!E344&amp;""),"%","")),0)&lt;1),1,100))</f>
        <v/>
      </c>
      <c r="E344" t="str">
        <f>IF(A344="","",IFERROR(VALUE(SUBSTITUTE(TRIM(Input!F344&amp;""),"%","")),0)/IF(AND(IFERROR(VALUE(SUBSTITUTE(TRIM(Input!F344&amp;""),"%","")),0)&gt;0,IFERROR(VALUE(SUBSTITUTE(TRIM(Input!F344&amp;""),"%","")),0)&lt;1),1,100))</f>
        <v/>
      </c>
      <c r="F344" t="str">
        <f>IF(A344="","",IFERROR(VALUE(SUBSTITUTE(TRIM(Input!G344&amp;""),"%","")),0)/IF(AND(IFERROR(VALUE(SUBSTITUTE(TRIM(Input!G344&amp;""),"%","")),0)&gt;0,IFERROR(VALUE(SUBSTITUTE(TRIM(Input!G344&amp;""),"%","")),0)&lt;1),1,100))</f>
        <v/>
      </c>
      <c r="G344" t="str">
        <f>IF(A344="","",IFERROR(VALUE(SUBSTITUTE(TRIM(Input!H344&amp;""),"%","")),0)/IF(AND(IFERROR(VALUE(SUBSTITUTE(TRIM(Input!H344&amp;""),"%","")),0)&gt;0,IFERROR(VALUE(SUBSTITUTE(TRIM(Input!H344&amp;""),"%","")),0)&lt;1),1,100))</f>
        <v/>
      </c>
      <c r="H344" t="str">
        <f>IF(A344="","",IFERROR(VALUE(SUBSTITUTE(TRIM(Input!I344&amp;""),"%","")),0)/IF(AND(IFERROR(VALUE(SUBSTITUTE(TRIM(Input!I344&amp;""),"%","")),0)&gt;0,IFERROR(VALUE(SUBSTITUTE(TRIM(Input!I344&amp;""),"%","")),0)&lt;1),1,100))</f>
        <v/>
      </c>
    </row>
    <row r="345" spans="1:8">
      <c r="A345" t="str">
        <f>IF(TRIM(Input!B345&amp;"")="","",UPPER(TRIM(Input!B345&amp;"")))</f>
        <v/>
      </c>
      <c r="B345" t="str">
        <f>IF(A345="","",IFERROR(VALUE(RIGHT(TRIM(Input!D345&amp;""),1)),0))</f>
        <v/>
      </c>
      <c r="C345" t="str">
        <f t="shared" si="5"/>
        <v/>
      </c>
      <c r="D345" t="str">
        <f>IF(A345="","",IFERROR(VALUE(SUBSTITUTE(TRIM(Input!E345&amp;""),"%","")),0)/IF(AND(IFERROR(VALUE(SUBSTITUTE(TRIM(Input!E345&amp;""),"%","")),0)&gt;0,IFERROR(VALUE(SUBSTITUTE(TRIM(Input!E345&amp;""),"%","")),0)&lt;1),1,100))</f>
        <v/>
      </c>
      <c r="E345" t="str">
        <f>IF(A345="","",IFERROR(VALUE(SUBSTITUTE(TRIM(Input!F345&amp;""),"%","")),0)/IF(AND(IFERROR(VALUE(SUBSTITUTE(TRIM(Input!F345&amp;""),"%","")),0)&gt;0,IFERROR(VALUE(SUBSTITUTE(TRIM(Input!F345&amp;""),"%","")),0)&lt;1),1,100))</f>
        <v/>
      </c>
      <c r="F345" t="str">
        <f>IF(A345="","",IFERROR(VALUE(SUBSTITUTE(TRIM(Input!G345&amp;""),"%","")),0)/IF(AND(IFERROR(VALUE(SUBSTITUTE(TRIM(Input!G345&amp;""),"%","")),0)&gt;0,IFERROR(VALUE(SUBSTITUTE(TRIM(Input!G345&amp;""),"%","")),0)&lt;1),1,100))</f>
        <v/>
      </c>
      <c r="G345" t="str">
        <f>IF(A345="","",IFERROR(VALUE(SUBSTITUTE(TRIM(Input!H345&amp;""),"%","")),0)/IF(AND(IFERROR(VALUE(SUBSTITUTE(TRIM(Input!H345&amp;""),"%","")),0)&gt;0,IFERROR(VALUE(SUBSTITUTE(TRIM(Input!H345&amp;""),"%","")),0)&lt;1),1,100))</f>
        <v/>
      </c>
      <c r="H345" t="str">
        <f>IF(A345="","",IFERROR(VALUE(SUBSTITUTE(TRIM(Input!I345&amp;""),"%","")),0)/IF(AND(IFERROR(VALUE(SUBSTITUTE(TRIM(Input!I345&amp;""),"%","")),0)&gt;0,IFERROR(VALUE(SUBSTITUTE(TRIM(Input!I345&amp;""),"%","")),0)&lt;1),1,100))</f>
        <v/>
      </c>
    </row>
    <row r="346" spans="1:8">
      <c r="A346" t="str">
        <f>IF(TRIM(Input!B346&amp;"")="","",UPPER(TRIM(Input!B346&amp;"")))</f>
        <v/>
      </c>
      <c r="B346" t="str">
        <f>IF(A346="","",IFERROR(VALUE(RIGHT(TRIM(Input!D346&amp;""),1)),0))</f>
        <v/>
      </c>
      <c r="C346" t="str">
        <f t="shared" si="5"/>
        <v/>
      </c>
      <c r="D346" t="str">
        <f>IF(A346="","",IFERROR(VALUE(SUBSTITUTE(TRIM(Input!E346&amp;""),"%","")),0)/IF(AND(IFERROR(VALUE(SUBSTITUTE(TRIM(Input!E346&amp;""),"%","")),0)&gt;0,IFERROR(VALUE(SUBSTITUTE(TRIM(Input!E346&amp;""),"%","")),0)&lt;1),1,100))</f>
        <v/>
      </c>
      <c r="E346" t="str">
        <f>IF(A346="","",IFERROR(VALUE(SUBSTITUTE(TRIM(Input!F346&amp;""),"%","")),0)/IF(AND(IFERROR(VALUE(SUBSTITUTE(TRIM(Input!F346&amp;""),"%","")),0)&gt;0,IFERROR(VALUE(SUBSTITUTE(TRIM(Input!F346&amp;""),"%","")),0)&lt;1),1,100))</f>
        <v/>
      </c>
      <c r="F346" t="str">
        <f>IF(A346="","",IFERROR(VALUE(SUBSTITUTE(TRIM(Input!G346&amp;""),"%","")),0)/IF(AND(IFERROR(VALUE(SUBSTITUTE(TRIM(Input!G346&amp;""),"%","")),0)&gt;0,IFERROR(VALUE(SUBSTITUTE(TRIM(Input!G346&amp;""),"%","")),0)&lt;1),1,100))</f>
        <v/>
      </c>
      <c r="G346" t="str">
        <f>IF(A346="","",IFERROR(VALUE(SUBSTITUTE(TRIM(Input!H346&amp;""),"%","")),0)/IF(AND(IFERROR(VALUE(SUBSTITUTE(TRIM(Input!H346&amp;""),"%","")),0)&gt;0,IFERROR(VALUE(SUBSTITUTE(TRIM(Input!H346&amp;""),"%","")),0)&lt;1),1,100))</f>
        <v/>
      </c>
      <c r="H346" t="str">
        <f>IF(A346="","",IFERROR(VALUE(SUBSTITUTE(TRIM(Input!I346&amp;""),"%","")),0)/IF(AND(IFERROR(VALUE(SUBSTITUTE(TRIM(Input!I346&amp;""),"%","")),0)&gt;0,IFERROR(VALUE(SUBSTITUTE(TRIM(Input!I346&amp;""),"%","")),0)&lt;1),1,100))</f>
        <v/>
      </c>
    </row>
    <row r="347" spans="1:8">
      <c r="A347" t="str">
        <f>IF(TRIM(Input!B347&amp;"")="","",UPPER(TRIM(Input!B347&amp;"")))</f>
        <v/>
      </c>
      <c r="B347" t="str">
        <f>IF(A347="","",IFERROR(VALUE(RIGHT(TRIM(Input!D347&amp;""),1)),0))</f>
        <v/>
      </c>
      <c r="C347" t="str">
        <f t="shared" si="5"/>
        <v/>
      </c>
      <c r="D347" t="str">
        <f>IF(A347="","",IFERROR(VALUE(SUBSTITUTE(TRIM(Input!E347&amp;""),"%","")),0)/IF(AND(IFERROR(VALUE(SUBSTITUTE(TRIM(Input!E347&amp;""),"%","")),0)&gt;0,IFERROR(VALUE(SUBSTITUTE(TRIM(Input!E347&amp;""),"%","")),0)&lt;1),1,100))</f>
        <v/>
      </c>
      <c r="E347" t="str">
        <f>IF(A347="","",IFERROR(VALUE(SUBSTITUTE(TRIM(Input!F347&amp;""),"%","")),0)/IF(AND(IFERROR(VALUE(SUBSTITUTE(TRIM(Input!F347&amp;""),"%","")),0)&gt;0,IFERROR(VALUE(SUBSTITUTE(TRIM(Input!F347&amp;""),"%","")),0)&lt;1),1,100))</f>
        <v/>
      </c>
      <c r="F347" t="str">
        <f>IF(A347="","",IFERROR(VALUE(SUBSTITUTE(TRIM(Input!G347&amp;""),"%","")),0)/IF(AND(IFERROR(VALUE(SUBSTITUTE(TRIM(Input!G347&amp;""),"%","")),0)&gt;0,IFERROR(VALUE(SUBSTITUTE(TRIM(Input!G347&amp;""),"%","")),0)&lt;1),1,100))</f>
        <v/>
      </c>
      <c r="G347" t="str">
        <f>IF(A347="","",IFERROR(VALUE(SUBSTITUTE(TRIM(Input!H347&amp;""),"%","")),0)/IF(AND(IFERROR(VALUE(SUBSTITUTE(TRIM(Input!H347&amp;""),"%","")),0)&gt;0,IFERROR(VALUE(SUBSTITUTE(TRIM(Input!H347&amp;""),"%","")),0)&lt;1),1,100))</f>
        <v/>
      </c>
      <c r="H347" t="str">
        <f>IF(A347="","",IFERROR(VALUE(SUBSTITUTE(TRIM(Input!I347&amp;""),"%","")),0)/IF(AND(IFERROR(VALUE(SUBSTITUTE(TRIM(Input!I347&amp;""),"%","")),0)&gt;0,IFERROR(VALUE(SUBSTITUTE(TRIM(Input!I347&amp;""),"%","")),0)&lt;1),1,100))</f>
        <v/>
      </c>
    </row>
    <row r="348" spans="1:8">
      <c r="A348" t="str">
        <f>IF(TRIM(Input!B348&amp;"")="","",UPPER(TRIM(Input!B348&amp;"")))</f>
        <v/>
      </c>
      <c r="B348" t="str">
        <f>IF(A348="","",IFERROR(VALUE(RIGHT(TRIM(Input!D348&amp;""),1)),0))</f>
        <v/>
      </c>
      <c r="C348" t="str">
        <f t="shared" si="5"/>
        <v/>
      </c>
      <c r="D348" t="str">
        <f>IF(A348="","",IFERROR(VALUE(SUBSTITUTE(TRIM(Input!E348&amp;""),"%","")),0)/IF(AND(IFERROR(VALUE(SUBSTITUTE(TRIM(Input!E348&amp;""),"%","")),0)&gt;0,IFERROR(VALUE(SUBSTITUTE(TRIM(Input!E348&amp;""),"%","")),0)&lt;1),1,100))</f>
        <v/>
      </c>
      <c r="E348" t="str">
        <f>IF(A348="","",IFERROR(VALUE(SUBSTITUTE(TRIM(Input!F348&amp;""),"%","")),0)/IF(AND(IFERROR(VALUE(SUBSTITUTE(TRIM(Input!F348&amp;""),"%","")),0)&gt;0,IFERROR(VALUE(SUBSTITUTE(TRIM(Input!F348&amp;""),"%","")),0)&lt;1),1,100))</f>
        <v/>
      </c>
      <c r="F348" t="str">
        <f>IF(A348="","",IFERROR(VALUE(SUBSTITUTE(TRIM(Input!G348&amp;""),"%","")),0)/IF(AND(IFERROR(VALUE(SUBSTITUTE(TRIM(Input!G348&amp;""),"%","")),0)&gt;0,IFERROR(VALUE(SUBSTITUTE(TRIM(Input!G348&amp;""),"%","")),0)&lt;1),1,100))</f>
        <v/>
      </c>
      <c r="G348" t="str">
        <f>IF(A348="","",IFERROR(VALUE(SUBSTITUTE(TRIM(Input!H348&amp;""),"%","")),0)/IF(AND(IFERROR(VALUE(SUBSTITUTE(TRIM(Input!H348&amp;""),"%","")),0)&gt;0,IFERROR(VALUE(SUBSTITUTE(TRIM(Input!H348&amp;""),"%","")),0)&lt;1),1,100))</f>
        <v/>
      </c>
      <c r="H348" t="str">
        <f>IF(A348="","",IFERROR(VALUE(SUBSTITUTE(TRIM(Input!I348&amp;""),"%","")),0)/IF(AND(IFERROR(VALUE(SUBSTITUTE(TRIM(Input!I348&amp;""),"%","")),0)&gt;0,IFERROR(VALUE(SUBSTITUTE(TRIM(Input!I348&amp;""),"%","")),0)&lt;1),1,100))</f>
        <v/>
      </c>
    </row>
    <row r="349" spans="1:8">
      <c r="A349" t="str">
        <f>IF(TRIM(Input!B349&amp;"")="","",UPPER(TRIM(Input!B349&amp;"")))</f>
        <v/>
      </c>
      <c r="B349" t="str">
        <f>IF(A349="","",IFERROR(VALUE(RIGHT(TRIM(Input!D349&amp;""),1)),0))</f>
        <v/>
      </c>
      <c r="C349" t="str">
        <f t="shared" si="5"/>
        <v/>
      </c>
      <c r="D349" t="str">
        <f>IF(A349="","",IFERROR(VALUE(SUBSTITUTE(TRIM(Input!E349&amp;""),"%","")),0)/IF(AND(IFERROR(VALUE(SUBSTITUTE(TRIM(Input!E349&amp;""),"%","")),0)&gt;0,IFERROR(VALUE(SUBSTITUTE(TRIM(Input!E349&amp;""),"%","")),0)&lt;1),1,100))</f>
        <v/>
      </c>
      <c r="E349" t="str">
        <f>IF(A349="","",IFERROR(VALUE(SUBSTITUTE(TRIM(Input!F349&amp;""),"%","")),0)/IF(AND(IFERROR(VALUE(SUBSTITUTE(TRIM(Input!F349&amp;""),"%","")),0)&gt;0,IFERROR(VALUE(SUBSTITUTE(TRIM(Input!F349&amp;""),"%","")),0)&lt;1),1,100))</f>
        <v/>
      </c>
      <c r="F349" t="str">
        <f>IF(A349="","",IFERROR(VALUE(SUBSTITUTE(TRIM(Input!G349&amp;""),"%","")),0)/IF(AND(IFERROR(VALUE(SUBSTITUTE(TRIM(Input!G349&amp;""),"%","")),0)&gt;0,IFERROR(VALUE(SUBSTITUTE(TRIM(Input!G349&amp;""),"%","")),0)&lt;1),1,100))</f>
        <v/>
      </c>
      <c r="G349" t="str">
        <f>IF(A349="","",IFERROR(VALUE(SUBSTITUTE(TRIM(Input!H349&amp;""),"%","")),0)/IF(AND(IFERROR(VALUE(SUBSTITUTE(TRIM(Input!H349&amp;""),"%","")),0)&gt;0,IFERROR(VALUE(SUBSTITUTE(TRIM(Input!H349&amp;""),"%","")),0)&lt;1),1,100))</f>
        <v/>
      </c>
      <c r="H349" t="str">
        <f>IF(A349="","",IFERROR(VALUE(SUBSTITUTE(TRIM(Input!I349&amp;""),"%","")),0)/IF(AND(IFERROR(VALUE(SUBSTITUTE(TRIM(Input!I349&amp;""),"%","")),0)&gt;0,IFERROR(VALUE(SUBSTITUTE(TRIM(Input!I349&amp;""),"%","")),0)&lt;1),1,100))</f>
        <v/>
      </c>
    </row>
    <row r="350" spans="1:8">
      <c r="A350" t="str">
        <f>IF(TRIM(Input!B350&amp;"")="","",UPPER(TRIM(Input!B350&amp;"")))</f>
        <v/>
      </c>
      <c r="B350" t="str">
        <f>IF(A350="","",IFERROR(VALUE(RIGHT(TRIM(Input!D350&amp;""),1)),0))</f>
        <v/>
      </c>
      <c r="C350" t="str">
        <f t="shared" si="5"/>
        <v/>
      </c>
      <c r="D350" t="str">
        <f>IF(A350="","",IFERROR(VALUE(SUBSTITUTE(TRIM(Input!E350&amp;""),"%","")),0)/IF(AND(IFERROR(VALUE(SUBSTITUTE(TRIM(Input!E350&amp;""),"%","")),0)&gt;0,IFERROR(VALUE(SUBSTITUTE(TRIM(Input!E350&amp;""),"%","")),0)&lt;1),1,100))</f>
        <v/>
      </c>
      <c r="E350" t="str">
        <f>IF(A350="","",IFERROR(VALUE(SUBSTITUTE(TRIM(Input!F350&amp;""),"%","")),0)/IF(AND(IFERROR(VALUE(SUBSTITUTE(TRIM(Input!F350&amp;""),"%","")),0)&gt;0,IFERROR(VALUE(SUBSTITUTE(TRIM(Input!F350&amp;""),"%","")),0)&lt;1),1,100))</f>
        <v/>
      </c>
      <c r="F350" t="str">
        <f>IF(A350="","",IFERROR(VALUE(SUBSTITUTE(TRIM(Input!G350&amp;""),"%","")),0)/IF(AND(IFERROR(VALUE(SUBSTITUTE(TRIM(Input!G350&amp;""),"%","")),0)&gt;0,IFERROR(VALUE(SUBSTITUTE(TRIM(Input!G350&amp;""),"%","")),0)&lt;1),1,100))</f>
        <v/>
      </c>
      <c r="G350" t="str">
        <f>IF(A350="","",IFERROR(VALUE(SUBSTITUTE(TRIM(Input!H350&amp;""),"%","")),0)/IF(AND(IFERROR(VALUE(SUBSTITUTE(TRIM(Input!H350&amp;""),"%","")),0)&gt;0,IFERROR(VALUE(SUBSTITUTE(TRIM(Input!H350&amp;""),"%","")),0)&lt;1),1,100))</f>
        <v/>
      </c>
      <c r="H350" t="str">
        <f>IF(A350="","",IFERROR(VALUE(SUBSTITUTE(TRIM(Input!I350&amp;""),"%","")),0)/IF(AND(IFERROR(VALUE(SUBSTITUTE(TRIM(Input!I350&amp;""),"%","")),0)&gt;0,IFERROR(VALUE(SUBSTITUTE(TRIM(Input!I350&amp;""),"%","")),0)&lt;1),1,100))</f>
        <v/>
      </c>
    </row>
    <row r="351" spans="1:8">
      <c r="A351" t="str">
        <f>IF(TRIM(Input!B351&amp;"")="","",UPPER(TRIM(Input!B351&amp;"")))</f>
        <v/>
      </c>
      <c r="B351" t="str">
        <f>IF(A351="","",IFERROR(VALUE(RIGHT(TRIM(Input!D351&amp;""),1)),0))</f>
        <v/>
      </c>
      <c r="C351" t="str">
        <f t="shared" si="5"/>
        <v/>
      </c>
      <c r="D351" t="str">
        <f>IF(A351="","",IFERROR(VALUE(SUBSTITUTE(TRIM(Input!E351&amp;""),"%","")),0)/IF(AND(IFERROR(VALUE(SUBSTITUTE(TRIM(Input!E351&amp;""),"%","")),0)&gt;0,IFERROR(VALUE(SUBSTITUTE(TRIM(Input!E351&amp;""),"%","")),0)&lt;1),1,100))</f>
        <v/>
      </c>
      <c r="E351" t="str">
        <f>IF(A351="","",IFERROR(VALUE(SUBSTITUTE(TRIM(Input!F351&amp;""),"%","")),0)/IF(AND(IFERROR(VALUE(SUBSTITUTE(TRIM(Input!F351&amp;""),"%","")),0)&gt;0,IFERROR(VALUE(SUBSTITUTE(TRIM(Input!F351&amp;""),"%","")),0)&lt;1),1,100))</f>
        <v/>
      </c>
      <c r="F351" t="str">
        <f>IF(A351="","",IFERROR(VALUE(SUBSTITUTE(TRIM(Input!G351&amp;""),"%","")),0)/IF(AND(IFERROR(VALUE(SUBSTITUTE(TRIM(Input!G351&amp;""),"%","")),0)&gt;0,IFERROR(VALUE(SUBSTITUTE(TRIM(Input!G351&amp;""),"%","")),0)&lt;1),1,100))</f>
        <v/>
      </c>
      <c r="G351" t="str">
        <f>IF(A351="","",IFERROR(VALUE(SUBSTITUTE(TRIM(Input!H351&amp;""),"%","")),0)/IF(AND(IFERROR(VALUE(SUBSTITUTE(TRIM(Input!H351&amp;""),"%","")),0)&gt;0,IFERROR(VALUE(SUBSTITUTE(TRIM(Input!H351&amp;""),"%","")),0)&lt;1),1,100))</f>
        <v/>
      </c>
      <c r="H351" t="str">
        <f>IF(A351="","",IFERROR(VALUE(SUBSTITUTE(TRIM(Input!I351&amp;""),"%","")),0)/IF(AND(IFERROR(VALUE(SUBSTITUTE(TRIM(Input!I351&amp;""),"%","")),0)&gt;0,IFERROR(VALUE(SUBSTITUTE(TRIM(Input!I351&amp;""),"%","")),0)&lt;1),1,100))</f>
        <v/>
      </c>
    </row>
    <row r="352" spans="1:8">
      <c r="A352" t="str">
        <f>IF(TRIM(Input!B352&amp;"")="","",UPPER(TRIM(Input!B352&amp;"")))</f>
        <v/>
      </c>
      <c r="B352" t="str">
        <f>IF(A352="","",IFERROR(VALUE(RIGHT(TRIM(Input!D352&amp;""),1)),0))</f>
        <v/>
      </c>
      <c r="C352" t="str">
        <f t="shared" si="5"/>
        <v/>
      </c>
      <c r="D352" t="str">
        <f>IF(A352="","",IFERROR(VALUE(SUBSTITUTE(TRIM(Input!E352&amp;""),"%","")),0)/IF(AND(IFERROR(VALUE(SUBSTITUTE(TRIM(Input!E352&amp;""),"%","")),0)&gt;0,IFERROR(VALUE(SUBSTITUTE(TRIM(Input!E352&amp;""),"%","")),0)&lt;1),1,100))</f>
        <v/>
      </c>
      <c r="E352" t="str">
        <f>IF(A352="","",IFERROR(VALUE(SUBSTITUTE(TRIM(Input!F352&amp;""),"%","")),0)/IF(AND(IFERROR(VALUE(SUBSTITUTE(TRIM(Input!F352&amp;""),"%","")),0)&gt;0,IFERROR(VALUE(SUBSTITUTE(TRIM(Input!F352&amp;""),"%","")),0)&lt;1),1,100))</f>
        <v/>
      </c>
      <c r="F352" t="str">
        <f>IF(A352="","",IFERROR(VALUE(SUBSTITUTE(TRIM(Input!G352&amp;""),"%","")),0)/IF(AND(IFERROR(VALUE(SUBSTITUTE(TRIM(Input!G352&amp;""),"%","")),0)&gt;0,IFERROR(VALUE(SUBSTITUTE(TRIM(Input!G352&amp;""),"%","")),0)&lt;1),1,100))</f>
        <v/>
      </c>
      <c r="G352" t="str">
        <f>IF(A352="","",IFERROR(VALUE(SUBSTITUTE(TRIM(Input!H352&amp;""),"%","")),0)/IF(AND(IFERROR(VALUE(SUBSTITUTE(TRIM(Input!H352&amp;""),"%","")),0)&gt;0,IFERROR(VALUE(SUBSTITUTE(TRIM(Input!H352&amp;""),"%","")),0)&lt;1),1,100))</f>
        <v/>
      </c>
      <c r="H352" t="str">
        <f>IF(A352="","",IFERROR(VALUE(SUBSTITUTE(TRIM(Input!I352&amp;""),"%","")),0)/IF(AND(IFERROR(VALUE(SUBSTITUTE(TRIM(Input!I352&amp;""),"%","")),0)&gt;0,IFERROR(VALUE(SUBSTITUTE(TRIM(Input!I352&amp;""),"%","")),0)&lt;1),1,100))</f>
        <v/>
      </c>
    </row>
    <row r="353" spans="1:8">
      <c r="A353" t="str">
        <f>IF(TRIM(Input!B353&amp;"")="","",UPPER(TRIM(Input!B353&amp;"")))</f>
        <v/>
      </c>
      <c r="B353" t="str">
        <f>IF(A353="","",IFERROR(VALUE(RIGHT(TRIM(Input!D353&amp;""),1)),0))</f>
        <v/>
      </c>
      <c r="C353" t="str">
        <f t="shared" si="5"/>
        <v/>
      </c>
      <c r="D353" t="str">
        <f>IF(A353="","",IFERROR(VALUE(SUBSTITUTE(TRIM(Input!E353&amp;""),"%","")),0)/IF(AND(IFERROR(VALUE(SUBSTITUTE(TRIM(Input!E353&amp;""),"%","")),0)&gt;0,IFERROR(VALUE(SUBSTITUTE(TRIM(Input!E353&amp;""),"%","")),0)&lt;1),1,100))</f>
        <v/>
      </c>
      <c r="E353" t="str">
        <f>IF(A353="","",IFERROR(VALUE(SUBSTITUTE(TRIM(Input!F353&amp;""),"%","")),0)/IF(AND(IFERROR(VALUE(SUBSTITUTE(TRIM(Input!F353&amp;""),"%","")),0)&gt;0,IFERROR(VALUE(SUBSTITUTE(TRIM(Input!F353&amp;""),"%","")),0)&lt;1),1,100))</f>
        <v/>
      </c>
      <c r="F353" t="str">
        <f>IF(A353="","",IFERROR(VALUE(SUBSTITUTE(TRIM(Input!G353&amp;""),"%","")),0)/IF(AND(IFERROR(VALUE(SUBSTITUTE(TRIM(Input!G353&amp;""),"%","")),0)&gt;0,IFERROR(VALUE(SUBSTITUTE(TRIM(Input!G353&amp;""),"%","")),0)&lt;1),1,100))</f>
        <v/>
      </c>
      <c r="G353" t="str">
        <f>IF(A353="","",IFERROR(VALUE(SUBSTITUTE(TRIM(Input!H353&amp;""),"%","")),0)/IF(AND(IFERROR(VALUE(SUBSTITUTE(TRIM(Input!H353&amp;""),"%","")),0)&gt;0,IFERROR(VALUE(SUBSTITUTE(TRIM(Input!H353&amp;""),"%","")),0)&lt;1),1,100))</f>
        <v/>
      </c>
      <c r="H353" t="str">
        <f>IF(A353="","",IFERROR(VALUE(SUBSTITUTE(TRIM(Input!I353&amp;""),"%","")),0)/IF(AND(IFERROR(VALUE(SUBSTITUTE(TRIM(Input!I353&amp;""),"%","")),0)&gt;0,IFERROR(VALUE(SUBSTITUTE(TRIM(Input!I353&amp;""),"%","")),0)&lt;1),1,100))</f>
        <v/>
      </c>
    </row>
    <row r="354" spans="1:8">
      <c r="A354" t="str">
        <f>IF(TRIM(Input!B354&amp;"")="","",UPPER(TRIM(Input!B354&amp;"")))</f>
        <v/>
      </c>
      <c r="B354" t="str">
        <f>IF(A354="","",IFERROR(VALUE(RIGHT(TRIM(Input!D354&amp;""),1)),0))</f>
        <v/>
      </c>
      <c r="C354" t="str">
        <f t="shared" si="5"/>
        <v/>
      </c>
      <c r="D354" t="str">
        <f>IF(A354="","",IFERROR(VALUE(SUBSTITUTE(TRIM(Input!E354&amp;""),"%","")),0)/IF(AND(IFERROR(VALUE(SUBSTITUTE(TRIM(Input!E354&amp;""),"%","")),0)&gt;0,IFERROR(VALUE(SUBSTITUTE(TRIM(Input!E354&amp;""),"%","")),0)&lt;1),1,100))</f>
        <v/>
      </c>
      <c r="E354" t="str">
        <f>IF(A354="","",IFERROR(VALUE(SUBSTITUTE(TRIM(Input!F354&amp;""),"%","")),0)/IF(AND(IFERROR(VALUE(SUBSTITUTE(TRIM(Input!F354&amp;""),"%","")),0)&gt;0,IFERROR(VALUE(SUBSTITUTE(TRIM(Input!F354&amp;""),"%","")),0)&lt;1),1,100))</f>
        <v/>
      </c>
      <c r="F354" t="str">
        <f>IF(A354="","",IFERROR(VALUE(SUBSTITUTE(TRIM(Input!G354&amp;""),"%","")),0)/IF(AND(IFERROR(VALUE(SUBSTITUTE(TRIM(Input!G354&amp;""),"%","")),0)&gt;0,IFERROR(VALUE(SUBSTITUTE(TRIM(Input!G354&amp;""),"%","")),0)&lt;1),1,100))</f>
        <v/>
      </c>
      <c r="G354" t="str">
        <f>IF(A354="","",IFERROR(VALUE(SUBSTITUTE(TRIM(Input!H354&amp;""),"%","")),0)/IF(AND(IFERROR(VALUE(SUBSTITUTE(TRIM(Input!H354&amp;""),"%","")),0)&gt;0,IFERROR(VALUE(SUBSTITUTE(TRIM(Input!H354&amp;""),"%","")),0)&lt;1),1,100))</f>
        <v/>
      </c>
      <c r="H354" t="str">
        <f>IF(A354="","",IFERROR(VALUE(SUBSTITUTE(TRIM(Input!I354&amp;""),"%","")),0)/IF(AND(IFERROR(VALUE(SUBSTITUTE(TRIM(Input!I354&amp;""),"%","")),0)&gt;0,IFERROR(VALUE(SUBSTITUTE(TRIM(Input!I354&amp;""),"%","")),0)&lt;1),1,100))</f>
        <v/>
      </c>
    </row>
    <row r="355" spans="1:8">
      <c r="A355" t="str">
        <f>IF(TRIM(Input!B355&amp;"")="","",UPPER(TRIM(Input!B355&amp;"")))</f>
        <v/>
      </c>
      <c r="B355" t="str">
        <f>IF(A355="","",IFERROR(VALUE(RIGHT(TRIM(Input!D355&amp;""),1)),0))</f>
        <v/>
      </c>
      <c r="C355" t="str">
        <f t="shared" si="5"/>
        <v/>
      </c>
      <c r="D355" t="str">
        <f>IF(A355="","",IFERROR(VALUE(SUBSTITUTE(TRIM(Input!E355&amp;""),"%","")),0)/IF(AND(IFERROR(VALUE(SUBSTITUTE(TRIM(Input!E355&amp;""),"%","")),0)&gt;0,IFERROR(VALUE(SUBSTITUTE(TRIM(Input!E355&amp;""),"%","")),0)&lt;1),1,100))</f>
        <v/>
      </c>
      <c r="E355" t="str">
        <f>IF(A355="","",IFERROR(VALUE(SUBSTITUTE(TRIM(Input!F355&amp;""),"%","")),0)/IF(AND(IFERROR(VALUE(SUBSTITUTE(TRIM(Input!F355&amp;""),"%","")),0)&gt;0,IFERROR(VALUE(SUBSTITUTE(TRIM(Input!F355&amp;""),"%","")),0)&lt;1),1,100))</f>
        <v/>
      </c>
      <c r="F355" t="str">
        <f>IF(A355="","",IFERROR(VALUE(SUBSTITUTE(TRIM(Input!G355&amp;""),"%","")),0)/IF(AND(IFERROR(VALUE(SUBSTITUTE(TRIM(Input!G355&amp;""),"%","")),0)&gt;0,IFERROR(VALUE(SUBSTITUTE(TRIM(Input!G355&amp;""),"%","")),0)&lt;1),1,100))</f>
        <v/>
      </c>
      <c r="G355" t="str">
        <f>IF(A355="","",IFERROR(VALUE(SUBSTITUTE(TRIM(Input!H355&amp;""),"%","")),0)/IF(AND(IFERROR(VALUE(SUBSTITUTE(TRIM(Input!H355&amp;""),"%","")),0)&gt;0,IFERROR(VALUE(SUBSTITUTE(TRIM(Input!H355&amp;""),"%","")),0)&lt;1),1,100))</f>
        <v/>
      </c>
      <c r="H355" t="str">
        <f>IF(A355="","",IFERROR(VALUE(SUBSTITUTE(TRIM(Input!I355&amp;""),"%","")),0)/IF(AND(IFERROR(VALUE(SUBSTITUTE(TRIM(Input!I355&amp;""),"%","")),0)&gt;0,IFERROR(VALUE(SUBSTITUTE(TRIM(Input!I355&amp;""),"%","")),0)&lt;1),1,100))</f>
        <v/>
      </c>
    </row>
    <row r="356" spans="1:8">
      <c r="A356" t="str">
        <f>IF(TRIM(Input!B356&amp;"")="","",UPPER(TRIM(Input!B356&amp;"")))</f>
        <v/>
      </c>
      <c r="B356" t="str">
        <f>IF(A356="","",IFERROR(VALUE(RIGHT(TRIM(Input!D356&amp;""),1)),0))</f>
        <v/>
      </c>
      <c r="C356" t="str">
        <f t="shared" si="5"/>
        <v/>
      </c>
      <c r="D356" t="str">
        <f>IF(A356="","",IFERROR(VALUE(SUBSTITUTE(TRIM(Input!E356&amp;""),"%","")),0)/IF(AND(IFERROR(VALUE(SUBSTITUTE(TRIM(Input!E356&amp;""),"%","")),0)&gt;0,IFERROR(VALUE(SUBSTITUTE(TRIM(Input!E356&amp;""),"%","")),0)&lt;1),1,100))</f>
        <v/>
      </c>
      <c r="E356" t="str">
        <f>IF(A356="","",IFERROR(VALUE(SUBSTITUTE(TRIM(Input!F356&amp;""),"%","")),0)/IF(AND(IFERROR(VALUE(SUBSTITUTE(TRIM(Input!F356&amp;""),"%","")),0)&gt;0,IFERROR(VALUE(SUBSTITUTE(TRIM(Input!F356&amp;""),"%","")),0)&lt;1),1,100))</f>
        <v/>
      </c>
      <c r="F356" t="str">
        <f>IF(A356="","",IFERROR(VALUE(SUBSTITUTE(TRIM(Input!G356&amp;""),"%","")),0)/IF(AND(IFERROR(VALUE(SUBSTITUTE(TRIM(Input!G356&amp;""),"%","")),0)&gt;0,IFERROR(VALUE(SUBSTITUTE(TRIM(Input!G356&amp;""),"%","")),0)&lt;1),1,100))</f>
        <v/>
      </c>
      <c r="G356" t="str">
        <f>IF(A356="","",IFERROR(VALUE(SUBSTITUTE(TRIM(Input!H356&amp;""),"%","")),0)/IF(AND(IFERROR(VALUE(SUBSTITUTE(TRIM(Input!H356&amp;""),"%","")),0)&gt;0,IFERROR(VALUE(SUBSTITUTE(TRIM(Input!H356&amp;""),"%","")),0)&lt;1),1,100))</f>
        <v/>
      </c>
      <c r="H356" t="str">
        <f>IF(A356="","",IFERROR(VALUE(SUBSTITUTE(TRIM(Input!I356&amp;""),"%","")),0)/IF(AND(IFERROR(VALUE(SUBSTITUTE(TRIM(Input!I356&amp;""),"%","")),0)&gt;0,IFERROR(VALUE(SUBSTITUTE(TRIM(Input!I356&amp;""),"%","")),0)&lt;1),1,100))</f>
        <v/>
      </c>
    </row>
    <row r="357" spans="1:8">
      <c r="A357" t="str">
        <f>IF(TRIM(Input!B357&amp;"")="","",UPPER(TRIM(Input!B357&amp;"")))</f>
        <v/>
      </c>
      <c r="B357" t="str">
        <f>IF(A357="","",IFERROR(VALUE(RIGHT(TRIM(Input!D357&amp;""),1)),0))</f>
        <v/>
      </c>
      <c r="C357" t="str">
        <f t="shared" si="5"/>
        <v/>
      </c>
      <c r="D357" t="str">
        <f>IF(A357="","",IFERROR(VALUE(SUBSTITUTE(TRIM(Input!E357&amp;""),"%","")),0)/IF(AND(IFERROR(VALUE(SUBSTITUTE(TRIM(Input!E357&amp;""),"%","")),0)&gt;0,IFERROR(VALUE(SUBSTITUTE(TRIM(Input!E357&amp;""),"%","")),0)&lt;1),1,100))</f>
        <v/>
      </c>
      <c r="E357" t="str">
        <f>IF(A357="","",IFERROR(VALUE(SUBSTITUTE(TRIM(Input!F357&amp;""),"%","")),0)/IF(AND(IFERROR(VALUE(SUBSTITUTE(TRIM(Input!F357&amp;""),"%","")),0)&gt;0,IFERROR(VALUE(SUBSTITUTE(TRIM(Input!F357&amp;""),"%","")),0)&lt;1),1,100))</f>
        <v/>
      </c>
      <c r="F357" t="str">
        <f>IF(A357="","",IFERROR(VALUE(SUBSTITUTE(TRIM(Input!G357&amp;""),"%","")),0)/IF(AND(IFERROR(VALUE(SUBSTITUTE(TRIM(Input!G357&amp;""),"%","")),0)&gt;0,IFERROR(VALUE(SUBSTITUTE(TRIM(Input!G357&amp;""),"%","")),0)&lt;1),1,100))</f>
        <v/>
      </c>
      <c r="G357" t="str">
        <f>IF(A357="","",IFERROR(VALUE(SUBSTITUTE(TRIM(Input!H357&amp;""),"%","")),0)/IF(AND(IFERROR(VALUE(SUBSTITUTE(TRIM(Input!H357&amp;""),"%","")),0)&gt;0,IFERROR(VALUE(SUBSTITUTE(TRIM(Input!H357&amp;""),"%","")),0)&lt;1),1,100))</f>
        <v/>
      </c>
      <c r="H357" t="str">
        <f>IF(A357="","",IFERROR(VALUE(SUBSTITUTE(TRIM(Input!I357&amp;""),"%","")),0)/IF(AND(IFERROR(VALUE(SUBSTITUTE(TRIM(Input!I357&amp;""),"%","")),0)&gt;0,IFERROR(VALUE(SUBSTITUTE(TRIM(Input!I357&amp;""),"%","")),0)&lt;1),1,100))</f>
        <v/>
      </c>
    </row>
    <row r="358" spans="1:8">
      <c r="A358" t="str">
        <f>IF(TRIM(Input!B358&amp;"")="","",UPPER(TRIM(Input!B358&amp;"")))</f>
        <v/>
      </c>
      <c r="B358" t="str">
        <f>IF(A358="","",IFERROR(VALUE(RIGHT(TRIM(Input!D358&amp;""),1)),0))</f>
        <v/>
      </c>
      <c r="C358" t="str">
        <f t="shared" si="5"/>
        <v/>
      </c>
      <c r="D358" t="str">
        <f>IF(A358="","",IFERROR(VALUE(SUBSTITUTE(TRIM(Input!E358&amp;""),"%","")),0)/IF(AND(IFERROR(VALUE(SUBSTITUTE(TRIM(Input!E358&amp;""),"%","")),0)&gt;0,IFERROR(VALUE(SUBSTITUTE(TRIM(Input!E358&amp;""),"%","")),0)&lt;1),1,100))</f>
        <v/>
      </c>
      <c r="E358" t="str">
        <f>IF(A358="","",IFERROR(VALUE(SUBSTITUTE(TRIM(Input!F358&amp;""),"%","")),0)/IF(AND(IFERROR(VALUE(SUBSTITUTE(TRIM(Input!F358&amp;""),"%","")),0)&gt;0,IFERROR(VALUE(SUBSTITUTE(TRIM(Input!F358&amp;""),"%","")),0)&lt;1),1,100))</f>
        <v/>
      </c>
      <c r="F358" t="str">
        <f>IF(A358="","",IFERROR(VALUE(SUBSTITUTE(TRIM(Input!G358&amp;""),"%","")),0)/IF(AND(IFERROR(VALUE(SUBSTITUTE(TRIM(Input!G358&amp;""),"%","")),0)&gt;0,IFERROR(VALUE(SUBSTITUTE(TRIM(Input!G358&amp;""),"%","")),0)&lt;1),1,100))</f>
        <v/>
      </c>
      <c r="G358" t="str">
        <f>IF(A358="","",IFERROR(VALUE(SUBSTITUTE(TRIM(Input!H358&amp;""),"%","")),0)/IF(AND(IFERROR(VALUE(SUBSTITUTE(TRIM(Input!H358&amp;""),"%","")),0)&gt;0,IFERROR(VALUE(SUBSTITUTE(TRIM(Input!H358&amp;""),"%","")),0)&lt;1),1,100))</f>
        <v/>
      </c>
      <c r="H358" t="str">
        <f>IF(A358="","",IFERROR(VALUE(SUBSTITUTE(TRIM(Input!I358&amp;""),"%","")),0)/IF(AND(IFERROR(VALUE(SUBSTITUTE(TRIM(Input!I358&amp;""),"%","")),0)&gt;0,IFERROR(VALUE(SUBSTITUTE(TRIM(Input!I358&amp;""),"%","")),0)&lt;1),1,100))</f>
        <v/>
      </c>
    </row>
    <row r="359" spans="1:8">
      <c r="A359" t="str">
        <f>IF(TRIM(Input!B359&amp;"")="","",UPPER(TRIM(Input!B359&amp;"")))</f>
        <v/>
      </c>
      <c r="B359" t="str">
        <f>IF(A359="","",IFERROR(VALUE(RIGHT(TRIM(Input!D359&amp;""),1)),0))</f>
        <v/>
      </c>
      <c r="C359" t="str">
        <f t="shared" si="5"/>
        <v/>
      </c>
      <c r="D359" t="str">
        <f>IF(A359="","",IFERROR(VALUE(SUBSTITUTE(TRIM(Input!E359&amp;""),"%","")),0)/IF(AND(IFERROR(VALUE(SUBSTITUTE(TRIM(Input!E359&amp;""),"%","")),0)&gt;0,IFERROR(VALUE(SUBSTITUTE(TRIM(Input!E359&amp;""),"%","")),0)&lt;1),1,100))</f>
        <v/>
      </c>
      <c r="E359" t="str">
        <f>IF(A359="","",IFERROR(VALUE(SUBSTITUTE(TRIM(Input!F359&amp;""),"%","")),0)/IF(AND(IFERROR(VALUE(SUBSTITUTE(TRIM(Input!F359&amp;""),"%","")),0)&gt;0,IFERROR(VALUE(SUBSTITUTE(TRIM(Input!F359&amp;""),"%","")),0)&lt;1),1,100))</f>
        <v/>
      </c>
      <c r="F359" t="str">
        <f>IF(A359="","",IFERROR(VALUE(SUBSTITUTE(TRIM(Input!G359&amp;""),"%","")),0)/IF(AND(IFERROR(VALUE(SUBSTITUTE(TRIM(Input!G359&amp;""),"%","")),0)&gt;0,IFERROR(VALUE(SUBSTITUTE(TRIM(Input!G359&amp;""),"%","")),0)&lt;1),1,100))</f>
        <v/>
      </c>
      <c r="G359" t="str">
        <f>IF(A359="","",IFERROR(VALUE(SUBSTITUTE(TRIM(Input!H359&amp;""),"%","")),0)/IF(AND(IFERROR(VALUE(SUBSTITUTE(TRIM(Input!H359&amp;""),"%","")),0)&gt;0,IFERROR(VALUE(SUBSTITUTE(TRIM(Input!H359&amp;""),"%","")),0)&lt;1),1,100))</f>
        <v/>
      </c>
      <c r="H359" t="str">
        <f>IF(A359="","",IFERROR(VALUE(SUBSTITUTE(TRIM(Input!I359&amp;""),"%","")),0)/IF(AND(IFERROR(VALUE(SUBSTITUTE(TRIM(Input!I359&amp;""),"%","")),0)&gt;0,IFERROR(VALUE(SUBSTITUTE(TRIM(Input!I359&amp;""),"%","")),0)&lt;1),1,100))</f>
        <v/>
      </c>
    </row>
    <row r="360" spans="1:8">
      <c r="A360" t="str">
        <f>IF(TRIM(Input!B360&amp;"")="","",UPPER(TRIM(Input!B360&amp;"")))</f>
        <v/>
      </c>
      <c r="B360" t="str">
        <f>IF(A360="","",IFERROR(VALUE(RIGHT(TRIM(Input!D360&amp;""),1)),0))</f>
        <v/>
      </c>
      <c r="C360" t="str">
        <f t="shared" si="5"/>
        <v/>
      </c>
      <c r="D360" t="str">
        <f>IF(A360="","",IFERROR(VALUE(SUBSTITUTE(TRIM(Input!E360&amp;""),"%","")),0)/IF(AND(IFERROR(VALUE(SUBSTITUTE(TRIM(Input!E360&amp;""),"%","")),0)&gt;0,IFERROR(VALUE(SUBSTITUTE(TRIM(Input!E360&amp;""),"%","")),0)&lt;1),1,100))</f>
        <v/>
      </c>
      <c r="E360" t="str">
        <f>IF(A360="","",IFERROR(VALUE(SUBSTITUTE(TRIM(Input!F360&amp;""),"%","")),0)/IF(AND(IFERROR(VALUE(SUBSTITUTE(TRIM(Input!F360&amp;""),"%","")),0)&gt;0,IFERROR(VALUE(SUBSTITUTE(TRIM(Input!F360&amp;""),"%","")),0)&lt;1),1,100))</f>
        <v/>
      </c>
      <c r="F360" t="str">
        <f>IF(A360="","",IFERROR(VALUE(SUBSTITUTE(TRIM(Input!G360&amp;""),"%","")),0)/IF(AND(IFERROR(VALUE(SUBSTITUTE(TRIM(Input!G360&amp;""),"%","")),0)&gt;0,IFERROR(VALUE(SUBSTITUTE(TRIM(Input!G360&amp;""),"%","")),0)&lt;1),1,100))</f>
        <v/>
      </c>
      <c r="G360" t="str">
        <f>IF(A360="","",IFERROR(VALUE(SUBSTITUTE(TRIM(Input!H360&amp;""),"%","")),0)/IF(AND(IFERROR(VALUE(SUBSTITUTE(TRIM(Input!H360&amp;""),"%","")),0)&gt;0,IFERROR(VALUE(SUBSTITUTE(TRIM(Input!H360&amp;""),"%","")),0)&lt;1),1,100))</f>
        <v/>
      </c>
      <c r="H360" t="str">
        <f>IF(A360="","",IFERROR(VALUE(SUBSTITUTE(TRIM(Input!I360&amp;""),"%","")),0)/IF(AND(IFERROR(VALUE(SUBSTITUTE(TRIM(Input!I360&amp;""),"%","")),0)&gt;0,IFERROR(VALUE(SUBSTITUTE(TRIM(Input!I360&amp;""),"%","")),0)&lt;1),1,100))</f>
        <v/>
      </c>
    </row>
    <row r="361" spans="1:8">
      <c r="A361" t="str">
        <f>IF(TRIM(Input!B361&amp;"")="","",UPPER(TRIM(Input!B361&amp;"")))</f>
        <v/>
      </c>
      <c r="B361" t="str">
        <f>IF(A361="","",IFERROR(VALUE(RIGHT(TRIM(Input!D361&amp;""),1)),0))</f>
        <v/>
      </c>
      <c r="C361" t="str">
        <f t="shared" si="5"/>
        <v/>
      </c>
      <c r="D361" t="str">
        <f>IF(A361="","",IFERROR(VALUE(SUBSTITUTE(TRIM(Input!E361&amp;""),"%","")),0)/IF(AND(IFERROR(VALUE(SUBSTITUTE(TRIM(Input!E361&amp;""),"%","")),0)&gt;0,IFERROR(VALUE(SUBSTITUTE(TRIM(Input!E361&amp;""),"%","")),0)&lt;1),1,100))</f>
        <v/>
      </c>
      <c r="E361" t="str">
        <f>IF(A361="","",IFERROR(VALUE(SUBSTITUTE(TRIM(Input!F361&amp;""),"%","")),0)/IF(AND(IFERROR(VALUE(SUBSTITUTE(TRIM(Input!F361&amp;""),"%","")),0)&gt;0,IFERROR(VALUE(SUBSTITUTE(TRIM(Input!F361&amp;""),"%","")),0)&lt;1),1,100))</f>
        <v/>
      </c>
      <c r="F361" t="str">
        <f>IF(A361="","",IFERROR(VALUE(SUBSTITUTE(TRIM(Input!G361&amp;""),"%","")),0)/IF(AND(IFERROR(VALUE(SUBSTITUTE(TRIM(Input!G361&amp;""),"%","")),0)&gt;0,IFERROR(VALUE(SUBSTITUTE(TRIM(Input!G361&amp;""),"%","")),0)&lt;1),1,100))</f>
        <v/>
      </c>
      <c r="G361" t="str">
        <f>IF(A361="","",IFERROR(VALUE(SUBSTITUTE(TRIM(Input!H361&amp;""),"%","")),0)/IF(AND(IFERROR(VALUE(SUBSTITUTE(TRIM(Input!H361&amp;""),"%","")),0)&gt;0,IFERROR(VALUE(SUBSTITUTE(TRIM(Input!H361&amp;""),"%","")),0)&lt;1),1,100))</f>
        <v/>
      </c>
      <c r="H361" t="str">
        <f>IF(A361="","",IFERROR(VALUE(SUBSTITUTE(TRIM(Input!I361&amp;""),"%","")),0)/IF(AND(IFERROR(VALUE(SUBSTITUTE(TRIM(Input!I361&amp;""),"%","")),0)&gt;0,IFERROR(VALUE(SUBSTITUTE(TRIM(Input!I361&amp;""),"%","")),0)&lt;1),1,100))</f>
        <v/>
      </c>
    </row>
    <row r="362" spans="1:8">
      <c r="A362" t="str">
        <f>IF(TRIM(Input!B362&amp;"")="","",UPPER(TRIM(Input!B362&amp;"")))</f>
        <v/>
      </c>
      <c r="B362" t="str">
        <f>IF(A362="","",IFERROR(VALUE(RIGHT(TRIM(Input!D362&amp;""),1)),0))</f>
        <v/>
      </c>
      <c r="C362" t="str">
        <f t="shared" si="5"/>
        <v/>
      </c>
      <c r="D362" t="str">
        <f>IF(A362="","",IFERROR(VALUE(SUBSTITUTE(TRIM(Input!E362&amp;""),"%","")),0)/IF(AND(IFERROR(VALUE(SUBSTITUTE(TRIM(Input!E362&amp;""),"%","")),0)&gt;0,IFERROR(VALUE(SUBSTITUTE(TRIM(Input!E362&amp;""),"%","")),0)&lt;1),1,100))</f>
        <v/>
      </c>
      <c r="E362" t="str">
        <f>IF(A362="","",IFERROR(VALUE(SUBSTITUTE(TRIM(Input!F362&amp;""),"%","")),0)/IF(AND(IFERROR(VALUE(SUBSTITUTE(TRIM(Input!F362&amp;""),"%","")),0)&gt;0,IFERROR(VALUE(SUBSTITUTE(TRIM(Input!F362&amp;""),"%","")),0)&lt;1),1,100))</f>
        <v/>
      </c>
      <c r="F362" t="str">
        <f>IF(A362="","",IFERROR(VALUE(SUBSTITUTE(TRIM(Input!G362&amp;""),"%","")),0)/IF(AND(IFERROR(VALUE(SUBSTITUTE(TRIM(Input!G362&amp;""),"%","")),0)&gt;0,IFERROR(VALUE(SUBSTITUTE(TRIM(Input!G362&amp;""),"%","")),0)&lt;1),1,100))</f>
        <v/>
      </c>
      <c r="G362" t="str">
        <f>IF(A362="","",IFERROR(VALUE(SUBSTITUTE(TRIM(Input!H362&amp;""),"%","")),0)/IF(AND(IFERROR(VALUE(SUBSTITUTE(TRIM(Input!H362&amp;""),"%","")),0)&gt;0,IFERROR(VALUE(SUBSTITUTE(TRIM(Input!H362&amp;""),"%","")),0)&lt;1),1,100))</f>
        <v/>
      </c>
      <c r="H362" t="str">
        <f>IF(A362="","",IFERROR(VALUE(SUBSTITUTE(TRIM(Input!I362&amp;""),"%","")),0)/IF(AND(IFERROR(VALUE(SUBSTITUTE(TRIM(Input!I362&amp;""),"%","")),0)&gt;0,IFERROR(VALUE(SUBSTITUTE(TRIM(Input!I362&amp;""),"%","")),0)&lt;1),1,100))</f>
        <v/>
      </c>
    </row>
    <row r="363" spans="1:8">
      <c r="A363" t="str">
        <f>IF(TRIM(Input!B363&amp;"")="","",UPPER(TRIM(Input!B363&amp;"")))</f>
        <v/>
      </c>
      <c r="B363" t="str">
        <f>IF(A363="","",IFERROR(VALUE(RIGHT(TRIM(Input!D363&amp;""),1)),0))</f>
        <v/>
      </c>
      <c r="C363" t="str">
        <f t="shared" si="5"/>
        <v/>
      </c>
      <c r="D363" t="str">
        <f>IF(A363="","",IFERROR(VALUE(SUBSTITUTE(TRIM(Input!E363&amp;""),"%","")),0)/IF(AND(IFERROR(VALUE(SUBSTITUTE(TRIM(Input!E363&amp;""),"%","")),0)&gt;0,IFERROR(VALUE(SUBSTITUTE(TRIM(Input!E363&amp;""),"%","")),0)&lt;1),1,100))</f>
        <v/>
      </c>
      <c r="E363" t="str">
        <f>IF(A363="","",IFERROR(VALUE(SUBSTITUTE(TRIM(Input!F363&amp;""),"%","")),0)/IF(AND(IFERROR(VALUE(SUBSTITUTE(TRIM(Input!F363&amp;""),"%","")),0)&gt;0,IFERROR(VALUE(SUBSTITUTE(TRIM(Input!F363&amp;""),"%","")),0)&lt;1),1,100))</f>
        <v/>
      </c>
      <c r="F363" t="str">
        <f>IF(A363="","",IFERROR(VALUE(SUBSTITUTE(TRIM(Input!G363&amp;""),"%","")),0)/IF(AND(IFERROR(VALUE(SUBSTITUTE(TRIM(Input!G363&amp;""),"%","")),0)&gt;0,IFERROR(VALUE(SUBSTITUTE(TRIM(Input!G363&amp;""),"%","")),0)&lt;1),1,100))</f>
        <v/>
      </c>
      <c r="G363" t="str">
        <f>IF(A363="","",IFERROR(VALUE(SUBSTITUTE(TRIM(Input!H363&amp;""),"%","")),0)/IF(AND(IFERROR(VALUE(SUBSTITUTE(TRIM(Input!H363&amp;""),"%","")),0)&gt;0,IFERROR(VALUE(SUBSTITUTE(TRIM(Input!H363&amp;""),"%","")),0)&lt;1),1,100))</f>
        <v/>
      </c>
      <c r="H363" t="str">
        <f>IF(A363="","",IFERROR(VALUE(SUBSTITUTE(TRIM(Input!I363&amp;""),"%","")),0)/IF(AND(IFERROR(VALUE(SUBSTITUTE(TRIM(Input!I363&amp;""),"%","")),0)&gt;0,IFERROR(VALUE(SUBSTITUTE(TRIM(Input!I363&amp;""),"%","")),0)&lt;1),1,100))</f>
        <v/>
      </c>
    </row>
    <row r="364" spans="1:8">
      <c r="A364" t="str">
        <f>IF(TRIM(Input!B364&amp;"")="","",UPPER(TRIM(Input!B364&amp;"")))</f>
        <v/>
      </c>
      <c r="B364" t="str">
        <f>IF(A364="","",IFERROR(VALUE(RIGHT(TRIM(Input!D364&amp;""),1)),0))</f>
        <v/>
      </c>
      <c r="C364" t="str">
        <f t="shared" si="5"/>
        <v/>
      </c>
      <c r="D364" t="str">
        <f>IF(A364="","",IFERROR(VALUE(SUBSTITUTE(TRIM(Input!E364&amp;""),"%","")),0)/IF(AND(IFERROR(VALUE(SUBSTITUTE(TRIM(Input!E364&amp;""),"%","")),0)&gt;0,IFERROR(VALUE(SUBSTITUTE(TRIM(Input!E364&amp;""),"%","")),0)&lt;1),1,100))</f>
        <v/>
      </c>
      <c r="E364" t="str">
        <f>IF(A364="","",IFERROR(VALUE(SUBSTITUTE(TRIM(Input!F364&amp;""),"%","")),0)/IF(AND(IFERROR(VALUE(SUBSTITUTE(TRIM(Input!F364&amp;""),"%","")),0)&gt;0,IFERROR(VALUE(SUBSTITUTE(TRIM(Input!F364&amp;""),"%","")),0)&lt;1),1,100))</f>
        <v/>
      </c>
      <c r="F364" t="str">
        <f>IF(A364="","",IFERROR(VALUE(SUBSTITUTE(TRIM(Input!G364&amp;""),"%","")),0)/IF(AND(IFERROR(VALUE(SUBSTITUTE(TRIM(Input!G364&amp;""),"%","")),0)&gt;0,IFERROR(VALUE(SUBSTITUTE(TRIM(Input!G364&amp;""),"%","")),0)&lt;1),1,100))</f>
        <v/>
      </c>
      <c r="G364" t="str">
        <f>IF(A364="","",IFERROR(VALUE(SUBSTITUTE(TRIM(Input!H364&amp;""),"%","")),0)/IF(AND(IFERROR(VALUE(SUBSTITUTE(TRIM(Input!H364&amp;""),"%","")),0)&gt;0,IFERROR(VALUE(SUBSTITUTE(TRIM(Input!H364&amp;""),"%","")),0)&lt;1),1,100))</f>
        <v/>
      </c>
      <c r="H364" t="str">
        <f>IF(A364="","",IFERROR(VALUE(SUBSTITUTE(TRIM(Input!I364&amp;""),"%","")),0)/IF(AND(IFERROR(VALUE(SUBSTITUTE(TRIM(Input!I364&amp;""),"%","")),0)&gt;0,IFERROR(VALUE(SUBSTITUTE(TRIM(Input!I364&amp;""),"%","")),0)&lt;1),1,100))</f>
        <v/>
      </c>
    </row>
    <row r="365" spans="1:8">
      <c r="A365" t="str">
        <f>IF(TRIM(Input!B365&amp;"")="","",UPPER(TRIM(Input!B365&amp;"")))</f>
        <v/>
      </c>
      <c r="B365" t="str">
        <f>IF(A365="","",IFERROR(VALUE(RIGHT(TRIM(Input!D365&amp;""),1)),0))</f>
        <v/>
      </c>
      <c r="C365" t="str">
        <f t="shared" si="5"/>
        <v/>
      </c>
      <c r="D365" t="str">
        <f>IF(A365="","",IFERROR(VALUE(SUBSTITUTE(TRIM(Input!E365&amp;""),"%","")),0)/IF(AND(IFERROR(VALUE(SUBSTITUTE(TRIM(Input!E365&amp;""),"%","")),0)&gt;0,IFERROR(VALUE(SUBSTITUTE(TRIM(Input!E365&amp;""),"%","")),0)&lt;1),1,100))</f>
        <v/>
      </c>
      <c r="E365" t="str">
        <f>IF(A365="","",IFERROR(VALUE(SUBSTITUTE(TRIM(Input!F365&amp;""),"%","")),0)/IF(AND(IFERROR(VALUE(SUBSTITUTE(TRIM(Input!F365&amp;""),"%","")),0)&gt;0,IFERROR(VALUE(SUBSTITUTE(TRIM(Input!F365&amp;""),"%","")),0)&lt;1),1,100))</f>
        <v/>
      </c>
      <c r="F365" t="str">
        <f>IF(A365="","",IFERROR(VALUE(SUBSTITUTE(TRIM(Input!G365&amp;""),"%","")),0)/IF(AND(IFERROR(VALUE(SUBSTITUTE(TRIM(Input!G365&amp;""),"%","")),0)&gt;0,IFERROR(VALUE(SUBSTITUTE(TRIM(Input!G365&amp;""),"%","")),0)&lt;1),1,100))</f>
        <v/>
      </c>
      <c r="G365" t="str">
        <f>IF(A365="","",IFERROR(VALUE(SUBSTITUTE(TRIM(Input!H365&amp;""),"%","")),0)/IF(AND(IFERROR(VALUE(SUBSTITUTE(TRIM(Input!H365&amp;""),"%","")),0)&gt;0,IFERROR(VALUE(SUBSTITUTE(TRIM(Input!H365&amp;""),"%","")),0)&lt;1),1,100))</f>
        <v/>
      </c>
      <c r="H365" t="str">
        <f>IF(A365="","",IFERROR(VALUE(SUBSTITUTE(TRIM(Input!I365&amp;""),"%","")),0)/IF(AND(IFERROR(VALUE(SUBSTITUTE(TRIM(Input!I365&amp;""),"%","")),0)&gt;0,IFERROR(VALUE(SUBSTITUTE(TRIM(Input!I365&amp;""),"%","")),0)&lt;1),1,100))</f>
        <v/>
      </c>
    </row>
    <row r="366" spans="1:8">
      <c r="A366" t="str">
        <f>IF(TRIM(Input!B366&amp;"")="","",UPPER(TRIM(Input!B366&amp;"")))</f>
        <v/>
      </c>
      <c r="B366" t="str">
        <f>IF(A366="","",IFERROR(VALUE(RIGHT(TRIM(Input!D366&amp;""),1)),0))</f>
        <v/>
      </c>
      <c r="C366" t="str">
        <f t="shared" si="5"/>
        <v/>
      </c>
      <c r="D366" t="str">
        <f>IF(A366="","",IFERROR(VALUE(SUBSTITUTE(TRIM(Input!E366&amp;""),"%","")),0)/IF(AND(IFERROR(VALUE(SUBSTITUTE(TRIM(Input!E366&amp;""),"%","")),0)&gt;0,IFERROR(VALUE(SUBSTITUTE(TRIM(Input!E366&amp;""),"%","")),0)&lt;1),1,100))</f>
        <v/>
      </c>
      <c r="E366" t="str">
        <f>IF(A366="","",IFERROR(VALUE(SUBSTITUTE(TRIM(Input!F366&amp;""),"%","")),0)/IF(AND(IFERROR(VALUE(SUBSTITUTE(TRIM(Input!F366&amp;""),"%","")),0)&gt;0,IFERROR(VALUE(SUBSTITUTE(TRIM(Input!F366&amp;""),"%","")),0)&lt;1),1,100))</f>
        <v/>
      </c>
      <c r="F366" t="str">
        <f>IF(A366="","",IFERROR(VALUE(SUBSTITUTE(TRIM(Input!G366&amp;""),"%","")),0)/IF(AND(IFERROR(VALUE(SUBSTITUTE(TRIM(Input!G366&amp;""),"%","")),0)&gt;0,IFERROR(VALUE(SUBSTITUTE(TRIM(Input!G366&amp;""),"%","")),0)&lt;1),1,100))</f>
        <v/>
      </c>
      <c r="G366" t="str">
        <f>IF(A366="","",IFERROR(VALUE(SUBSTITUTE(TRIM(Input!H366&amp;""),"%","")),0)/IF(AND(IFERROR(VALUE(SUBSTITUTE(TRIM(Input!H366&amp;""),"%","")),0)&gt;0,IFERROR(VALUE(SUBSTITUTE(TRIM(Input!H366&amp;""),"%","")),0)&lt;1),1,100))</f>
        <v/>
      </c>
      <c r="H366" t="str">
        <f>IF(A366="","",IFERROR(VALUE(SUBSTITUTE(TRIM(Input!I366&amp;""),"%","")),0)/IF(AND(IFERROR(VALUE(SUBSTITUTE(TRIM(Input!I366&amp;""),"%","")),0)&gt;0,IFERROR(VALUE(SUBSTITUTE(TRIM(Input!I366&amp;""),"%","")),0)&lt;1),1,100))</f>
        <v/>
      </c>
    </row>
    <row r="367" spans="1:8">
      <c r="A367" t="str">
        <f>IF(TRIM(Input!B367&amp;"")="","",UPPER(TRIM(Input!B367&amp;"")))</f>
        <v/>
      </c>
      <c r="B367" t="str">
        <f>IF(A367="","",IFERROR(VALUE(RIGHT(TRIM(Input!D367&amp;""),1)),0))</f>
        <v/>
      </c>
      <c r="C367" t="str">
        <f t="shared" si="5"/>
        <v/>
      </c>
      <c r="D367" t="str">
        <f>IF(A367="","",IFERROR(VALUE(SUBSTITUTE(TRIM(Input!E367&amp;""),"%","")),0)/IF(AND(IFERROR(VALUE(SUBSTITUTE(TRIM(Input!E367&amp;""),"%","")),0)&gt;0,IFERROR(VALUE(SUBSTITUTE(TRIM(Input!E367&amp;""),"%","")),0)&lt;1),1,100))</f>
        <v/>
      </c>
      <c r="E367" t="str">
        <f>IF(A367="","",IFERROR(VALUE(SUBSTITUTE(TRIM(Input!F367&amp;""),"%","")),0)/IF(AND(IFERROR(VALUE(SUBSTITUTE(TRIM(Input!F367&amp;""),"%","")),0)&gt;0,IFERROR(VALUE(SUBSTITUTE(TRIM(Input!F367&amp;""),"%","")),0)&lt;1),1,100))</f>
        <v/>
      </c>
      <c r="F367" t="str">
        <f>IF(A367="","",IFERROR(VALUE(SUBSTITUTE(TRIM(Input!G367&amp;""),"%","")),0)/IF(AND(IFERROR(VALUE(SUBSTITUTE(TRIM(Input!G367&amp;""),"%","")),0)&gt;0,IFERROR(VALUE(SUBSTITUTE(TRIM(Input!G367&amp;""),"%","")),0)&lt;1),1,100))</f>
        <v/>
      </c>
      <c r="G367" t="str">
        <f>IF(A367="","",IFERROR(VALUE(SUBSTITUTE(TRIM(Input!H367&amp;""),"%","")),0)/IF(AND(IFERROR(VALUE(SUBSTITUTE(TRIM(Input!H367&amp;""),"%","")),0)&gt;0,IFERROR(VALUE(SUBSTITUTE(TRIM(Input!H367&amp;""),"%","")),0)&lt;1),1,100))</f>
        <v/>
      </c>
      <c r="H367" t="str">
        <f>IF(A367="","",IFERROR(VALUE(SUBSTITUTE(TRIM(Input!I367&amp;""),"%","")),0)/IF(AND(IFERROR(VALUE(SUBSTITUTE(TRIM(Input!I367&amp;""),"%","")),0)&gt;0,IFERROR(VALUE(SUBSTITUTE(TRIM(Input!I367&amp;""),"%","")),0)&lt;1),1,100))</f>
        <v/>
      </c>
    </row>
    <row r="368" spans="1:8">
      <c r="A368" t="str">
        <f>IF(TRIM(Input!B368&amp;"")="","",UPPER(TRIM(Input!B368&amp;"")))</f>
        <v/>
      </c>
      <c r="B368" t="str">
        <f>IF(A368="","",IFERROR(VALUE(RIGHT(TRIM(Input!D368&amp;""),1)),0))</f>
        <v/>
      </c>
      <c r="C368" t="str">
        <f t="shared" si="5"/>
        <v/>
      </c>
      <c r="D368" t="str">
        <f>IF(A368="","",IFERROR(VALUE(SUBSTITUTE(TRIM(Input!E368&amp;""),"%","")),0)/IF(AND(IFERROR(VALUE(SUBSTITUTE(TRIM(Input!E368&amp;""),"%","")),0)&gt;0,IFERROR(VALUE(SUBSTITUTE(TRIM(Input!E368&amp;""),"%","")),0)&lt;1),1,100))</f>
        <v/>
      </c>
      <c r="E368" t="str">
        <f>IF(A368="","",IFERROR(VALUE(SUBSTITUTE(TRIM(Input!F368&amp;""),"%","")),0)/IF(AND(IFERROR(VALUE(SUBSTITUTE(TRIM(Input!F368&amp;""),"%","")),0)&gt;0,IFERROR(VALUE(SUBSTITUTE(TRIM(Input!F368&amp;""),"%","")),0)&lt;1),1,100))</f>
        <v/>
      </c>
      <c r="F368" t="str">
        <f>IF(A368="","",IFERROR(VALUE(SUBSTITUTE(TRIM(Input!G368&amp;""),"%","")),0)/IF(AND(IFERROR(VALUE(SUBSTITUTE(TRIM(Input!G368&amp;""),"%","")),0)&gt;0,IFERROR(VALUE(SUBSTITUTE(TRIM(Input!G368&amp;""),"%","")),0)&lt;1),1,100))</f>
        <v/>
      </c>
      <c r="G368" t="str">
        <f>IF(A368="","",IFERROR(VALUE(SUBSTITUTE(TRIM(Input!H368&amp;""),"%","")),0)/IF(AND(IFERROR(VALUE(SUBSTITUTE(TRIM(Input!H368&amp;""),"%","")),0)&gt;0,IFERROR(VALUE(SUBSTITUTE(TRIM(Input!H368&amp;""),"%","")),0)&lt;1),1,100))</f>
        <v/>
      </c>
      <c r="H368" t="str">
        <f>IF(A368="","",IFERROR(VALUE(SUBSTITUTE(TRIM(Input!I368&amp;""),"%","")),0)/IF(AND(IFERROR(VALUE(SUBSTITUTE(TRIM(Input!I368&amp;""),"%","")),0)&gt;0,IFERROR(VALUE(SUBSTITUTE(TRIM(Input!I368&amp;""),"%","")),0)&lt;1),1,100))</f>
        <v/>
      </c>
    </row>
    <row r="369" spans="1:8">
      <c r="A369" t="str">
        <f>IF(TRIM(Input!B369&amp;"")="","",UPPER(TRIM(Input!B369&amp;"")))</f>
        <v/>
      </c>
      <c r="B369" t="str">
        <f>IF(A369="","",IFERROR(VALUE(RIGHT(TRIM(Input!D369&amp;""),1)),0))</f>
        <v/>
      </c>
      <c r="C369" t="str">
        <f t="shared" si="5"/>
        <v/>
      </c>
      <c r="D369" t="str">
        <f>IF(A369="","",IFERROR(VALUE(SUBSTITUTE(TRIM(Input!E369&amp;""),"%","")),0)/IF(AND(IFERROR(VALUE(SUBSTITUTE(TRIM(Input!E369&amp;""),"%","")),0)&gt;0,IFERROR(VALUE(SUBSTITUTE(TRIM(Input!E369&amp;""),"%","")),0)&lt;1),1,100))</f>
        <v/>
      </c>
      <c r="E369" t="str">
        <f>IF(A369="","",IFERROR(VALUE(SUBSTITUTE(TRIM(Input!F369&amp;""),"%","")),0)/IF(AND(IFERROR(VALUE(SUBSTITUTE(TRIM(Input!F369&amp;""),"%","")),0)&gt;0,IFERROR(VALUE(SUBSTITUTE(TRIM(Input!F369&amp;""),"%","")),0)&lt;1),1,100))</f>
        <v/>
      </c>
      <c r="F369" t="str">
        <f>IF(A369="","",IFERROR(VALUE(SUBSTITUTE(TRIM(Input!G369&amp;""),"%","")),0)/IF(AND(IFERROR(VALUE(SUBSTITUTE(TRIM(Input!G369&amp;""),"%","")),0)&gt;0,IFERROR(VALUE(SUBSTITUTE(TRIM(Input!G369&amp;""),"%","")),0)&lt;1),1,100))</f>
        <v/>
      </c>
      <c r="G369" t="str">
        <f>IF(A369="","",IFERROR(VALUE(SUBSTITUTE(TRIM(Input!H369&amp;""),"%","")),0)/IF(AND(IFERROR(VALUE(SUBSTITUTE(TRIM(Input!H369&amp;""),"%","")),0)&gt;0,IFERROR(VALUE(SUBSTITUTE(TRIM(Input!H369&amp;""),"%","")),0)&lt;1),1,100))</f>
        <v/>
      </c>
      <c r="H369" t="str">
        <f>IF(A369="","",IFERROR(VALUE(SUBSTITUTE(TRIM(Input!I369&amp;""),"%","")),0)/IF(AND(IFERROR(VALUE(SUBSTITUTE(TRIM(Input!I369&amp;""),"%","")),0)&gt;0,IFERROR(VALUE(SUBSTITUTE(TRIM(Input!I369&amp;""),"%","")),0)&lt;1),1,100))</f>
        <v/>
      </c>
    </row>
    <row r="370" spans="1:8">
      <c r="A370" t="str">
        <f>IF(TRIM(Input!B370&amp;"")="","",UPPER(TRIM(Input!B370&amp;"")))</f>
        <v/>
      </c>
      <c r="B370" t="str">
        <f>IF(A370="","",IFERROR(VALUE(RIGHT(TRIM(Input!D370&amp;""),1)),0))</f>
        <v/>
      </c>
      <c r="C370" t="str">
        <f t="shared" si="5"/>
        <v/>
      </c>
      <c r="D370" t="str">
        <f>IF(A370="","",IFERROR(VALUE(SUBSTITUTE(TRIM(Input!E370&amp;""),"%","")),0)/IF(AND(IFERROR(VALUE(SUBSTITUTE(TRIM(Input!E370&amp;""),"%","")),0)&gt;0,IFERROR(VALUE(SUBSTITUTE(TRIM(Input!E370&amp;""),"%","")),0)&lt;1),1,100))</f>
        <v/>
      </c>
      <c r="E370" t="str">
        <f>IF(A370="","",IFERROR(VALUE(SUBSTITUTE(TRIM(Input!F370&amp;""),"%","")),0)/IF(AND(IFERROR(VALUE(SUBSTITUTE(TRIM(Input!F370&amp;""),"%","")),0)&gt;0,IFERROR(VALUE(SUBSTITUTE(TRIM(Input!F370&amp;""),"%","")),0)&lt;1),1,100))</f>
        <v/>
      </c>
      <c r="F370" t="str">
        <f>IF(A370="","",IFERROR(VALUE(SUBSTITUTE(TRIM(Input!G370&amp;""),"%","")),0)/IF(AND(IFERROR(VALUE(SUBSTITUTE(TRIM(Input!G370&amp;""),"%","")),0)&gt;0,IFERROR(VALUE(SUBSTITUTE(TRIM(Input!G370&amp;""),"%","")),0)&lt;1),1,100))</f>
        <v/>
      </c>
      <c r="G370" t="str">
        <f>IF(A370="","",IFERROR(VALUE(SUBSTITUTE(TRIM(Input!H370&amp;""),"%","")),0)/IF(AND(IFERROR(VALUE(SUBSTITUTE(TRIM(Input!H370&amp;""),"%","")),0)&gt;0,IFERROR(VALUE(SUBSTITUTE(TRIM(Input!H370&amp;""),"%","")),0)&lt;1),1,100))</f>
        <v/>
      </c>
      <c r="H370" t="str">
        <f>IF(A370="","",IFERROR(VALUE(SUBSTITUTE(TRIM(Input!I370&amp;""),"%","")),0)/IF(AND(IFERROR(VALUE(SUBSTITUTE(TRIM(Input!I370&amp;""),"%","")),0)&gt;0,IFERROR(VALUE(SUBSTITUTE(TRIM(Input!I370&amp;""),"%","")),0)&lt;1),1,100))</f>
        <v/>
      </c>
    </row>
    <row r="371" spans="1:8">
      <c r="A371" t="str">
        <f>IF(TRIM(Input!B371&amp;"")="","",UPPER(TRIM(Input!B371&amp;"")))</f>
        <v/>
      </c>
      <c r="B371" t="str">
        <f>IF(A371="","",IFERROR(VALUE(RIGHT(TRIM(Input!D371&amp;""),1)),0))</f>
        <v/>
      </c>
      <c r="C371" t="str">
        <f t="shared" si="5"/>
        <v/>
      </c>
      <c r="D371" t="str">
        <f>IF(A371="","",IFERROR(VALUE(SUBSTITUTE(TRIM(Input!E371&amp;""),"%","")),0)/IF(AND(IFERROR(VALUE(SUBSTITUTE(TRIM(Input!E371&amp;""),"%","")),0)&gt;0,IFERROR(VALUE(SUBSTITUTE(TRIM(Input!E371&amp;""),"%","")),0)&lt;1),1,100))</f>
        <v/>
      </c>
      <c r="E371" t="str">
        <f>IF(A371="","",IFERROR(VALUE(SUBSTITUTE(TRIM(Input!F371&amp;""),"%","")),0)/IF(AND(IFERROR(VALUE(SUBSTITUTE(TRIM(Input!F371&amp;""),"%","")),0)&gt;0,IFERROR(VALUE(SUBSTITUTE(TRIM(Input!F371&amp;""),"%","")),0)&lt;1),1,100))</f>
        <v/>
      </c>
      <c r="F371" t="str">
        <f>IF(A371="","",IFERROR(VALUE(SUBSTITUTE(TRIM(Input!G371&amp;""),"%","")),0)/IF(AND(IFERROR(VALUE(SUBSTITUTE(TRIM(Input!G371&amp;""),"%","")),0)&gt;0,IFERROR(VALUE(SUBSTITUTE(TRIM(Input!G371&amp;""),"%","")),0)&lt;1),1,100))</f>
        <v/>
      </c>
      <c r="G371" t="str">
        <f>IF(A371="","",IFERROR(VALUE(SUBSTITUTE(TRIM(Input!H371&amp;""),"%","")),0)/IF(AND(IFERROR(VALUE(SUBSTITUTE(TRIM(Input!H371&amp;""),"%","")),0)&gt;0,IFERROR(VALUE(SUBSTITUTE(TRIM(Input!H371&amp;""),"%","")),0)&lt;1),1,100))</f>
        <v/>
      </c>
      <c r="H371" t="str">
        <f>IF(A371="","",IFERROR(VALUE(SUBSTITUTE(TRIM(Input!I371&amp;""),"%","")),0)/IF(AND(IFERROR(VALUE(SUBSTITUTE(TRIM(Input!I371&amp;""),"%","")),0)&gt;0,IFERROR(VALUE(SUBSTITUTE(TRIM(Input!I371&amp;""),"%","")),0)&lt;1),1,100))</f>
        <v/>
      </c>
    </row>
    <row r="372" spans="1:8">
      <c r="A372" t="str">
        <f>IF(TRIM(Input!B372&amp;"")="","",UPPER(TRIM(Input!B372&amp;"")))</f>
        <v/>
      </c>
      <c r="B372" t="str">
        <f>IF(A372="","",IFERROR(VALUE(RIGHT(TRIM(Input!D372&amp;""),1)),0))</f>
        <v/>
      </c>
      <c r="C372" t="str">
        <f t="shared" si="5"/>
        <v/>
      </c>
      <c r="D372" t="str">
        <f>IF(A372="","",IFERROR(VALUE(SUBSTITUTE(TRIM(Input!E372&amp;""),"%","")),0)/IF(AND(IFERROR(VALUE(SUBSTITUTE(TRIM(Input!E372&amp;""),"%","")),0)&gt;0,IFERROR(VALUE(SUBSTITUTE(TRIM(Input!E372&amp;""),"%","")),0)&lt;1),1,100))</f>
        <v/>
      </c>
      <c r="E372" t="str">
        <f>IF(A372="","",IFERROR(VALUE(SUBSTITUTE(TRIM(Input!F372&amp;""),"%","")),0)/IF(AND(IFERROR(VALUE(SUBSTITUTE(TRIM(Input!F372&amp;""),"%","")),0)&gt;0,IFERROR(VALUE(SUBSTITUTE(TRIM(Input!F372&amp;""),"%","")),0)&lt;1),1,100))</f>
        <v/>
      </c>
      <c r="F372" t="str">
        <f>IF(A372="","",IFERROR(VALUE(SUBSTITUTE(TRIM(Input!G372&amp;""),"%","")),0)/IF(AND(IFERROR(VALUE(SUBSTITUTE(TRIM(Input!G372&amp;""),"%","")),0)&gt;0,IFERROR(VALUE(SUBSTITUTE(TRIM(Input!G372&amp;""),"%","")),0)&lt;1),1,100))</f>
        <v/>
      </c>
      <c r="G372" t="str">
        <f>IF(A372="","",IFERROR(VALUE(SUBSTITUTE(TRIM(Input!H372&amp;""),"%","")),0)/IF(AND(IFERROR(VALUE(SUBSTITUTE(TRIM(Input!H372&amp;""),"%","")),0)&gt;0,IFERROR(VALUE(SUBSTITUTE(TRIM(Input!H372&amp;""),"%","")),0)&lt;1),1,100))</f>
        <v/>
      </c>
      <c r="H372" t="str">
        <f>IF(A372="","",IFERROR(VALUE(SUBSTITUTE(TRIM(Input!I372&amp;""),"%","")),0)/IF(AND(IFERROR(VALUE(SUBSTITUTE(TRIM(Input!I372&amp;""),"%","")),0)&gt;0,IFERROR(VALUE(SUBSTITUTE(TRIM(Input!I372&amp;""),"%","")),0)&lt;1),1,100))</f>
        <v/>
      </c>
    </row>
    <row r="373" spans="1:8">
      <c r="A373" t="str">
        <f>IF(TRIM(Input!B373&amp;"")="","",UPPER(TRIM(Input!B373&amp;"")))</f>
        <v/>
      </c>
      <c r="B373" t="str">
        <f>IF(A373="","",IFERROR(VALUE(RIGHT(TRIM(Input!D373&amp;""),1)),0))</f>
        <v/>
      </c>
      <c r="C373" t="str">
        <f t="shared" si="5"/>
        <v/>
      </c>
      <c r="D373" t="str">
        <f>IF(A373="","",IFERROR(VALUE(SUBSTITUTE(TRIM(Input!E373&amp;""),"%","")),0)/IF(AND(IFERROR(VALUE(SUBSTITUTE(TRIM(Input!E373&amp;""),"%","")),0)&gt;0,IFERROR(VALUE(SUBSTITUTE(TRIM(Input!E373&amp;""),"%","")),0)&lt;1),1,100))</f>
        <v/>
      </c>
      <c r="E373" t="str">
        <f>IF(A373="","",IFERROR(VALUE(SUBSTITUTE(TRIM(Input!F373&amp;""),"%","")),0)/IF(AND(IFERROR(VALUE(SUBSTITUTE(TRIM(Input!F373&amp;""),"%","")),0)&gt;0,IFERROR(VALUE(SUBSTITUTE(TRIM(Input!F373&amp;""),"%","")),0)&lt;1),1,100))</f>
        <v/>
      </c>
      <c r="F373" t="str">
        <f>IF(A373="","",IFERROR(VALUE(SUBSTITUTE(TRIM(Input!G373&amp;""),"%","")),0)/IF(AND(IFERROR(VALUE(SUBSTITUTE(TRIM(Input!G373&amp;""),"%","")),0)&gt;0,IFERROR(VALUE(SUBSTITUTE(TRIM(Input!G373&amp;""),"%","")),0)&lt;1),1,100))</f>
        <v/>
      </c>
      <c r="G373" t="str">
        <f>IF(A373="","",IFERROR(VALUE(SUBSTITUTE(TRIM(Input!H373&amp;""),"%","")),0)/IF(AND(IFERROR(VALUE(SUBSTITUTE(TRIM(Input!H373&amp;""),"%","")),0)&gt;0,IFERROR(VALUE(SUBSTITUTE(TRIM(Input!H373&amp;""),"%","")),0)&lt;1),1,100))</f>
        <v/>
      </c>
      <c r="H373" t="str">
        <f>IF(A373="","",IFERROR(VALUE(SUBSTITUTE(TRIM(Input!I373&amp;""),"%","")),0)/IF(AND(IFERROR(VALUE(SUBSTITUTE(TRIM(Input!I373&amp;""),"%","")),0)&gt;0,IFERROR(VALUE(SUBSTITUTE(TRIM(Input!I373&amp;""),"%","")),0)&lt;1),1,100))</f>
        <v/>
      </c>
    </row>
    <row r="374" spans="1:8">
      <c r="A374" t="str">
        <f>IF(TRIM(Input!B374&amp;"")="","",UPPER(TRIM(Input!B374&amp;"")))</f>
        <v/>
      </c>
      <c r="B374" t="str">
        <f>IF(A374="","",IFERROR(VALUE(RIGHT(TRIM(Input!D374&amp;""),1)),0))</f>
        <v/>
      </c>
      <c r="C374" t="str">
        <f t="shared" si="5"/>
        <v/>
      </c>
      <c r="D374" t="str">
        <f>IF(A374="","",IFERROR(VALUE(SUBSTITUTE(TRIM(Input!E374&amp;""),"%","")),0)/IF(AND(IFERROR(VALUE(SUBSTITUTE(TRIM(Input!E374&amp;""),"%","")),0)&gt;0,IFERROR(VALUE(SUBSTITUTE(TRIM(Input!E374&amp;""),"%","")),0)&lt;1),1,100))</f>
        <v/>
      </c>
      <c r="E374" t="str">
        <f>IF(A374="","",IFERROR(VALUE(SUBSTITUTE(TRIM(Input!F374&amp;""),"%","")),0)/IF(AND(IFERROR(VALUE(SUBSTITUTE(TRIM(Input!F374&amp;""),"%","")),0)&gt;0,IFERROR(VALUE(SUBSTITUTE(TRIM(Input!F374&amp;""),"%","")),0)&lt;1),1,100))</f>
        <v/>
      </c>
      <c r="F374" t="str">
        <f>IF(A374="","",IFERROR(VALUE(SUBSTITUTE(TRIM(Input!G374&amp;""),"%","")),0)/IF(AND(IFERROR(VALUE(SUBSTITUTE(TRIM(Input!G374&amp;""),"%","")),0)&gt;0,IFERROR(VALUE(SUBSTITUTE(TRIM(Input!G374&amp;""),"%","")),0)&lt;1),1,100))</f>
        <v/>
      </c>
      <c r="G374" t="str">
        <f>IF(A374="","",IFERROR(VALUE(SUBSTITUTE(TRIM(Input!H374&amp;""),"%","")),0)/IF(AND(IFERROR(VALUE(SUBSTITUTE(TRIM(Input!H374&amp;""),"%","")),0)&gt;0,IFERROR(VALUE(SUBSTITUTE(TRIM(Input!H374&amp;""),"%","")),0)&lt;1),1,100))</f>
        <v/>
      </c>
      <c r="H374" t="str">
        <f>IF(A374="","",IFERROR(VALUE(SUBSTITUTE(TRIM(Input!I374&amp;""),"%","")),0)/IF(AND(IFERROR(VALUE(SUBSTITUTE(TRIM(Input!I374&amp;""),"%","")),0)&gt;0,IFERROR(VALUE(SUBSTITUTE(TRIM(Input!I374&amp;""),"%","")),0)&lt;1),1,100))</f>
        <v/>
      </c>
    </row>
    <row r="375" spans="1:8">
      <c r="A375" t="str">
        <f>IF(TRIM(Input!B375&amp;"")="","",UPPER(TRIM(Input!B375&amp;"")))</f>
        <v/>
      </c>
      <c r="B375" t="str">
        <f>IF(A375="","",IFERROR(VALUE(RIGHT(TRIM(Input!D375&amp;""),1)),0))</f>
        <v/>
      </c>
      <c r="C375" t="str">
        <f t="shared" si="5"/>
        <v/>
      </c>
      <c r="D375" t="str">
        <f>IF(A375="","",IFERROR(VALUE(SUBSTITUTE(TRIM(Input!E375&amp;""),"%","")),0)/IF(AND(IFERROR(VALUE(SUBSTITUTE(TRIM(Input!E375&amp;""),"%","")),0)&gt;0,IFERROR(VALUE(SUBSTITUTE(TRIM(Input!E375&amp;""),"%","")),0)&lt;1),1,100))</f>
        <v/>
      </c>
      <c r="E375" t="str">
        <f>IF(A375="","",IFERROR(VALUE(SUBSTITUTE(TRIM(Input!F375&amp;""),"%","")),0)/IF(AND(IFERROR(VALUE(SUBSTITUTE(TRIM(Input!F375&amp;""),"%","")),0)&gt;0,IFERROR(VALUE(SUBSTITUTE(TRIM(Input!F375&amp;""),"%","")),0)&lt;1),1,100))</f>
        <v/>
      </c>
      <c r="F375" t="str">
        <f>IF(A375="","",IFERROR(VALUE(SUBSTITUTE(TRIM(Input!G375&amp;""),"%","")),0)/IF(AND(IFERROR(VALUE(SUBSTITUTE(TRIM(Input!G375&amp;""),"%","")),0)&gt;0,IFERROR(VALUE(SUBSTITUTE(TRIM(Input!G375&amp;""),"%","")),0)&lt;1),1,100))</f>
        <v/>
      </c>
      <c r="G375" t="str">
        <f>IF(A375="","",IFERROR(VALUE(SUBSTITUTE(TRIM(Input!H375&amp;""),"%","")),0)/IF(AND(IFERROR(VALUE(SUBSTITUTE(TRIM(Input!H375&amp;""),"%","")),0)&gt;0,IFERROR(VALUE(SUBSTITUTE(TRIM(Input!H375&amp;""),"%","")),0)&lt;1),1,100))</f>
        <v/>
      </c>
      <c r="H375" t="str">
        <f>IF(A375="","",IFERROR(VALUE(SUBSTITUTE(TRIM(Input!I375&amp;""),"%","")),0)/IF(AND(IFERROR(VALUE(SUBSTITUTE(TRIM(Input!I375&amp;""),"%","")),0)&gt;0,IFERROR(VALUE(SUBSTITUTE(TRIM(Input!I375&amp;""),"%","")),0)&lt;1),1,100))</f>
        <v/>
      </c>
    </row>
    <row r="376" spans="1:8">
      <c r="A376" t="str">
        <f>IF(TRIM(Input!B376&amp;"")="","",UPPER(TRIM(Input!B376&amp;"")))</f>
        <v/>
      </c>
      <c r="B376" t="str">
        <f>IF(A376="","",IFERROR(VALUE(RIGHT(TRIM(Input!D376&amp;""),1)),0))</f>
        <v/>
      </c>
      <c r="C376" t="str">
        <f t="shared" si="5"/>
        <v/>
      </c>
      <c r="D376" t="str">
        <f>IF(A376="","",IFERROR(VALUE(SUBSTITUTE(TRIM(Input!E376&amp;""),"%","")),0)/IF(AND(IFERROR(VALUE(SUBSTITUTE(TRIM(Input!E376&amp;""),"%","")),0)&gt;0,IFERROR(VALUE(SUBSTITUTE(TRIM(Input!E376&amp;""),"%","")),0)&lt;1),1,100))</f>
        <v/>
      </c>
      <c r="E376" t="str">
        <f>IF(A376="","",IFERROR(VALUE(SUBSTITUTE(TRIM(Input!F376&amp;""),"%","")),0)/IF(AND(IFERROR(VALUE(SUBSTITUTE(TRIM(Input!F376&amp;""),"%","")),0)&gt;0,IFERROR(VALUE(SUBSTITUTE(TRIM(Input!F376&amp;""),"%","")),0)&lt;1),1,100))</f>
        <v/>
      </c>
      <c r="F376" t="str">
        <f>IF(A376="","",IFERROR(VALUE(SUBSTITUTE(TRIM(Input!G376&amp;""),"%","")),0)/IF(AND(IFERROR(VALUE(SUBSTITUTE(TRIM(Input!G376&amp;""),"%","")),0)&gt;0,IFERROR(VALUE(SUBSTITUTE(TRIM(Input!G376&amp;""),"%","")),0)&lt;1),1,100))</f>
        <v/>
      </c>
      <c r="G376" t="str">
        <f>IF(A376="","",IFERROR(VALUE(SUBSTITUTE(TRIM(Input!H376&amp;""),"%","")),0)/IF(AND(IFERROR(VALUE(SUBSTITUTE(TRIM(Input!H376&amp;""),"%","")),0)&gt;0,IFERROR(VALUE(SUBSTITUTE(TRIM(Input!H376&amp;""),"%","")),0)&lt;1),1,100))</f>
        <v/>
      </c>
      <c r="H376" t="str">
        <f>IF(A376="","",IFERROR(VALUE(SUBSTITUTE(TRIM(Input!I376&amp;""),"%","")),0)/IF(AND(IFERROR(VALUE(SUBSTITUTE(TRIM(Input!I376&amp;""),"%","")),0)&gt;0,IFERROR(VALUE(SUBSTITUTE(TRIM(Input!I376&amp;""),"%","")),0)&lt;1),1,100))</f>
        <v/>
      </c>
    </row>
    <row r="377" spans="1:8">
      <c r="A377" t="str">
        <f>IF(TRIM(Input!B377&amp;"")="","",UPPER(TRIM(Input!B377&amp;"")))</f>
        <v/>
      </c>
      <c r="B377" t="str">
        <f>IF(A377="","",IFERROR(VALUE(RIGHT(TRIM(Input!D377&amp;""),1)),0))</f>
        <v/>
      </c>
      <c r="C377" t="str">
        <f t="shared" si="5"/>
        <v/>
      </c>
      <c r="D377" t="str">
        <f>IF(A377="","",IFERROR(VALUE(SUBSTITUTE(TRIM(Input!E377&amp;""),"%","")),0)/IF(AND(IFERROR(VALUE(SUBSTITUTE(TRIM(Input!E377&amp;""),"%","")),0)&gt;0,IFERROR(VALUE(SUBSTITUTE(TRIM(Input!E377&amp;""),"%","")),0)&lt;1),1,100))</f>
        <v/>
      </c>
      <c r="E377" t="str">
        <f>IF(A377="","",IFERROR(VALUE(SUBSTITUTE(TRIM(Input!F377&amp;""),"%","")),0)/IF(AND(IFERROR(VALUE(SUBSTITUTE(TRIM(Input!F377&amp;""),"%","")),0)&gt;0,IFERROR(VALUE(SUBSTITUTE(TRIM(Input!F377&amp;""),"%","")),0)&lt;1),1,100))</f>
        <v/>
      </c>
      <c r="F377" t="str">
        <f>IF(A377="","",IFERROR(VALUE(SUBSTITUTE(TRIM(Input!G377&amp;""),"%","")),0)/IF(AND(IFERROR(VALUE(SUBSTITUTE(TRIM(Input!G377&amp;""),"%","")),0)&gt;0,IFERROR(VALUE(SUBSTITUTE(TRIM(Input!G377&amp;""),"%","")),0)&lt;1),1,100))</f>
        <v/>
      </c>
      <c r="G377" t="str">
        <f>IF(A377="","",IFERROR(VALUE(SUBSTITUTE(TRIM(Input!H377&amp;""),"%","")),0)/IF(AND(IFERROR(VALUE(SUBSTITUTE(TRIM(Input!H377&amp;""),"%","")),0)&gt;0,IFERROR(VALUE(SUBSTITUTE(TRIM(Input!H377&amp;""),"%","")),0)&lt;1),1,100))</f>
        <v/>
      </c>
      <c r="H377" t="str">
        <f>IF(A377="","",IFERROR(VALUE(SUBSTITUTE(TRIM(Input!I377&amp;""),"%","")),0)/IF(AND(IFERROR(VALUE(SUBSTITUTE(TRIM(Input!I377&amp;""),"%","")),0)&gt;0,IFERROR(VALUE(SUBSTITUTE(TRIM(Input!I377&amp;""),"%","")),0)&lt;1),1,100))</f>
        <v/>
      </c>
    </row>
    <row r="378" spans="1:8">
      <c r="A378" t="str">
        <f>IF(TRIM(Input!B378&amp;"")="","",UPPER(TRIM(Input!B378&amp;"")))</f>
        <v/>
      </c>
      <c r="B378" t="str">
        <f>IF(A378="","",IFERROR(VALUE(RIGHT(TRIM(Input!D378&amp;""),1)),0))</f>
        <v/>
      </c>
      <c r="C378" t="str">
        <f t="shared" si="5"/>
        <v/>
      </c>
      <c r="D378" t="str">
        <f>IF(A378="","",IFERROR(VALUE(SUBSTITUTE(TRIM(Input!E378&amp;""),"%","")),0)/IF(AND(IFERROR(VALUE(SUBSTITUTE(TRIM(Input!E378&amp;""),"%","")),0)&gt;0,IFERROR(VALUE(SUBSTITUTE(TRIM(Input!E378&amp;""),"%","")),0)&lt;1),1,100))</f>
        <v/>
      </c>
      <c r="E378" t="str">
        <f>IF(A378="","",IFERROR(VALUE(SUBSTITUTE(TRIM(Input!F378&amp;""),"%","")),0)/IF(AND(IFERROR(VALUE(SUBSTITUTE(TRIM(Input!F378&amp;""),"%","")),0)&gt;0,IFERROR(VALUE(SUBSTITUTE(TRIM(Input!F378&amp;""),"%","")),0)&lt;1),1,100))</f>
        <v/>
      </c>
      <c r="F378" t="str">
        <f>IF(A378="","",IFERROR(VALUE(SUBSTITUTE(TRIM(Input!G378&amp;""),"%","")),0)/IF(AND(IFERROR(VALUE(SUBSTITUTE(TRIM(Input!G378&amp;""),"%","")),0)&gt;0,IFERROR(VALUE(SUBSTITUTE(TRIM(Input!G378&amp;""),"%","")),0)&lt;1),1,100))</f>
        <v/>
      </c>
      <c r="G378" t="str">
        <f>IF(A378="","",IFERROR(VALUE(SUBSTITUTE(TRIM(Input!H378&amp;""),"%","")),0)/IF(AND(IFERROR(VALUE(SUBSTITUTE(TRIM(Input!H378&amp;""),"%","")),0)&gt;0,IFERROR(VALUE(SUBSTITUTE(TRIM(Input!H378&amp;""),"%","")),0)&lt;1),1,100))</f>
        <v/>
      </c>
      <c r="H378" t="str">
        <f>IF(A378="","",IFERROR(VALUE(SUBSTITUTE(TRIM(Input!I378&amp;""),"%","")),0)/IF(AND(IFERROR(VALUE(SUBSTITUTE(TRIM(Input!I378&amp;""),"%","")),0)&gt;0,IFERROR(VALUE(SUBSTITUTE(TRIM(Input!I378&amp;""),"%","")),0)&lt;1),1,100))</f>
        <v/>
      </c>
    </row>
    <row r="379" spans="1:8">
      <c r="A379" t="str">
        <f>IF(TRIM(Input!B379&amp;"")="","",UPPER(TRIM(Input!B379&amp;"")))</f>
        <v/>
      </c>
      <c r="B379" t="str">
        <f>IF(A379="","",IFERROR(VALUE(RIGHT(TRIM(Input!D379&amp;""),1)),0))</f>
        <v/>
      </c>
      <c r="C379" t="str">
        <f t="shared" si="5"/>
        <v/>
      </c>
      <c r="D379" t="str">
        <f>IF(A379="","",IFERROR(VALUE(SUBSTITUTE(TRIM(Input!E379&amp;""),"%","")),0)/IF(AND(IFERROR(VALUE(SUBSTITUTE(TRIM(Input!E379&amp;""),"%","")),0)&gt;0,IFERROR(VALUE(SUBSTITUTE(TRIM(Input!E379&amp;""),"%","")),0)&lt;1),1,100))</f>
        <v/>
      </c>
      <c r="E379" t="str">
        <f>IF(A379="","",IFERROR(VALUE(SUBSTITUTE(TRIM(Input!F379&amp;""),"%","")),0)/IF(AND(IFERROR(VALUE(SUBSTITUTE(TRIM(Input!F379&amp;""),"%","")),0)&gt;0,IFERROR(VALUE(SUBSTITUTE(TRIM(Input!F379&amp;""),"%","")),0)&lt;1),1,100))</f>
        <v/>
      </c>
      <c r="F379" t="str">
        <f>IF(A379="","",IFERROR(VALUE(SUBSTITUTE(TRIM(Input!G379&amp;""),"%","")),0)/IF(AND(IFERROR(VALUE(SUBSTITUTE(TRIM(Input!G379&amp;""),"%","")),0)&gt;0,IFERROR(VALUE(SUBSTITUTE(TRIM(Input!G379&amp;""),"%","")),0)&lt;1),1,100))</f>
        <v/>
      </c>
      <c r="G379" t="str">
        <f>IF(A379="","",IFERROR(VALUE(SUBSTITUTE(TRIM(Input!H379&amp;""),"%","")),0)/IF(AND(IFERROR(VALUE(SUBSTITUTE(TRIM(Input!H379&amp;""),"%","")),0)&gt;0,IFERROR(VALUE(SUBSTITUTE(TRIM(Input!H379&amp;""),"%","")),0)&lt;1),1,100))</f>
        <v/>
      </c>
      <c r="H379" t="str">
        <f>IF(A379="","",IFERROR(VALUE(SUBSTITUTE(TRIM(Input!I379&amp;""),"%","")),0)/IF(AND(IFERROR(VALUE(SUBSTITUTE(TRIM(Input!I379&amp;""),"%","")),0)&gt;0,IFERROR(VALUE(SUBSTITUTE(TRIM(Input!I379&amp;""),"%","")),0)&lt;1),1,100))</f>
        <v/>
      </c>
    </row>
    <row r="380" spans="1:8">
      <c r="A380" t="str">
        <f>IF(TRIM(Input!B380&amp;"")="","",UPPER(TRIM(Input!B380&amp;"")))</f>
        <v/>
      </c>
      <c r="B380" t="str">
        <f>IF(A380="","",IFERROR(VALUE(RIGHT(TRIM(Input!D380&amp;""),1)),0))</f>
        <v/>
      </c>
      <c r="C380" t="str">
        <f t="shared" si="5"/>
        <v/>
      </c>
      <c r="D380" t="str">
        <f>IF(A380="","",IFERROR(VALUE(SUBSTITUTE(TRIM(Input!E380&amp;""),"%","")),0)/IF(AND(IFERROR(VALUE(SUBSTITUTE(TRIM(Input!E380&amp;""),"%","")),0)&gt;0,IFERROR(VALUE(SUBSTITUTE(TRIM(Input!E380&amp;""),"%","")),0)&lt;1),1,100))</f>
        <v/>
      </c>
      <c r="E380" t="str">
        <f>IF(A380="","",IFERROR(VALUE(SUBSTITUTE(TRIM(Input!F380&amp;""),"%","")),0)/IF(AND(IFERROR(VALUE(SUBSTITUTE(TRIM(Input!F380&amp;""),"%","")),0)&gt;0,IFERROR(VALUE(SUBSTITUTE(TRIM(Input!F380&amp;""),"%","")),0)&lt;1),1,100))</f>
        <v/>
      </c>
      <c r="F380" t="str">
        <f>IF(A380="","",IFERROR(VALUE(SUBSTITUTE(TRIM(Input!G380&amp;""),"%","")),0)/IF(AND(IFERROR(VALUE(SUBSTITUTE(TRIM(Input!G380&amp;""),"%","")),0)&gt;0,IFERROR(VALUE(SUBSTITUTE(TRIM(Input!G380&amp;""),"%","")),0)&lt;1),1,100))</f>
        <v/>
      </c>
      <c r="G380" t="str">
        <f>IF(A380="","",IFERROR(VALUE(SUBSTITUTE(TRIM(Input!H380&amp;""),"%","")),0)/IF(AND(IFERROR(VALUE(SUBSTITUTE(TRIM(Input!H380&amp;""),"%","")),0)&gt;0,IFERROR(VALUE(SUBSTITUTE(TRIM(Input!H380&amp;""),"%","")),0)&lt;1),1,100))</f>
        <v/>
      </c>
      <c r="H380" t="str">
        <f>IF(A380="","",IFERROR(VALUE(SUBSTITUTE(TRIM(Input!I380&amp;""),"%","")),0)/IF(AND(IFERROR(VALUE(SUBSTITUTE(TRIM(Input!I380&amp;""),"%","")),0)&gt;0,IFERROR(VALUE(SUBSTITUTE(TRIM(Input!I380&amp;""),"%","")),0)&lt;1),1,100))</f>
        <v/>
      </c>
    </row>
    <row r="381" spans="1:8">
      <c r="A381" t="str">
        <f>IF(TRIM(Input!B381&amp;"")="","",UPPER(TRIM(Input!B381&amp;"")))</f>
        <v/>
      </c>
      <c r="B381" t="str">
        <f>IF(A381="","",IFERROR(VALUE(RIGHT(TRIM(Input!D381&amp;""),1)),0))</f>
        <v/>
      </c>
      <c r="C381" t="str">
        <f t="shared" si="5"/>
        <v/>
      </c>
      <c r="D381" t="str">
        <f>IF(A381="","",IFERROR(VALUE(SUBSTITUTE(TRIM(Input!E381&amp;""),"%","")),0)/IF(AND(IFERROR(VALUE(SUBSTITUTE(TRIM(Input!E381&amp;""),"%","")),0)&gt;0,IFERROR(VALUE(SUBSTITUTE(TRIM(Input!E381&amp;""),"%","")),0)&lt;1),1,100))</f>
        <v/>
      </c>
      <c r="E381" t="str">
        <f>IF(A381="","",IFERROR(VALUE(SUBSTITUTE(TRIM(Input!F381&amp;""),"%","")),0)/IF(AND(IFERROR(VALUE(SUBSTITUTE(TRIM(Input!F381&amp;""),"%","")),0)&gt;0,IFERROR(VALUE(SUBSTITUTE(TRIM(Input!F381&amp;""),"%","")),0)&lt;1),1,100))</f>
        <v/>
      </c>
      <c r="F381" t="str">
        <f>IF(A381="","",IFERROR(VALUE(SUBSTITUTE(TRIM(Input!G381&amp;""),"%","")),0)/IF(AND(IFERROR(VALUE(SUBSTITUTE(TRIM(Input!G381&amp;""),"%","")),0)&gt;0,IFERROR(VALUE(SUBSTITUTE(TRIM(Input!G381&amp;""),"%","")),0)&lt;1),1,100))</f>
        <v/>
      </c>
      <c r="G381" t="str">
        <f>IF(A381="","",IFERROR(VALUE(SUBSTITUTE(TRIM(Input!H381&amp;""),"%","")),0)/IF(AND(IFERROR(VALUE(SUBSTITUTE(TRIM(Input!H381&amp;""),"%","")),0)&gt;0,IFERROR(VALUE(SUBSTITUTE(TRIM(Input!H381&amp;""),"%","")),0)&lt;1),1,100))</f>
        <v/>
      </c>
      <c r="H381" t="str">
        <f>IF(A381="","",IFERROR(VALUE(SUBSTITUTE(TRIM(Input!I381&amp;""),"%","")),0)/IF(AND(IFERROR(VALUE(SUBSTITUTE(TRIM(Input!I381&amp;""),"%","")),0)&gt;0,IFERROR(VALUE(SUBSTITUTE(TRIM(Input!I381&amp;""),"%","")),0)&lt;1),1,100))</f>
        <v/>
      </c>
    </row>
    <row r="382" spans="1:8">
      <c r="A382" t="str">
        <f>IF(TRIM(Input!B382&amp;"")="","",UPPER(TRIM(Input!B382&amp;"")))</f>
        <v/>
      </c>
      <c r="B382" t="str">
        <f>IF(A382="","",IFERROR(VALUE(RIGHT(TRIM(Input!D382&amp;""),1)),0))</f>
        <v/>
      </c>
      <c r="C382" t="str">
        <f t="shared" si="5"/>
        <v/>
      </c>
      <c r="D382" t="str">
        <f>IF(A382="","",IFERROR(VALUE(SUBSTITUTE(TRIM(Input!E382&amp;""),"%","")),0)/IF(AND(IFERROR(VALUE(SUBSTITUTE(TRIM(Input!E382&amp;""),"%","")),0)&gt;0,IFERROR(VALUE(SUBSTITUTE(TRIM(Input!E382&amp;""),"%","")),0)&lt;1),1,100))</f>
        <v/>
      </c>
      <c r="E382" t="str">
        <f>IF(A382="","",IFERROR(VALUE(SUBSTITUTE(TRIM(Input!F382&amp;""),"%","")),0)/IF(AND(IFERROR(VALUE(SUBSTITUTE(TRIM(Input!F382&amp;""),"%","")),0)&gt;0,IFERROR(VALUE(SUBSTITUTE(TRIM(Input!F382&amp;""),"%","")),0)&lt;1),1,100))</f>
        <v/>
      </c>
      <c r="F382" t="str">
        <f>IF(A382="","",IFERROR(VALUE(SUBSTITUTE(TRIM(Input!G382&amp;""),"%","")),0)/IF(AND(IFERROR(VALUE(SUBSTITUTE(TRIM(Input!G382&amp;""),"%","")),0)&gt;0,IFERROR(VALUE(SUBSTITUTE(TRIM(Input!G382&amp;""),"%","")),0)&lt;1),1,100))</f>
        <v/>
      </c>
      <c r="G382" t="str">
        <f>IF(A382="","",IFERROR(VALUE(SUBSTITUTE(TRIM(Input!H382&amp;""),"%","")),0)/IF(AND(IFERROR(VALUE(SUBSTITUTE(TRIM(Input!H382&amp;""),"%","")),0)&gt;0,IFERROR(VALUE(SUBSTITUTE(TRIM(Input!H382&amp;""),"%","")),0)&lt;1),1,100))</f>
        <v/>
      </c>
      <c r="H382" t="str">
        <f>IF(A382="","",IFERROR(VALUE(SUBSTITUTE(TRIM(Input!I382&amp;""),"%","")),0)/IF(AND(IFERROR(VALUE(SUBSTITUTE(TRIM(Input!I382&amp;""),"%","")),0)&gt;0,IFERROR(VALUE(SUBSTITUTE(TRIM(Input!I382&amp;""),"%","")),0)&lt;1),1,100))</f>
        <v/>
      </c>
    </row>
    <row r="383" spans="1:8">
      <c r="A383" t="str">
        <f>IF(TRIM(Input!B383&amp;"")="","",UPPER(TRIM(Input!B383&amp;"")))</f>
        <v/>
      </c>
      <c r="B383" t="str">
        <f>IF(A383="","",IFERROR(VALUE(RIGHT(TRIM(Input!D383&amp;""),1)),0))</f>
        <v/>
      </c>
      <c r="C383" t="str">
        <f t="shared" si="5"/>
        <v/>
      </c>
      <c r="D383" t="str">
        <f>IF(A383="","",IFERROR(VALUE(SUBSTITUTE(TRIM(Input!E383&amp;""),"%","")),0)/IF(AND(IFERROR(VALUE(SUBSTITUTE(TRIM(Input!E383&amp;""),"%","")),0)&gt;0,IFERROR(VALUE(SUBSTITUTE(TRIM(Input!E383&amp;""),"%","")),0)&lt;1),1,100))</f>
        <v/>
      </c>
      <c r="E383" t="str">
        <f>IF(A383="","",IFERROR(VALUE(SUBSTITUTE(TRIM(Input!F383&amp;""),"%","")),0)/IF(AND(IFERROR(VALUE(SUBSTITUTE(TRIM(Input!F383&amp;""),"%","")),0)&gt;0,IFERROR(VALUE(SUBSTITUTE(TRIM(Input!F383&amp;""),"%","")),0)&lt;1),1,100))</f>
        <v/>
      </c>
      <c r="F383" t="str">
        <f>IF(A383="","",IFERROR(VALUE(SUBSTITUTE(TRIM(Input!G383&amp;""),"%","")),0)/IF(AND(IFERROR(VALUE(SUBSTITUTE(TRIM(Input!G383&amp;""),"%","")),0)&gt;0,IFERROR(VALUE(SUBSTITUTE(TRIM(Input!G383&amp;""),"%","")),0)&lt;1),1,100))</f>
        <v/>
      </c>
      <c r="G383" t="str">
        <f>IF(A383="","",IFERROR(VALUE(SUBSTITUTE(TRIM(Input!H383&amp;""),"%","")),0)/IF(AND(IFERROR(VALUE(SUBSTITUTE(TRIM(Input!H383&amp;""),"%","")),0)&gt;0,IFERROR(VALUE(SUBSTITUTE(TRIM(Input!H383&amp;""),"%","")),0)&lt;1),1,100))</f>
        <v/>
      </c>
      <c r="H383" t="str">
        <f>IF(A383="","",IFERROR(VALUE(SUBSTITUTE(TRIM(Input!I383&amp;""),"%","")),0)/IF(AND(IFERROR(VALUE(SUBSTITUTE(TRIM(Input!I383&amp;""),"%","")),0)&gt;0,IFERROR(VALUE(SUBSTITUTE(TRIM(Input!I383&amp;""),"%","")),0)&lt;1),1,100))</f>
        <v/>
      </c>
    </row>
    <row r="384" spans="1:8">
      <c r="A384" t="str">
        <f>IF(TRIM(Input!B384&amp;"")="","",UPPER(TRIM(Input!B384&amp;"")))</f>
        <v/>
      </c>
      <c r="B384" t="str">
        <f>IF(A384="","",IFERROR(VALUE(RIGHT(TRIM(Input!D384&amp;""),1)),0))</f>
        <v/>
      </c>
      <c r="C384" t="str">
        <f t="shared" si="5"/>
        <v/>
      </c>
      <c r="D384" t="str">
        <f>IF(A384="","",IFERROR(VALUE(SUBSTITUTE(TRIM(Input!E384&amp;""),"%","")),0)/IF(AND(IFERROR(VALUE(SUBSTITUTE(TRIM(Input!E384&amp;""),"%","")),0)&gt;0,IFERROR(VALUE(SUBSTITUTE(TRIM(Input!E384&amp;""),"%","")),0)&lt;1),1,100))</f>
        <v/>
      </c>
      <c r="E384" t="str">
        <f>IF(A384="","",IFERROR(VALUE(SUBSTITUTE(TRIM(Input!F384&amp;""),"%","")),0)/IF(AND(IFERROR(VALUE(SUBSTITUTE(TRIM(Input!F384&amp;""),"%","")),0)&gt;0,IFERROR(VALUE(SUBSTITUTE(TRIM(Input!F384&amp;""),"%","")),0)&lt;1),1,100))</f>
        <v/>
      </c>
      <c r="F384" t="str">
        <f>IF(A384="","",IFERROR(VALUE(SUBSTITUTE(TRIM(Input!G384&amp;""),"%","")),0)/IF(AND(IFERROR(VALUE(SUBSTITUTE(TRIM(Input!G384&amp;""),"%","")),0)&gt;0,IFERROR(VALUE(SUBSTITUTE(TRIM(Input!G384&amp;""),"%","")),0)&lt;1),1,100))</f>
        <v/>
      </c>
      <c r="G384" t="str">
        <f>IF(A384="","",IFERROR(VALUE(SUBSTITUTE(TRIM(Input!H384&amp;""),"%","")),0)/IF(AND(IFERROR(VALUE(SUBSTITUTE(TRIM(Input!H384&amp;""),"%","")),0)&gt;0,IFERROR(VALUE(SUBSTITUTE(TRIM(Input!H384&amp;""),"%","")),0)&lt;1),1,100))</f>
        <v/>
      </c>
      <c r="H384" t="str">
        <f>IF(A384="","",IFERROR(VALUE(SUBSTITUTE(TRIM(Input!I384&amp;""),"%","")),0)/IF(AND(IFERROR(VALUE(SUBSTITUTE(TRIM(Input!I384&amp;""),"%","")),0)&gt;0,IFERROR(VALUE(SUBSTITUTE(TRIM(Input!I384&amp;""),"%","")),0)&lt;1),1,100))</f>
        <v/>
      </c>
    </row>
    <row r="385" spans="1:8">
      <c r="A385" t="str">
        <f>IF(TRIM(Input!B385&amp;"")="","",UPPER(TRIM(Input!B385&amp;"")))</f>
        <v/>
      </c>
      <c r="B385" t="str">
        <f>IF(A385="","",IFERROR(VALUE(RIGHT(TRIM(Input!D385&amp;""),1)),0))</f>
        <v/>
      </c>
      <c r="C385" t="str">
        <f t="shared" si="5"/>
        <v/>
      </c>
      <c r="D385" t="str">
        <f>IF(A385="","",IFERROR(VALUE(SUBSTITUTE(TRIM(Input!E385&amp;""),"%","")),0)/IF(AND(IFERROR(VALUE(SUBSTITUTE(TRIM(Input!E385&amp;""),"%","")),0)&gt;0,IFERROR(VALUE(SUBSTITUTE(TRIM(Input!E385&amp;""),"%","")),0)&lt;1),1,100))</f>
        <v/>
      </c>
      <c r="E385" t="str">
        <f>IF(A385="","",IFERROR(VALUE(SUBSTITUTE(TRIM(Input!F385&amp;""),"%","")),0)/IF(AND(IFERROR(VALUE(SUBSTITUTE(TRIM(Input!F385&amp;""),"%","")),0)&gt;0,IFERROR(VALUE(SUBSTITUTE(TRIM(Input!F385&amp;""),"%","")),0)&lt;1),1,100))</f>
        <v/>
      </c>
      <c r="F385" t="str">
        <f>IF(A385="","",IFERROR(VALUE(SUBSTITUTE(TRIM(Input!G385&amp;""),"%","")),0)/IF(AND(IFERROR(VALUE(SUBSTITUTE(TRIM(Input!G385&amp;""),"%","")),0)&gt;0,IFERROR(VALUE(SUBSTITUTE(TRIM(Input!G385&amp;""),"%","")),0)&lt;1),1,100))</f>
        <v/>
      </c>
      <c r="G385" t="str">
        <f>IF(A385="","",IFERROR(VALUE(SUBSTITUTE(TRIM(Input!H385&amp;""),"%","")),0)/IF(AND(IFERROR(VALUE(SUBSTITUTE(TRIM(Input!H385&amp;""),"%","")),0)&gt;0,IFERROR(VALUE(SUBSTITUTE(TRIM(Input!H385&amp;""),"%","")),0)&lt;1),1,100))</f>
        <v/>
      </c>
      <c r="H385" t="str">
        <f>IF(A385="","",IFERROR(VALUE(SUBSTITUTE(TRIM(Input!I385&amp;""),"%","")),0)/IF(AND(IFERROR(VALUE(SUBSTITUTE(TRIM(Input!I385&amp;""),"%","")),0)&gt;0,IFERROR(VALUE(SUBSTITUTE(TRIM(Input!I385&amp;""),"%","")),0)&lt;1),1,100))</f>
        <v/>
      </c>
    </row>
    <row r="386" spans="1:8">
      <c r="A386" t="str">
        <f>IF(TRIM(Input!B386&amp;"")="","",UPPER(TRIM(Input!B386&amp;"")))</f>
        <v/>
      </c>
      <c r="B386" t="str">
        <f>IF(A386="","",IFERROR(VALUE(RIGHT(TRIM(Input!D386&amp;""),1)),0))</f>
        <v/>
      </c>
      <c r="C386" t="str">
        <f t="shared" ref="C386:C449" si="6">IF(A386="","",A386&amp;"|"&amp;B386)</f>
        <v/>
      </c>
      <c r="D386" t="str">
        <f>IF(A386="","",IFERROR(VALUE(SUBSTITUTE(TRIM(Input!E386&amp;""),"%","")),0)/IF(AND(IFERROR(VALUE(SUBSTITUTE(TRIM(Input!E386&amp;""),"%","")),0)&gt;0,IFERROR(VALUE(SUBSTITUTE(TRIM(Input!E386&amp;""),"%","")),0)&lt;1),1,100))</f>
        <v/>
      </c>
      <c r="E386" t="str">
        <f>IF(A386="","",IFERROR(VALUE(SUBSTITUTE(TRIM(Input!F386&amp;""),"%","")),0)/IF(AND(IFERROR(VALUE(SUBSTITUTE(TRIM(Input!F386&amp;""),"%","")),0)&gt;0,IFERROR(VALUE(SUBSTITUTE(TRIM(Input!F386&amp;""),"%","")),0)&lt;1),1,100))</f>
        <v/>
      </c>
      <c r="F386" t="str">
        <f>IF(A386="","",IFERROR(VALUE(SUBSTITUTE(TRIM(Input!G386&amp;""),"%","")),0)/IF(AND(IFERROR(VALUE(SUBSTITUTE(TRIM(Input!G386&amp;""),"%","")),0)&gt;0,IFERROR(VALUE(SUBSTITUTE(TRIM(Input!G386&amp;""),"%","")),0)&lt;1),1,100))</f>
        <v/>
      </c>
      <c r="G386" t="str">
        <f>IF(A386="","",IFERROR(VALUE(SUBSTITUTE(TRIM(Input!H386&amp;""),"%","")),0)/IF(AND(IFERROR(VALUE(SUBSTITUTE(TRIM(Input!H386&amp;""),"%","")),0)&gt;0,IFERROR(VALUE(SUBSTITUTE(TRIM(Input!H386&amp;""),"%","")),0)&lt;1),1,100))</f>
        <v/>
      </c>
      <c r="H386" t="str">
        <f>IF(A386="","",IFERROR(VALUE(SUBSTITUTE(TRIM(Input!I386&amp;""),"%","")),0)/IF(AND(IFERROR(VALUE(SUBSTITUTE(TRIM(Input!I386&amp;""),"%","")),0)&gt;0,IFERROR(VALUE(SUBSTITUTE(TRIM(Input!I386&amp;""),"%","")),0)&lt;1),1,100))</f>
        <v/>
      </c>
    </row>
    <row r="387" spans="1:8">
      <c r="A387" t="str">
        <f>IF(TRIM(Input!B387&amp;"")="","",UPPER(TRIM(Input!B387&amp;"")))</f>
        <v/>
      </c>
      <c r="B387" t="str">
        <f>IF(A387="","",IFERROR(VALUE(RIGHT(TRIM(Input!D387&amp;""),1)),0))</f>
        <v/>
      </c>
      <c r="C387" t="str">
        <f t="shared" si="6"/>
        <v/>
      </c>
      <c r="D387" t="str">
        <f>IF(A387="","",IFERROR(VALUE(SUBSTITUTE(TRIM(Input!E387&amp;""),"%","")),0)/IF(AND(IFERROR(VALUE(SUBSTITUTE(TRIM(Input!E387&amp;""),"%","")),0)&gt;0,IFERROR(VALUE(SUBSTITUTE(TRIM(Input!E387&amp;""),"%","")),0)&lt;1),1,100))</f>
        <v/>
      </c>
      <c r="E387" t="str">
        <f>IF(A387="","",IFERROR(VALUE(SUBSTITUTE(TRIM(Input!F387&amp;""),"%","")),0)/IF(AND(IFERROR(VALUE(SUBSTITUTE(TRIM(Input!F387&amp;""),"%","")),0)&gt;0,IFERROR(VALUE(SUBSTITUTE(TRIM(Input!F387&amp;""),"%","")),0)&lt;1),1,100))</f>
        <v/>
      </c>
      <c r="F387" t="str">
        <f>IF(A387="","",IFERROR(VALUE(SUBSTITUTE(TRIM(Input!G387&amp;""),"%","")),0)/IF(AND(IFERROR(VALUE(SUBSTITUTE(TRIM(Input!G387&amp;""),"%","")),0)&gt;0,IFERROR(VALUE(SUBSTITUTE(TRIM(Input!G387&amp;""),"%","")),0)&lt;1),1,100))</f>
        <v/>
      </c>
      <c r="G387" t="str">
        <f>IF(A387="","",IFERROR(VALUE(SUBSTITUTE(TRIM(Input!H387&amp;""),"%","")),0)/IF(AND(IFERROR(VALUE(SUBSTITUTE(TRIM(Input!H387&amp;""),"%","")),0)&gt;0,IFERROR(VALUE(SUBSTITUTE(TRIM(Input!H387&amp;""),"%","")),0)&lt;1),1,100))</f>
        <v/>
      </c>
      <c r="H387" t="str">
        <f>IF(A387="","",IFERROR(VALUE(SUBSTITUTE(TRIM(Input!I387&amp;""),"%","")),0)/IF(AND(IFERROR(VALUE(SUBSTITUTE(TRIM(Input!I387&amp;""),"%","")),0)&gt;0,IFERROR(VALUE(SUBSTITUTE(TRIM(Input!I387&amp;""),"%","")),0)&lt;1),1,100))</f>
        <v/>
      </c>
    </row>
    <row r="388" spans="1:8">
      <c r="A388" t="str">
        <f>IF(TRIM(Input!B388&amp;"")="","",UPPER(TRIM(Input!B388&amp;"")))</f>
        <v/>
      </c>
      <c r="B388" t="str">
        <f>IF(A388="","",IFERROR(VALUE(RIGHT(TRIM(Input!D388&amp;""),1)),0))</f>
        <v/>
      </c>
      <c r="C388" t="str">
        <f t="shared" si="6"/>
        <v/>
      </c>
      <c r="D388" t="str">
        <f>IF(A388="","",IFERROR(VALUE(SUBSTITUTE(TRIM(Input!E388&amp;""),"%","")),0)/IF(AND(IFERROR(VALUE(SUBSTITUTE(TRIM(Input!E388&amp;""),"%","")),0)&gt;0,IFERROR(VALUE(SUBSTITUTE(TRIM(Input!E388&amp;""),"%","")),0)&lt;1),1,100))</f>
        <v/>
      </c>
      <c r="E388" t="str">
        <f>IF(A388="","",IFERROR(VALUE(SUBSTITUTE(TRIM(Input!F388&amp;""),"%","")),0)/IF(AND(IFERROR(VALUE(SUBSTITUTE(TRIM(Input!F388&amp;""),"%","")),0)&gt;0,IFERROR(VALUE(SUBSTITUTE(TRIM(Input!F388&amp;""),"%","")),0)&lt;1),1,100))</f>
        <v/>
      </c>
      <c r="F388" t="str">
        <f>IF(A388="","",IFERROR(VALUE(SUBSTITUTE(TRIM(Input!G388&amp;""),"%","")),0)/IF(AND(IFERROR(VALUE(SUBSTITUTE(TRIM(Input!G388&amp;""),"%","")),0)&gt;0,IFERROR(VALUE(SUBSTITUTE(TRIM(Input!G388&amp;""),"%","")),0)&lt;1),1,100))</f>
        <v/>
      </c>
      <c r="G388" t="str">
        <f>IF(A388="","",IFERROR(VALUE(SUBSTITUTE(TRIM(Input!H388&amp;""),"%","")),0)/IF(AND(IFERROR(VALUE(SUBSTITUTE(TRIM(Input!H388&amp;""),"%","")),0)&gt;0,IFERROR(VALUE(SUBSTITUTE(TRIM(Input!H388&amp;""),"%","")),0)&lt;1),1,100))</f>
        <v/>
      </c>
      <c r="H388" t="str">
        <f>IF(A388="","",IFERROR(VALUE(SUBSTITUTE(TRIM(Input!I388&amp;""),"%","")),0)/IF(AND(IFERROR(VALUE(SUBSTITUTE(TRIM(Input!I388&amp;""),"%","")),0)&gt;0,IFERROR(VALUE(SUBSTITUTE(TRIM(Input!I388&amp;""),"%","")),0)&lt;1),1,100))</f>
        <v/>
      </c>
    </row>
    <row r="389" spans="1:8">
      <c r="A389" t="str">
        <f>IF(TRIM(Input!B389&amp;"")="","",UPPER(TRIM(Input!B389&amp;"")))</f>
        <v/>
      </c>
      <c r="B389" t="str">
        <f>IF(A389="","",IFERROR(VALUE(RIGHT(TRIM(Input!D389&amp;""),1)),0))</f>
        <v/>
      </c>
      <c r="C389" t="str">
        <f t="shared" si="6"/>
        <v/>
      </c>
      <c r="D389" t="str">
        <f>IF(A389="","",IFERROR(VALUE(SUBSTITUTE(TRIM(Input!E389&amp;""),"%","")),0)/IF(AND(IFERROR(VALUE(SUBSTITUTE(TRIM(Input!E389&amp;""),"%","")),0)&gt;0,IFERROR(VALUE(SUBSTITUTE(TRIM(Input!E389&amp;""),"%","")),0)&lt;1),1,100))</f>
        <v/>
      </c>
      <c r="E389" t="str">
        <f>IF(A389="","",IFERROR(VALUE(SUBSTITUTE(TRIM(Input!F389&amp;""),"%","")),0)/IF(AND(IFERROR(VALUE(SUBSTITUTE(TRIM(Input!F389&amp;""),"%","")),0)&gt;0,IFERROR(VALUE(SUBSTITUTE(TRIM(Input!F389&amp;""),"%","")),0)&lt;1),1,100))</f>
        <v/>
      </c>
      <c r="F389" t="str">
        <f>IF(A389="","",IFERROR(VALUE(SUBSTITUTE(TRIM(Input!G389&amp;""),"%","")),0)/IF(AND(IFERROR(VALUE(SUBSTITUTE(TRIM(Input!G389&amp;""),"%","")),0)&gt;0,IFERROR(VALUE(SUBSTITUTE(TRIM(Input!G389&amp;""),"%","")),0)&lt;1),1,100))</f>
        <v/>
      </c>
      <c r="G389" t="str">
        <f>IF(A389="","",IFERROR(VALUE(SUBSTITUTE(TRIM(Input!H389&amp;""),"%","")),0)/IF(AND(IFERROR(VALUE(SUBSTITUTE(TRIM(Input!H389&amp;""),"%","")),0)&gt;0,IFERROR(VALUE(SUBSTITUTE(TRIM(Input!H389&amp;""),"%","")),0)&lt;1),1,100))</f>
        <v/>
      </c>
      <c r="H389" t="str">
        <f>IF(A389="","",IFERROR(VALUE(SUBSTITUTE(TRIM(Input!I389&amp;""),"%","")),0)/IF(AND(IFERROR(VALUE(SUBSTITUTE(TRIM(Input!I389&amp;""),"%","")),0)&gt;0,IFERROR(VALUE(SUBSTITUTE(TRIM(Input!I389&amp;""),"%","")),0)&lt;1),1,100))</f>
        <v/>
      </c>
    </row>
    <row r="390" spans="1:8">
      <c r="A390" t="str">
        <f>IF(TRIM(Input!B390&amp;"")="","",UPPER(TRIM(Input!B390&amp;"")))</f>
        <v/>
      </c>
      <c r="B390" t="str">
        <f>IF(A390="","",IFERROR(VALUE(RIGHT(TRIM(Input!D390&amp;""),1)),0))</f>
        <v/>
      </c>
      <c r="C390" t="str">
        <f t="shared" si="6"/>
        <v/>
      </c>
      <c r="D390" t="str">
        <f>IF(A390="","",IFERROR(VALUE(SUBSTITUTE(TRIM(Input!E390&amp;""),"%","")),0)/IF(AND(IFERROR(VALUE(SUBSTITUTE(TRIM(Input!E390&amp;""),"%","")),0)&gt;0,IFERROR(VALUE(SUBSTITUTE(TRIM(Input!E390&amp;""),"%","")),0)&lt;1),1,100))</f>
        <v/>
      </c>
      <c r="E390" t="str">
        <f>IF(A390="","",IFERROR(VALUE(SUBSTITUTE(TRIM(Input!F390&amp;""),"%","")),0)/IF(AND(IFERROR(VALUE(SUBSTITUTE(TRIM(Input!F390&amp;""),"%","")),0)&gt;0,IFERROR(VALUE(SUBSTITUTE(TRIM(Input!F390&amp;""),"%","")),0)&lt;1),1,100))</f>
        <v/>
      </c>
      <c r="F390" t="str">
        <f>IF(A390="","",IFERROR(VALUE(SUBSTITUTE(TRIM(Input!G390&amp;""),"%","")),0)/IF(AND(IFERROR(VALUE(SUBSTITUTE(TRIM(Input!G390&amp;""),"%","")),0)&gt;0,IFERROR(VALUE(SUBSTITUTE(TRIM(Input!G390&amp;""),"%","")),0)&lt;1),1,100))</f>
        <v/>
      </c>
      <c r="G390" t="str">
        <f>IF(A390="","",IFERROR(VALUE(SUBSTITUTE(TRIM(Input!H390&amp;""),"%","")),0)/IF(AND(IFERROR(VALUE(SUBSTITUTE(TRIM(Input!H390&amp;""),"%","")),0)&gt;0,IFERROR(VALUE(SUBSTITUTE(TRIM(Input!H390&amp;""),"%","")),0)&lt;1),1,100))</f>
        <v/>
      </c>
      <c r="H390" t="str">
        <f>IF(A390="","",IFERROR(VALUE(SUBSTITUTE(TRIM(Input!I390&amp;""),"%","")),0)/IF(AND(IFERROR(VALUE(SUBSTITUTE(TRIM(Input!I390&amp;""),"%","")),0)&gt;0,IFERROR(VALUE(SUBSTITUTE(TRIM(Input!I390&amp;""),"%","")),0)&lt;1),1,100))</f>
        <v/>
      </c>
    </row>
    <row r="391" spans="1:8">
      <c r="A391" t="str">
        <f>IF(TRIM(Input!B391&amp;"")="","",UPPER(TRIM(Input!B391&amp;"")))</f>
        <v/>
      </c>
      <c r="B391" t="str">
        <f>IF(A391="","",IFERROR(VALUE(RIGHT(TRIM(Input!D391&amp;""),1)),0))</f>
        <v/>
      </c>
      <c r="C391" t="str">
        <f t="shared" si="6"/>
        <v/>
      </c>
      <c r="D391" t="str">
        <f>IF(A391="","",IFERROR(VALUE(SUBSTITUTE(TRIM(Input!E391&amp;""),"%","")),0)/IF(AND(IFERROR(VALUE(SUBSTITUTE(TRIM(Input!E391&amp;""),"%","")),0)&gt;0,IFERROR(VALUE(SUBSTITUTE(TRIM(Input!E391&amp;""),"%","")),0)&lt;1),1,100))</f>
        <v/>
      </c>
      <c r="E391" t="str">
        <f>IF(A391="","",IFERROR(VALUE(SUBSTITUTE(TRIM(Input!F391&amp;""),"%","")),0)/IF(AND(IFERROR(VALUE(SUBSTITUTE(TRIM(Input!F391&amp;""),"%","")),0)&gt;0,IFERROR(VALUE(SUBSTITUTE(TRIM(Input!F391&amp;""),"%","")),0)&lt;1),1,100))</f>
        <v/>
      </c>
      <c r="F391" t="str">
        <f>IF(A391="","",IFERROR(VALUE(SUBSTITUTE(TRIM(Input!G391&amp;""),"%","")),0)/IF(AND(IFERROR(VALUE(SUBSTITUTE(TRIM(Input!G391&amp;""),"%","")),0)&gt;0,IFERROR(VALUE(SUBSTITUTE(TRIM(Input!G391&amp;""),"%","")),0)&lt;1),1,100))</f>
        <v/>
      </c>
      <c r="G391" t="str">
        <f>IF(A391="","",IFERROR(VALUE(SUBSTITUTE(TRIM(Input!H391&amp;""),"%","")),0)/IF(AND(IFERROR(VALUE(SUBSTITUTE(TRIM(Input!H391&amp;""),"%","")),0)&gt;0,IFERROR(VALUE(SUBSTITUTE(TRIM(Input!H391&amp;""),"%","")),0)&lt;1),1,100))</f>
        <v/>
      </c>
      <c r="H391" t="str">
        <f>IF(A391="","",IFERROR(VALUE(SUBSTITUTE(TRIM(Input!I391&amp;""),"%","")),0)/IF(AND(IFERROR(VALUE(SUBSTITUTE(TRIM(Input!I391&amp;""),"%","")),0)&gt;0,IFERROR(VALUE(SUBSTITUTE(TRIM(Input!I391&amp;""),"%","")),0)&lt;1),1,100))</f>
        <v/>
      </c>
    </row>
    <row r="392" spans="1:8">
      <c r="A392" t="str">
        <f>IF(TRIM(Input!B392&amp;"")="","",UPPER(TRIM(Input!B392&amp;"")))</f>
        <v/>
      </c>
      <c r="B392" t="str">
        <f>IF(A392="","",IFERROR(VALUE(RIGHT(TRIM(Input!D392&amp;""),1)),0))</f>
        <v/>
      </c>
      <c r="C392" t="str">
        <f t="shared" si="6"/>
        <v/>
      </c>
      <c r="D392" t="str">
        <f>IF(A392="","",IFERROR(VALUE(SUBSTITUTE(TRIM(Input!E392&amp;""),"%","")),0)/IF(AND(IFERROR(VALUE(SUBSTITUTE(TRIM(Input!E392&amp;""),"%","")),0)&gt;0,IFERROR(VALUE(SUBSTITUTE(TRIM(Input!E392&amp;""),"%","")),0)&lt;1),1,100))</f>
        <v/>
      </c>
      <c r="E392" t="str">
        <f>IF(A392="","",IFERROR(VALUE(SUBSTITUTE(TRIM(Input!F392&amp;""),"%","")),0)/IF(AND(IFERROR(VALUE(SUBSTITUTE(TRIM(Input!F392&amp;""),"%","")),0)&gt;0,IFERROR(VALUE(SUBSTITUTE(TRIM(Input!F392&amp;""),"%","")),0)&lt;1),1,100))</f>
        <v/>
      </c>
      <c r="F392" t="str">
        <f>IF(A392="","",IFERROR(VALUE(SUBSTITUTE(TRIM(Input!G392&amp;""),"%","")),0)/IF(AND(IFERROR(VALUE(SUBSTITUTE(TRIM(Input!G392&amp;""),"%","")),0)&gt;0,IFERROR(VALUE(SUBSTITUTE(TRIM(Input!G392&amp;""),"%","")),0)&lt;1),1,100))</f>
        <v/>
      </c>
      <c r="G392" t="str">
        <f>IF(A392="","",IFERROR(VALUE(SUBSTITUTE(TRIM(Input!H392&amp;""),"%","")),0)/IF(AND(IFERROR(VALUE(SUBSTITUTE(TRIM(Input!H392&amp;""),"%","")),0)&gt;0,IFERROR(VALUE(SUBSTITUTE(TRIM(Input!H392&amp;""),"%","")),0)&lt;1),1,100))</f>
        <v/>
      </c>
      <c r="H392" t="str">
        <f>IF(A392="","",IFERROR(VALUE(SUBSTITUTE(TRIM(Input!I392&amp;""),"%","")),0)/IF(AND(IFERROR(VALUE(SUBSTITUTE(TRIM(Input!I392&amp;""),"%","")),0)&gt;0,IFERROR(VALUE(SUBSTITUTE(TRIM(Input!I392&amp;""),"%","")),0)&lt;1),1,100))</f>
        <v/>
      </c>
    </row>
    <row r="393" spans="1:8">
      <c r="A393" t="str">
        <f>IF(TRIM(Input!B393&amp;"")="","",UPPER(TRIM(Input!B393&amp;"")))</f>
        <v/>
      </c>
      <c r="B393" t="str">
        <f>IF(A393="","",IFERROR(VALUE(RIGHT(TRIM(Input!D393&amp;""),1)),0))</f>
        <v/>
      </c>
      <c r="C393" t="str">
        <f t="shared" si="6"/>
        <v/>
      </c>
      <c r="D393" t="str">
        <f>IF(A393="","",IFERROR(VALUE(SUBSTITUTE(TRIM(Input!E393&amp;""),"%","")),0)/IF(AND(IFERROR(VALUE(SUBSTITUTE(TRIM(Input!E393&amp;""),"%","")),0)&gt;0,IFERROR(VALUE(SUBSTITUTE(TRIM(Input!E393&amp;""),"%","")),0)&lt;1),1,100))</f>
        <v/>
      </c>
      <c r="E393" t="str">
        <f>IF(A393="","",IFERROR(VALUE(SUBSTITUTE(TRIM(Input!F393&amp;""),"%","")),0)/IF(AND(IFERROR(VALUE(SUBSTITUTE(TRIM(Input!F393&amp;""),"%","")),0)&gt;0,IFERROR(VALUE(SUBSTITUTE(TRIM(Input!F393&amp;""),"%","")),0)&lt;1),1,100))</f>
        <v/>
      </c>
      <c r="F393" t="str">
        <f>IF(A393="","",IFERROR(VALUE(SUBSTITUTE(TRIM(Input!G393&amp;""),"%","")),0)/IF(AND(IFERROR(VALUE(SUBSTITUTE(TRIM(Input!G393&amp;""),"%","")),0)&gt;0,IFERROR(VALUE(SUBSTITUTE(TRIM(Input!G393&amp;""),"%","")),0)&lt;1),1,100))</f>
        <v/>
      </c>
      <c r="G393" t="str">
        <f>IF(A393="","",IFERROR(VALUE(SUBSTITUTE(TRIM(Input!H393&amp;""),"%","")),0)/IF(AND(IFERROR(VALUE(SUBSTITUTE(TRIM(Input!H393&amp;""),"%","")),0)&gt;0,IFERROR(VALUE(SUBSTITUTE(TRIM(Input!H393&amp;""),"%","")),0)&lt;1),1,100))</f>
        <v/>
      </c>
      <c r="H393" t="str">
        <f>IF(A393="","",IFERROR(VALUE(SUBSTITUTE(TRIM(Input!I393&amp;""),"%","")),0)/IF(AND(IFERROR(VALUE(SUBSTITUTE(TRIM(Input!I393&amp;""),"%","")),0)&gt;0,IFERROR(VALUE(SUBSTITUTE(TRIM(Input!I393&amp;""),"%","")),0)&lt;1),1,100))</f>
        <v/>
      </c>
    </row>
    <row r="394" spans="1:8">
      <c r="A394" t="str">
        <f>IF(TRIM(Input!B394&amp;"")="","",UPPER(TRIM(Input!B394&amp;"")))</f>
        <v/>
      </c>
      <c r="B394" t="str">
        <f>IF(A394="","",IFERROR(VALUE(RIGHT(TRIM(Input!D394&amp;""),1)),0))</f>
        <v/>
      </c>
      <c r="C394" t="str">
        <f t="shared" si="6"/>
        <v/>
      </c>
      <c r="D394" t="str">
        <f>IF(A394="","",IFERROR(VALUE(SUBSTITUTE(TRIM(Input!E394&amp;""),"%","")),0)/IF(AND(IFERROR(VALUE(SUBSTITUTE(TRIM(Input!E394&amp;""),"%","")),0)&gt;0,IFERROR(VALUE(SUBSTITUTE(TRIM(Input!E394&amp;""),"%","")),0)&lt;1),1,100))</f>
        <v/>
      </c>
      <c r="E394" t="str">
        <f>IF(A394="","",IFERROR(VALUE(SUBSTITUTE(TRIM(Input!F394&amp;""),"%","")),0)/IF(AND(IFERROR(VALUE(SUBSTITUTE(TRIM(Input!F394&amp;""),"%","")),0)&gt;0,IFERROR(VALUE(SUBSTITUTE(TRIM(Input!F394&amp;""),"%","")),0)&lt;1),1,100))</f>
        <v/>
      </c>
      <c r="F394" t="str">
        <f>IF(A394="","",IFERROR(VALUE(SUBSTITUTE(TRIM(Input!G394&amp;""),"%","")),0)/IF(AND(IFERROR(VALUE(SUBSTITUTE(TRIM(Input!G394&amp;""),"%","")),0)&gt;0,IFERROR(VALUE(SUBSTITUTE(TRIM(Input!G394&amp;""),"%","")),0)&lt;1),1,100))</f>
        <v/>
      </c>
      <c r="G394" t="str">
        <f>IF(A394="","",IFERROR(VALUE(SUBSTITUTE(TRIM(Input!H394&amp;""),"%","")),0)/IF(AND(IFERROR(VALUE(SUBSTITUTE(TRIM(Input!H394&amp;""),"%","")),0)&gt;0,IFERROR(VALUE(SUBSTITUTE(TRIM(Input!H394&amp;""),"%","")),0)&lt;1),1,100))</f>
        <v/>
      </c>
      <c r="H394" t="str">
        <f>IF(A394="","",IFERROR(VALUE(SUBSTITUTE(TRIM(Input!I394&amp;""),"%","")),0)/IF(AND(IFERROR(VALUE(SUBSTITUTE(TRIM(Input!I394&amp;""),"%","")),0)&gt;0,IFERROR(VALUE(SUBSTITUTE(TRIM(Input!I394&amp;""),"%","")),0)&lt;1),1,100))</f>
        <v/>
      </c>
    </row>
    <row r="395" spans="1:8">
      <c r="A395" t="str">
        <f>IF(TRIM(Input!B395&amp;"")="","",UPPER(TRIM(Input!B395&amp;"")))</f>
        <v/>
      </c>
      <c r="B395" t="str">
        <f>IF(A395="","",IFERROR(VALUE(RIGHT(TRIM(Input!D395&amp;""),1)),0))</f>
        <v/>
      </c>
      <c r="C395" t="str">
        <f t="shared" si="6"/>
        <v/>
      </c>
      <c r="D395" t="str">
        <f>IF(A395="","",IFERROR(VALUE(SUBSTITUTE(TRIM(Input!E395&amp;""),"%","")),0)/IF(AND(IFERROR(VALUE(SUBSTITUTE(TRIM(Input!E395&amp;""),"%","")),0)&gt;0,IFERROR(VALUE(SUBSTITUTE(TRIM(Input!E395&amp;""),"%","")),0)&lt;1),1,100))</f>
        <v/>
      </c>
      <c r="E395" t="str">
        <f>IF(A395="","",IFERROR(VALUE(SUBSTITUTE(TRIM(Input!F395&amp;""),"%","")),0)/IF(AND(IFERROR(VALUE(SUBSTITUTE(TRIM(Input!F395&amp;""),"%","")),0)&gt;0,IFERROR(VALUE(SUBSTITUTE(TRIM(Input!F395&amp;""),"%","")),0)&lt;1),1,100))</f>
        <v/>
      </c>
      <c r="F395" t="str">
        <f>IF(A395="","",IFERROR(VALUE(SUBSTITUTE(TRIM(Input!G395&amp;""),"%","")),0)/IF(AND(IFERROR(VALUE(SUBSTITUTE(TRIM(Input!G395&amp;""),"%","")),0)&gt;0,IFERROR(VALUE(SUBSTITUTE(TRIM(Input!G395&amp;""),"%","")),0)&lt;1),1,100))</f>
        <v/>
      </c>
      <c r="G395" t="str">
        <f>IF(A395="","",IFERROR(VALUE(SUBSTITUTE(TRIM(Input!H395&amp;""),"%","")),0)/IF(AND(IFERROR(VALUE(SUBSTITUTE(TRIM(Input!H395&amp;""),"%","")),0)&gt;0,IFERROR(VALUE(SUBSTITUTE(TRIM(Input!H395&amp;""),"%","")),0)&lt;1),1,100))</f>
        <v/>
      </c>
      <c r="H395" t="str">
        <f>IF(A395="","",IFERROR(VALUE(SUBSTITUTE(TRIM(Input!I395&amp;""),"%","")),0)/IF(AND(IFERROR(VALUE(SUBSTITUTE(TRIM(Input!I395&amp;""),"%","")),0)&gt;0,IFERROR(VALUE(SUBSTITUTE(TRIM(Input!I395&amp;""),"%","")),0)&lt;1),1,100))</f>
        <v/>
      </c>
    </row>
    <row r="396" spans="1:8">
      <c r="A396" t="str">
        <f>IF(TRIM(Input!B396&amp;"")="","",UPPER(TRIM(Input!B396&amp;"")))</f>
        <v/>
      </c>
      <c r="B396" t="str">
        <f>IF(A396="","",IFERROR(VALUE(RIGHT(TRIM(Input!D396&amp;""),1)),0))</f>
        <v/>
      </c>
      <c r="C396" t="str">
        <f t="shared" si="6"/>
        <v/>
      </c>
      <c r="D396" t="str">
        <f>IF(A396="","",IFERROR(VALUE(SUBSTITUTE(TRIM(Input!E396&amp;""),"%","")),0)/IF(AND(IFERROR(VALUE(SUBSTITUTE(TRIM(Input!E396&amp;""),"%","")),0)&gt;0,IFERROR(VALUE(SUBSTITUTE(TRIM(Input!E396&amp;""),"%","")),0)&lt;1),1,100))</f>
        <v/>
      </c>
      <c r="E396" t="str">
        <f>IF(A396="","",IFERROR(VALUE(SUBSTITUTE(TRIM(Input!F396&amp;""),"%","")),0)/IF(AND(IFERROR(VALUE(SUBSTITUTE(TRIM(Input!F396&amp;""),"%","")),0)&gt;0,IFERROR(VALUE(SUBSTITUTE(TRIM(Input!F396&amp;""),"%","")),0)&lt;1),1,100))</f>
        <v/>
      </c>
      <c r="F396" t="str">
        <f>IF(A396="","",IFERROR(VALUE(SUBSTITUTE(TRIM(Input!G396&amp;""),"%","")),0)/IF(AND(IFERROR(VALUE(SUBSTITUTE(TRIM(Input!G396&amp;""),"%","")),0)&gt;0,IFERROR(VALUE(SUBSTITUTE(TRIM(Input!G396&amp;""),"%","")),0)&lt;1),1,100))</f>
        <v/>
      </c>
      <c r="G396" t="str">
        <f>IF(A396="","",IFERROR(VALUE(SUBSTITUTE(TRIM(Input!H396&amp;""),"%","")),0)/IF(AND(IFERROR(VALUE(SUBSTITUTE(TRIM(Input!H396&amp;""),"%","")),0)&gt;0,IFERROR(VALUE(SUBSTITUTE(TRIM(Input!H396&amp;""),"%","")),0)&lt;1),1,100))</f>
        <v/>
      </c>
      <c r="H396" t="str">
        <f>IF(A396="","",IFERROR(VALUE(SUBSTITUTE(TRIM(Input!I396&amp;""),"%","")),0)/IF(AND(IFERROR(VALUE(SUBSTITUTE(TRIM(Input!I396&amp;""),"%","")),0)&gt;0,IFERROR(VALUE(SUBSTITUTE(TRIM(Input!I396&amp;""),"%","")),0)&lt;1),1,100))</f>
        <v/>
      </c>
    </row>
    <row r="397" spans="1:8">
      <c r="A397" t="str">
        <f>IF(TRIM(Input!B397&amp;"")="","",UPPER(TRIM(Input!B397&amp;"")))</f>
        <v/>
      </c>
      <c r="B397" t="str">
        <f>IF(A397="","",IFERROR(VALUE(RIGHT(TRIM(Input!D397&amp;""),1)),0))</f>
        <v/>
      </c>
      <c r="C397" t="str">
        <f t="shared" si="6"/>
        <v/>
      </c>
      <c r="D397" t="str">
        <f>IF(A397="","",IFERROR(VALUE(SUBSTITUTE(TRIM(Input!E397&amp;""),"%","")),0)/IF(AND(IFERROR(VALUE(SUBSTITUTE(TRIM(Input!E397&amp;""),"%","")),0)&gt;0,IFERROR(VALUE(SUBSTITUTE(TRIM(Input!E397&amp;""),"%","")),0)&lt;1),1,100))</f>
        <v/>
      </c>
      <c r="E397" t="str">
        <f>IF(A397="","",IFERROR(VALUE(SUBSTITUTE(TRIM(Input!F397&amp;""),"%","")),0)/IF(AND(IFERROR(VALUE(SUBSTITUTE(TRIM(Input!F397&amp;""),"%","")),0)&gt;0,IFERROR(VALUE(SUBSTITUTE(TRIM(Input!F397&amp;""),"%","")),0)&lt;1),1,100))</f>
        <v/>
      </c>
      <c r="F397" t="str">
        <f>IF(A397="","",IFERROR(VALUE(SUBSTITUTE(TRIM(Input!G397&amp;""),"%","")),0)/IF(AND(IFERROR(VALUE(SUBSTITUTE(TRIM(Input!G397&amp;""),"%","")),0)&gt;0,IFERROR(VALUE(SUBSTITUTE(TRIM(Input!G397&amp;""),"%","")),0)&lt;1),1,100))</f>
        <v/>
      </c>
      <c r="G397" t="str">
        <f>IF(A397="","",IFERROR(VALUE(SUBSTITUTE(TRIM(Input!H397&amp;""),"%","")),0)/IF(AND(IFERROR(VALUE(SUBSTITUTE(TRIM(Input!H397&amp;""),"%","")),0)&gt;0,IFERROR(VALUE(SUBSTITUTE(TRIM(Input!H397&amp;""),"%","")),0)&lt;1),1,100))</f>
        <v/>
      </c>
      <c r="H397" t="str">
        <f>IF(A397="","",IFERROR(VALUE(SUBSTITUTE(TRIM(Input!I397&amp;""),"%","")),0)/IF(AND(IFERROR(VALUE(SUBSTITUTE(TRIM(Input!I397&amp;""),"%","")),0)&gt;0,IFERROR(VALUE(SUBSTITUTE(TRIM(Input!I397&amp;""),"%","")),0)&lt;1),1,100))</f>
        <v/>
      </c>
    </row>
    <row r="398" spans="1:8">
      <c r="A398" t="str">
        <f>IF(TRIM(Input!B398&amp;"")="","",UPPER(TRIM(Input!B398&amp;"")))</f>
        <v/>
      </c>
      <c r="B398" t="str">
        <f>IF(A398="","",IFERROR(VALUE(RIGHT(TRIM(Input!D398&amp;""),1)),0))</f>
        <v/>
      </c>
      <c r="C398" t="str">
        <f t="shared" si="6"/>
        <v/>
      </c>
      <c r="D398" t="str">
        <f>IF(A398="","",IFERROR(VALUE(SUBSTITUTE(TRIM(Input!E398&amp;""),"%","")),0)/IF(AND(IFERROR(VALUE(SUBSTITUTE(TRIM(Input!E398&amp;""),"%","")),0)&gt;0,IFERROR(VALUE(SUBSTITUTE(TRIM(Input!E398&amp;""),"%","")),0)&lt;1),1,100))</f>
        <v/>
      </c>
      <c r="E398" t="str">
        <f>IF(A398="","",IFERROR(VALUE(SUBSTITUTE(TRIM(Input!F398&amp;""),"%","")),0)/IF(AND(IFERROR(VALUE(SUBSTITUTE(TRIM(Input!F398&amp;""),"%","")),0)&gt;0,IFERROR(VALUE(SUBSTITUTE(TRIM(Input!F398&amp;""),"%","")),0)&lt;1),1,100))</f>
        <v/>
      </c>
      <c r="F398" t="str">
        <f>IF(A398="","",IFERROR(VALUE(SUBSTITUTE(TRIM(Input!G398&amp;""),"%","")),0)/IF(AND(IFERROR(VALUE(SUBSTITUTE(TRIM(Input!G398&amp;""),"%","")),0)&gt;0,IFERROR(VALUE(SUBSTITUTE(TRIM(Input!G398&amp;""),"%","")),0)&lt;1),1,100))</f>
        <v/>
      </c>
      <c r="G398" t="str">
        <f>IF(A398="","",IFERROR(VALUE(SUBSTITUTE(TRIM(Input!H398&amp;""),"%","")),0)/IF(AND(IFERROR(VALUE(SUBSTITUTE(TRIM(Input!H398&amp;""),"%","")),0)&gt;0,IFERROR(VALUE(SUBSTITUTE(TRIM(Input!H398&amp;""),"%","")),0)&lt;1),1,100))</f>
        <v/>
      </c>
      <c r="H398" t="str">
        <f>IF(A398="","",IFERROR(VALUE(SUBSTITUTE(TRIM(Input!I398&amp;""),"%","")),0)/IF(AND(IFERROR(VALUE(SUBSTITUTE(TRIM(Input!I398&amp;""),"%","")),0)&gt;0,IFERROR(VALUE(SUBSTITUTE(TRIM(Input!I398&amp;""),"%","")),0)&lt;1),1,100))</f>
        <v/>
      </c>
    </row>
    <row r="399" spans="1:8">
      <c r="A399" t="str">
        <f>IF(TRIM(Input!B399&amp;"")="","",UPPER(TRIM(Input!B399&amp;"")))</f>
        <v/>
      </c>
      <c r="B399" t="str">
        <f>IF(A399="","",IFERROR(VALUE(RIGHT(TRIM(Input!D399&amp;""),1)),0))</f>
        <v/>
      </c>
      <c r="C399" t="str">
        <f t="shared" si="6"/>
        <v/>
      </c>
      <c r="D399" t="str">
        <f>IF(A399="","",IFERROR(VALUE(SUBSTITUTE(TRIM(Input!E399&amp;""),"%","")),0)/IF(AND(IFERROR(VALUE(SUBSTITUTE(TRIM(Input!E399&amp;""),"%","")),0)&gt;0,IFERROR(VALUE(SUBSTITUTE(TRIM(Input!E399&amp;""),"%","")),0)&lt;1),1,100))</f>
        <v/>
      </c>
      <c r="E399" t="str">
        <f>IF(A399="","",IFERROR(VALUE(SUBSTITUTE(TRIM(Input!F399&amp;""),"%","")),0)/IF(AND(IFERROR(VALUE(SUBSTITUTE(TRIM(Input!F399&amp;""),"%","")),0)&gt;0,IFERROR(VALUE(SUBSTITUTE(TRIM(Input!F399&amp;""),"%","")),0)&lt;1),1,100))</f>
        <v/>
      </c>
      <c r="F399" t="str">
        <f>IF(A399="","",IFERROR(VALUE(SUBSTITUTE(TRIM(Input!G399&amp;""),"%","")),0)/IF(AND(IFERROR(VALUE(SUBSTITUTE(TRIM(Input!G399&amp;""),"%","")),0)&gt;0,IFERROR(VALUE(SUBSTITUTE(TRIM(Input!G399&amp;""),"%","")),0)&lt;1),1,100))</f>
        <v/>
      </c>
      <c r="G399" t="str">
        <f>IF(A399="","",IFERROR(VALUE(SUBSTITUTE(TRIM(Input!H399&amp;""),"%","")),0)/IF(AND(IFERROR(VALUE(SUBSTITUTE(TRIM(Input!H399&amp;""),"%","")),0)&gt;0,IFERROR(VALUE(SUBSTITUTE(TRIM(Input!H399&amp;""),"%","")),0)&lt;1),1,100))</f>
        <v/>
      </c>
      <c r="H399" t="str">
        <f>IF(A399="","",IFERROR(VALUE(SUBSTITUTE(TRIM(Input!I399&amp;""),"%","")),0)/IF(AND(IFERROR(VALUE(SUBSTITUTE(TRIM(Input!I399&amp;""),"%","")),0)&gt;0,IFERROR(VALUE(SUBSTITUTE(TRIM(Input!I399&amp;""),"%","")),0)&lt;1),1,100))</f>
        <v/>
      </c>
    </row>
    <row r="400" spans="1:8">
      <c r="A400" t="str">
        <f>IF(TRIM(Input!B400&amp;"")="","",UPPER(TRIM(Input!B400&amp;"")))</f>
        <v/>
      </c>
      <c r="B400" t="str">
        <f>IF(A400="","",IFERROR(VALUE(RIGHT(TRIM(Input!D400&amp;""),1)),0))</f>
        <v/>
      </c>
      <c r="C400" t="str">
        <f t="shared" si="6"/>
        <v/>
      </c>
      <c r="D400" t="str">
        <f>IF(A400="","",IFERROR(VALUE(SUBSTITUTE(TRIM(Input!E400&amp;""),"%","")),0)/IF(AND(IFERROR(VALUE(SUBSTITUTE(TRIM(Input!E400&amp;""),"%","")),0)&gt;0,IFERROR(VALUE(SUBSTITUTE(TRIM(Input!E400&amp;""),"%","")),0)&lt;1),1,100))</f>
        <v/>
      </c>
      <c r="E400" t="str">
        <f>IF(A400="","",IFERROR(VALUE(SUBSTITUTE(TRIM(Input!F400&amp;""),"%","")),0)/IF(AND(IFERROR(VALUE(SUBSTITUTE(TRIM(Input!F400&amp;""),"%","")),0)&gt;0,IFERROR(VALUE(SUBSTITUTE(TRIM(Input!F400&amp;""),"%","")),0)&lt;1),1,100))</f>
        <v/>
      </c>
      <c r="F400" t="str">
        <f>IF(A400="","",IFERROR(VALUE(SUBSTITUTE(TRIM(Input!G400&amp;""),"%","")),0)/IF(AND(IFERROR(VALUE(SUBSTITUTE(TRIM(Input!G400&amp;""),"%","")),0)&gt;0,IFERROR(VALUE(SUBSTITUTE(TRIM(Input!G400&amp;""),"%","")),0)&lt;1),1,100))</f>
        <v/>
      </c>
      <c r="G400" t="str">
        <f>IF(A400="","",IFERROR(VALUE(SUBSTITUTE(TRIM(Input!H400&amp;""),"%","")),0)/IF(AND(IFERROR(VALUE(SUBSTITUTE(TRIM(Input!H400&amp;""),"%","")),0)&gt;0,IFERROR(VALUE(SUBSTITUTE(TRIM(Input!H400&amp;""),"%","")),0)&lt;1),1,100))</f>
        <v/>
      </c>
      <c r="H400" t="str">
        <f>IF(A400="","",IFERROR(VALUE(SUBSTITUTE(TRIM(Input!I400&amp;""),"%","")),0)/IF(AND(IFERROR(VALUE(SUBSTITUTE(TRIM(Input!I400&amp;""),"%","")),0)&gt;0,IFERROR(VALUE(SUBSTITUTE(TRIM(Input!I400&amp;""),"%","")),0)&lt;1),1,100))</f>
        <v/>
      </c>
    </row>
    <row r="401" spans="1:8">
      <c r="A401" t="str">
        <f>IF(TRIM(Input!B401&amp;"")="","",UPPER(TRIM(Input!B401&amp;"")))</f>
        <v/>
      </c>
      <c r="B401" t="str">
        <f>IF(A401="","",IFERROR(VALUE(RIGHT(TRIM(Input!D401&amp;""),1)),0))</f>
        <v/>
      </c>
      <c r="C401" t="str">
        <f t="shared" si="6"/>
        <v/>
      </c>
      <c r="D401" t="str">
        <f>IF(A401="","",IFERROR(VALUE(SUBSTITUTE(TRIM(Input!E401&amp;""),"%","")),0)/IF(AND(IFERROR(VALUE(SUBSTITUTE(TRIM(Input!E401&amp;""),"%","")),0)&gt;0,IFERROR(VALUE(SUBSTITUTE(TRIM(Input!E401&amp;""),"%","")),0)&lt;1),1,100))</f>
        <v/>
      </c>
      <c r="E401" t="str">
        <f>IF(A401="","",IFERROR(VALUE(SUBSTITUTE(TRIM(Input!F401&amp;""),"%","")),0)/IF(AND(IFERROR(VALUE(SUBSTITUTE(TRIM(Input!F401&amp;""),"%","")),0)&gt;0,IFERROR(VALUE(SUBSTITUTE(TRIM(Input!F401&amp;""),"%","")),0)&lt;1),1,100))</f>
        <v/>
      </c>
      <c r="F401" t="str">
        <f>IF(A401="","",IFERROR(VALUE(SUBSTITUTE(TRIM(Input!G401&amp;""),"%","")),0)/IF(AND(IFERROR(VALUE(SUBSTITUTE(TRIM(Input!G401&amp;""),"%","")),0)&gt;0,IFERROR(VALUE(SUBSTITUTE(TRIM(Input!G401&amp;""),"%","")),0)&lt;1),1,100))</f>
        <v/>
      </c>
      <c r="G401" t="str">
        <f>IF(A401="","",IFERROR(VALUE(SUBSTITUTE(TRIM(Input!H401&amp;""),"%","")),0)/IF(AND(IFERROR(VALUE(SUBSTITUTE(TRIM(Input!H401&amp;""),"%","")),0)&gt;0,IFERROR(VALUE(SUBSTITUTE(TRIM(Input!H401&amp;""),"%","")),0)&lt;1),1,100))</f>
        <v/>
      </c>
      <c r="H401" t="str">
        <f>IF(A401="","",IFERROR(VALUE(SUBSTITUTE(TRIM(Input!I401&amp;""),"%","")),0)/IF(AND(IFERROR(VALUE(SUBSTITUTE(TRIM(Input!I401&amp;""),"%","")),0)&gt;0,IFERROR(VALUE(SUBSTITUTE(TRIM(Input!I401&amp;""),"%","")),0)&lt;1),1,100))</f>
        <v/>
      </c>
    </row>
    <row r="402" spans="1:8">
      <c r="A402" t="str">
        <f>IF(TRIM(Input!B402&amp;"")="","",UPPER(TRIM(Input!B402&amp;"")))</f>
        <v/>
      </c>
      <c r="B402" t="str">
        <f>IF(A402="","",IFERROR(VALUE(RIGHT(TRIM(Input!D402&amp;""),1)),0))</f>
        <v/>
      </c>
      <c r="C402" t="str">
        <f t="shared" si="6"/>
        <v/>
      </c>
      <c r="D402" t="str">
        <f>IF(A402="","",IFERROR(VALUE(SUBSTITUTE(TRIM(Input!E402&amp;""),"%","")),0)/IF(AND(IFERROR(VALUE(SUBSTITUTE(TRIM(Input!E402&amp;""),"%","")),0)&gt;0,IFERROR(VALUE(SUBSTITUTE(TRIM(Input!E402&amp;""),"%","")),0)&lt;1),1,100))</f>
        <v/>
      </c>
      <c r="E402" t="str">
        <f>IF(A402="","",IFERROR(VALUE(SUBSTITUTE(TRIM(Input!F402&amp;""),"%","")),0)/IF(AND(IFERROR(VALUE(SUBSTITUTE(TRIM(Input!F402&amp;""),"%","")),0)&gt;0,IFERROR(VALUE(SUBSTITUTE(TRIM(Input!F402&amp;""),"%","")),0)&lt;1),1,100))</f>
        <v/>
      </c>
      <c r="F402" t="str">
        <f>IF(A402="","",IFERROR(VALUE(SUBSTITUTE(TRIM(Input!G402&amp;""),"%","")),0)/IF(AND(IFERROR(VALUE(SUBSTITUTE(TRIM(Input!G402&amp;""),"%","")),0)&gt;0,IFERROR(VALUE(SUBSTITUTE(TRIM(Input!G402&amp;""),"%","")),0)&lt;1),1,100))</f>
        <v/>
      </c>
      <c r="G402" t="str">
        <f>IF(A402="","",IFERROR(VALUE(SUBSTITUTE(TRIM(Input!H402&amp;""),"%","")),0)/IF(AND(IFERROR(VALUE(SUBSTITUTE(TRIM(Input!H402&amp;""),"%","")),0)&gt;0,IFERROR(VALUE(SUBSTITUTE(TRIM(Input!H402&amp;""),"%","")),0)&lt;1),1,100))</f>
        <v/>
      </c>
      <c r="H402" t="str">
        <f>IF(A402="","",IFERROR(VALUE(SUBSTITUTE(TRIM(Input!I402&amp;""),"%","")),0)/IF(AND(IFERROR(VALUE(SUBSTITUTE(TRIM(Input!I402&amp;""),"%","")),0)&gt;0,IFERROR(VALUE(SUBSTITUTE(TRIM(Input!I402&amp;""),"%","")),0)&lt;1),1,100))</f>
        <v/>
      </c>
    </row>
    <row r="403" spans="1:8">
      <c r="A403" t="str">
        <f>IF(TRIM(Input!B403&amp;"")="","",UPPER(TRIM(Input!B403&amp;"")))</f>
        <v/>
      </c>
      <c r="B403" t="str">
        <f>IF(A403="","",IFERROR(VALUE(RIGHT(TRIM(Input!D403&amp;""),1)),0))</f>
        <v/>
      </c>
      <c r="C403" t="str">
        <f t="shared" si="6"/>
        <v/>
      </c>
      <c r="D403" t="str">
        <f>IF(A403="","",IFERROR(VALUE(SUBSTITUTE(TRIM(Input!E403&amp;""),"%","")),0)/IF(AND(IFERROR(VALUE(SUBSTITUTE(TRIM(Input!E403&amp;""),"%","")),0)&gt;0,IFERROR(VALUE(SUBSTITUTE(TRIM(Input!E403&amp;""),"%","")),0)&lt;1),1,100))</f>
        <v/>
      </c>
      <c r="E403" t="str">
        <f>IF(A403="","",IFERROR(VALUE(SUBSTITUTE(TRIM(Input!F403&amp;""),"%","")),0)/IF(AND(IFERROR(VALUE(SUBSTITUTE(TRIM(Input!F403&amp;""),"%","")),0)&gt;0,IFERROR(VALUE(SUBSTITUTE(TRIM(Input!F403&amp;""),"%","")),0)&lt;1),1,100))</f>
        <v/>
      </c>
      <c r="F403" t="str">
        <f>IF(A403="","",IFERROR(VALUE(SUBSTITUTE(TRIM(Input!G403&amp;""),"%","")),0)/IF(AND(IFERROR(VALUE(SUBSTITUTE(TRIM(Input!G403&amp;""),"%","")),0)&gt;0,IFERROR(VALUE(SUBSTITUTE(TRIM(Input!G403&amp;""),"%","")),0)&lt;1),1,100))</f>
        <v/>
      </c>
      <c r="G403" t="str">
        <f>IF(A403="","",IFERROR(VALUE(SUBSTITUTE(TRIM(Input!H403&amp;""),"%","")),0)/IF(AND(IFERROR(VALUE(SUBSTITUTE(TRIM(Input!H403&amp;""),"%","")),0)&gt;0,IFERROR(VALUE(SUBSTITUTE(TRIM(Input!H403&amp;""),"%","")),0)&lt;1),1,100))</f>
        <v/>
      </c>
      <c r="H403" t="str">
        <f>IF(A403="","",IFERROR(VALUE(SUBSTITUTE(TRIM(Input!I403&amp;""),"%","")),0)/IF(AND(IFERROR(VALUE(SUBSTITUTE(TRIM(Input!I403&amp;""),"%","")),0)&gt;0,IFERROR(VALUE(SUBSTITUTE(TRIM(Input!I403&amp;""),"%","")),0)&lt;1),1,100))</f>
        <v/>
      </c>
    </row>
    <row r="404" spans="1:8">
      <c r="A404" t="str">
        <f>IF(TRIM(Input!B404&amp;"")="","",UPPER(TRIM(Input!B404&amp;"")))</f>
        <v/>
      </c>
      <c r="B404" t="str">
        <f>IF(A404="","",IFERROR(VALUE(RIGHT(TRIM(Input!D404&amp;""),1)),0))</f>
        <v/>
      </c>
      <c r="C404" t="str">
        <f t="shared" si="6"/>
        <v/>
      </c>
      <c r="D404" t="str">
        <f>IF(A404="","",IFERROR(VALUE(SUBSTITUTE(TRIM(Input!E404&amp;""),"%","")),0)/IF(AND(IFERROR(VALUE(SUBSTITUTE(TRIM(Input!E404&amp;""),"%","")),0)&gt;0,IFERROR(VALUE(SUBSTITUTE(TRIM(Input!E404&amp;""),"%","")),0)&lt;1),1,100))</f>
        <v/>
      </c>
      <c r="E404" t="str">
        <f>IF(A404="","",IFERROR(VALUE(SUBSTITUTE(TRIM(Input!F404&amp;""),"%","")),0)/IF(AND(IFERROR(VALUE(SUBSTITUTE(TRIM(Input!F404&amp;""),"%","")),0)&gt;0,IFERROR(VALUE(SUBSTITUTE(TRIM(Input!F404&amp;""),"%","")),0)&lt;1),1,100))</f>
        <v/>
      </c>
      <c r="F404" t="str">
        <f>IF(A404="","",IFERROR(VALUE(SUBSTITUTE(TRIM(Input!G404&amp;""),"%","")),0)/IF(AND(IFERROR(VALUE(SUBSTITUTE(TRIM(Input!G404&amp;""),"%","")),0)&gt;0,IFERROR(VALUE(SUBSTITUTE(TRIM(Input!G404&amp;""),"%","")),0)&lt;1),1,100))</f>
        <v/>
      </c>
      <c r="G404" t="str">
        <f>IF(A404="","",IFERROR(VALUE(SUBSTITUTE(TRIM(Input!H404&amp;""),"%","")),0)/IF(AND(IFERROR(VALUE(SUBSTITUTE(TRIM(Input!H404&amp;""),"%","")),0)&gt;0,IFERROR(VALUE(SUBSTITUTE(TRIM(Input!H404&amp;""),"%","")),0)&lt;1),1,100))</f>
        <v/>
      </c>
      <c r="H404" t="str">
        <f>IF(A404="","",IFERROR(VALUE(SUBSTITUTE(TRIM(Input!I404&amp;""),"%","")),0)/IF(AND(IFERROR(VALUE(SUBSTITUTE(TRIM(Input!I404&amp;""),"%","")),0)&gt;0,IFERROR(VALUE(SUBSTITUTE(TRIM(Input!I404&amp;""),"%","")),0)&lt;1),1,100))</f>
        <v/>
      </c>
    </row>
    <row r="405" spans="1:8">
      <c r="A405" t="str">
        <f>IF(TRIM(Input!B405&amp;"")="","",UPPER(TRIM(Input!B405&amp;"")))</f>
        <v/>
      </c>
      <c r="B405" t="str">
        <f>IF(A405="","",IFERROR(VALUE(RIGHT(TRIM(Input!D405&amp;""),1)),0))</f>
        <v/>
      </c>
      <c r="C405" t="str">
        <f t="shared" si="6"/>
        <v/>
      </c>
      <c r="D405" t="str">
        <f>IF(A405="","",IFERROR(VALUE(SUBSTITUTE(TRIM(Input!E405&amp;""),"%","")),0)/IF(AND(IFERROR(VALUE(SUBSTITUTE(TRIM(Input!E405&amp;""),"%","")),0)&gt;0,IFERROR(VALUE(SUBSTITUTE(TRIM(Input!E405&amp;""),"%","")),0)&lt;1),1,100))</f>
        <v/>
      </c>
      <c r="E405" t="str">
        <f>IF(A405="","",IFERROR(VALUE(SUBSTITUTE(TRIM(Input!F405&amp;""),"%","")),0)/IF(AND(IFERROR(VALUE(SUBSTITUTE(TRIM(Input!F405&amp;""),"%","")),0)&gt;0,IFERROR(VALUE(SUBSTITUTE(TRIM(Input!F405&amp;""),"%","")),0)&lt;1),1,100))</f>
        <v/>
      </c>
      <c r="F405" t="str">
        <f>IF(A405="","",IFERROR(VALUE(SUBSTITUTE(TRIM(Input!G405&amp;""),"%","")),0)/IF(AND(IFERROR(VALUE(SUBSTITUTE(TRIM(Input!G405&amp;""),"%","")),0)&gt;0,IFERROR(VALUE(SUBSTITUTE(TRIM(Input!G405&amp;""),"%","")),0)&lt;1),1,100))</f>
        <v/>
      </c>
      <c r="G405" t="str">
        <f>IF(A405="","",IFERROR(VALUE(SUBSTITUTE(TRIM(Input!H405&amp;""),"%","")),0)/IF(AND(IFERROR(VALUE(SUBSTITUTE(TRIM(Input!H405&amp;""),"%","")),0)&gt;0,IFERROR(VALUE(SUBSTITUTE(TRIM(Input!H405&amp;""),"%","")),0)&lt;1),1,100))</f>
        <v/>
      </c>
      <c r="H405" t="str">
        <f>IF(A405="","",IFERROR(VALUE(SUBSTITUTE(TRIM(Input!I405&amp;""),"%","")),0)/IF(AND(IFERROR(VALUE(SUBSTITUTE(TRIM(Input!I405&amp;""),"%","")),0)&gt;0,IFERROR(VALUE(SUBSTITUTE(TRIM(Input!I405&amp;""),"%","")),0)&lt;1),1,100))</f>
        <v/>
      </c>
    </row>
    <row r="406" spans="1:8">
      <c r="A406" t="str">
        <f>IF(TRIM(Input!B406&amp;"")="","",UPPER(TRIM(Input!B406&amp;"")))</f>
        <v/>
      </c>
      <c r="B406" t="str">
        <f>IF(A406="","",IFERROR(VALUE(RIGHT(TRIM(Input!D406&amp;""),1)),0))</f>
        <v/>
      </c>
      <c r="C406" t="str">
        <f t="shared" si="6"/>
        <v/>
      </c>
      <c r="D406" t="str">
        <f>IF(A406="","",IFERROR(VALUE(SUBSTITUTE(TRIM(Input!E406&amp;""),"%","")),0)/IF(AND(IFERROR(VALUE(SUBSTITUTE(TRIM(Input!E406&amp;""),"%","")),0)&gt;0,IFERROR(VALUE(SUBSTITUTE(TRIM(Input!E406&amp;""),"%","")),0)&lt;1),1,100))</f>
        <v/>
      </c>
      <c r="E406" t="str">
        <f>IF(A406="","",IFERROR(VALUE(SUBSTITUTE(TRIM(Input!F406&amp;""),"%","")),0)/IF(AND(IFERROR(VALUE(SUBSTITUTE(TRIM(Input!F406&amp;""),"%","")),0)&gt;0,IFERROR(VALUE(SUBSTITUTE(TRIM(Input!F406&amp;""),"%","")),0)&lt;1),1,100))</f>
        <v/>
      </c>
      <c r="F406" t="str">
        <f>IF(A406="","",IFERROR(VALUE(SUBSTITUTE(TRIM(Input!G406&amp;""),"%","")),0)/IF(AND(IFERROR(VALUE(SUBSTITUTE(TRIM(Input!G406&amp;""),"%","")),0)&gt;0,IFERROR(VALUE(SUBSTITUTE(TRIM(Input!G406&amp;""),"%","")),0)&lt;1),1,100))</f>
        <v/>
      </c>
      <c r="G406" t="str">
        <f>IF(A406="","",IFERROR(VALUE(SUBSTITUTE(TRIM(Input!H406&amp;""),"%","")),0)/IF(AND(IFERROR(VALUE(SUBSTITUTE(TRIM(Input!H406&amp;""),"%","")),0)&gt;0,IFERROR(VALUE(SUBSTITUTE(TRIM(Input!H406&amp;""),"%","")),0)&lt;1),1,100))</f>
        <v/>
      </c>
      <c r="H406" t="str">
        <f>IF(A406="","",IFERROR(VALUE(SUBSTITUTE(TRIM(Input!I406&amp;""),"%","")),0)/IF(AND(IFERROR(VALUE(SUBSTITUTE(TRIM(Input!I406&amp;""),"%","")),0)&gt;0,IFERROR(VALUE(SUBSTITUTE(TRIM(Input!I406&amp;""),"%","")),0)&lt;1),1,100))</f>
        <v/>
      </c>
    </row>
    <row r="407" spans="1:8">
      <c r="A407" t="str">
        <f>IF(TRIM(Input!B407&amp;"")="","",UPPER(TRIM(Input!B407&amp;"")))</f>
        <v/>
      </c>
      <c r="B407" t="str">
        <f>IF(A407="","",IFERROR(VALUE(RIGHT(TRIM(Input!D407&amp;""),1)),0))</f>
        <v/>
      </c>
      <c r="C407" t="str">
        <f t="shared" si="6"/>
        <v/>
      </c>
      <c r="D407" t="str">
        <f>IF(A407="","",IFERROR(VALUE(SUBSTITUTE(TRIM(Input!E407&amp;""),"%","")),0)/IF(AND(IFERROR(VALUE(SUBSTITUTE(TRIM(Input!E407&amp;""),"%","")),0)&gt;0,IFERROR(VALUE(SUBSTITUTE(TRIM(Input!E407&amp;""),"%","")),0)&lt;1),1,100))</f>
        <v/>
      </c>
      <c r="E407" t="str">
        <f>IF(A407="","",IFERROR(VALUE(SUBSTITUTE(TRIM(Input!F407&amp;""),"%","")),0)/IF(AND(IFERROR(VALUE(SUBSTITUTE(TRIM(Input!F407&amp;""),"%","")),0)&gt;0,IFERROR(VALUE(SUBSTITUTE(TRIM(Input!F407&amp;""),"%","")),0)&lt;1),1,100))</f>
        <v/>
      </c>
      <c r="F407" t="str">
        <f>IF(A407="","",IFERROR(VALUE(SUBSTITUTE(TRIM(Input!G407&amp;""),"%","")),0)/IF(AND(IFERROR(VALUE(SUBSTITUTE(TRIM(Input!G407&amp;""),"%","")),0)&gt;0,IFERROR(VALUE(SUBSTITUTE(TRIM(Input!G407&amp;""),"%","")),0)&lt;1),1,100))</f>
        <v/>
      </c>
      <c r="G407" t="str">
        <f>IF(A407="","",IFERROR(VALUE(SUBSTITUTE(TRIM(Input!H407&amp;""),"%","")),0)/IF(AND(IFERROR(VALUE(SUBSTITUTE(TRIM(Input!H407&amp;""),"%","")),0)&gt;0,IFERROR(VALUE(SUBSTITUTE(TRIM(Input!H407&amp;""),"%","")),0)&lt;1),1,100))</f>
        <v/>
      </c>
      <c r="H407" t="str">
        <f>IF(A407="","",IFERROR(VALUE(SUBSTITUTE(TRIM(Input!I407&amp;""),"%","")),0)/IF(AND(IFERROR(VALUE(SUBSTITUTE(TRIM(Input!I407&amp;""),"%","")),0)&gt;0,IFERROR(VALUE(SUBSTITUTE(TRIM(Input!I407&amp;""),"%","")),0)&lt;1),1,100))</f>
        <v/>
      </c>
    </row>
    <row r="408" spans="1:8">
      <c r="A408" t="str">
        <f>IF(TRIM(Input!B408&amp;"")="","",UPPER(TRIM(Input!B408&amp;"")))</f>
        <v/>
      </c>
      <c r="B408" t="str">
        <f>IF(A408="","",IFERROR(VALUE(RIGHT(TRIM(Input!D408&amp;""),1)),0))</f>
        <v/>
      </c>
      <c r="C408" t="str">
        <f t="shared" si="6"/>
        <v/>
      </c>
      <c r="D408" t="str">
        <f>IF(A408="","",IFERROR(VALUE(SUBSTITUTE(TRIM(Input!E408&amp;""),"%","")),0)/IF(AND(IFERROR(VALUE(SUBSTITUTE(TRIM(Input!E408&amp;""),"%","")),0)&gt;0,IFERROR(VALUE(SUBSTITUTE(TRIM(Input!E408&amp;""),"%","")),0)&lt;1),1,100))</f>
        <v/>
      </c>
      <c r="E408" t="str">
        <f>IF(A408="","",IFERROR(VALUE(SUBSTITUTE(TRIM(Input!F408&amp;""),"%","")),0)/IF(AND(IFERROR(VALUE(SUBSTITUTE(TRIM(Input!F408&amp;""),"%","")),0)&gt;0,IFERROR(VALUE(SUBSTITUTE(TRIM(Input!F408&amp;""),"%","")),0)&lt;1),1,100))</f>
        <v/>
      </c>
      <c r="F408" t="str">
        <f>IF(A408="","",IFERROR(VALUE(SUBSTITUTE(TRIM(Input!G408&amp;""),"%","")),0)/IF(AND(IFERROR(VALUE(SUBSTITUTE(TRIM(Input!G408&amp;""),"%","")),0)&gt;0,IFERROR(VALUE(SUBSTITUTE(TRIM(Input!G408&amp;""),"%","")),0)&lt;1),1,100))</f>
        <v/>
      </c>
      <c r="G408" t="str">
        <f>IF(A408="","",IFERROR(VALUE(SUBSTITUTE(TRIM(Input!H408&amp;""),"%","")),0)/IF(AND(IFERROR(VALUE(SUBSTITUTE(TRIM(Input!H408&amp;""),"%","")),0)&gt;0,IFERROR(VALUE(SUBSTITUTE(TRIM(Input!H408&amp;""),"%","")),0)&lt;1),1,100))</f>
        <v/>
      </c>
      <c r="H408" t="str">
        <f>IF(A408="","",IFERROR(VALUE(SUBSTITUTE(TRIM(Input!I408&amp;""),"%","")),0)/IF(AND(IFERROR(VALUE(SUBSTITUTE(TRIM(Input!I408&amp;""),"%","")),0)&gt;0,IFERROR(VALUE(SUBSTITUTE(TRIM(Input!I408&amp;""),"%","")),0)&lt;1),1,100))</f>
        <v/>
      </c>
    </row>
    <row r="409" spans="1:8">
      <c r="A409" t="str">
        <f>IF(TRIM(Input!B409&amp;"")="","",UPPER(TRIM(Input!B409&amp;"")))</f>
        <v/>
      </c>
      <c r="B409" t="str">
        <f>IF(A409="","",IFERROR(VALUE(RIGHT(TRIM(Input!D409&amp;""),1)),0))</f>
        <v/>
      </c>
      <c r="C409" t="str">
        <f t="shared" si="6"/>
        <v/>
      </c>
      <c r="D409" t="str">
        <f>IF(A409="","",IFERROR(VALUE(SUBSTITUTE(TRIM(Input!E409&amp;""),"%","")),0)/IF(AND(IFERROR(VALUE(SUBSTITUTE(TRIM(Input!E409&amp;""),"%","")),0)&gt;0,IFERROR(VALUE(SUBSTITUTE(TRIM(Input!E409&amp;""),"%","")),0)&lt;1),1,100))</f>
        <v/>
      </c>
      <c r="E409" t="str">
        <f>IF(A409="","",IFERROR(VALUE(SUBSTITUTE(TRIM(Input!F409&amp;""),"%","")),0)/IF(AND(IFERROR(VALUE(SUBSTITUTE(TRIM(Input!F409&amp;""),"%","")),0)&gt;0,IFERROR(VALUE(SUBSTITUTE(TRIM(Input!F409&amp;""),"%","")),0)&lt;1),1,100))</f>
        <v/>
      </c>
      <c r="F409" t="str">
        <f>IF(A409="","",IFERROR(VALUE(SUBSTITUTE(TRIM(Input!G409&amp;""),"%","")),0)/IF(AND(IFERROR(VALUE(SUBSTITUTE(TRIM(Input!G409&amp;""),"%","")),0)&gt;0,IFERROR(VALUE(SUBSTITUTE(TRIM(Input!G409&amp;""),"%","")),0)&lt;1),1,100))</f>
        <v/>
      </c>
      <c r="G409" t="str">
        <f>IF(A409="","",IFERROR(VALUE(SUBSTITUTE(TRIM(Input!H409&amp;""),"%","")),0)/IF(AND(IFERROR(VALUE(SUBSTITUTE(TRIM(Input!H409&amp;""),"%","")),0)&gt;0,IFERROR(VALUE(SUBSTITUTE(TRIM(Input!H409&amp;""),"%","")),0)&lt;1),1,100))</f>
        <v/>
      </c>
      <c r="H409" t="str">
        <f>IF(A409="","",IFERROR(VALUE(SUBSTITUTE(TRIM(Input!I409&amp;""),"%","")),0)/IF(AND(IFERROR(VALUE(SUBSTITUTE(TRIM(Input!I409&amp;""),"%","")),0)&gt;0,IFERROR(VALUE(SUBSTITUTE(TRIM(Input!I409&amp;""),"%","")),0)&lt;1),1,100))</f>
        <v/>
      </c>
    </row>
    <row r="410" spans="1:8">
      <c r="A410" t="str">
        <f>IF(TRIM(Input!B410&amp;"")="","",UPPER(TRIM(Input!B410&amp;"")))</f>
        <v/>
      </c>
      <c r="B410" t="str">
        <f>IF(A410="","",IFERROR(VALUE(RIGHT(TRIM(Input!D410&amp;""),1)),0))</f>
        <v/>
      </c>
      <c r="C410" t="str">
        <f t="shared" si="6"/>
        <v/>
      </c>
      <c r="D410" t="str">
        <f>IF(A410="","",IFERROR(VALUE(SUBSTITUTE(TRIM(Input!E410&amp;""),"%","")),0)/IF(AND(IFERROR(VALUE(SUBSTITUTE(TRIM(Input!E410&amp;""),"%","")),0)&gt;0,IFERROR(VALUE(SUBSTITUTE(TRIM(Input!E410&amp;""),"%","")),0)&lt;1),1,100))</f>
        <v/>
      </c>
      <c r="E410" t="str">
        <f>IF(A410="","",IFERROR(VALUE(SUBSTITUTE(TRIM(Input!F410&amp;""),"%","")),0)/IF(AND(IFERROR(VALUE(SUBSTITUTE(TRIM(Input!F410&amp;""),"%","")),0)&gt;0,IFERROR(VALUE(SUBSTITUTE(TRIM(Input!F410&amp;""),"%","")),0)&lt;1),1,100))</f>
        <v/>
      </c>
      <c r="F410" t="str">
        <f>IF(A410="","",IFERROR(VALUE(SUBSTITUTE(TRIM(Input!G410&amp;""),"%","")),0)/IF(AND(IFERROR(VALUE(SUBSTITUTE(TRIM(Input!G410&amp;""),"%","")),0)&gt;0,IFERROR(VALUE(SUBSTITUTE(TRIM(Input!G410&amp;""),"%","")),0)&lt;1),1,100))</f>
        <v/>
      </c>
      <c r="G410" t="str">
        <f>IF(A410="","",IFERROR(VALUE(SUBSTITUTE(TRIM(Input!H410&amp;""),"%","")),0)/IF(AND(IFERROR(VALUE(SUBSTITUTE(TRIM(Input!H410&amp;""),"%","")),0)&gt;0,IFERROR(VALUE(SUBSTITUTE(TRIM(Input!H410&amp;""),"%","")),0)&lt;1),1,100))</f>
        <v/>
      </c>
      <c r="H410" t="str">
        <f>IF(A410="","",IFERROR(VALUE(SUBSTITUTE(TRIM(Input!I410&amp;""),"%","")),0)/IF(AND(IFERROR(VALUE(SUBSTITUTE(TRIM(Input!I410&amp;""),"%","")),0)&gt;0,IFERROR(VALUE(SUBSTITUTE(TRIM(Input!I410&amp;""),"%","")),0)&lt;1),1,100))</f>
        <v/>
      </c>
    </row>
    <row r="411" spans="1:8">
      <c r="A411" t="str">
        <f>IF(TRIM(Input!B411&amp;"")="","",UPPER(TRIM(Input!B411&amp;"")))</f>
        <v/>
      </c>
      <c r="B411" t="str">
        <f>IF(A411="","",IFERROR(VALUE(RIGHT(TRIM(Input!D411&amp;""),1)),0))</f>
        <v/>
      </c>
      <c r="C411" t="str">
        <f t="shared" si="6"/>
        <v/>
      </c>
      <c r="D411" t="str">
        <f>IF(A411="","",IFERROR(VALUE(SUBSTITUTE(TRIM(Input!E411&amp;""),"%","")),0)/IF(AND(IFERROR(VALUE(SUBSTITUTE(TRIM(Input!E411&amp;""),"%","")),0)&gt;0,IFERROR(VALUE(SUBSTITUTE(TRIM(Input!E411&amp;""),"%","")),0)&lt;1),1,100))</f>
        <v/>
      </c>
      <c r="E411" t="str">
        <f>IF(A411="","",IFERROR(VALUE(SUBSTITUTE(TRIM(Input!F411&amp;""),"%","")),0)/IF(AND(IFERROR(VALUE(SUBSTITUTE(TRIM(Input!F411&amp;""),"%","")),0)&gt;0,IFERROR(VALUE(SUBSTITUTE(TRIM(Input!F411&amp;""),"%","")),0)&lt;1),1,100))</f>
        <v/>
      </c>
      <c r="F411" t="str">
        <f>IF(A411="","",IFERROR(VALUE(SUBSTITUTE(TRIM(Input!G411&amp;""),"%","")),0)/IF(AND(IFERROR(VALUE(SUBSTITUTE(TRIM(Input!G411&amp;""),"%","")),0)&gt;0,IFERROR(VALUE(SUBSTITUTE(TRIM(Input!G411&amp;""),"%","")),0)&lt;1),1,100))</f>
        <v/>
      </c>
      <c r="G411" t="str">
        <f>IF(A411="","",IFERROR(VALUE(SUBSTITUTE(TRIM(Input!H411&amp;""),"%","")),0)/IF(AND(IFERROR(VALUE(SUBSTITUTE(TRIM(Input!H411&amp;""),"%","")),0)&gt;0,IFERROR(VALUE(SUBSTITUTE(TRIM(Input!H411&amp;""),"%","")),0)&lt;1),1,100))</f>
        <v/>
      </c>
      <c r="H411" t="str">
        <f>IF(A411="","",IFERROR(VALUE(SUBSTITUTE(TRIM(Input!I411&amp;""),"%","")),0)/IF(AND(IFERROR(VALUE(SUBSTITUTE(TRIM(Input!I411&amp;""),"%","")),0)&gt;0,IFERROR(VALUE(SUBSTITUTE(TRIM(Input!I411&amp;""),"%","")),0)&lt;1),1,100))</f>
        <v/>
      </c>
    </row>
    <row r="412" spans="1:8">
      <c r="A412" t="str">
        <f>IF(TRIM(Input!B412&amp;"")="","",UPPER(TRIM(Input!B412&amp;"")))</f>
        <v/>
      </c>
      <c r="B412" t="str">
        <f>IF(A412="","",IFERROR(VALUE(RIGHT(TRIM(Input!D412&amp;""),1)),0))</f>
        <v/>
      </c>
      <c r="C412" t="str">
        <f t="shared" si="6"/>
        <v/>
      </c>
      <c r="D412" t="str">
        <f>IF(A412="","",IFERROR(VALUE(SUBSTITUTE(TRIM(Input!E412&amp;""),"%","")),0)/IF(AND(IFERROR(VALUE(SUBSTITUTE(TRIM(Input!E412&amp;""),"%","")),0)&gt;0,IFERROR(VALUE(SUBSTITUTE(TRIM(Input!E412&amp;""),"%","")),0)&lt;1),1,100))</f>
        <v/>
      </c>
      <c r="E412" t="str">
        <f>IF(A412="","",IFERROR(VALUE(SUBSTITUTE(TRIM(Input!F412&amp;""),"%","")),0)/IF(AND(IFERROR(VALUE(SUBSTITUTE(TRIM(Input!F412&amp;""),"%","")),0)&gt;0,IFERROR(VALUE(SUBSTITUTE(TRIM(Input!F412&amp;""),"%","")),0)&lt;1),1,100))</f>
        <v/>
      </c>
      <c r="F412" t="str">
        <f>IF(A412="","",IFERROR(VALUE(SUBSTITUTE(TRIM(Input!G412&amp;""),"%","")),0)/IF(AND(IFERROR(VALUE(SUBSTITUTE(TRIM(Input!G412&amp;""),"%","")),0)&gt;0,IFERROR(VALUE(SUBSTITUTE(TRIM(Input!G412&amp;""),"%","")),0)&lt;1),1,100))</f>
        <v/>
      </c>
      <c r="G412" t="str">
        <f>IF(A412="","",IFERROR(VALUE(SUBSTITUTE(TRIM(Input!H412&amp;""),"%","")),0)/IF(AND(IFERROR(VALUE(SUBSTITUTE(TRIM(Input!H412&amp;""),"%","")),0)&gt;0,IFERROR(VALUE(SUBSTITUTE(TRIM(Input!H412&amp;""),"%","")),0)&lt;1),1,100))</f>
        <v/>
      </c>
      <c r="H412" t="str">
        <f>IF(A412="","",IFERROR(VALUE(SUBSTITUTE(TRIM(Input!I412&amp;""),"%","")),0)/IF(AND(IFERROR(VALUE(SUBSTITUTE(TRIM(Input!I412&amp;""),"%","")),0)&gt;0,IFERROR(VALUE(SUBSTITUTE(TRIM(Input!I412&amp;""),"%","")),0)&lt;1),1,100))</f>
        <v/>
      </c>
    </row>
    <row r="413" spans="1:8">
      <c r="A413" t="str">
        <f>IF(TRIM(Input!B413&amp;"")="","",UPPER(TRIM(Input!B413&amp;"")))</f>
        <v/>
      </c>
      <c r="B413" t="str">
        <f>IF(A413="","",IFERROR(VALUE(RIGHT(TRIM(Input!D413&amp;""),1)),0))</f>
        <v/>
      </c>
      <c r="C413" t="str">
        <f t="shared" si="6"/>
        <v/>
      </c>
      <c r="D413" t="str">
        <f>IF(A413="","",IFERROR(VALUE(SUBSTITUTE(TRIM(Input!E413&amp;""),"%","")),0)/IF(AND(IFERROR(VALUE(SUBSTITUTE(TRIM(Input!E413&amp;""),"%","")),0)&gt;0,IFERROR(VALUE(SUBSTITUTE(TRIM(Input!E413&amp;""),"%","")),0)&lt;1),1,100))</f>
        <v/>
      </c>
      <c r="E413" t="str">
        <f>IF(A413="","",IFERROR(VALUE(SUBSTITUTE(TRIM(Input!F413&amp;""),"%","")),0)/IF(AND(IFERROR(VALUE(SUBSTITUTE(TRIM(Input!F413&amp;""),"%","")),0)&gt;0,IFERROR(VALUE(SUBSTITUTE(TRIM(Input!F413&amp;""),"%","")),0)&lt;1),1,100))</f>
        <v/>
      </c>
      <c r="F413" t="str">
        <f>IF(A413="","",IFERROR(VALUE(SUBSTITUTE(TRIM(Input!G413&amp;""),"%","")),0)/IF(AND(IFERROR(VALUE(SUBSTITUTE(TRIM(Input!G413&amp;""),"%","")),0)&gt;0,IFERROR(VALUE(SUBSTITUTE(TRIM(Input!G413&amp;""),"%","")),0)&lt;1),1,100))</f>
        <v/>
      </c>
      <c r="G413" t="str">
        <f>IF(A413="","",IFERROR(VALUE(SUBSTITUTE(TRIM(Input!H413&amp;""),"%","")),0)/IF(AND(IFERROR(VALUE(SUBSTITUTE(TRIM(Input!H413&amp;""),"%","")),0)&gt;0,IFERROR(VALUE(SUBSTITUTE(TRIM(Input!H413&amp;""),"%","")),0)&lt;1),1,100))</f>
        <v/>
      </c>
      <c r="H413" t="str">
        <f>IF(A413="","",IFERROR(VALUE(SUBSTITUTE(TRIM(Input!I413&amp;""),"%","")),0)/IF(AND(IFERROR(VALUE(SUBSTITUTE(TRIM(Input!I413&amp;""),"%","")),0)&gt;0,IFERROR(VALUE(SUBSTITUTE(TRIM(Input!I413&amp;""),"%","")),0)&lt;1),1,100))</f>
        <v/>
      </c>
    </row>
    <row r="414" spans="1:8">
      <c r="A414" t="str">
        <f>IF(TRIM(Input!B414&amp;"")="","",UPPER(TRIM(Input!B414&amp;"")))</f>
        <v/>
      </c>
      <c r="B414" t="str">
        <f>IF(A414="","",IFERROR(VALUE(RIGHT(TRIM(Input!D414&amp;""),1)),0))</f>
        <v/>
      </c>
      <c r="C414" t="str">
        <f t="shared" si="6"/>
        <v/>
      </c>
      <c r="D414" t="str">
        <f>IF(A414="","",IFERROR(VALUE(SUBSTITUTE(TRIM(Input!E414&amp;""),"%","")),0)/IF(AND(IFERROR(VALUE(SUBSTITUTE(TRIM(Input!E414&amp;""),"%","")),0)&gt;0,IFERROR(VALUE(SUBSTITUTE(TRIM(Input!E414&amp;""),"%","")),0)&lt;1),1,100))</f>
        <v/>
      </c>
      <c r="E414" t="str">
        <f>IF(A414="","",IFERROR(VALUE(SUBSTITUTE(TRIM(Input!F414&amp;""),"%","")),0)/IF(AND(IFERROR(VALUE(SUBSTITUTE(TRIM(Input!F414&amp;""),"%","")),0)&gt;0,IFERROR(VALUE(SUBSTITUTE(TRIM(Input!F414&amp;""),"%","")),0)&lt;1),1,100))</f>
        <v/>
      </c>
      <c r="F414" t="str">
        <f>IF(A414="","",IFERROR(VALUE(SUBSTITUTE(TRIM(Input!G414&amp;""),"%","")),0)/IF(AND(IFERROR(VALUE(SUBSTITUTE(TRIM(Input!G414&amp;""),"%","")),0)&gt;0,IFERROR(VALUE(SUBSTITUTE(TRIM(Input!G414&amp;""),"%","")),0)&lt;1),1,100))</f>
        <v/>
      </c>
      <c r="G414" t="str">
        <f>IF(A414="","",IFERROR(VALUE(SUBSTITUTE(TRIM(Input!H414&amp;""),"%","")),0)/IF(AND(IFERROR(VALUE(SUBSTITUTE(TRIM(Input!H414&amp;""),"%","")),0)&gt;0,IFERROR(VALUE(SUBSTITUTE(TRIM(Input!H414&amp;""),"%","")),0)&lt;1),1,100))</f>
        <v/>
      </c>
      <c r="H414" t="str">
        <f>IF(A414="","",IFERROR(VALUE(SUBSTITUTE(TRIM(Input!I414&amp;""),"%","")),0)/IF(AND(IFERROR(VALUE(SUBSTITUTE(TRIM(Input!I414&amp;""),"%","")),0)&gt;0,IFERROR(VALUE(SUBSTITUTE(TRIM(Input!I414&amp;""),"%","")),0)&lt;1),1,100))</f>
        <v/>
      </c>
    </row>
    <row r="415" spans="1:8">
      <c r="A415" t="str">
        <f>IF(TRIM(Input!B415&amp;"")="","",UPPER(TRIM(Input!B415&amp;"")))</f>
        <v/>
      </c>
      <c r="B415" t="str">
        <f>IF(A415="","",IFERROR(VALUE(RIGHT(TRIM(Input!D415&amp;""),1)),0))</f>
        <v/>
      </c>
      <c r="C415" t="str">
        <f t="shared" si="6"/>
        <v/>
      </c>
      <c r="D415" t="str">
        <f>IF(A415="","",IFERROR(VALUE(SUBSTITUTE(TRIM(Input!E415&amp;""),"%","")),0)/IF(AND(IFERROR(VALUE(SUBSTITUTE(TRIM(Input!E415&amp;""),"%","")),0)&gt;0,IFERROR(VALUE(SUBSTITUTE(TRIM(Input!E415&amp;""),"%","")),0)&lt;1),1,100))</f>
        <v/>
      </c>
      <c r="E415" t="str">
        <f>IF(A415="","",IFERROR(VALUE(SUBSTITUTE(TRIM(Input!F415&amp;""),"%","")),0)/IF(AND(IFERROR(VALUE(SUBSTITUTE(TRIM(Input!F415&amp;""),"%","")),0)&gt;0,IFERROR(VALUE(SUBSTITUTE(TRIM(Input!F415&amp;""),"%","")),0)&lt;1),1,100))</f>
        <v/>
      </c>
      <c r="F415" t="str">
        <f>IF(A415="","",IFERROR(VALUE(SUBSTITUTE(TRIM(Input!G415&amp;""),"%","")),0)/IF(AND(IFERROR(VALUE(SUBSTITUTE(TRIM(Input!G415&amp;""),"%","")),0)&gt;0,IFERROR(VALUE(SUBSTITUTE(TRIM(Input!G415&amp;""),"%","")),0)&lt;1),1,100))</f>
        <v/>
      </c>
      <c r="G415" t="str">
        <f>IF(A415="","",IFERROR(VALUE(SUBSTITUTE(TRIM(Input!H415&amp;""),"%","")),0)/IF(AND(IFERROR(VALUE(SUBSTITUTE(TRIM(Input!H415&amp;""),"%","")),0)&gt;0,IFERROR(VALUE(SUBSTITUTE(TRIM(Input!H415&amp;""),"%","")),0)&lt;1),1,100))</f>
        <v/>
      </c>
      <c r="H415" t="str">
        <f>IF(A415="","",IFERROR(VALUE(SUBSTITUTE(TRIM(Input!I415&amp;""),"%","")),0)/IF(AND(IFERROR(VALUE(SUBSTITUTE(TRIM(Input!I415&amp;""),"%","")),0)&gt;0,IFERROR(VALUE(SUBSTITUTE(TRIM(Input!I415&amp;""),"%","")),0)&lt;1),1,100))</f>
        <v/>
      </c>
    </row>
    <row r="416" spans="1:8">
      <c r="A416" t="str">
        <f>IF(TRIM(Input!B416&amp;"")="","",UPPER(TRIM(Input!B416&amp;"")))</f>
        <v/>
      </c>
      <c r="B416" t="str">
        <f>IF(A416="","",IFERROR(VALUE(RIGHT(TRIM(Input!D416&amp;""),1)),0))</f>
        <v/>
      </c>
      <c r="C416" t="str">
        <f t="shared" si="6"/>
        <v/>
      </c>
      <c r="D416" t="str">
        <f>IF(A416="","",IFERROR(VALUE(SUBSTITUTE(TRIM(Input!E416&amp;""),"%","")),0)/IF(AND(IFERROR(VALUE(SUBSTITUTE(TRIM(Input!E416&amp;""),"%","")),0)&gt;0,IFERROR(VALUE(SUBSTITUTE(TRIM(Input!E416&amp;""),"%","")),0)&lt;1),1,100))</f>
        <v/>
      </c>
      <c r="E416" t="str">
        <f>IF(A416="","",IFERROR(VALUE(SUBSTITUTE(TRIM(Input!F416&amp;""),"%","")),0)/IF(AND(IFERROR(VALUE(SUBSTITUTE(TRIM(Input!F416&amp;""),"%","")),0)&gt;0,IFERROR(VALUE(SUBSTITUTE(TRIM(Input!F416&amp;""),"%","")),0)&lt;1),1,100))</f>
        <v/>
      </c>
      <c r="F416" t="str">
        <f>IF(A416="","",IFERROR(VALUE(SUBSTITUTE(TRIM(Input!G416&amp;""),"%","")),0)/IF(AND(IFERROR(VALUE(SUBSTITUTE(TRIM(Input!G416&amp;""),"%","")),0)&gt;0,IFERROR(VALUE(SUBSTITUTE(TRIM(Input!G416&amp;""),"%","")),0)&lt;1),1,100))</f>
        <v/>
      </c>
      <c r="G416" t="str">
        <f>IF(A416="","",IFERROR(VALUE(SUBSTITUTE(TRIM(Input!H416&amp;""),"%","")),0)/IF(AND(IFERROR(VALUE(SUBSTITUTE(TRIM(Input!H416&amp;""),"%","")),0)&gt;0,IFERROR(VALUE(SUBSTITUTE(TRIM(Input!H416&amp;""),"%","")),0)&lt;1),1,100))</f>
        <v/>
      </c>
      <c r="H416" t="str">
        <f>IF(A416="","",IFERROR(VALUE(SUBSTITUTE(TRIM(Input!I416&amp;""),"%","")),0)/IF(AND(IFERROR(VALUE(SUBSTITUTE(TRIM(Input!I416&amp;""),"%","")),0)&gt;0,IFERROR(VALUE(SUBSTITUTE(TRIM(Input!I416&amp;""),"%","")),0)&lt;1),1,100))</f>
        <v/>
      </c>
    </row>
    <row r="417" spans="1:8">
      <c r="A417" t="str">
        <f>IF(TRIM(Input!B417&amp;"")="","",UPPER(TRIM(Input!B417&amp;"")))</f>
        <v/>
      </c>
      <c r="B417" t="str">
        <f>IF(A417="","",IFERROR(VALUE(RIGHT(TRIM(Input!D417&amp;""),1)),0))</f>
        <v/>
      </c>
      <c r="C417" t="str">
        <f t="shared" si="6"/>
        <v/>
      </c>
      <c r="D417" t="str">
        <f>IF(A417="","",IFERROR(VALUE(SUBSTITUTE(TRIM(Input!E417&amp;""),"%","")),0)/IF(AND(IFERROR(VALUE(SUBSTITUTE(TRIM(Input!E417&amp;""),"%","")),0)&gt;0,IFERROR(VALUE(SUBSTITUTE(TRIM(Input!E417&amp;""),"%","")),0)&lt;1),1,100))</f>
        <v/>
      </c>
      <c r="E417" t="str">
        <f>IF(A417="","",IFERROR(VALUE(SUBSTITUTE(TRIM(Input!F417&amp;""),"%","")),0)/IF(AND(IFERROR(VALUE(SUBSTITUTE(TRIM(Input!F417&amp;""),"%","")),0)&gt;0,IFERROR(VALUE(SUBSTITUTE(TRIM(Input!F417&amp;""),"%","")),0)&lt;1),1,100))</f>
        <v/>
      </c>
      <c r="F417" t="str">
        <f>IF(A417="","",IFERROR(VALUE(SUBSTITUTE(TRIM(Input!G417&amp;""),"%","")),0)/IF(AND(IFERROR(VALUE(SUBSTITUTE(TRIM(Input!G417&amp;""),"%","")),0)&gt;0,IFERROR(VALUE(SUBSTITUTE(TRIM(Input!G417&amp;""),"%","")),0)&lt;1),1,100))</f>
        <v/>
      </c>
      <c r="G417" t="str">
        <f>IF(A417="","",IFERROR(VALUE(SUBSTITUTE(TRIM(Input!H417&amp;""),"%","")),0)/IF(AND(IFERROR(VALUE(SUBSTITUTE(TRIM(Input!H417&amp;""),"%","")),0)&gt;0,IFERROR(VALUE(SUBSTITUTE(TRIM(Input!H417&amp;""),"%","")),0)&lt;1),1,100))</f>
        <v/>
      </c>
      <c r="H417" t="str">
        <f>IF(A417="","",IFERROR(VALUE(SUBSTITUTE(TRIM(Input!I417&amp;""),"%","")),0)/IF(AND(IFERROR(VALUE(SUBSTITUTE(TRIM(Input!I417&amp;""),"%","")),0)&gt;0,IFERROR(VALUE(SUBSTITUTE(TRIM(Input!I417&amp;""),"%","")),0)&lt;1),1,100))</f>
        <v/>
      </c>
    </row>
    <row r="418" spans="1:8">
      <c r="A418" t="str">
        <f>IF(TRIM(Input!B418&amp;"")="","",UPPER(TRIM(Input!B418&amp;"")))</f>
        <v/>
      </c>
      <c r="B418" t="str">
        <f>IF(A418="","",IFERROR(VALUE(RIGHT(TRIM(Input!D418&amp;""),1)),0))</f>
        <v/>
      </c>
      <c r="C418" t="str">
        <f t="shared" si="6"/>
        <v/>
      </c>
      <c r="D418" t="str">
        <f>IF(A418="","",IFERROR(VALUE(SUBSTITUTE(TRIM(Input!E418&amp;""),"%","")),0)/IF(AND(IFERROR(VALUE(SUBSTITUTE(TRIM(Input!E418&amp;""),"%","")),0)&gt;0,IFERROR(VALUE(SUBSTITUTE(TRIM(Input!E418&amp;""),"%","")),0)&lt;1),1,100))</f>
        <v/>
      </c>
      <c r="E418" t="str">
        <f>IF(A418="","",IFERROR(VALUE(SUBSTITUTE(TRIM(Input!F418&amp;""),"%","")),0)/IF(AND(IFERROR(VALUE(SUBSTITUTE(TRIM(Input!F418&amp;""),"%","")),0)&gt;0,IFERROR(VALUE(SUBSTITUTE(TRIM(Input!F418&amp;""),"%","")),0)&lt;1),1,100))</f>
        <v/>
      </c>
      <c r="F418" t="str">
        <f>IF(A418="","",IFERROR(VALUE(SUBSTITUTE(TRIM(Input!G418&amp;""),"%","")),0)/IF(AND(IFERROR(VALUE(SUBSTITUTE(TRIM(Input!G418&amp;""),"%","")),0)&gt;0,IFERROR(VALUE(SUBSTITUTE(TRIM(Input!G418&amp;""),"%","")),0)&lt;1),1,100))</f>
        <v/>
      </c>
      <c r="G418" t="str">
        <f>IF(A418="","",IFERROR(VALUE(SUBSTITUTE(TRIM(Input!H418&amp;""),"%","")),0)/IF(AND(IFERROR(VALUE(SUBSTITUTE(TRIM(Input!H418&amp;""),"%","")),0)&gt;0,IFERROR(VALUE(SUBSTITUTE(TRIM(Input!H418&amp;""),"%","")),0)&lt;1),1,100))</f>
        <v/>
      </c>
      <c r="H418" t="str">
        <f>IF(A418="","",IFERROR(VALUE(SUBSTITUTE(TRIM(Input!I418&amp;""),"%","")),0)/IF(AND(IFERROR(VALUE(SUBSTITUTE(TRIM(Input!I418&amp;""),"%","")),0)&gt;0,IFERROR(VALUE(SUBSTITUTE(TRIM(Input!I418&amp;""),"%","")),0)&lt;1),1,100))</f>
        <v/>
      </c>
    </row>
    <row r="419" spans="1:8">
      <c r="A419" t="str">
        <f>IF(TRIM(Input!B419&amp;"")="","",UPPER(TRIM(Input!B419&amp;"")))</f>
        <v/>
      </c>
      <c r="B419" t="str">
        <f>IF(A419="","",IFERROR(VALUE(RIGHT(TRIM(Input!D419&amp;""),1)),0))</f>
        <v/>
      </c>
      <c r="C419" t="str">
        <f t="shared" si="6"/>
        <v/>
      </c>
      <c r="D419" t="str">
        <f>IF(A419="","",IFERROR(VALUE(SUBSTITUTE(TRIM(Input!E419&amp;""),"%","")),0)/IF(AND(IFERROR(VALUE(SUBSTITUTE(TRIM(Input!E419&amp;""),"%","")),0)&gt;0,IFERROR(VALUE(SUBSTITUTE(TRIM(Input!E419&amp;""),"%","")),0)&lt;1),1,100))</f>
        <v/>
      </c>
      <c r="E419" t="str">
        <f>IF(A419="","",IFERROR(VALUE(SUBSTITUTE(TRIM(Input!F419&amp;""),"%","")),0)/IF(AND(IFERROR(VALUE(SUBSTITUTE(TRIM(Input!F419&amp;""),"%","")),0)&gt;0,IFERROR(VALUE(SUBSTITUTE(TRIM(Input!F419&amp;""),"%","")),0)&lt;1),1,100))</f>
        <v/>
      </c>
      <c r="F419" t="str">
        <f>IF(A419="","",IFERROR(VALUE(SUBSTITUTE(TRIM(Input!G419&amp;""),"%","")),0)/IF(AND(IFERROR(VALUE(SUBSTITUTE(TRIM(Input!G419&amp;""),"%","")),0)&gt;0,IFERROR(VALUE(SUBSTITUTE(TRIM(Input!G419&amp;""),"%","")),0)&lt;1),1,100))</f>
        <v/>
      </c>
      <c r="G419" t="str">
        <f>IF(A419="","",IFERROR(VALUE(SUBSTITUTE(TRIM(Input!H419&amp;""),"%","")),0)/IF(AND(IFERROR(VALUE(SUBSTITUTE(TRIM(Input!H419&amp;""),"%","")),0)&gt;0,IFERROR(VALUE(SUBSTITUTE(TRIM(Input!H419&amp;""),"%","")),0)&lt;1),1,100))</f>
        <v/>
      </c>
      <c r="H419" t="str">
        <f>IF(A419="","",IFERROR(VALUE(SUBSTITUTE(TRIM(Input!I419&amp;""),"%","")),0)/IF(AND(IFERROR(VALUE(SUBSTITUTE(TRIM(Input!I419&amp;""),"%","")),0)&gt;0,IFERROR(VALUE(SUBSTITUTE(TRIM(Input!I419&amp;""),"%","")),0)&lt;1),1,100))</f>
        <v/>
      </c>
    </row>
    <row r="420" spans="1:8">
      <c r="A420" t="str">
        <f>IF(TRIM(Input!B420&amp;"")="","",UPPER(TRIM(Input!B420&amp;"")))</f>
        <v/>
      </c>
      <c r="B420" t="str">
        <f>IF(A420="","",IFERROR(VALUE(RIGHT(TRIM(Input!D420&amp;""),1)),0))</f>
        <v/>
      </c>
      <c r="C420" t="str">
        <f t="shared" si="6"/>
        <v/>
      </c>
      <c r="D420" t="str">
        <f>IF(A420="","",IFERROR(VALUE(SUBSTITUTE(TRIM(Input!E420&amp;""),"%","")),0)/IF(AND(IFERROR(VALUE(SUBSTITUTE(TRIM(Input!E420&amp;""),"%","")),0)&gt;0,IFERROR(VALUE(SUBSTITUTE(TRIM(Input!E420&amp;""),"%","")),0)&lt;1),1,100))</f>
        <v/>
      </c>
      <c r="E420" t="str">
        <f>IF(A420="","",IFERROR(VALUE(SUBSTITUTE(TRIM(Input!F420&amp;""),"%","")),0)/IF(AND(IFERROR(VALUE(SUBSTITUTE(TRIM(Input!F420&amp;""),"%","")),0)&gt;0,IFERROR(VALUE(SUBSTITUTE(TRIM(Input!F420&amp;""),"%","")),0)&lt;1),1,100))</f>
        <v/>
      </c>
      <c r="F420" t="str">
        <f>IF(A420="","",IFERROR(VALUE(SUBSTITUTE(TRIM(Input!G420&amp;""),"%","")),0)/IF(AND(IFERROR(VALUE(SUBSTITUTE(TRIM(Input!G420&amp;""),"%","")),0)&gt;0,IFERROR(VALUE(SUBSTITUTE(TRIM(Input!G420&amp;""),"%","")),0)&lt;1),1,100))</f>
        <v/>
      </c>
      <c r="G420" t="str">
        <f>IF(A420="","",IFERROR(VALUE(SUBSTITUTE(TRIM(Input!H420&amp;""),"%","")),0)/IF(AND(IFERROR(VALUE(SUBSTITUTE(TRIM(Input!H420&amp;""),"%","")),0)&gt;0,IFERROR(VALUE(SUBSTITUTE(TRIM(Input!H420&amp;""),"%","")),0)&lt;1),1,100))</f>
        <v/>
      </c>
      <c r="H420" t="str">
        <f>IF(A420="","",IFERROR(VALUE(SUBSTITUTE(TRIM(Input!I420&amp;""),"%","")),0)/IF(AND(IFERROR(VALUE(SUBSTITUTE(TRIM(Input!I420&amp;""),"%","")),0)&gt;0,IFERROR(VALUE(SUBSTITUTE(TRIM(Input!I420&amp;""),"%","")),0)&lt;1),1,100))</f>
        <v/>
      </c>
    </row>
    <row r="421" spans="1:8">
      <c r="A421" t="str">
        <f>IF(TRIM(Input!B421&amp;"")="","",UPPER(TRIM(Input!B421&amp;"")))</f>
        <v/>
      </c>
      <c r="B421" t="str">
        <f>IF(A421="","",IFERROR(VALUE(RIGHT(TRIM(Input!D421&amp;""),1)),0))</f>
        <v/>
      </c>
      <c r="C421" t="str">
        <f t="shared" si="6"/>
        <v/>
      </c>
      <c r="D421" t="str">
        <f>IF(A421="","",IFERROR(VALUE(SUBSTITUTE(TRIM(Input!E421&amp;""),"%","")),0)/IF(AND(IFERROR(VALUE(SUBSTITUTE(TRIM(Input!E421&amp;""),"%","")),0)&gt;0,IFERROR(VALUE(SUBSTITUTE(TRIM(Input!E421&amp;""),"%","")),0)&lt;1),1,100))</f>
        <v/>
      </c>
      <c r="E421" t="str">
        <f>IF(A421="","",IFERROR(VALUE(SUBSTITUTE(TRIM(Input!F421&amp;""),"%","")),0)/IF(AND(IFERROR(VALUE(SUBSTITUTE(TRIM(Input!F421&amp;""),"%","")),0)&gt;0,IFERROR(VALUE(SUBSTITUTE(TRIM(Input!F421&amp;""),"%","")),0)&lt;1),1,100))</f>
        <v/>
      </c>
      <c r="F421" t="str">
        <f>IF(A421="","",IFERROR(VALUE(SUBSTITUTE(TRIM(Input!G421&amp;""),"%","")),0)/IF(AND(IFERROR(VALUE(SUBSTITUTE(TRIM(Input!G421&amp;""),"%","")),0)&gt;0,IFERROR(VALUE(SUBSTITUTE(TRIM(Input!G421&amp;""),"%","")),0)&lt;1),1,100))</f>
        <v/>
      </c>
      <c r="G421" t="str">
        <f>IF(A421="","",IFERROR(VALUE(SUBSTITUTE(TRIM(Input!H421&amp;""),"%","")),0)/IF(AND(IFERROR(VALUE(SUBSTITUTE(TRIM(Input!H421&amp;""),"%","")),0)&gt;0,IFERROR(VALUE(SUBSTITUTE(TRIM(Input!H421&amp;""),"%","")),0)&lt;1),1,100))</f>
        <v/>
      </c>
      <c r="H421" t="str">
        <f>IF(A421="","",IFERROR(VALUE(SUBSTITUTE(TRIM(Input!I421&amp;""),"%","")),0)/IF(AND(IFERROR(VALUE(SUBSTITUTE(TRIM(Input!I421&amp;""),"%","")),0)&gt;0,IFERROR(VALUE(SUBSTITUTE(TRIM(Input!I421&amp;""),"%","")),0)&lt;1),1,100))</f>
        <v/>
      </c>
    </row>
    <row r="422" spans="1:8">
      <c r="A422" t="str">
        <f>IF(TRIM(Input!B422&amp;"")="","",UPPER(TRIM(Input!B422&amp;"")))</f>
        <v/>
      </c>
      <c r="B422" t="str">
        <f>IF(A422="","",IFERROR(VALUE(RIGHT(TRIM(Input!D422&amp;""),1)),0))</f>
        <v/>
      </c>
      <c r="C422" t="str">
        <f t="shared" si="6"/>
        <v/>
      </c>
      <c r="D422" t="str">
        <f>IF(A422="","",IFERROR(VALUE(SUBSTITUTE(TRIM(Input!E422&amp;""),"%","")),0)/IF(AND(IFERROR(VALUE(SUBSTITUTE(TRIM(Input!E422&amp;""),"%","")),0)&gt;0,IFERROR(VALUE(SUBSTITUTE(TRIM(Input!E422&amp;""),"%","")),0)&lt;1),1,100))</f>
        <v/>
      </c>
      <c r="E422" t="str">
        <f>IF(A422="","",IFERROR(VALUE(SUBSTITUTE(TRIM(Input!F422&amp;""),"%","")),0)/IF(AND(IFERROR(VALUE(SUBSTITUTE(TRIM(Input!F422&amp;""),"%","")),0)&gt;0,IFERROR(VALUE(SUBSTITUTE(TRIM(Input!F422&amp;""),"%","")),0)&lt;1),1,100))</f>
        <v/>
      </c>
      <c r="F422" t="str">
        <f>IF(A422="","",IFERROR(VALUE(SUBSTITUTE(TRIM(Input!G422&amp;""),"%","")),0)/IF(AND(IFERROR(VALUE(SUBSTITUTE(TRIM(Input!G422&amp;""),"%","")),0)&gt;0,IFERROR(VALUE(SUBSTITUTE(TRIM(Input!G422&amp;""),"%","")),0)&lt;1),1,100))</f>
        <v/>
      </c>
      <c r="G422" t="str">
        <f>IF(A422="","",IFERROR(VALUE(SUBSTITUTE(TRIM(Input!H422&amp;""),"%","")),0)/IF(AND(IFERROR(VALUE(SUBSTITUTE(TRIM(Input!H422&amp;""),"%","")),0)&gt;0,IFERROR(VALUE(SUBSTITUTE(TRIM(Input!H422&amp;""),"%","")),0)&lt;1),1,100))</f>
        <v/>
      </c>
      <c r="H422" t="str">
        <f>IF(A422="","",IFERROR(VALUE(SUBSTITUTE(TRIM(Input!I422&amp;""),"%","")),0)/IF(AND(IFERROR(VALUE(SUBSTITUTE(TRIM(Input!I422&amp;""),"%","")),0)&gt;0,IFERROR(VALUE(SUBSTITUTE(TRIM(Input!I422&amp;""),"%","")),0)&lt;1),1,100))</f>
        <v/>
      </c>
    </row>
    <row r="423" spans="1:8">
      <c r="A423" t="str">
        <f>IF(TRIM(Input!B423&amp;"")="","",UPPER(TRIM(Input!B423&amp;"")))</f>
        <v/>
      </c>
      <c r="B423" t="str">
        <f>IF(A423="","",IFERROR(VALUE(RIGHT(TRIM(Input!D423&amp;""),1)),0))</f>
        <v/>
      </c>
      <c r="C423" t="str">
        <f t="shared" si="6"/>
        <v/>
      </c>
      <c r="D423" t="str">
        <f>IF(A423="","",IFERROR(VALUE(SUBSTITUTE(TRIM(Input!E423&amp;""),"%","")),0)/IF(AND(IFERROR(VALUE(SUBSTITUTE(TRIM(Input!E423&amp;""),"%","")),0)&gt;0,IFERROR(VALUE(SUBSTITUTE(TRIM(Input!E423&amp;""),"%","")),0)&lt;1),1,100))</f>
        <v/>
      </c>
      <c r="E423" t="str">
        <f>IF(A423="","",IFERROR(VALUE(SUBSTITUTE(TRIM(Input!F423&amp;""),"%","")),0)/IF(AND(IFERROR(VALUE(SUBSTITUTE(TRIM(Input!F423&amp;""),"%","")),0)&gt;0,IFERROR(VALUE(SUBSTITUTE(TRIM(Input!F423&amp;""),"%","")),0)&lt;1),1,100))</f>
        <v/>
      </c>
      <c r="F423" t="str">
        <f>IF(A423="","",IFERROR(VALUE(SUBSTITUTE(TRIM(Input!G423&amp;""),"%","")),0)/IF(AND(IFERROR(VALUE(SUBSTITUTE(TRIM(Input!G423&amp;""),"%","")),0)&gt;0,IFERROR(VALUE(SUBSTITUTE(TRIM(Input!G423&amp;""),"%","")),0)&lt;1),1,100))</f>
        <v/>
      </c>
      <c r="G423" t="str">
        <f>IF(A423="","",IFERROR(VALUE(SUBSTITUTE(TRIM(Input!H423&amp;""),"%","")),0)/IF(AND(IFERROR(VALUE(SUBSTITUTE(TRIM(Input!H423&amp;""),"%","")),0)&gt;0,IFERROR(VALUE(SUBSTITUTE(TRIM(Input!H423&amp;""),"%","")),0)&lt;1),1,100))</f>
        <v/>
      </c>
      <c r="H423" t="str">
        <f>IF(A423="","",IFERROR(VALUE(SUBSTITUTE(TRIM(Input!I423&amp;""),"%","")),0)/IF(AND(IFERROR(VALUE(SUBSTITUTE(TRIM(Input!I423&amp;""),"%","")),0)&gt;0,IFERROR(VALUE(SUBSTITUTE(TRIM(Input!I423&amp;""),"%","")),0)&lt;1),1,100))</f>
        <v/>
      </c>
    </row>
    <row r="424" spans="1:8">
      <c r="A424" t="str">
        <f>IF(TRIM(Input!B424&amp;"")="","",UPPER(TRIM(Input!B424&amp;"")))</f>
        <v/>
      </c>
      <c r="B424" t="str">
        <f>IF(A424="","",IFERROR(VALUE(RIGHT(TRIM(Input!D424&amp;""),1)),0))</f>
        <v/>
      </c>
      <c r="C424" t="str">
        <f t="shared" si="6"/>
        <v/>
      </c>
      <c r="D424" t="str">
        <f>IF(A424="","",IFERROR(VALUE(SUBSTITUTE(TRIM(Input!E424&amp;""),"%","")),0)/IF(AND(IFERROR(VALUE(SUBSTITUTE(TRIM(Input!E424&amp;""),"%","")),0)&gt;0,IFERROR(VALUE(SUBSTITUTE(TRIM(Input!E424&amp;""),"%","")),0)&lt;1),1,100))</f>
        <v/>
      </c>
      <c r="E424" t="str">
        <f>IF(A424="","",IFERROR(VALUE(SUBSTITUTE(TRIM(Input!F424&amp;""),"%","")),0)/IF(AND(IFERROR(VALUE(SUBSTITUTE(TRIM(Input!F424&amp;""),"%","")),0)&gt;0,IFERROR(VALUE(SUBSTITUTE(TRIM(Input!F424&amp;""),"%","")),0)&lt;1),1,100))</f>
        <v/>
      </c>
      <c r="F424" t="str">
        <f>IF(A424="","",IFERROR(VALUE(SUBSTITUTE(TRIM(Input!G424&amp;""),"%","")),0)/IF(AND(IFERROR(VALUE(SUBSTITUTE(TRIM(Input!G424&amp;""),"%","")),0)&gt;0,IFERROR(VALUE(SUBSTITUTE(TRIM(Input!G424&amp;""),"%","")),0)&lt;1),1,100))</f>
        <v/>
      </c>
      <c r="G424" t="str">
        <f>IF(A424="","",IFERROR(VALUE(SUBSTITUTE(TRIM(Input!H424&amp;""),"%","")),0)/IF(AND(IFERROR(VALUE(SUBSTITUTE(TRIM(Input!H424&amp;""),"%","")),0)&gt;0,IFERROR(VALUE(SUBSTITUTE(TRIM(Input!H424&amp;""),"%","")),0)&lt;1),1,100))</f>
        <v/>
      </c>
      <c r="H424" t="str">
        <f>IF(A424="","",IFERROR(VALUE(SUBSTITUTE(TRIM(Input!I424&amp;""),"%","")),0)/IF(AND(IFERROR(VALUE(SUBSTITUTE(TRIM(Input!I424&amp;""),"%","")),0)&gt;0,IFERROR(VALUE(SUBSTITUTE(TRIM(Input!I424&amp;""),"%","")),0)&lt;1),1,100))</f>
        <v/>
      </c>
    </row>
    <row r="425" spans="1:8">
      <c r="A425" t="str">
        <f>IF(TRIM(Input!B425&amp;"")="","",UPPER(TRIM(Input!B425&amp;"")))</f>
        <v/>
      </c>
      <c r="B425" t="str">
        <f>IF(A425="","",IFERROR(VALUE(RIGHT(TRIM(Input!D425&amp;""),1)),0))</f>
        <v/>
      </c>
      <c r="C425" t="str">
        <f t="shared" si="6"/>
        <v/>
      </c>
      <c r="D425" t="str">
        <f>IF(A425="","",IFERROR(VALUE(SUBSTITUTE(TRIM(Input!E425&amp;""),"%","")),0)/IF(AND(IFERROR(VALUE(SUBSTITUTE(TRIM(Input!E425&amp;""),"%","")),0)&gt;0,IFERROR(VALUE(SUBSTITUTE(TRIM(Input!E425&amp;""),"%","")),0)&lt;1),1,100))</f>
        <v/>
      </c>
      <c r="E425" t="str">
        <f>IF(A425="","",IFERROR(VALUE(SUBSTITUTE(TRIM(Input!F425&amp;""),"%","")),0)/IF(AND(IFERROR(VALUE(SUBSTITUTE(TRIM(Input!F425&amp;""),"%","")),0)&gt;0,IFERROR(VALUE(SUBSTITUTE(TRIM(Input!F425&amp;""),"%","")),0)&lt;1),1,100))</f>
        <v/>
      </c>
      <c r="F425" t="str">
        <f>IF(A425="","",IFERROR(VALUE(SUBSTITUTE(TRIM(Input!G425&amp;""),"%","")),0)/IF(AND(IFERROR(VALUE(SUBSTITUTE(TRIM(Input!G425&amp;""),"%","")),0)&gt;0,IFERROR(VALUE(SUBSTITUTE(TRIM(Input!G425&amp;""),"%","")),0)&lt;1),1,100))</f>
        <v/>
      </c>
      <c r="G425" t="str">
        <f>IF(A425="","",IFERROR(VALUE(SUBSTITUTE(TRIM(Input!H425&amp;""),"%","")),0)/IF(AND(IFERROR(VALUE(SUBSTITUTE(TRIM(Input!H425&amp;""),"%","")),0)&gt;0,IFERROR(VALUE(SUBSTITUTE(TRIM(Input!H425&amp;""),"%","")),0)&lt;1),1,100))</f>
        <v/>
      </c>
      <c r="H425" t="str">
        <f>IF(A425="","",IFERROR(VALUE(SUBSTITUTE(TRIM(Input!I425&amp;""),"%","")),0)/IF(AND(IFERROR(VALUE(SUBSTITUTE(TRIM(Input!I425&amp;""),"%","")),0)&gt;0,IFERROR(VALUE(SUBSTITUTE(TRIM(Input!I425&amp;""),"%","")),0)&lt;1),1,100))</f>
        <v/>
      </c>
    </row>
    <row r="426" spans="1:8">
      <c r="A426" t="str">
        <f>IF(TRIM(Input!B426&amp;"")="","",UPPER(TRIM(Input!B426&amp;"")))</f>
        <v/>
      </c>
      <c r="B426" t="str">
        <f>IF(A426="","",IFERROR(VALUE(RIGHT(TRIM(Input!D426&amp;""),1)),0))</f>
        <v/>
      </c>
      <c r="C426" t="str">
        <f t="shared" si="6"/>
        <v/>
      </c>
      <c r="D426" t="str">
        <f>IF(A426="","",IFERROR(VALUE(SUBSTITUTE(TRIM(Input!E426&amp;""),"%","")),0)/IF(AND(IFERROR(VALUE(SUBSTITUTE(TRIM(Input!E426&amp;""),"%","")),0)&gt;0,IFERROR(VALUE(SUBSTITUTE(TRIM(Input!E426&amp;""),"%","")),0)&lt;1),1,100))</f>
        <v/>
      </c>
      <c r="E426" t="str">
        <f>IF(A426="","",IFERROR(VALUE(SUBSTITUTE(TRIM(Input!F426&amp;""),"%","")),0)/IF(AND(IFERROR(VALUE(SUBSTITUTE(TRIM(Input!F426&amp;""),"%","")),0)&gt;0,IFERROR(VALUE(SUBSTITUTE(TRIM(Input!F426&amp;""),"%","")),0)&lt;1),1,100))</f>
        <v/>
      </c>
      <c r="F426" t="str">
        <f>IF(A426="","",IFERROR(VALUE(SUBSTITUTE(TRIM(Input!G426&amp;""),"%","")),0)/IF(AND(IFERROR(VALUE(SUBSTITUTE(TRIM(Input!G426&amp;""),"%","")),0)&gt;0,IFERROR(VALUE(SUBSTITUTE(TRIM(Input!G426&amp;""),"%","")),0)&lt;1),1,100))</f>
        <v/>
      </c>
      <c r="G426" t="str">
        <f>IF(A426="","",IFERROR(VALUE(SUBSTITUTE(TRIM(Input!H426&amp;""),"%","")),0)/IF(AND(IFERROR(VALUE(SUBSTITUTE(TRIM(Input!H426&amp;""),"%","")),0)&gt;0,IFERROR(VALUE(SUBSTITUTE(TRIM(Input!H426&amp;""),"%","")),0)&lt;1),1,100))</f>
        <v/>
      </c>
      <c r="H426" t="str">
        <f>IF(A426="","",IFERROR(VALUE(SUBSTITUTE(TRIM(Input!I426&amp;""),"%","")),0)/IF(AND(IFERROR(VALUE(SUBSTITUTE(TRIM(Input!I426&amp;""),"%","")),0)&gt;0,IFERROR(VALUE(SUBSTITUTE(TRIM(Input!I426&amp;""),"%","")),0)&lt;1),1,100))</f>
        <v/>
      </c>
    </row>
    <row r="427" spans="1:8">
      <c r="A427" t="str">
        <f>IF(TRIM(Input!B427&amp;"")="","",UPPER(TRIM(Input!B427&amp;"")))</f>
        <v/>
      </c>
      <c r="B427" t="str">
        <f>IF(A427="","",IFERROR(VALUE(RIGHT(TRIM(Input!D427&amp;""),1)),0))</f>
        <v/>
      </c>
      <c r="C427" t="str">
        <f t="shared" si="6"/>
        <v/>
      </c>
      <c r="D427" t="str">
        <f>IF(A427="","",IFERROR(VALUE(SUBSTITUTE(TRIM(Input!E427&amp;""),"%","")),0)/IF(AND(IFERROR(VALUE(SUBSTITUTE(TRIM(Input!E427&amp;""),"%","")),0)&gt;0,IFERROR(VALUE(SUBSTITUTE(TRIM(Input!E427&amp;""),"%","")),0)&lt;1),1,100))</f>
        <v/>
      </c>
      <c r="E427" t="str">
        <f>IF(A427="","",IFERROR(VALUE(SUBSTITUTE(TRIM(Input!F427&amp;""),"%","")),0)/IF(AND(IFERROR(VALUE(SUBSTITUTE(TRIM(Input!F427&amp;""),"%","")),0)&gt;0,IFERROR(VALUE(SUBSTITUTE(TRIM(Input!F427&amp;""),"%","")),0)&lt;1),1,100))</f>
        <v/>
      </c>
      <c r="F427" t="str">
        <f>IF(A427="","",IFERROR(VALUE(SUBSTITUTE(TRIM(Input!G427&amp;""),"%","")),0)/IF(AND(IFERROR(VALUE(SUBSTITUTE(TRIM(Input!G427&amp;""),"%","")),0)&gt;0,IFERROR(VALUE(SUBSTITUTE(TRIM(Input!G427&amp;""),"%","")),0)&lt;1),1,100))</f>
        <v/>
      </c>
      <c r="G427" t="str">
        <f>IF(A427="","",IFERROR(VALUE(SUBSTITUTE(TRIM(Input!H427&amp;""),"%","")),0)/IF(AND(IFERROR(VALUE(SUBSTITUTE(TRIM(Input!H427&amp;""),"%","")),0)&gt;0,IFERROR(VALUE(SUBSTITUTE(TRIM(Input!H427&amp;""),"%","")),0)&lt;1),1,100))</f>
        <v/>
      </c>
      <c r="H427" t="str">
        <f>IF(A427="","",IFERROR(VALUE(SUBSTITUTE(TRIM(Input!I427&amp;""),"%","")),0)/IF(AND(IFERROR(VALUE(SUBSTITUTE(TRIM(Input!I427&amp;""),"%","")),0)&gt;0,IFERROR(VALUE(SUBSTITUTE(TRIM(Input!I427&amp;""),"%","")),0)&lt;1),1,100))</f>
        <v/>
      </c>
    </row>
    <row r="428" spans="1:8">
      <c r="A428" t="str">
        <f>IF(TRIM(Input!B428&amp;"")="","",UPPER(TRIM(Input!B428&amp;"")))</f>
        <v/>
      </c>
      <c r="B428" t="str">
        <f>IF(A428="","",IFERROR(VALUE(RIGHT(TRIM(Input!D428&amp;""),1)),0))</f>
        <v/>
      </c>
      <c r="C428" t="str">
        <f t="shared" si="6"/>
        <v/>
      </c>
      <c r="D428" t="str">
        <f>IF(A428="","",IFERROR(VALUE(SUBSTITUTE(TRIM(Input!E428&amp;""),"%","")),0)/IF(AND(IFERROR(VALUE(SUBSTITUTE(TRIM(Input!E428&amp;""),"%","")),0)&gt;0,IFERROR(VALUE(SUBSTITUTE(TRIM(Input!E428&amp;""),"%","")),0)&lt;1),1,100))</f>
        <v/>
      </c>
      <c r="E428" t="str">
        <f>IF(A428="","",IFERROR(VALUE(SUBSTITUTE(TRIM(Input!F428&amp;""),"%","")),0)/IF(AND(IFERROR(VALUE(SUBSTITUTE(TRIM(Input!F428&amp;""),"%","")),0)&gt;0,IFERROR(VALUE(SUBSTITUTE(TRIM(Input!F428&amp;""),"%","")),0)&lt;1),1,100))</f>
        <v/>
      </c>
      <c r="F428" t="str">
        <f>IF(A428="","",IFERROR(VALUE(SUBSTITUTE(TRIM(Input!G428&amp;""),"%","")),0)/IF(AND(IFERROR(VALUE(SUBSTITUTE(TRIM(Input!G428&amp;""),"%","")),0)&gt;0,IFERROR(VALUE(SUBSTITUTE(TRIM(Input!G428&amp;""),"%","")),0)&lt;1),1,100))</f>
        <v/>
      </c>
      <c r="G428" t="str">
        <f>IF(A428="","",IFERROR(VALUE(SUBSTITUTE(TRIM(Input!H428&amp;""),"%","")),0)/IF(AND(IFERROR(VALUE(SUBSTITUTE(TRIM(Input!H428&amp;""),"%","")),0)&gt;0,IFERROR(VALUE(SUBSTITUTE(TRIM(Input!H428&amp;""),"%","")),0)&lt;1),1,100))</f>
        <v/>
      </c>
      <c r="H428" t="str">
        <f>IF(A428="","",IFERROR(VALUE(SUBSTITUTE(TRIM(Input!I428&amp;""),"%","")),0)/IF(AND(IFERROR(VALUE(SUBSTITUTE(TRIM(Input!I428&amp;""),"%","")),0)&gt;0,IFERROR(VALUE(SUBSTITUTE(TRIM(Input!I428&amp;""),"%","")),0)&lt;1),1,100))</f>
        <v/>
      </c>
    </row>
    <row r="429" spans="1:8">
      <c r="A429" t="str">
        <f>IF(TRIM(Input!B429&amp;"")="","",UPPER(TRIM(Input!B429&amp;"")))</f>
        <v/>
      </c>
      <c r="B429" t="str">
        <f>IF(A429="","",IFERROR(VALUE(RIGHT(TRIM(Input!D429&amp;""),1)),0))</f>
        <v/>
      </c>
      <c r="C429" t="str">
        <f t="shared" si="6"/>
        <v/>
      </c>
      <c r="D429" t="str">
        <f>IF(A429="","",IFERROR(VALUE(SUBSTITUTE(TRIM(Input!E429&amp;""),"%","")),0)/IF(AND(IFERROR(VALUE(SUBSTITUTE(TRIM(Input!E429&amp;""),"%","")),0)&gt;0,IFERROR(VALUE(SUBSTITUTE(TRIM(Input!E429&amp;""),"%","")),0)&lt;1),1,100))</f>
        <v/>
      </c>
      <c r="E429" t="str">
        <f>IF(A429="","",IFERROR(VALUE(SUBSTITUTE(TRIM(Input!F429&amp;""),"%","")),0)/IF(AND(IFERROR(VALUE(SUBSTITUTE(TRIM(Input!F429&amp;""),"%","")),0)&gt;0,IFERROR(VALUE(SUBSTITUTE(TRIM(Input!F429&amp;""),"%","")),0)&lt;1),1,100))</f>
        <v/>
      </c>
      <c r="F429" t="str">
        <f>IF(A429="","",IFERROR(VALUE(SUBSTITUTE(TRIM(Input!G429&amp;""),"%","")),0)/IF(AND(IFERROR(VALUE(SUBSTITUTE(TRIM(Input!G429&amp;""),"%","")),0)&gt;0,IFERROR(VALUE(SUBSTITUTE(TRIM(Input!G429&amp;""),"%","")),0)&lt;1),1,100))</f>
        <v/>
      </c>
      <c r="G429" t="str">
        <f>IF(A429="","",IFERROR(VALUE(SUBSTITUTE(TRIM(Input!H429&amp;""),"%","")),0)/IF(AND(IFERROR(VALUE(SUBSTITUTE(TRIM(Input!H429&amp;""),"%","")),0)&gt;0,IFERROR(VALUE(SUBSTITUTE(TRIM(Input!H429&amp;""),"%","")),0)&lt;1),1,100))</f>
        <v/>
      </c>
      <c r="H429" t="str">
        <f>IF(A429="","",IFERROR(VALUE(SUBSTITUTE(TRIM(Input!I429&amp;""),"%","")),0)/IF(AND(IFERROR(VALUE(SUBSTITUTE(TRIM(Input!I429&amp;""),"%","")),0)&gt;0,IFERROR(VALUE(SUBSTITUTE(TRIM(Input!I429&amp;""),"%","")),0)&lt;1),1,100))</f>
        <v/>
      </c>
    </row>
    <row r="430" spans="1:8">
      <c r="A430" t="str">
        <f>IF(TRIM(Input!B430&amp;"")="","",UPPER(TRIM(Input!B430&amp;"")))</f>
        <v/>
      </c>
      <c r="B430" t="str">
        <f>IF(A430="","",IFERROR(VALUE(RIGHT(TRIM(Input!D430&amp;""),1)),0))</f>
        <v/>
      </c>
      <c r="C430" t="str">
        <f t="shared" si="6"/>
        <v/>
      </c>
      <c r="D430" t="str">
        <f>IF(A430="","",IFERROR(VALUE(SUBSTITUTE(TRIM(Input!E430&amp;""),"%","")),0)/IF(AND(IFERROR(VALUE(SUBSTITUTE(TRIM(Input!E430&amp;""),"%","")),0)&gt;0,IFERROR(VALUE(SUBSTITUTE(TRIM(Input!E430&amp;""),"%","")),0)&lt;1),1,100))</f>
        <v/>
      </c>
      <c r="E430" t="str">
        <f>IF(A430="","",IFERROR(VALUE(SUBSTITUTE(TRIM(Input!F430&amp;""),"%","")),0)/IF(AND(IFERROR(VALUE(SUBSTITUTE(TRIM(Input!F430&amp;""),"%","")),0)&gt;0,IFERROR(VALUE(SUBSTITUTE(TRIM(Input!F430&amp;""),"%","")),0)&lt;1),1,100))</f>
        <v/>
      </c>
      <c r="F430" t="str">
        <f>IF(A430="","",IFERROR(VALUE(SUBSTITUTE(TRIM(Input!G430&amp;""),"%","")),0)/IF(AND(IFERROR(VALUE(SUBSTITUTE(TRIM(Input!G430&amp;""),"%","")),0)&gt;0,IFERROR(VALUE(SUBSTITUTE(TRIM(Input!G430&amp;""),"%","")),0)&lt;1),1,100))</f>
        <v/>
      </c>
      <c r="G430" t="str">
        <f>IF(A430="","",IFERROR(VALUE(SUBSTITUTE(TRIM(Input!H430&amp;""),"%","")),0)/IF(AND(IFERROR(VALUE(SUBSTITUTE(TRIM(Input!H430&amp;""),"%","")),0)&gt;0,IFERROR(VALUE(SUBSTITUTE(TRIM(Input!H430&amp;""),"%","")),0)&lt;1),1,100))</f>
        <v/>
      </c>
      <c r="H430" t="str">
        <f>IF(A430="","",IFERROR(VALUE(SUBSTITUTE(TRIM(Input!I430&amp;""),"%","")),0)/IF(AND(IFERROR(VALUE(SUBSTITUTE(TRIM(Input!I430&amp;""),"%","")),0)&gt;0,IFERROR(VALUE(SUBSTITUTE(TRIM(Input!I430&amp;""),"%","")),0)&lt;1),1,100))</f>
        <v/>
      </c>
    </row>
    <row r="431" spans="1:8">
      <c r="A431" t="str">
        <f>IF(TRIM(Input!B431&amp;"")="","",UPPER(TRIM(Input!B431&amp;"")))</f>
        <v/>
      </c>
      <c r="B431" t="str">
        <f>IF(A431="","",IFERROR(VALUE(RIGHT(TRIM(Input!D431&amp;""),1)),0))</f>
        <v/>
      </c>
      <c r="C431" t="str">
        <f t="shared" si="6"/>
        <v/>
      </c>
      <c r="D431" t="str">
        <f>IF(A431="","",IFERROR(VALUE(SUBSTITUTE(TRIM(Input!E431&amp;""),"%","")),0)/IF(AND(IFERROR(VALUE(SUBSTITUTE(TRIM(Input!E431&amp;""),"%","")),0)&gt;0,IFERROR(VALUE(SUBSTITUTE(TRIM(Input!E431&amp;""),"%","")),0)&lt;1),1,100))</f>
        <v/>
      </c>
      <c r="E431" t="str">
        <f>IF(A431="","",IFERROR(VALUE(SUBSTITUTE(TRIM(Input!F431&amp;""),"%","")),0)/IF(AND(IFERROR(VALUE(SUBSTITUTE(TRIM(Input!F431&amp;""),"%","")),0)&gt;0,IFERROR(VALUE(SUBSTITUTE(TRIM(Input!F431&amp;""),"%","")),0)&lt;1),1,100))</f>
        <v/>
      </c>
      <c r="F431" t="str">
        <f>IF(A431="","",IFERROR(VALUE(SUBSTITUTE(TRIM(Input!G431&amp;""),"%","")),0)/IF(AND(IFERROR(VALUE(SUBSTITUTE(TRIM(Input!G431&amp;""),"%","")),0)&gt;0,IFERROR(VALUE(SUBSTITUTE(TRIM(Input!G431&amp;""),"%","")),0)&lt;1),1,100))</f>
        <v/>
      </c>
      <c r="G431" t="str">
        <f>IF(A431="","",IFERROR(VALUE(SUBSTITUTE(TRIM(Input!H431&amp;""),"%","")),0)/IF(AND(IFERROR(VALUE(SUBSTITUTE(TRIM(Input!H431&amp;""),"%","")),0)&gt;0,IFERROR(VALUE(SUBSTITUTE(TRIM(Input!H431&amp;""),"%","")),0)&lt;1),1,100))</f>
        <v/>
      </c>
      <c r="H431" t="str">
        <f>IF(A431="","",IFERROR(VALUE(SUBSTITUTE(TRIM(Input!I431&amp;""),"%","")),0)/IF(AND(IFERROR(VALUE(SUBSTITUTE(TRIM(Input!I431&amp;""),"%","")),0)&gt;0,IFERROR(VALUE(SUBSTITUTE(TRIM(Input!I431&amp;""),"%","")),0)&lt;1),1,100))</f>
        <v/>
      </c>
    </row>
    <row r="432" spans="1:8">
      <c r="A432" t="str">
        <f>IF(TRIM(Input!B432&amp;"")="","",UPPER(TRIM(Input!B432&amp;"")))</f>
        <v/>
      </c>
      <c r="B432" t="str">
        <f>IF(A432="","",IFERROR(VALUE(RIGHT(TRIM(Input!D432&amp;""),1)),0))</f>
        <v/>
      </c>
      <c r="C432" t="str">
        <f t="shared" si="6"/>
        <v/>
      </c>
      <c r="D432" t="str">
        <f>IF(A432="","",IFERROR(VALUE(SUBSTITUTE(TRIM(Input!E432&amp;""),"%","")),0)/IF(AND(IFERROR(VALUE(SUBSTITUTE(TRIM(Input!E432&amp;""),"%","")),0)&gt;0,IFERROR(VALUE(SUBSTITUTE(TRIM(Input!E432&amp;""),"%","")),0)&lt;1),1,100))</f>
        <v/>
      </c>
      <c r="E432" t="str">
        <f>IF(A432="","",IFERROR(VALUE(SUBSTITUTE(TRIM(Input!F432&amp;""),"%","")),0)/IF(AND(IFERROR(VALUE(SUBSTITUTE(TRIM(Input!F432&amp;""),"%","")),0)&gt;0,IFERROR(VALUE(SUBSTITUTE(TRIM(Input!F432&amp;""),"%","")),0)&lt;1),1,100))</f>
        <v/>
      </c>
      <c r="F432" t="str">
        <f>IF(A432="","",IFERROR(VALUE(SUBSTITUTE(TRIM(Input!G432&amp;""),"%","")),0)/IF(AND(IFERROR(VALUE(SUBSTITUTE(TRIM(Input!G432&amp;""),"%","")),0)&gt;0,IFERROR(VALUE(SUBSTITUTE(TRIM(Input!G432&amp;""),"%","")),0)&lt;1),1,100))</f>
        <v/>
      </c>
      <c r="G432" t="str">
        <f>IF(A432="","",IFERROR(VALUE(SUBSTITUTE(TRIM(Input!H432&amp;""),"%","")),0)/IF(AND(IFERROR(VALUE(SUBSTITUTE(TRIM(Input!H432&amp;""),"%","")),0)&gt;0,IFERROR(VALUE(SUBSTITUTE(TRIM(Input!H432&amp;""),"%","")),0)&lt;1),1,100))</f>
        <v/>
      </c>
      <c r="H432" t="str">
        <f>IF(A432="","",IFERROR(VALUE(SUBSTITUTE(TRIM(Input!I432&amp;""),"%","")),0)/IF(AND(IFERROR(VALUE(SUBSTITUTE(TRIM(Input!I432&amp;""),"%","")),0)&gt;0,IFERROR(VALUE(SUBSTITUTE(TRIM(Input!I432&amp;""),"%","")),0)&lt;1),1,100))</f>
        <v/>
      </c>
    </row>
    <row r="433" spans="1:8">
      <c r="A433" t="str">
        <f>IF(TRIM(Input!B433&amp;"")="","",UPPER(TRIM(Input!B433&amp;"")))</f>
        <v/>
      </c>
      <c r="B433" t="str">
        <f>IF(A433="","",IFERROR(VALUE(RIGHT(TRIM(Input!D433&amp;""),1)),0))</f>
        <v/>
      </c>
      <c r="C433" t="str">
        <f t="shared" si="6"/>
        <v/>
      </c>
      <c r="D433" t="str">
        <f>IF(A433="","",IFERROR(VALUE(SUBSTITUTE(TRIM(Input!E433&amp;""),"%","")),0)/IF(AND(IFERROR(VALUE(SUBSTITUTE(TRIM(Input!E433&amp;""),"%","")),0)&gt;0,IFERROR(VALUE(SUBSTITUTE(TRIM(Input!E433&amp;""),"%","")),0)&lt;1),1,100))</f>
        <v/>
      </c>
      <c r="E433" t="str">
        <f>IF(A433="","",IFERROR(VALUE(SUBSTITUTE(TRIM(Input!F433&amp;""),"%","")),0)/IF(AND(IFERROR(VALUE(SUBSTITUTE(TRIM(Input!F433&amp;""),"%","")),0)&gt;0,IFERROR(VALUE(SUBSTITUTE(TRIM(Input!F433&amp;""),"%","")),0)&lt;1),1,100))</f>
        <v/>
      </c>
      <c r="F433" t="str">
        <f>IF(A433="","",IFERROR(VALUE(SUBSTITUTE(TRIM(Input!G433&amp;""),"%","")),0)/IF(AND(IFERROR(VALUE(SUBSTITUTE(TRIM(Input!G433&amp;""),"%","")),0)&gt;0,IFERROR(VALUE(SUBSTITUTE(TRIM(Input!G433&amp;""),"%","")),0)&lt;1),1,100))</f>
        <v/>
      </c>
      <c r="G433" t="str">
        <f>IF(A433="","",IFERROR(VALUE(SUBSTITUTE(TRIM(Input!H433&amp;""),"%","")),0)/IF(AND(IFERROR(VALUE(SUBSTITUTE(TRIM(Input!H433&amp;""),"%","")),0)&gt;0,IFERROR(VALUE(SUBSTITUTE(TRIM(Input!H433&amp;""),"%","")),0)&lt;1),1,100))</f>
        <v/>
      </c>
      <c r="H433" t="str">
        <f>IF(A433="","",IFERROR(VALUE(SUBSTITUTE(TRIM(Input!I433&amp;""),"%","")),0)/IF(AND(IFERROR(VALUE(SUBSTITUTE(TRIM(Input!I433&amp;""),"%","")),0)&gt;0,IFERROR(VALUE(SUBSTITUTE(TRIM(Input!I433&amp;""),"%","")),0)&lt;1),1,100))</f>
        <v/>
      </c>
    </row>
    <row r="434" spans="1:8">
      <c r="A434" t="str">
        <f>IF(TRIM(Input!B434&amp;"")="","",UPPER(TRIM(Input!B434&amp;"")))</f>
        <v/>
      </c>
      <c r="B434" t="str">
        <f>IF(A434="","",IFERROR(VALUE(RIGHT(TRIM(Input!D434&amp;""),1)),0))</f>
        <v/>
      </c>
      <c r="C434" t="str">
        <f t="shared" si="6"/>
        <v/>
      </c>
      <c r="D434" t="str">
        <f>IF(A434="","",IFERROR(VALUE(SUBSTITUTE(TRIM(Input!E434&amp;""),"%","")),0)/IF(AND(IFERROR(VALUE(SUBSTITUTE(TRIM(Input!E434&amp;""),"%","")),0)&gt;0,IFERROR(VALUE(SUBSTITUTE(TRIM(Input!E434&amp;""),"%","")),0)&lt;1),1,100))</f>
        <v/>
      </c>
      <c r="E434" t="str">
        <f>IF(A434="","",IFERROR(VALUE(SUBSTITUTE(TRIM(Input!F434&amp;""),"%","")),0)/IF(AND(IFERROR(VALUE(SUBSTITUTE(TRIM(Input!F434&amp;""),"%","")),0)&gt;0,IFERROR(VALUE(SUBSTITUTE(TRIM(Input!F434&amp;""),"%","")),0)&lt;1),1,100))</f>
        <v/>
      </c>
      <c r="F434" t="str">
        <f>IF(A434="","",IFERROR(VALUE(SUBSTITUTE(TRIM(Input!G434&amp;""),"%","")),0)/IF(AND(IFERROR(VALUE(SUBSTITUTE(TRIM(Input!G434&amp;""),"%","")),0)&gt;0,IFERROR(VALUE(SUBSTITUTE(TRIM(Input!G434&amp;""),"%","")),0)&lt;1),1,100))</f>
        <v/>
      </c>
      <c r="G434" t="str">
        <f>IF(A434="","",IFERROR(VALUE(SUBSTITUTE(TRIM(Input!H434&amp;""),"%","")),0)/IF(AND(IFERROR(VALUE(SUBSTITUTE(TRIM(Input!H434&amp;""),"%","")),0)&gt;0,IFERROR(VALUE(SUBSTITUTE(TRIM(Input!H434&amp;""),"%","")),0)&lt;1),1,100))</f>
        <v/>
      </c>
      <c r="H434" t="str">
        <f>IF(A434="","",IFERROR(VALUE(SUBSTITUTE(TRIM(Input!I434&amp;""),"%","")),0)/IF(AND(IFERROR(VALUE(SUBSTITUTE(TRIM(Input!I434&amp;""),"%","")),0)&gt;0,IFERROR(VALUE(SUBSTITUTE(TRIM(Input!I434&amp;""),"%","")),0)&lt;1),1,100))</f>
        <v/>
      </c>
    </row>
    <row r="435" spans="1:8">
      <c r="A435" t="str">
        <f>IF(TRIM(Input!B435&amp;"")="","",UPPER(TRIM(Input!B435&amp;"")))</f>
        <v/>
      </c>
      <c r="B435" t="str">
        <f>IF(A435="","",IFERROR(VALUE(RIGHT(TRIM(Input!D435&amp;""),1)),0))</f>
        <v/>
      </c>
      <c r="C435" t="str">
        <f t="shared" si="6"/>
        <v/>
      </c>
      <c r="D435" t="str">
        <f>IF(A435="","",IFERROR(VALUE(SUBSTITUTE(TRIM(Input!E435&amp;""),"%","")),0)/IF(AND(IFERROR(VALUE(SUBSTITUTE(TRIM(Input!E435&amp;""),"%","")),0)&gt;0,IFERROR(VALUE(SUBSTITUTE(TRIM(Input!E435&amp;""),"%","")),0)&lt;1),1,100))</f>
        <v/>
      </c>
      <c r="E435" t="str">
        <f>IF(A435="","",IFERROR(VALUE(SUBSTITUTE(TRIM(Input!F435&amp;""),"%","")),0)/IF(AND(IFERROR(VALUE(SUBSTITUTE(TRIM(Input!F435&amp;""),"%","")),0)&gt;0,IFERROR(VALUE(SUBSTITUTE(TRIM(Input!F435&amp;""),"%","")),0)&lt;1),1,100))</f>
        <v/>
      </c>
      <c r="F435" t="str">
        <f>IF(A435="","",IFERROR(VALUE(SUBSTITUTE(TRIM(Input!G435&amp;""),"%","")),0)/IF(AND(IFERROR(VALUE(SUBSTITUTE(TRIM(Input!G435&amp;""),"%","")),0)&gt;0,IFERROR(VALUE(SUBSTITUTE(TRIM(Input!G435&amp;""),"%","")),0)&lt;1),1,100))</f>
        <v/>
      </c>
      <c r="G435" t="str">
        <f>IF(A435="","",IFERROR(VALUE(SUBSTITUTE(TRIM(Input!H435&amp;""),"%","")),0)/IF(AND(IFERROR(VALUE(SUBSTITUTE(TRIM(Input!H435&amp;""),"%","")),0)&gt;0,IFERROR(VALUE(SUBSTITUTE(TRIM(Input!H435&amp;""),"%","")),0)&lt;1),1,100))</f>
        <v/>
      </c>
      <c r="H435" t="str">
        <f>IF(A435="","",IFERROR(VALUE(SUBSTITUTE(TRIM(Input!I435&amp;""),"%","")),0)/IF(AND(IFERROR(VALUE(SUBSTITUTE(TRIM(Input!I435&amp;""),"%","")),0)&gt;0,IFERROR(VALUE(SUBSTITUTE(TRIM(Input!I435&amp;""),"%","")),0)&lt;1),1,100))</f>
        <v/>
      </c>
    </row>
    <row r="436" spans="1:8">
      <c r="A436" t="str">
        <f>IF(TRIM(Input!B436&amp;"")="","",UPPER(TRIM(Input!B436&amp;"")))</f>
        <v/>
      </c>
      <c r="B436" t="str">
        <f>IF(A436="","",IFERROR(VALUE(RIGHT(TRIM(Input!D436&amp;""),1)),0))</f>
        <v/>
      </c>
      <c r="C436" t="str">
        <f t="shared" si="6"/>
        <v/>
      </c>
      <c r="D436" t="str">
        <f>IF(A436="","",IFERROR(VALUE(SUBSTITUTE(TRIM(Input!E436&amp;""),"%","")),0)/IF(AND(IFERROR(VALUE(SUBSTITUTE(TRIM(Input!E436&amp;""),"%","")),0)&gt;0,IFERROR(VALUE(SUBSTITUTE(TRIM(Input!E436&amp;""),"%","")),0)&lt;1),1,100))</f>
        <v/>
      </c>
      <c r="E436" t="str">
        <f>IF(A436="","",IFERROR(VALUE(SUBSTITUTE(TRIM(Input!F436&amp;""),"%","")),0)/IF(AND(IFERROR(VALUE(SUBSTITUTE(TRIM(Input!F436&amp;""),"%","")),0)&gt;0,IFERROR(VALUE(SUBSTITUTE(TRIM(Input!F436&amp;""),"%","")),0)&lt;1),1,100))</f>
        <v/>
      </c>
      <c r="F436" t="str">
        <f>IF(A436="","",IFERROR(VALUE(SUBSTITUTE(TRIM(Input!G436&amp;""),"%","")),0)/IF(AND(IFERROR(VALUE(SUBSTITUTE(TRIM(Input!G436&amp;""),"%","")),0)&gt;0,IFERROR(VALUE(SUBSTITUTE(TRIM(Input!G436&amp;""),"%","")),0)&lt;1),1,100))</f>
        <v/>
      </c>
      <c r="G436" t="str">
        <f>IF(A436="","",IFERROR(VALUE(SUBSTITUTE(TRIM(Input!H436&amp;""),"%","")),0)/IF(AND(IFERROR(VALUE(SUBSTITUTE(TRIM(Input!H436&amp;""),"%","")),0)&gt;0,IFERROR(VALUE(SUBSTITUTE(TRIM(Input!H436&amp;""),"%","")),0)&lt;1),1,100))</f>
        <v/>
      </c>
      <c r="H436" t="str">
        <f>IF(A436="","",IFERROR(VALUE(SUBSTITUTE(TRIM(Input!I436&amp;""),"%","")),0)/IF(AND(IFERROR(VALUE(SUBSTITUTE(TRIM(Input!I436&amp;""),"%","")),0)&gt;0,IFERROR(VALUE(SUBSTITUTE(TRIM(Input!I436&amp;""),"%","")),0)&lt;1),1,100))</f>
        <v/>
      </c>
    </row>
    <row r="437" spans="1:8">
      <c r="A437" t="str">
        <f>IF(TRIM(Input!B437&amp;"")="","",UPPER(TRIM(Input!B437&amp;"")))</f>
        <v/>
      </c>
      <c r="B437" t="str">
        <f>IF(A437="","",IFERROR(VALUE(RIGHT(TRIM(Input!D437&amp;""),1)),0))</f>
        <v/>
      </c>
      <c r="C437" t="str">
        <f t="shared" si="6"/>
        <v/>
      </c>
      <c r="D437" t="str">
        <f>IF(A437="","",IFERROR(VALUE(SUBSTITUTE(TRIM(Input!E437&amp;""),"%","")),0)/IF(AND(IFERROR(VALUE(SUBSTITUTE(TRIM(Input!E437&amp;""),"%","")),0)&gt;0,IFERROR(VALUE(SUBSTITUTE(TRIM(Input!E437&amp;""),"%","")),0)&lt;1),1,100))</f>
        <v/>
      </c>
      <c r="E437" t="str">
        <f>IF(A437="","",IFERROR(VALUE(SUBSTITUTE(TRIM(Input!F437&amp;""),"%","")),0)/IF(AND(IFERROR(VALUE(SUBSTITUTE(TRIM(Input!F437&amp;""),"%","")),0)&gt;0,IFERROR(VALUE(SUBSTITUTE(TRIM(Input!F437&amp;""),"%","")),0)&lt;1),1,100))</f>
        <v/>
      </c>
      <c r="F437" t="str">
        <f>IF(A437="","",IFERROR(VALUE(SUBSTITUTE(TRIM(Input!G437&amp;""),"%","")),0)/IF(AND(IFERROR(VALUE(SUBSTITUTE(TRIM(Input!G437&amp;""),"%","")),0)&gt;0,IFERROR(VALUE(SUBSTITUTE(TRIM(Input!G437&amp;""),"%","")),0)&lt;1),1,100))</f>
        <v/>
      </c>
      <c r="G437" t="str">
        <f>IF(A437="","",IFERROR(VALUE(SUBSTITUTE(TRIM(Input!H437&amp;""),"%","")),0)/IF(AND(IFERROR(VALUE(SUBSTITUTE(TRIM(Input!H437&amp;""),"%","")),0)&gt;0,IFERROR(VALUE(SUBSTITUTE(TRIM(Input!H437&amp;""),"%","")),0)&lt;1),1,100))</f>
        <v/>
      </c>
      <c r="H437" t="str">
        <f>IF(A437="","",IFERROR(VALUE(SUBSTITUTE(TRIM(Input!I437&amp;""),"%","")),0)/IF(AND(IFERROR(VALUE(SUBSTITUTE(TRIM(Input!I437&amp;""),"%","")),0)&gt;0,IFERROR(VALUE(SUBSTITUTE(TRIM(Input!I437&amp;""),"%","")),0)&lt;1),1,100))</f>
        <v/>
      </c>
    </row>
    <row r="438" spans="1:8">
      <c r="A438" t="str">
        <f>IF(TRIM(Input!B438&amp;"")="","",UPPER(TRIM(Input!B438&amp;"")))</f>
        <v/>
      </c>
      <c r="B438" t="str">
        <f>IF(A438="","",IFERROR(VALUE(RIGHT(TRIM(Input!D438&amp;""),1)),0))</f>
        <v/>
      </c>
      <c r="C438" t="str">
        <f t="shared" si="6"/>
        <v/>
      </c>
      <c r="D438" t="str">
        <f>IF(A438="","",IFERROR(VALUE(SUBSTITUTE(TRIM(Input!E438&amp;""),"%","")),0)/IF(AND(IFERROR(VALUE(SUBSTITUTE(TRIM(Input!E438&amp;""),"%","")),0)&gt;0,IFERROR(VALUE(SUBSTITUTE(TRIM(Input!E438&amp;""),"%","")),0)&lt;1),1,100))</f>
        <v/>
      </c>
      <c r="E438" t="str">
        <f>IF(A438="","",IFERROR(VALUE(SUBSTITUTE(TRIM(Input!F438&amp;""),"%","")),0)/IF(AND(IFERROR(VALUE(SUBSTITUTE(TRIM(Input!F438&amp;""),"%","")),0)&gt;0,IFERROR(VALUE(SUBSTITUTE(TRIM(Input!F438&amp;""),"%","")),0)&lt;1),1,100))</f>
        <v/>
      </c>
      <c r="F438" t="str">
        <f>IF(A438="","",IFERROR(VALUE(SUBSTITUTE(TRIM(Input!G438&amp;""),"%","")),0)/IF(AND(IFERROR(VALUE(SUBSTITUTE(TRIM(Input!G438&amp;""),"%","")),0)&gt;0,IFERROR(VALUE(SUBSTITUTE(TRIM(Input!G438&amp;""),"%","")),0)&lt;1),1,100))</f>
        <v/>
      </c>
      <c r="G438" t="str">
        <f>IF(A438="","",IFERROR(VALUE(SUBSTITUTE(TRIM(Input!H438&amp;""),"%","")),0)/IF(AND(IFERROR(VALUE(SUBSTITUTE(TRIM(Input!H438&amp;""),"%","")),0)&gt;0,IFERROR(VALUE(SUBSTITUTE(TRIM(Input!H438&amp;""),"%","")),0)&lt;1),1,100))</f>
        <v/>
      </c>
      <c r="H438" t="str">
        <f>IF(A438="","",IFERROR(VALUE(SUBSTITUTE(TRIM(Input!I438&amp;""),"%","")),0)/IF(AND(IFERROR(VALUE(SUBSTITUTE(TRIM(Input!I438&amp;""),"%","")),0)&gt;0,IFERROR(VALUE(SUBSTITUTE(TRIM(Input!I438&amp;""),"%","")),0)&lt;1),1,100))</f>
        <v/>
      </c>
    </row>
    <row r="439" spans="1:8">
      <c r="A439" t="str">
        <f>IF(TRIM(Input!B439&amp;"")="","",UPPER(TRIM(Input!B439&amp;"")))</f>
        <v/>
      </c>
      <c r="B439" t="str">
        <f>IF(A439="","",IFERROR(VALUE(RIGHT(TRIM(Input!D439&amp;""),1)),0))</f>
        <v/>
      </c>
      <c r="C439" t="str">
        <f t="shared" si="6"/>
        <v/>
      </c>
      <c r="D439" t="str">
        <f>IF(A439="","",IFERROR(VALUE(SUBSTITUTE(TRIM(Input!E439&amp;""),"%","")),0)/IF(AND(IFERROR(VALUE(SUBSTITUTE(TRIM(Input!E439&amp;""),"%","")),0)&gt;0,IFERROR(VALUE(SUBSTITUTE(TRIM(Input!E439&amp;""),"%","")),0)&lt;1),1,100))</f>
        <v/>
      </c>
      <c r="E439" t="str">
        <f>IF(A439="","",IFERROR(VALUE(SUBSTITUTE(TRIM(Input!F439&amp;""),"%","")),0)/IF(AND(IFERROR(VALUE(SUBSTITUTE(TRIM(Input!F439&amp;""),"%","")),0)&gt;0,IFERROR(VALUE(SUBSTITUTE(TRIM(Input!F439&amp;""),"%","")),0)&lt;1),1,100))</f>
        <v/>
      </c>
      <c r="F439" t="str">
        <f>IF(A439="","",IFERROR(VALUE(SUBSTITUTE(TRIM(Input!G439&amp;""),"%","")),0)/IF(AND(IFERROR(VALUE(SUBSTITUTE(TRIM(Input!G439&amp;""),"%","")),0)&gt;0,IFERROR(VALUE(SUBSTITUTE(TRIM(Input!G439&amp;""),"%","")),0)&lt;1),1,100))</f>
        <v/>
      </c>
      <c r="G439" t="str">
        <f>IF(A439="","",IFERROR(VALUE(SUBSTITUTE(TRIM(Input!H439&amp;""),"%","")),0)/IF(AND(IFERROR(VALUE(SUBSTITUTE(TRIM(Input!H439&amp;""),"%","")),0)&gt;0,IFERROR(VALUE(SUBSTITUTE(TRIM(Input!H439&amp;""),"%","")),0)&lt;1),1,100))</f>
        <v/>
      </c>
      <c r="H439" t="str">
        <f>IF(A439="","",IFERROR(VALUE(SUBSTITUTE(TRIM(Input!I439&amp;""),"%","")),0)/IF(AND(IFERROR(VALUE(SUBSTITUTE(TRIM(Input!I439&amp;""),"%","")),0)&gt;0,IFERROR(VALUE(SUBSTITUTE(TRIM(Input!I439&amp;""),"%","")),0)&lt;1),1,100))</f>
        <v/>
      </c>
    </row>
    <row r="440" spans="1:8">
      <c r="A440" t="str">
        <f>IF(TRIM(Input!B440&amp;"")="","",UPPER(TRIM(Input!B440&amp;"")))</f>
        <v/>
      </c>
      <c r="B440" t="str">
        <f>IF(A440="","",IFERROR(VALUE(RIGHT(TRIM(Input!D440&amp;""),1)),0))</f>
        <v/>
      </c>
      <c r="C440" t="str">
        <f t="shared" si="6"/>
        <v/>
      </c>
      <c r="D440" t="str">
        <f>IF(A440="","",IFERROR(VALUE(SUBSTITUTE(TRIM(Input!E440&amp;""),"%","")),0)/IF(AND(IFERROR(VALUE(SUBSTITUTE(TRIM(Input!E440&amp;""),"%","")),0)&gt;0,IFERROR(VALUE(SUBSTITUTE(TRIM(Input!E440&amp;""),"%","")),0)&lt;1),1,100))</f>
        <v/>
      </c>
      <c r="E440" t="str">
        <f>IF(A440="","",IFERROR(VALUE(SUBSTITUTE(TRIM(Input!F440&amp;""),"%","")),0)/IF(AND(IFERROR(VALUE(SUBSTITUTE(TRIM(Input!F440&amp;""),"%","")),0)&gt;0,IFERROR(VALUE(SUBSTITUTE(TRIM(Input!F440&amp;""),"%","")),0)&lt;1),1,100))</f>
        <v/>
      </c>
      <c r="F440" t="str">
        <f>IF(A440="","",IFERROR(VALUE(SUBSTITUTE(TRIM(Input!G440&amp;""),"%","")),0)/IF(AND(IFERROR(VALUE(SUBSTITUTE(TRIM(Input!G440&amp;""),"%","")),0)&gt;0,IFERROR(VALUE(SUBSTITUTE(TRIM(Input!G440&amp;""),"%","")),0)&lt;1),1,100))</f>
        <v/>
      </c>
      <c r="G440" t="str">
        <f>IF(A440="","",IFERROR(VALUE(SUBSTITUTE(TRIM(Input!H440&amp;""),"%","")),0)/IF(AND(IFERROR(VALUE(SUBSTITUTE(TRIM(Input!H440&amp;""),"%","")),0)&gt;0,IFERROR(VALUE(SUBSTITUTE(TRIM(Input!H440&amp;""),"%","")),0)&lt;1),1,100))</f>
        <v/>
      </c>
      <c r="H440" t="str">
        <f>IF(A440="","",IFERROR(VALUE(SUBSTITUTE(TRIM(Input!I440&amp;""),"%","")),0)/IF(AND(IFERROR(VALUE(SUBSTITUTE(TRIM(Input!I440&amp;""),"%","")),0)&gt;0,IFERROR(VALUE(SUBSTITUTE(TRIM(Input!I440&amp;""),"%","")),0)&lt;1),1,100))</f>
        <v/>
      </c>
    </row>
    <row r="441" spans="1:8">
      <c r="A441" t="str">
        <f>IF(TRIM(Input!B441&amp;"")="","",UPPER(TRIM(Input!B441&amp;"")))</f>
        <v/>
      </c>
      <c r="B441" t="str">
        <f>IF(A441="","",IFERROR(VALUE(RIGHT(TRIM(Input!D441&amp;""),1)),0))</f>
        <v/>
      </c>
      <c r="C441" t="str">
        <f t="shared" si="6"/>
        <v/>
      </c>
      <c r="D441" t="str">
        <f>IF(A441="","",IFERROR(VALUE(SUBSTITUTE(TRIM(Input!E441&amp;""),"%","")),0)/IF(AND(IFERROR(VALUE(SUBSTITUTE(TRIM(Input!E441&amp;""),"%","")),0)&gt;0,IFERROR(VALUE(SUBSTITUTE(TRIM(Input!E441&amp;""),"%","")),0)&lt;1),1,100))</f>
        <v/>
      </c>
      <c r="E441" t="str">
        <f>IF(A441="","",IFERROR(VALUE(SUBSTITUTE(TRIM(Input!F441&amp;""),"%","")),0)/IF(AND(IFERROR(VALUE(SUBSTITUTE(TRIM(Input!F441&amp;""),"%","")),0)&gt;0,IFERROR(VALUE(SUBSTITUTE(TRIM(Input!F441&amp;""),"%","")),0)&lt;1),1,100))</f>
        <v/>
      </c>
      <c r="F441" t="str">
        <f>IF(A441="","",IFERROR(VALUE(SUBSTITUTE(TRIM(Input!G441&amp;""),"%","")),0)/IF(AND(IFERROR(VALUE(SUBSTITUTE(TRIM(Input!G441&amp;""),"%","")),0)&gt;0,IFERROR(VALUE(SUBSTITUTE(TRIM(Input!G441&amp;""),"%","")),0)&lt;1),1,100))</f>
        <v/>
      </c>
      <c r="G441" t="str">
        <f>IF(A441="","",IFERROR(VALUE(SUBSTITUTE(TRIM(Input!H441&amp;""),"%","")),0)/IF(AND(IFERROR(VALUE(SUBSTITUTE(TRIM(Input!H441&amp;""),"%","")),0)&gt;0,IFERROR(VALUE(SUBSTITUTE(TRIM(Input!H441&amp;""),"%","")),0)&lt;1),1,100))</f>
        <v/>
      </c>
      <c r="H441" t="str">
        <f>IF(A441="","",IFERROR(VALUE(SUBSTITUTE(TRIM(Input!I441&amp;""),"%","")),0)/IF(AND(IFERROR(VALUE(SUBSTITUTE(TRIM(Input!I441&amp;""),"%","")),0)&gt;0,IFERROR(VALUE(SUBSTITUTE(TRIM(Input!I441&amp;""),"%","")),0)&lt;1),1,100))</f>
        <v/>
      </c>
    </row>
    <row r="442" spans="1:8">
      <c r="A442" t="str">
        <f>IF(TRIM(Input!B442&amp;"")="","",UPPER(TRIM(Input!B442&amp;"")))</f>
        <v/>
      </c>
      <c r="B442" t="str">
        <f>IF(A442="","",IFERROR(VALUE(RIGHT(TRIM(Input!D442&amp;""),1)),0))</f>
        <v/>
      </c>
      <c r="C442" t="str">
        <f t="shared" si="6"/>
        <v/>
      </c>
      <c r="D442" t="str">
        <f>IF(A442="","",IFERROR(VALUE(SUBSTITUTE(TRIM(Input!E442&amp;""),"%","")),0)/IF(AND(IFERROR(VALUE(SUBSTITUTE(TRIM(Input!E442&amp;""),"%","")),0)&gt;0,IFERROR(VALUE(SUBSTITUTE(TRIM(Input!E442&amp;""),"%","")),0)&lt;1),1,100))</f>
        <v/>
      </c>
      <c r="E442" t="str">
        <f>IF(A442="","",IFERROR(VALUE(SUBSTITUTE(TRIM(Input!F442&amp;""),"%","")),0)/IF(AND(IFERROR(VALUE(SUBSTITUTE(TRIM(Input!F442&amp;""),"%","")),0)&gt;0,IFERROR(VALUE(SUBSTITUTE(TRIM(Input!F442&amp;""),"%","")),0)&lt;1),1,100))</f>
        <v/>
      </c>
      <c r="F442" t="str">
        <f>IF(A442="","",IFERROR(VALUE(SUBSTITUTE(TRIM(Input!G442&amp;""),"%","")),0)/IF(AND(IFERROR(VALUE(SUBSTITUTE(TRIM(Input!G442&amp;""),"%","")),0)&gt;0,IFERROR(VALUE(SUBSTITUTE(TRIM(Input!G442&amp;""),"%","")),0)&lt;1),1,100))</f>
        <v/>
      </c>
      <c r="G442" t="str">
        <f>IF(A442="","",IFERROR(VALUE(SUBSTITUTE(TRIM(Input!H442&amp;""),"%","")),0)/IF(AND(IFERROR(VALUE(SUBSTITUTE(TRIM(Input!H442&amp;""),"%","")),0)&gt;0,IFERROR(VALUE(SUBSTITUTE(TRIM(Input!H442&amp;""),"%","")),0)&lt;1),1,100))</f>
        <v/>
      </c>
      <c r="H442" t="str">
        <f>IF(A442="","",IFERROR(VALUE(SUBSTITUTE(TRIM(Input!I442&amp;""),"%","")),0)/IF(AND(IFERROR(VALUE(SUBSTITUTE(TRIM(Input!I442&amp;""),"%","")),0)&gt;0,IFERROR(VALUE(SUBSTITUTE(TRIM(Input!I442&amp;""),"%","")),0)&lt;1),1,100))</f>
        <v/>
      </c>
    </row>
    <row r="443" spans="1:8">
      <c r="A443" t="str">
        <f>IF(TRIM(Input!B443&amp;"")="","",UPPER(TRIM(Input!B443&amp;"")))</f>
        <v/>
      </c>
      <c r="B443" t="str">
        <f>IF(A443="","",IFERROR(VALUE(RIGHT(TRIM(Input!D443&amp;""),1)),0))</f>
        <v/>
      </c>
      <c r="C443" t="str">
        <f t="shared" si="6"/>
        <v/>
      </c>
      <c r="D443" t="str">
        <f>IF(A443="","",IFERROR(VALUE(SUBSTITUTE(TRIM(Input!E443&amp;""),"%","")),0)/IF(AND(IFERROR(VALUE(SUBSTITUTE(TRIM(Input!E443&amp;""),"%","")),0)&gt;0,IFERROR(VALUE(SUBSTITUTE(TRIM(Input!E443&amp;""),"%","")),0)&lt;1),1,100))</f>
        <v/>
      </c>
      <c r="E443" t="str">
        <f>IF(A443="","",IFERROR(VALUE(SUBSTITUTE(TRIM(Input!F443&amp;""),"%","")),0)/IF(AND(IFERROR(VALUE(SUBSTITUTE(TRIM(Input!F443&amp;""),"%","")),0)&gt;0,IFERROR(VALUE(SUBSTITUTE(TRIM(Input!F443&amp;""),"%","")),0)&lt;1),1,100))</f>
        <v/>
      </c>
      <c r="F443" t="str">
        <f>IF(A443="","",IFERROR(VALUE(SUBSTITUTE(TRIM(Input!G443&amp;""),"%","")),0)/IF(AND(IFERROR(VALUE(SUBSTITUTE(TRIM(Input!G443&amp;""),"%","")),0)&gt;0,IFERROR(VALUE(SUBSTITUTE(TRIM(Input!G443&amp;""),"%","")),0)&lt;1),1,100))</f>
        <v/>
      </c>
      <c r="G443" t="str">
        <f>IF(A443="","",IFERROR(VALUE(SUBSTITUTE(TRIM(Input!H443&amp;""),"%","")),0)/IF(AND(IFERROR(VALUE(SUBSTITUTE(TRIM(Input!H443&amp;""),"%","")),0)&gt;0,IFERROR(VALUE(SUBSTITUTE(TRIM(Input!H443&amp;""),"%","")),0)&lt;1),1,100))</f>
        <v/>
      </c>
      <c r="H443" t="str">
        <f>IF(A443="","",IFERROR(VALUE(SUBSTITUTE(TRIM(Input!I443&amp;""),"%","")),0)/IF(AND(IFERROR(VALUE(SUBSTITUTE(TRIM(Input!I443&amp;""),"%","")),0)&gt;0,IFERROR(VALUE(SUBSTITUTE(TRIM(Input!I443&amp;""),"%","")),0)&lt;1),1,100))</f>
        <v/>
      </c>
    </row>
    <row r="444" spans="1:8">
      <c r="A444" t="str">
        <f>IF(TRIM(Input!B444&amp;"")="","",UPPER(TRIM(Input!B444&amp;"")))</f>
        <v/>
      </c>
      <c r="B444" t="str">
        <f>IF(A444="","",IFERROR(VALUE(RIGHT(TRIM(Input!D444&amp;""),1)),0))</f>
        <v/>
      </c>
      <c r="C444" t="str">
        <f t="shared" si="6"/>
        <v/>
      </c>
      <c r="D444" t="str">
        <f>IF(A444="","",IFERROR(VALUE(SUBSTITUTE(TRIM(Input!E444&amp;""),"%","")),0)/IF(AND(IFERROR(VALUE(SUBSTITUTE(TRIM(Input!E444&amp;""),"%","")),0)&gt;0,IFERROR(VALUE(SUBSTITUTE(TRIM(Input!E444&amp;""),"%","")),0)&lt;1),1,100))</f>
        <v/>
      </c>
      <c r="E444" t="str">
        <f>IF(A444="","",IFERROR(VALUE(SUBSTITUTE(TRIM(Input!F444&amp;""),"%","")),0)/IF(AND(IFERROR(VALUE(SUBSTITUTE(TRIM(Input!F444&amp;""),"%","")),0)&gt;0,IFERROR(VALUE(SUBSTITUTE(TRIM(Input!F444&amp;""),"%","")),0)&lt;1),1,100))</f>
        <v/>
      </c>
      <c r="F444" t="str">
        <f>IF(A444="","",IFERROR(VALUE(SUBSTITUTE(TRIM(Input!G444&amp;""),"%","")),0)/IF(AND(IFERROR(VALUE(SUBSTITUTE(TRIM(Input!G444&amp;""),"%","")),0)&gt;0,IFERROR(VALUE(SUBSTITUTE(TRIM(Input!G444&amp;""),"%","")),0)&lt;1),1,100))</f>
        <v/>
      </c>
      <c r="G444" t="str">
        <f>IF(A444="","",IFERROR(VALUE(SUBSTITUTE(TRIM(Input!H444&amp;""),"%","")),0)/IF(AND(IFERROR(VALUE(SUBSTITUTE(TRIM(Input!H444&amp;""),"%","")),0)&gt;0,IFERROR(VALUE(SUBSTITUTE(TRIM(Input!H444&amp;""),"%","")),0)&lt;1),1,100))</f>
        <v/>
      </c>
      <c r="H444" t="str">
        <f>IF(A444="","",IFERROR(VALUE(SUBSTITUTE(TRIM(Input!I444&amp;""),"%","")),0)/IF(AND(IFERROR(VALUE(SUBSTITUTE(TRIM(Input!I444&amp;""),"%","")),0)&gt;0,IFERROR(VALUE(SUBSTITUTE(TRIM(Input!I444&amp;""),"%","")),0)&lt;1),1,100))</f>
        <v/>
      </c>
    </row>
    <row r="445" spans="1:8">
      <c r="A445" t="str">
        <f>IF(TRIM(Input!B445&amp;"")="","",UPPER(TRIM(Input!B445&amp;"")))</f>
        <v/>
      </c>
      <c r="B445" t="str">
        <f>IF(A445="","",IFERROR(VALUE(RIGHT(TRIM(Input!D445&amp;""),1)),0))</f>
        <v/>
      </c>
      <c r="C445" t="str">
        <f t="shared" si="6"/>
        <v/>
      </c>
      <c r="D445" t="str">
        <f>IF(A445="","",IFERROR(VALUE(SUBSTITUTE(TRIM(Input!E445&amp;""),"%","")),0)/IF(AND(IFERROR(VALUE(SUBSTITUTE(TRIM(Input!E445&amp;""),"%","")),0)&gt;0,IFERROR(VALUE(SUBSTITUTE(TRIM(Input!E445&amp;""),"%","")),0)&lt;1),1,100))</f>
        <v/>
      </c>
      <c r="E445" t="str">
        <f>IF(A445="","",IFERROR(VALUE(SUBSTITUTE(TRIM(Input!F445&amp;""),"%","")),0)/IF(AND(IFERROR(VALUE(SUBSTITUTE(TRIM(Input!F445&amp;""),"%","")),0)&gt;0,IFERROR(VALUE(SUBSTITUTE(TRIM(Input!F445&amp;""),"%","")),0)&lt;1),1,100))</f>
        <v/>
      </c>
      <c r="F445" t="str">
        <f>IF(A445="","",IFERROR(VALUE(SUBSTITUTE(TRIM(Input!G445&amp;""),"%","")),0)/IF(AND(IFERROR(VALUE(SUBSTITUTE(TRIM(Input!G445&amp;""),"%","")),0)&gt;0,IFERROR(VALUE(SUBSTITUTE(TRIM(Input!G445&amp;""),"%","")),0)&lt;1),1,100))</f>
        <v/>
      </c>
      <c r="G445" t="str">
        <f>IF(A445="","",IFERROR(VALUE(SUBSTITUTE(TRIM(Input!H445&amp;""),"%","")),0)/IF(AND(IFERROR(VALUE(SUBSTITUTE(TRIM(Input!H445&amp;""),"%","")),0)&gt;0,IFERROR(VALUE(SUBSTITUTE(TRIM(Input!H445&amp;""),"%","")),0)&lt;1),1,100))</f>
        <v/>
      </c>
      <c r="H445" t="str">
        <f>IF(A445="","",IFERROR(VALUE(SUBSTITUTE(TRIM(Input!I445&amp;""),"%","")),0)/IF(AND(IFERROR(VALUE(SUBSTITUTE(TRIM(Input!I445&amp;""),"%","")),0)&gt;0,IFERROR(VALUE(SUBSTITUTE(TRIM(Input!I445&amp;""),"%","")),0)&lt;1),1,100))</f>
        <v/>
      </c>
    </row>
    <row r="446" spans="1:8">
      <c r="A446" t="str">
        <f>IF(TRIM(Input!B446&amp;"")="","",UPPER(TRIM(Input!B446&amp;"")))</f>
        <v/>
      </c>
      <c r="B446" t="str">
        <f>IF(A446="","",IFERROR(VALUE(RIGHT(TRIM(Input!D446&amp;""),1)),0))</f>
        <v/>
      </c>
      <c r="C446" t="str">
        <f t="shared" si="6"/>
        <v/>
      </c>
      <c r="D446" t="str">
        <f>IF(A446="","",IFERROR(VALUE(SUBSTITUTE(TRIM(Input!E446&amp;""),"%","")),0)/IF(AND(IFERROR(VALUE(SUBSTITUTE(TRIM(Input!E446&amp;""),"%","")),0)&gt;0,IFERROR(VALUE(SUBSTITUTE(TRIM(Input!E446&amp;""),"%","")),0)&lt;1),1,100))</f>
        <v/>
      </c>
      <c r="E446" t="str">
        <f>IF(A446="","",IFERROR(VALUE(SUBSTITUTE(TRIM(Input!F446&amp;""),"%","")),0)/IF(AND(IFERROR(VALUE(SUBSTITUTE(TRIM(Input!F446&amp;""),"%","")),0)&gt;0,IFERROR(VALUE(SUBSTITUTE(TRIM(Input!F446&amp;""),"%","")),0)&lt;1),1,100))</f>
        <v/>
      </c>
      <c r="F446" t="str">
        <f>IF(A446="","",IFERROR(VALUE(SUBSTITUTE(TRIM(Input!G446&amp;""),"%","")),0)/IF(AND(IFERROR(VALUE(SUBSTITUTE(TRIM(Input!G446&amp;""),"%","")),0)&gt;0,IFERROR(VALUE(SUBSTITUTE(TRIM(Input!G446&amp;""),"%","")),0)&lt;1),1,100))</f>
        <v/>
      </c>
      <c r="G446" t="str">
        <f>IF(A446="","",IFERROR(VALUE(SUBSTITUTE(TRIM(Input!H446&amp;""),"%","")),0)/IF(AND(IFERROR(VALUE(SUBSTITUTE(TRIM(Input!H446&amp;""),"%","")),0)&gt;0,IFERROR(VALUE(SUBSTITUTE(TRIM(Input!H446&amp;""),"%","")),0)&lt;1),1,100))</f>
        <v/>
      </c>
      <c r="H446" t="str">
        <f>IF(A446="","",IFERROR(VALUE(SUBSTITUTE(TRIM(Input!I446&amp;""),"%","")),0)/IF(AND(IFERROR(VALUE(SUBSTITUTE(TRIM(Input!I446&amp;""),"%","")),0)&gt;0,IFERROR(VALUE(SUBSTITUTE(TRIM(Input!I446&amp;""),"%","")),0)&lt;1),1,100))</f>
        <v/>
      </c>
    </row>
    <row r="447" spans="1:8">
      <c r="A447" t="str">
        <f>IF(TRIM(Input!B447&amp;"")="","",UPPER(TRIM(Input!B447&amp;"")))</f>
        <v/>
      </c>
      <c r="B447" t="str">
        <f>IF(A447="","",IFERROR(VALUE(RIGHT(TRIM(Input!D447&amp;""),1)),0))</f>
        <v/>
      </c>
      <c r="C447" t="str">
        <f t="shared" si="6"/>
        <v/>
      </c>
      <c r="D447" t="str">
        <f>IF(A447="","",IFERROR(VALUE(SUBSTITUTE(TRIM(Input!E447&amp;""),"%","")),0)/IF(AND(IFERROR(VALUE(SUBSTITUTE(TRIM(Input!E447&amp;""),"%","")),0)&gt;0,IFERROR(VALUE(SUBSTITUTE(TRIM(Input!E447&amp;""),"%","")),0)&lt;1),1,100))</f>
        <v/>
      </c>
      <c r="E447" t="str">
        <f>IF(A447="","",IFERROR(VALUE(SUBSTITUTE(TRIM(Input!F447&amp;""),"%","")),0)/IF(AND(IFERROR(VALUE(SUBSTITUTE(TRIM(Input!F447&amp;""),"%","")),0)&gt;0,IFERROR(VALUE(SUBSTITUTE(TRIM(Input!F447&amp;""),"%","")),0)&lt;1),1,100))</f>
        <v/>
      </c>
      <c r="F447" t="str">
        <f>IF(A447="","",IFERROR(VALUE(SUBSTITUTE(TRIM(Input!G447&amp;""),"%","")),0)/IF(AND(IFERROR(VALUE(SUBSTITUTE(TRIM(Input!G447&amp;""),"%","")),0)&gt;0,IFERROR(VALUE(SUBSTITUTE(TRIM(Input!G447&amp;""),"%","")),0)&lt;1),1,100))</f>
        <v/>
      </c>
      <c r="G447" t="str">
        <f>IF(A447="","",IFERROR(VALUE(SUBSTITUTE(TRIM(Input!H447&amp;""),"%","")),0)/IF(AND(IFERROR(VALUE(SUBSTITUTE(TRIM(Input!H447&amp;""),"%","")),0)&gt;0,IFERROR(VALUE(SUBSTITUTE(TRIM(Input!H447&amp;""),"%","")),0)&lt;1),1,100))</f>
        <v/>
      </c>
      <c r="H447" t="str">
        <f>IF(A447="","",IFERROR(VALUE(SUBSTITUTE(TRIM(Input!I447&amp;""),"%","")),0)/IF(AND(IFERROR(VALUE(SUBSTITUTE(TRIM(Input!I447&amp;""),"%","")),0)&gt;0,IFERROR(VALUE(SUBSTITUTE(TRIM(Input!I447&amp;""),"%","")),0)&lt;1),1,100))</f>
        <v/>
      </c>
    </row>
    <row r="448" spans="1:8">
      <c r="A448" t="str">
        <f>IF(TRIM(Input!B448&amp;"")="","",UPPER(TRIM(Input!B448&amp;"")))</f>
        <v/>
      </c>
      <c r="B448" t="str">
        <f>IF(A448="","",IFERROR(VALUE(RIGHT(TRIM(Input!D448&amp;""),1)),0))</f>
        <v/>
      </c>
      <c r="C448" t="str">
        <f t="shared" si="6"/>
        <v/>
      </c>
      <c r="D448" t="str">
        <f>IF(A448="","",IFERROR(VALUE(SUBSTITUTE(TRIM(Input!E448&amp;""),"%","")),0)/IF(AND(IFERROR(VALUE(SUBSTITUTE(TRIM(Input!E448&amp;""),"%","")),0)&gt;0,IFERROR(VALUE(SUBSTITUTE(TRIM(Input!E448&amp;""),"%","")),0)&lt;1),1,100))</f>
        <v/>
      </c>
      <c r="E448" t="str">
        <f>IF(A448="","",IFERROR(VALUE(SUBSTITUTE(TRIM(Input!F448&amp;""),"%","")),0)/IF(AND(IFERROR(VALUE(SUBSTITUTE(TRIM(Input!F448&amp;""),"%","")),0)&gt;0,IFERROR(VALUE(SUBSTITUTE(TRIM(Input!F448&amp;""),"%","")),0)&lt;1),1,100))</f>
        <v/>
      </c>
      <c r="F448" t="str">
        <f>IF(A448="","",IFERROR(VALUE(SUBSTITUTE(TRIM(Input!G448&amp;""),"%","")),0)/IF(AND(IFERROR(VALUE(SUBSTITUTE(TRIM(Input!G448&amp;""),"%","")),0)&gt;0,IFERROR(VALUE(SUBSTITUTE(TRIM(Input!G448&amp;""),"%","")),0)&lt;1),1,100))</f>
        <v/>
      </c>
      <c r="G448" t="str">
        <f>IF(A448="","",IFERROR(VALUE(SUBSTITUTE(TRIM(Input!H448&amp;""),"%","")),0)/IF(AND(IFERROR(VALUE(SUBSTITUTE(TRIM(Input!H448&amp;""),"%","")),0)&gt;0,IFERROR(VALUE(SUBSTITUTE(TRIM(Input!H448&amp;""),"%","")),0)&lt;1),1,100))</f>
        <v/>
      </c>
      <c r="H448" t="str">
        <f>IF(A448="","",IFERROR(VALUE(SUBSTITUTE(TRIM(Input!I448&amp;""),"%","")),0)/IF(AND(IFERROR(VALUE(SUBSTITUTE(TRIM(Input!I448&amp;""),"%","")),0)&gt;0,IFERROR(VALUE(SUBSTITUTE(TRIM(Input!I448&amp;""),"%","")),0)&lt;1),1,100))</f>
        <v/>
      </c>
    </row>
    <row r="449" spans="1:8">
      <c r="A449" t="str">
        <f>IF(TRIM(Input!B449&amp;"")="","",UPPER(TRIM(Input!B449&amp;"")))</f>
        <v/>
      </c>
      <c r="B449" t="str">
        <f>IF(A449="","",IFERROR(VALUE(RIGHT(TRIM(Input!D449&amp;""),1)),0))</f>
        <v/>
      </c>
      <c r="C449" t="str">
        <f t="shared" si="6"/>
        <v/>
      </c>
      <c r="D449" t="str">
        <f>IF(A449="","",IFERROR(VALUE(SUBSTITUTE(TRIM(Input!E449&amp;""),"%","")),0)/IF(AND(IFERROR(VALUE(SUBSTITUTE(TRIM(Input!E449&amp;""),"%","")),0)&gt;0,IFERROR(VALUE(SUBSTITUTE(TRIM(Input!E449&amp;""),"%","")),0)&lt;1),1,100))</f>
        <v/>
      </c>
      <c r="E449" t="str">
        <f>IF(A449="","",IFERROR(VALUE(SUBSTITUTE(TRIM(Input!F449&amp;""),"%","")),0)/IF(AND(IFERROR(VALUE(SUBSTITUTE(TRIM(Input!F449&amp;""),"%","")),0)&gt;0,IFERROR(VALUE(SUBSTITUTE(TRIM(Input!F449&amp;""),"%","")),0)&lt;1),1,100))</f>
        <v/>
      </c>
      <c r="F449" t="str">
        <f>IF(A449="","",IFERROR(VALUE(SUBSTITUTE(TRIM(Input!G449&amp;""),"%","")),0)/IF(AND(IFERROR(VALUE(SUBSTITUTE(TRIM(Input!G449&amp;""),"%","")),0)&gt;0,IFERROR(VALUE(SUBSTITUTE(TRIM(Input!G449&amp;""),"%","")),0)&lt;1),1,100))</f>
        <v/>
      </c>
      <c r="G449" t="str">
        <f>IF(A449="","",IFERROR(VALUE(SUBSTITUTE(TRIM(Input!H449&amp;""),"%","")),0)/IF(AND(IFERROR(VALUE(SUBSTITUTE(TRIM(Input!H449&amp;""),"%","")),0)&gt;0,IFERROR(VALUE(SUBSTITUTE(TRIM(Input!H449&amp;""),"%","")),0)&lt;1),1,100))</f>
        <v/>
      </c>
      <c r="H449" t="str">
        <f>IF(A449="","",IFERROR(VALUE(SUBSTITUTE(TRIM(Input!I449&amp;""),"%","")),0)/IF(AND(IFERROR(VALUE(SUBSTITUTE(TRIM(Input!I449&amp;""),"%","")),0)&gt;0,IFERROR(VALUE(SUBSTITUTE(TRIM(Input!I449&amp;""),"%","")),0)&lt;1),1,100))</f>
        <v/>
      </c>
    </row>
    <row r="450" spans="1:8">
      <c r="A450" t="str">
        <f>IF(TRIM(Input!B450&amp;"")="","",UPPER(TRIM(Input!B450&amp;"")))</f>
        <v/>
      </c>
      <c r="B450" t="str">
        <f>IF(A450="","",IFERROR(VALUE(RIGHT(TRIM(Input!D450&amp;""),1)),0))</f>
        <v/>
      </c>
      <c r="C450" t="str">
        <f t="shared" ref="C450:C513" si="7">IF(A450="","",A450&amp;"|"&amp;B450)</f>
        <v/>
      </c>
      <c r="D450" t="str">
        <f>IF(A450="","",IFERROR(VALUE(SUBSTITUTE(TRIM(Input!E450&amp;""),"%","")),0)/IF(AND(IFERROR(VALUE(SUBSTITUTE(TRIM(Input!E450&amp;""),"%","")),0)&gt;0,IFERROR(VALUE(SUBSTITUTE(TRIM(Input!E450&amp;""),"%","")),0)&lt;1),1,100))</f>
        <v/>
      </c>
      <c r="E450" t="str">
        <f>IF(A450="","",IFERROR(VALUE(SUBSTITUTE(TRIM(Input!F450&amp;""),"%","")),0)/IF(AND(IFERROR(VALUE(SUBSTITUTE(TRIM(Input!F450&amp;""),"%","")),0)&gt;0,IFERROR(VALUE(SUBSTITUTE(TRIM(Input!F450&amp;""),"%","")),0)&lt;1),1,100))</f>
        <v/>
      </c>
      <c r="F450" t="str">
        <f>IF(A450="","",IFERROR(VALUE(SUBSTITUTE(TRIM(Input!G450&amp;""),"%","")),0)/IF(AND(IFERROR(VALUE(SUBSTITUTE(TRIM(Input!G450&amp;""),"%","")),0)&gt;0,IFERROR(VALUE(SUBSTITUTE(TRIM(Input!G450&amp;""),"%","")),0)&lt;1),1,100))</f>
        <v/>
      </c>
      <c r="G450" t="str">
        <f>IF(A450="","",IFERROR(VALUE(SUBSTITUTE(TRIM(Input!H450&amp;""),"%","")),0)/IF(AND(IFERROR(VALUE(SUBSTITUTE(TRIM(Input!H450&amp;""),"%","")),0)&gt;0,IFERROR(VALUE(SUBSTITUTE(TRIM(Input!H450&amp;""),"%","")),0)&lt;1),1,100))</f>
        <v/>
      </c>
      <c r="H450" t="str">
        <f>IF(A450="","",IFERROR(VALUE(SUBSTITUTE(TRIM(Input!I450&amp;""),"%","")),0)/IF(AND(IFERROR(VALUE(SUBSTITUTE(TRIM(Input!I450&amp;""),"%","")),0)&gt;0,IFERROR(VALUE(SUBSTITUTE(TRIM(Input!I450&amp;""),"%","")),0)&lt;1),1,100))</f>
        <v/>
      </c>
    </row>
    <row r="451" spans="1:8">
      <c r="A451" t="str">
        <f>IF(TRIM(Input!B451&amp;"")="","",UPPER(TRIM(Input!B451&amp;"")))</f>
        <v/>
      </c>
      <c r="B451" t="str">
        <f>IF(A451="","",IFERROR(VALUE(RIGHT(TRIM(Input!D451&amp;""),1)),0))</f>
        <v/>
      </c>
      <c r="C451" t="str">
        <f t="shared" si="7"/>
        <v/>
      </c>
      <c r="D451" t="str">
        <f>IF(A451="","",IFERROR(VALUE(SUBSTITUTE(TRIM(Input!E451&amp;""),"%","")),0)/IF(AND(IFERROR(VALUE(SUBSTITUTE(TRIM(Input!E451&amp;""),"%","")),0)&gt;0,IFERROR(VALUE(SUBSTITUTE(TRIM(Input!E451&amp;""),"%","")),0)&lt;1),1,100))</f>
        <v/>
      </c>
      <c r="E451" t="str">
        <f>IF(A451="","",IFERROR(VALUE(SUBSTITUTE(TRIM(Input!F451&amp;""),"%","")),0)/IF(AND(IFERROR(VALUE(SUBSTITUTE(TRIM(Input!F451&amp;""),"%","")),0)&gt;0,IFERROR(VALUE(SUBSTITUTE(TRIM(Input!F451&amp;""),"%","")),0)&lt;1),1,100))</f>
        <v/>
      </c>
      <c r="F451" t="str">
        <f>IF(A451="","",IFERROR(VALUE(SUBSTITUTE(TRIM(Input!G451&amp;""),"%","")),0)/IF(AND(IFERROR(VALUE(SUBSTITUTE(TRIM(Input!G451&amp;""),"%","")),0)&gt;0,IFERROR(VALUE(SUBSTITUTE(TRIM(Input!G451&amp;""),"%","")),0)&lt;1),1,100))</f>
        <v/>
      </c>
      <c r="G451" t="str">
        <f>IF(A451="","",IFERROR(VALUE(SUBSTITUTE(TRIM(Input!H451&amp;""),"%","")),0)/IF(AND(IFERROR(VALUE(SUBSTITUTE(TRIM(Input!H451&amp;""),"%","")),0)&gt;0,IFERROR(VALUE(SUBSTITUTE(TRIM(Input!H451&amp;""),"%","")),0)&lt;1),1,100))</f>
        <v/>
      </c>
      <c r="H451" t="str">
        <f>IF(A451="","",IFERROR(VALUE(SUBSTITUTE(TRIM(Input!I451&amp;""),"%","")),0)/IF(AND(IFERROR(VALUE(SUBSTITUTE(TRIM(Input!I451&amp;""),"%","")),0)&gt;0,IFERROR(VALUE(SUBSTITUTE(TRIM(Input!I451&amp;""),"%","")),0)&lt;1),1,100))</f>
        <v/>
      </c>
    </row>
    <row r="452" spans="1:8">
      <c r="A452" t="str">
        <f>IF(TRIM(Input!B452&amp;"")="","",UPPER(TRIM(Input!B452&amp;"")))</f>
        <v/>
      </c>
      <c r="B452" t="str">
        <f>IF(A452="","",IFERROR(VALUE(RIGHT(TRIM(Input!D452&amp;""),1)),0))</f>
        <v/>
      </c>
      <c r="C452" t="str">
        <f t="shared" si="7"/>
        <v/>
      </c>
      <c r="D452" t="str">
        <f>IF(A452="","",IFERROR(VALUE(SUBSTITUTE(TRIM(Input!E452&amp;""),"%","")),0)/IF(AND(IFERROR(VALUE(SUBSTITUTE(TRIM(Input!E452&amp;""),"%","")),0)&gt;0,IFERROR(VALUE(SUBSTITUTE(TRIM(Input!E452&amp;""),"%","")),0)&lt;1),1,100))</f>
        <v/>
      </c>
      <c r="E452" t="str">
        <f>IF(A452="","",IFERROR(VALUE(SUBSTITUTE(TRIM(Input!F452&amp;""),"%","")),0)/IF(AND(IFERROR(VALUE(SUBSTITUTE(TRIM(Input!F452&amp;""),"%","")),0)&gt;0,IFERROR(VALUE(SUBSTITUTE(TRIM(Input!F452&amp;""),"%","")),0)&lt;1),1,100))</f>
        <v/>
      </c>
      <c r="F452" t="str">
        <f>IF(A452="","",IFERROR(VALUE(SUBSTITUTE(TRIM(Input!G452&amp;""),"%","")),0)/IF(AND(IFERROR(VALUE(SUBSTITUTE(TRIM(Input!G452&amp;""),"%","")),0)&gt;0,IFERROR(VALUE(SUBSTITUTE(TRIM(Input!G452&amp;""),"%","")),0)&lt;1),1,100))</f>
        <v/>
      </c>
      <c r="G452" t="str">
        <f>IF(A452="","",IFERROR(VALUE(SUBSTITUTE(TRIM(Input!H452&amp;""),"%","")),0)/IF(AND(IFERROR(VALUE(SUBSTITUTE(TRIM(Input!H452&amp;""),"%","")),0)&gt;0,IFERROR(VALUE(SUBSTITUTE(TRIM(Input!H452&amp;""),"%","")),0)&lt;1),1,100))</f>
        <v/>
      </c>
      <c r="H452" t="str">
        <f>IF(A452="","",IFERROR(VALUE(SUBSTITUTE(TRIM(Input!I452&amp;""),"%","")),0)/IF(AND(IFERROR(VALUE(SUBSTITUTE(TRIM(Input!I452&amp;""),"%","")),0)&gt;0,IFERROR(VALUE(SUBSTITUTE(TRIM(Input!I452&amp;""),"%","")),0)&lt;1),1,100))</f>
        <v/>
      </c>
    </row>
    <row r="453" spans="1:8">
      <c r="A453" t="str">
        <f>IF(TRIM(Input!B453&amp;"")="","",UPPER(TRIM(Input!B453&amp;"")))</f>
        <v/>
      </c>
      <c r="B453" t="str">
        <f>IF(A453="","",IFERROR(VALUE(RIGHT(TRIM(Input!D453&amp;""),1)),0))</f>
        <v/>
      </c>
      <c r="C453" t="str">
        <f t="shared" si="7"/>
        <v/>
      </c>
      <c r="D453" t="str">
        <f>IF(A453="","",IFERROR(VALUE(SUBSTITUTE(TRIM(Input!E453&amp;""),"%","")),0)/IF(AND(IFERROR(VALUE(SUBSTITUTE(TRIM(Input!E453&amp;""),"%","")),0)&gt;0,IFERROR(VALUE(SUBSTITUTE(TRIM(Input!E453&amp;""),"%","")),0)&lt;1),1,100))</f>
        <v/>
      </c>
      <c r="E453" t="str">
        <f>IF(A453="","",IFERROR(VALUE(SUBSTITUTE(TRIM(Input!F453&amp;""),"%","")),0)/IF(AND(IFERROR(VALUE(SUBSTITUTE(TRIM(Input!F453&amp;""),"%","")),0)&gt;0,IFERROR(VALUE(SUBSTITUTE(TRIM(Input!F453&amp;""),"%","")),0)&lt;1),1,100))</f>
        <v/>
      </c>
      <c r="F453" t="str">
        <f>IF(A453="","",IFERROR(VALUE(SUBSTITUTE(TRIM(Input!G453&amp;""),"%","")),0)/IF(AND(IFERROR(VALUE(SUBSTITUTE(TRIM(Input!G453&amp;""),"%","")),0)&gt;0,IFERROR(VALUE(SUBSTITUTE(TRIM(Input!G453&amp;""),"%","")),0)&lt;1),1,100))</f>
        <v/>
      </c>
      <c r="G453" t="str">
        <f>IF(A453="","",IFERROR(VALUE(SUBSTITUTE(TRIM(Input!H453&amp;""),"%","")),0)/IF(AND(IFERROR(VALUE(SUBSTITUTE(TRIM(Input!H453&amp;""),"%","")),0)&gt;0,IFERROR(VALUE(SUBSTITUTE(TRIM(Input!H453&amp;""),"%","")),0)&lt;1),1,100))</f>
        <v/>
      </c>
      <c r="H453" t="str">
        <f>IF(A453="","",IFERROR(VALUE(SUBSTITUTE(TRIM(Input!I453&amp;""),"%","")),0)/IF(AND(IFERROR(VALUE(SUBSTITUTE(TRIM(Input!I453&amp;""),"%","")),0)&gt;0,IFERROR(VALUE(SUBSTITUTE(TRIM(Input!I453&amp;""),"%","")),0)&lt;1),1,100))</f>
        <v/>
      </c>
    </row>
    <row r="454" spans="1:8">
      <c r="A454" t="str">
        <f>IF(TRIM(Input!B454&amp;"")="","",UPPER(TRIM(Input!B454&amp;"")))</f>
        <v/>
      </c>
      <c r="B454" t="str">
        <f>IF(A454="","",IFERROR(VALUE(RIGHT(TRIM(Input!D454&amp;""),1)),0))</f>
        <v/>
      </c>
      <c r="C454" t="str">
        <f t="shared" si="7"/>
        <v/>
      </c>
      <c r="D454" t="str">
        <f>IF(A454="","",IFERROR(VALUE(SUBSTITUTE(TRIM(Input!E454&amp;""),"%","")),0)/IF(AND(IFERROR(VALUE(SUBSTITUTE(TRIM(Input!E454&amp;""),"%","")),0)&gt;0,IFERROR(VALUE(SUBSTITUTE(TRIM(Input!E454&amp;""),"%","")),0)&lt;1),1,100))</f>
        <v/>
      </c>
      <c r="E454" t="str">
        <f>IF(A454="","",IFERROR(VALUE(SUBSTITUTE(TRIM(Input!F454&amp;""),"%","")),0)/IF(AND(IFERROR(VALUE(SUBSTITUTE(TRIM(Input!F454&amp;""),"%","")),0)&gt;0,IFERROR(VALUE(SUBSTITUTE(TRIM(Input!F454&amp;""),"%","")),0)&lt;1),1,100))</f>
        <v/>
      </c>
      <c r="F454" t="str">
        <f>IF(A454="","",IFERROR(VALUE(SUBSTITUTE(TRIM(Input!G454&amp;""),"%","")),0)/IF(AND(IFERROR(VALUE(SUBSTITUTE(TRIM(Input!G454&amp;""),"%","")),0)&gt;0,IFERROR(VALUE(SUBSTITUTE(TRIM(Input!G454&amp;""),"%","")),0)&lt;1),1,100))</f>
        <v/>
      </c>
      <c r="G454" t="str">
        <f>IF(A454="","",IFERROR(VALUE(SUBSTITUTE(TRIM(Input!H454&amp;""),"%","")),0)/IF(AND(IFERROR(VALUE(SUBSTITUTE(TRIM(Input!H454&amp;""),"%","")),0)&gt;0,IFERROR(VALUE(SUBSTITUTE(TRIM(Input!H454&amp;""),"%","")),0)&lt;1),1,100))</f>
        <v/>
      </c>
      <c r="H454" t="str">
        <f>IF(A454="","",IFERROR(VALUE(SUBSTITUTE(TRIM(Input!I454&amp;""),"%","")),0)/IF(AND(IFERROR(VALUE(SUBSTITUTE(TRIM(Input!I454&amp;""),"%","")),0)&gt;0,IFERROR(VALUE(SUBSTITUTE(TRIM(Input!I454&amp;""),"%","")),0)&lt;1),1,100))</f>
        <v/>
      </c>
    </row>
    <row r="455" spans="1:8">
      <c r="A455" t="str">
        <f>IF(TRIM(Input!B455&amp;"")="","",UPPER(TRIM(Input!B455&amp;"")))</f>
        <v/>
      </c>
      <c r="B455" t="str">
        <f>IF(A455="","",IFERROR(VALUE(RIGHT(TRIM(Input!D455&amp;""),1)),0))</f>
        <v/>
      </c>
      <c r="C455" t="str">
        <f t="shared" si="7"/>
        <v/>
      </c>
      <c r="D455" t="str">
        <f>IF(A455="","",IFERROR(VALUE(SUBSTITUTE(TRIM(Input!E455&amp;""),"%","")),0)/IF(AND(IFERROR(VALUE(SUBSTITUTE(TRIM(Input!E455&amp;""),"%","")),0)&gt;0,IFERROR(VALUE(SUBSTITUTE(TRIM(Input!E455&amp;""),"%","")),0)&lt;1),1,100))</f>
        <v/>
      </c>
      <c r="E455" t="str">
        <f>IF(A455="","",IFERROR(VALUE(SUBSTITUTE(TRIM(Input!F455&amp;""),"%","")),0)/IF(AND(IFERROR(VALUE(SUBSTITUTE(TRIM(Input!F455&amp;""),"%","")),0)&gt;0,IFERROR(VALUE(SUBSTITUTE(TRIM(Input!F455&amp;""),"%","")),0)&lt;1),1,100))</f>
        <v/>
      </c>
      <c r="F455" t="str">
        <f>IF(A455="","",IFERROR(VALUE(SUBSTITUTE(TRIM(Input!G455&amp;""),"%","")),0)/IF(AND(IFERROR(VALUE(SUBSTITUTE(TRIM(Input!G455&amp;""),"%","")),0)&gt;0,IFERROR(VALUE(SUBSTITUTE(TRIM(Input!G455&amp;""),"%","")),0)&lt;1),1,100))</f>
        <v/>
      </c>
      <c r="G455" t="str">
        <f>IF(A455="","",IFERROR(VALUE(SUBSTITUTE(TRIM(Input!H455&amp;""),"%","")),0)/IF(AND(IFERROR(VALUE(SUBSTITUTE(TRIM(Input!H455&amp;""),"%","")),0)&gt;0,IFERROR(VALUE(SUBSTITUTE(TRIM(Input!H455&amp;""),"%","")),0)&lt;1),1,100))</f>
        <v/>
      </c>
      <c r="H455" t="str">
        <f>IF(A455="","",IFERROR(VALUE(SUBSTITUTE(TRIM(Input!I455&amp;""),"%","")),0)/IF(AND(IFERROR(VALUE(SUBSTITUTE(TRIM(Input!I455&amp;""),"%","")),0)&gt;0,IFERROR(VALUE(SUBSTITUTE(TRIM(Input!I455&amp;""),"%","")),0)&lt;1),1,100))</f>
        <v/>
      </c>
    </row>
    <row r="456" spans="1:8">
      <c r="A456" t="str">
        <f>IF(TRIM(Input!B456&amp;"")="","",UPPER(TRIM(Input!B456&amp;"")))</f>
        <v/>
      </c>
      <c r="B456" t="str">
        <f>IF(A456="","",IFERROR(VALUE(RIGHT(TRIM(Input!D456&amp;""),1)),0))</f>
        <v/>
      </c>
      <c r="C456" t="str">
        <f t="shared" si="7"/>
        <v/>
      </c>
      <c r="D456" t="str">
        <f>IF(A456="","",IFERROR(VALUE(SUBSTITUTE(TRIM(Input!E456&amp;""),"%","")),0)/IF(AND(IFERROR(VALUE(SUBSTITUTE(TRIM(Input!E456&amp;""),"%","")),0)&gt;0,IFERROR(VALUE(SUBSTITUTE(TRIM(Input!E456&amp;""),"%","")),0)&lt;1),1,100))</f>
        <v/>
      </c>
      <c r="E456" t="str">
        <f>IF(A456="","",IFERROR(VALUE(SUBSTITUTE(TRIM(Input!F456&amp;""),"%","")),0)/IF(AND(IFERROR(VALUE(SUBSTITUTE(TRIM(Input!F456&amp;""),"%","")),0)&gt;0,IFERROR(VALUE(SUBSTITUTE(TRIM(Input!F456&amp;""),"%","")),0)&lt;1),1,100))</f>
        <v/>
      </c>
      <c r="F456" t="str">
        <f>IF(A456="","",IFERROR(VALUE(SUBSTITUTE(TRIM(Input!G456&amp;""),"%","")),0)/IF(AND(IFERROR(VALUE(SUBSTITUTE(TRIM(Input!G456&amp;""),"%","")),0)&gt;0,IFERROR(VALUE(SUBSTITUTE(TRIM(Input!G456&amp;""),"%","")),0)&lt;1),1,100))</f>
        <v/>
      </c>
      <c r="G456" t="str">
        <f>IF(A456="","",IFERROR(VALUE(SUBSTITUTE(TRIM(Input!H456&amp;""),"%","")),0)/IF(AND(IFERROR(VALUE(SUBSTITUTE(TRIM(Input!H456&amp;""),"%","")),0)&gt;0,IFERROR(VALUE(SUBSTITUTE(TRIM(Input!H456&amp;""),"%","")),0)&lt;1),1,100))</f>
        <v/>
      </c>
      <c r="H456" t="str">
        <f>IF(A456="","",IFERROR(VALUE(SUBSTITUTE(TRIM(Input!I456&amp;""),"%","")),0)/IF(AND(IFERROR(VALUE(SUBSTITUTE(TRIM(Input!I456&amp;""),"%","")),0)&gt;0,IFERROR(VALUE(SUBSTITUTE(TRIM(Input!I456&amp;""),"%","")),0)&lt;1),1,100))</f>
        <v/>
      </c>
    </row>
    <row r="457" spans="1:8">
      <c r="A457" t="str">
        <f>IF(TRIM(Input!B457&amp;"")="","",UPPER(TRIM(Input!B457&amp;"")))</f>
        <v/>
      </c>
      <c r="B457" t="str">
        <f>IF(A457="","",IFERROR(VALUE(RIGHT(TRIM(Input!D457&amp;""),1)),0))</f>
        <v/>
      </c>
      <c r="C457" t="str">
        <f t="shared" si="7"/>
        <v/>
      </c>
      <c r="D457" t="str">
        <f>IF(A457="","",IFERROR(VALUE(SUBSTITUTE(TRIM(Input!E457&amp;""),"%","")),0)/IF(AND(IFERROR(VALUE(SUBSTITUTE(TRIM(Input!E457&amp;""),"%","")),0)&gt;0,IFERROR(VALUE(SUBSTITUTE(TRIM(Input!E457&amp;""),"%","")),0)&lt;1),1,100))</f>
        <v/>
      </c>
      <c r="E457" t="str">
        <f>IF(A457="","",IFERROR(VALUE(SUBSTITUTE(TRIM(Input!F457&amp;""),"%","")),0)/IF(AND(IFERROR(VALUE(SUBSTITUTE(TRIM(Input!F457&amp;""),"%","")),0)&gt;0,IFERROR(VALUE(SUBSTITUTE(TRIM(Input!F457&amp;""),"%","")),0)&lt;1),1,100))</f>
        <v/>
      </c>
      <c r="F457" t="str">
        <f>IF(A457="","",IFERROR(VALUE(SUBSTITUTE(TRIM(Input!G457&amp;""),"%","")),0)/IF(AND(IFERROR(VALUE(SUBSTITUTE(TRIM(Input!G457&amp;""),"%","")),0)&gt;0,IFERROR(VALUE(SUBSTITUTE(TRIM(Input!G457&amp;""),"%","")),0)&lt;1),1,100))</f>
        <v/>
      </c>
      <c r="G457" t="str">
        <f>IF(A457="","",IFERROR(VALUE(SUBSTITUTE(TRIM(Input!H457&amp;""),"%","")),0)/IF(AND(IFERROR(VALUE(SUBSTITUTE(TRIM(Input!H457&amp;""),"%","")),0)&gt;0,IFERROR(VALUE(SUBSTITUTE(TRIM(Input!H457&amp;""),"%","")),0)&lt;1),1,100))</f>
        <v/>
      </c>
      <c r="H457" t="str">
        <f>IF(A457="","",IFERROR(VALUE(SUBSTITUTE(TRIM(Input!I457&amp;""),"%","")),0)/IF(AND(IFERROR(VALUE(SUBSTITUTE(TRIM(Input!I457&amp;""),"%","")),0)&gt;0,IFERROR(VALUE(SUBSTITUTE(TRIM(Input!I457&amp;""),"%","")),0)&lt;1),1,100))</f>
        <v/>
      </c>
    </row>
    <row r="458" spans="1:8">
      <c r="A458" t="str">
        <f>IF(TRIM(Input!B458&amp;"")="","",UPPER(TRIM(Input!B458&amp;"")))</f>
        <v/>
      </c>
      <c r="B458" t="str">
        <f>IF(A458="","",IFERROR(VALUE(RIGHT(TRIM(Input!D458&amp;""),1)),0))</f>
        <v/>
      </c>
      <c r="C458" t="str">
        <f t="shared" si="7"/>
        <v/>
      </c>
      <c r="D458" t="str">
        <f>IF(A458="","",IFERROR(VALUE(SUBSTITUTE(TRIM(Input!E458&amp;""),"%","")),0)/IF(AND(IFERROR(VALUE(SUBSTITUTE(TRIM(Input!E458&amp;""),"%","")),0)&gt;0,IFERROR(VALUE(SUBSTITUTE(TRIM(Input!E458&amp;""),"%","")),0)&lt;1),1,100))</f>
        <v/>
      </c>
      <c r="E458" t="str">
        <f>IF(A458="","",IFERROR(VALUE(SUBSTITUTE(TRIM(Input!F458&amp;""),"%","")),0)/IF(AND(IFERROR(VALUE(SUBSTITUTE(TRIM(Input!F458&amp;""),"%","")),0)&gt;0,IFERROR(VALUE(SUBSTITUTE(TRIM(Input!F458&amp;""),"%","")),0)&lt;1),1,100))</f>
        <v/>
      </c>
      <c r="F458" t="str">
        <f>IF(A458="","",IFERROR(VALUE(SUBSTITUTE(TRIM(Input!G458&amp;""),"%","")),0)/IF(AND(IFERROR(VALUE(SUBSTITUTE(TRIM(Input!G458&amp;""),"%","")),0)&gt;0,IFERROR(VALUE(SUBSTITUTE(TRIM(Input!G458&amp;""),"%","")),0)&lt;1),1,100))</f>
        <v/>
      </c>
      <c r="G458" t="str">
        <f>IF(A458="","",IFERROR(VALUE(SUBSTITUTE(TRIM(Input!H458&amp;""),"%","")),0)/IF(AND(IFERROR(VALUE(SUBSTITUTE(TRIM(Input!H458&amp;""),"%","")),0)&gt;0,IFERROR(VALUE(SUBSTITUTE(TRIM(Input!H458&amp;""),"%","")),0)&lt;1),1,100))</f>
        <v/>
      </c>
      <c r="H458" t="str">
        <f>IF(A458="","",IFERROR(VALUE(SUBSTITUTE(TRIM(Input!I458&amp;""),"%","")),0)/IF(AND(IFERROR(VALUE(SUBSTITUTE(TRIM(Input!I458&amp;""),"%","")),0)&gt;0,IFERROR(VALUE(SUBSTITUTE(TRIM(Input!I458&amp;""),"%","")),0)&lt;1),1,100))</f>
        <v/>
      </c>
    </row>
    <row r="459" spans="1:8">
      <c r="A459" t="str">
        <f>IF(TRIM(Input!B459&amp;"")="","",UPPER(TRIM(Input!B459&amp;"")))</f>
        <v/>
      </c>
      <c r="B459" t="str">
        <f>IF(A459="","",IFERROR(VALUE(RIGHT(TRIM(Input!D459&amp;""),1)),0))</f>
        <v/>
      </c>
      <c r="C459" t="str">
        <f t="shared" si="7"/>
        <v/>
      </c>
      <c r="D459" t="str">
        <f>IF(A459="","",IFERROR(VALUE(SUBSTITUTE(TRIM(Input!E459&amp;""),"%","")),0)/IF(AND(IFERROR(VALUE(SUBSTITUTE(TRIM(Input!E459&amp;""),"%","")),0)&gt;0,IFERROR(VALUE(SUBSTITUTE(TRIM(Input!E459&amp;""),"%","")),0)&lt;1),1,100))</f>
        <v/>
      </c>
      <c r="E459" t="str">
        <f>IF(A459="","",IFERROR(VALUE(SUBSTITUTE(TRIM(Input!F459&amp;""),"%","")),0)/IF(AND(IFERROR(VALUE(SUBSTITUTE(TRIM(Input!F459&amp;""),"%","")),0)&gt;0,IFERROR(VALUE(SUBSTITUTE(TRIM(Input!F459&amp;""),"%","")),0)&lt;1),1,100))</f>
        <v/>
      </c>
      <c r="F459" t="str">
        <f>IF(A459="","",IFERROR(VALUE(SUBSTITUTE(TRIM(Input!G459&amp;""),"%","")),0)/IF(AND(IFERROR(VALUE(SUBSTITUTE(TRIM(Input!G459&amp;""),"%","")),0)&gt;0,IFERROR(VALUE(SUBSTITUTE(TRIM(Input!G459&amp;""),"%","")),0)&lt;1),1,100))</f>
        <v/>
      </c>
      <c r="G459" t="str">
        <f>IF(A459="","",IFERROR(VALUE(SUBSTITUTE(TRIM(Input!H459&amp;""),"%","")),0)/IF(AND(IFERROR(VALUE(SUBSTITUTE(TRIM(Input!H459&amp;""),"%","")),0)&gt;0,IFERROR(VALUE(SUBSTITUTE(TRIM(Input!H459&amp;""),"%","")),0)&lt;1),1,100))</f>
        <v/>
      </c>
      <c r="H459" t="str">
        <f>IF(A459="","",IFERROR(VALUE(SUBSTITUTE(TRIM(Input!I459&amp;""),"%","")),0)/IF(AND(IFERROR(VALUE(SUBSTITUTE(TRIM(Input!I459&amp;""),"%","")),0)&gt;0,IFERROR(VALUE(SUBSTITUTE(TRIM(Input!I459&amp;""),"%","")),0)&lt;1),1,100))</f>
        <v/>
      </c>
    </row>
    <row r="460" spans="1:8">
      <c r="A460" t="str">
        <f>IF(TRIM(Input!B460&amp;"")="","",UPPER(TRIM(Input!B460&amp;"")))</f>
        <v/>
      </c>
      <c r="B460" t="str">
        <f>IF(A460="","",IFERROR(VALUE(RIGHT(TRIM(Input!D460&amp;""),1)),0))</f>
        <v/>
      </c>
      <c r="C460" t="str">
        <f t="shared" si="7"/>
        <v/>
      </c>
      <c r="D460" t="str">
        <f>IF(A460="","",IFERROR(VALUE(SUBSTITUTE(TRIM(Input!E460&amp;""),"%","")),0)/IF(AND(IFERROR(VALUE(SUBSTITUTE(TRIM(Input!E460&amp;""),"%","")),0)&gt;0,IFERROR(VALUE(SUBSTITUTE(TRIM(Input!E460&amp;""),"%","")),0)&lt;1),1,100))</f>
        <v/>
      </c>
      <c r="E460" t="str">
        <f>IF(A460="","",IFERROR(VALUE(SUBSTITUTE(TRIM(Input!F460&amp;""),"%","")),0)/IF(AND(IFERROR(VALUE(SUBSTITUTE(TRIM(Input!F460&amp;""),"%","")),0)&gt;0,IFERROR(VALUE(SUBSTITUTE(TRIM(Input!F460&amp;""),"%","")),0)&lt;1),1,100))</f>
        <v/>
      </c>
      <c r="F460" t="str">
        <f>IF(A460="","",IFERROR(VALUE(SUBSTITUTE(TRIM(Input!G460&amp;""),"%","")),0)/IF(AND(IFERROR(VALUE(SUBSTITUTE(TRIM(Input!G460&amp;""),"%","")),0)&gt;0,IFERROR(VALUE(SUBSTITUTE(TRIM(Input!G460&amp;""),"%","")),0)&lt;1),1,100))</f>
        <v/>
      </c>
      <c r="G460" t="str">
        <f>IF(A460="","",IFERROR(VALUE(SUBSTITUTE(TRIM(Input!H460&amp;""),"%","")),0)/IF(AND(IFERROR(VALUE(SUBSTITUTE(TRIM(Input!H460&amp;""),"%","")),0)&gt;0,IFERROR(VALUE(SUBSTITUTE(TRIM(Input!H460&amp;""),"%","")),0)&lt;1),1,100))</f>
        <v/>
      </c>
      <c r="H460" t="str">
        <f>IF(A460="","",IFERROR(VALUE(SUBSTITUTE(TRIM(Input!I460&amp;""),"%","")),0)/IF(AND(IFERROR(VALUE(SUBSTITUTE(TRIM(Input!I460&amp;""),"%","")),0)&gt;0,IFERROR(VALUE(SUBSTITUTE(TRIM(Input!I460&amp;""),"%","")),0)&lt;1),1,100))</f>
        <v/>
      </c>
    </row>
    <row r="461" spans="1:8">
      <c r="A461" t="str">
        <f>IF(TRIM(Input!B461&amp;"")="","",UPPER(TRIM(Input!B461&amp;"")))</f>
        <v/>
      </c>
      <c r="B461" t="str">
        <f>IF(A461="","",IFERROR(VALUE(RIGHT(TRIM(Input!D461&amp;""),1)),0))</f>
        <v/>
      </c>
      <c r="C461" t="str">
        <f t="shared" si="7"/>
        <v/>
      </c>
      <c r="D461" t="str">
        <f>IF(A461="","",IFERROR(VALUE(SUBSTITUTE(TRIM(Input!E461&amp;""),"%","")),0)/IF(AND(IFERROR(VALUE(SUBSTITUTE(TRIM(Input!E461&amp;""),"%","")),0)&gt;0,IFERROR(VALUE(SUBSTITUTE(TRIM(Input!E461&amp;""),"%","")),0)&lt;1),1,100))</f>
        <v/>
      </c>
      <c r="E461" t="str">
        <f>IF(A461="","",IFERROR(VALUE(SUBSTITUTE(TRIM(Input!F461&amp;""),"%","")),0)/IF(AND(IFERROR(VALUE(SUBSTITUTE(TRIM(Input!F461&amp;""),"%","")),0)&gt;0,IFERROR(VALUE(SUBSTITUTE(TRIM(Input!F461&amp;""),"%","")),0)&lt;1),1,100))</f>
        <v/>
      </c>
      <c r="F461" t="str">
        <f>IF(A461="","",IFERROR(VALUE(SUBSTITUTE(TRIM(Input!G461&amp;""),"%","")),0)/IF(AND(IFERROR(VALUE(SUBSTITUTE(TRIM(Input!G461&amp;""),"%","")),0)&gt;0,IFERROR(VALUE(SUBSTITUTE(TRIM(Input!G461&amp;""),"%","")),0)&lt;1),1,100))</f>
        <v/>
      </c>
      <c r="G461" t="str">
        <f>IF(A461="","",IFERROR(VALUE(SUBSTITUTE(TRIM(Input!H461&amp;""),"%","")),0)/IF(AND(IFERROR(VALUE(SUBSTITUTE(TRIM(Input!H461&amp;""),"%","")),0)&gt;0,IFERROR(VALUE(SUBSTITUTE(TRIM(Input!H461&amp;""),"%","")),0)&lt;1),1,100))</f>
        <v/>
      </c>
      <c r="H461" t="str">
        <f>IF(A461="","",IFERROR(VALUE(SUBSTITUTE(TRIM(Input!I461&amp;""),"%","")),0)/IF(AND(IFERROR(VALUE(SUBSTITUTE(TRIM(Input!I461&amp;""),"%","")),0)&gt;0,IFERROR(VALUE(SUBSTITUTE(TRIM(Input!I461&amp;""),"%","")),0)&lt;1),1,100))</f>
        <v/>
      </c>
    </row>
    <row r="462" spans="1:8">
      <c r="A462" t="str">
        <f>IF(TRIM(Input!B462&amp;"")="","",UPPER(TRIM(Input!B462&amp;"")))</f>
        <v/>
      </c>
      <c r="B462" t="str">
        <f>IF(A462="","",IFERROR(VALUE(RIGHT(TRIM(Input!D462&amp;""),1)),0))</f>
        <v/>
      </c>
      <c r="C462" t="str">
        <f t="shared" si="7"/>
        <v/>
      </c>
      <c r="D462" t="str">
        <f>IF(A462="","",IFERROR(VALUE(SUBSTITUTE(TRIM(Input!E462&amp;""),"%","")),0)/IF(AND(IFERROR(VALUE(SUBSTITUTE(TRIM(Input!E462&amp;""),"%","")),0)&gt;0,IFERROR(VALUE(SUBSTITUTE(TRIM(Input!E462&amp;""),"%","")),0)&lt;1),1,100))</f>
        <v/>
      </c>
      <c r="E462" t="str">
        <f>IF(A462="","",IFERROR(VALUE(SUBSTITUTE(TRIM(Input!F462&amp;""),"%","")),0)/IF(AND(IFERROR(VALUE(SUBSTITUTE(TRIM(Input!F462&amp;""),"%","")),0)&gt;0,IFERROR(VALUE(SUBSTITUTE(TRIM(Input!F462&amp;""),"%","")),0)&lt;1),1,100))</f>
        <v/>
      </c>
      <c r="F462" t="str">
        <f>IF(A462="","",IFERROR(VALUE(SUBSTITUTE(TRIM(Input!G462&amp;""),"%","")),0)/IF(AND(IFERROR(VALUE(SUBSTITUTE(TRIM(Input!G462&amp;""),"%","")),0)&gt;0,IFERROR(VALUE(SUBSTITUTE(TRIM(Input!G462&amp;""),"%","")),0)&lt;1),1,100))</f>
        <v/>
      </c>
      <c r="G462" t="str">
        <f>IF(A462="","",IFERROR(VALUE(SUBSTITUTE(TRIM(Input!H462&amp;""),"%","")),0)/IF(AND(IFERROR(VALUE(SUBSTITUTE(TRIM(Input!H462&amp;""),"%","")),0)&gt;0,IFERROR(VALUE(SUBSTITUTE(TRIM(Input!H462&amp;""),"%","")),0)&lt;1),1,100))</f>
        <v/>
      </c>
      <c r="H462" t="str">
        <f>IF(A462="","",IFERROR(VALUE(SUBSTITUTE(TRIM(Input!I462&amp;""),"%","")),0)/IF(AND(IFERROR(VALUE(SUBSTITUTE(TRIM(Input!I462&amp;""),"%","")),0)&gt;0,IFERROR(VALUE(SUBSTITUTE(TRIM(Input!I462&amp;""),"%","")),0)&lt;1),1,100))</f>
        <v/>
      </c>
    </row>
    <row r="463" spans="1:8">
      <c r="A463" t="str">
        <f>IF(TRIM(Input!B463&amp;"")="","",UPPER(TRIM(Input!B463&amp;"")))</f>
        <v/>
      </c>
      <c r="B463" t="str">
        <f>IF(A463="","",IFERROR(VALUE(RIGHT(TRIM(Input!D463&amp;""),1)),0))</f>
        <v/>
      </c>
      <c r="C463" t="str">
        <f t="shared" si="7"/>
        <v/>
      </c>
      <c r="D463" t="str">
        <f>IF(A463="","",IFERROR(VALUE(SUBSTITUTE(TRIM(Input!E463&amp;""),"%","")),0)/IF(AND(IFERROR(VALUE(SUBSTITUTE(TRIM(Input!E463&amp;""),"%","")),0)&gt;0,IFERROR(VALUE(SUBSTITUTE(TRIM(Input!E463&amp;""),"%","")),0)&lt;1),1,100))</f>
        <v/>
      </c>
      <c r="E463" t="str">
        <f>IF(A463="","",IFERROR(VALUE(SUBSTITUTE(TRIM(Input!F463&amp;""),"%","")),0)/IF(AND(IFERROR(VALUE(SUBSTITUTE(TRIM(Input!F463&amp;""),"%","")),0)&gt;0,IFERROR(VALUE(SUBSTITUTE(TRIM(Input!F463&amp;""),"%","")),0)&lt;1),1,100))</f>
        <v/>
      </c>
      <c r="F463" t="str">
        <f>IF(A463="","",IFERROR(VALUE(SUBSTITUTE(TRIM(Input!G463&amp;""),"%","")),0)/IF(AND(IFERROR(VALUE(SUBSTITUTE(TRIM(Input!G463&amp;""),"%","")),0)&gt;0,IFERROR(VALUE(SUBSTITUTE(TRIM(Input!G463&amp;""),"%","")),0)&lt;1),1,100))</f>
        <v/>
      </c>
      <c r="G463" t="str">
        <f>IF(A463="","",IFERROR(VALUE(SUBSTITUTE(TRIM(Input!H463&amp;""),"%","")),0)/IF(AND(IFERROR(VALUE(SUBSTITUTE(TRIM(Input!H463&amp;""),"%","")),0)&gt;0,IFERROR(VALUE(SUBSTITUTE(TRIM(Input!H463&amp;""),"%","")),0)&lt;1),1,100))</f>
        <v/>
      </c>
      <c r="H463" t="str">
        <f>IF(A463="","",IFERROR(VALUE(SUBSTITUTE(TRIM(Input!I463&amp;""),"%","")),0)/IF(AND(IFERROR(VALUE(SUBSTITUTE(TRIM(Input!I463&amp;""),"%","")),0)&gt;0,IFERROR(VALUE(SUBSTITUTE(TRIM(Input!I463&amp;""),"%","")),0)&lt;1),1,100))</f>
        <v/>
      </c>
    </row>
    <row r="464" spans="1:8">
      <c r="A464" t="str">
        <f>IF(TRIM(Input!B464&amp;"")="","",UPPER(TRIM(Input!B464&amp;"")))</f>
        <v/>
      </c>
      <c r="B464" t="str">
        <f>IF(A464="","",IFERROR(VALUE(RIGHT(TRIM(Input!D464&amp;""),1)),0))</f>
        <v/>
      </c>
      <c r="C464" t="str">
        <f t="shared" si="7"/>
        <v/>
      </c>
      <c r="D464" t="str">
        <f>IF(A464="","",IFERROR(VALUE(SUBSTITUTE(TRIM(Input!E464&amp;""),"%","")),0)/IF(AND(IFERROR(VALUE(SUBSTITUTE(TRIM(Input!E464&amp;""),"%","")),0)&gt;0,IFERROR(VALUE(SUBSTITUTE(TRIM(Input!E464&amp;""),"%","")),0)&lt;1),1,100))</f>
        <v/>
      </c>
      <c r="E464" t="str">
        <f>IF(A464="","",IFERROR(VALUE(SUBSTITUTE(TRIM(Input!F464&amp;""),"%","")),0)/IF(AND(IFERROR(VALUE(SUBSTITUTE(TRIM(Input!F464&amp;""),"%","")),0)&gt;0,IFERROR(VALUE(SUBSTITUTE(TRIM(Input!F464&amp;""),"%","")),0)&lt;1),1,100))</f>
        <v/>
      </c>
      <c r="F464" t="str">
        <f>IF(A464="","",IFERROR(VALUE(SUBSTITUTE(TRIM(Input!G464&amp;""),"%","")),0)/IF(AND(IFERROR(VALUE(SUBSTITUTE(TRIM(Input!G464&amp;""),"%","")),0)&gt;0,IFERROR(VALUE(SUBSTITUTE(TRIM(Input!G464&amp;""),"%","")),0)&lt;1),1,100))</f>
        <v/>
      </c>
      <c r="G464" t="str">
        <f>IF(A464="","",IFERROR(VALUE(SUBSTITUTE(TRIM(Input!H464&amp;""),"%","")),0)/IF(AND(IFERROR(VALUE(SUBSTITUTE(TRIM(Input!H464&amp;""),"%","")),0)&gt;0,IFERROR(VALUE(SUBSTITUTE(TRIM(Input!H464&amp;""),"%","")),0)&lt;1),1,100))</f>
        <v/>
      </c>
      <c r="H464" t="str">
        <f>IF(A464="","",IFERROR(VALUE(SUBSTITUTE(TRIM(Input!I464&amp;""),"%","")),0)/IF(AND(IFERROR(VALUE(SUBSTITUTE(TRIM(Input!I464&amp;""),"%","")),0)&gt;0,IFERROR(VALUE(SUBSTITUTE(TRIM(Input!I464&amp;""),"%","")),0)&lt;1),1,100))</f>
        <v/>
      </c>
    </row>
    <row r="465" spans="1:8">
      <c r="A465" t="str">
        <f>IF(TRIM(Input!B465&amp;"")="","",UPPER(TRIM(Input!B465&amp;"")))</f>
        <v/>
      </c>
      <c r="B465" t="str">
        <f>IF(A465="","",IFERROR(VALUE(RIGHT(TRIM(Input!D465&amp;""),1)),0))</f>
        <v/>
      </c>
      <c r="C465" t="str">
        <f t="shared" si="7"/>
        <v/>
      </c>
      <c r="D465" t="str">
        <f>IF(A465="","",IFERROR(VALUE(SUBSTITUTE(TRIM(Input!E465&amp;""),"%","")),0)/IF(AND(IFERROR(VALUE(SUBSTITUTE(TRIM(Input!E465&amp;""),"%","")),0)&gt;0,IFERROR(VALUE(SUBSTITUTE(TRIM(Input!E465&amp;""),"%","")),0)&lt;1),1,100))</f>
        <v/>
      </c>
      <c r="E465" t="str">
        <f>IF(A465="","",IFERROR(VALUE(SUBSTITUTE(TRIM(Input!F465&amp;""),"%","")),0)/IF(AND(IFERROR(VALUE(SUBSTITUTE(TRIM(Input!F465&amp;""),"%","")),0)&gt;0,IFERROR(VALUE(SUBSTITUTE(TRIM(Input!F465&amp;""),"%","")),0)&lt;1),1,100))</f>
        <v/>
      </c>
      <c r="F465" t="str">
        <f>IF(A465="","",IFERROR(VALUE(SUBSTITUTE(TRIM(Input!G465&amp;""),"%","")),0)/IF(AND(IFERROR(VALUE(SUBSTITUTE(TRIM(Input!G465&amp;""),"%","")),0)&gt;0,IFERROR(VALUE(SUBSTITUTE(TRIM(Input!G465&amp;""),"%","")),0)&lt;1),1,100))</f>
        <v/>
      </c>
      <c r="G465" t="str">
        <f>IF(A465="","",IFERROR(VALUE(SUBSTITUTE(TRIM(Input!H465&amp;""),"%","")),0)/IF(AND(IFERROR(VALUE(SUBSTITUTE(TRIM(Input!H465&amp;""),"%","")),0)&gt;0,IFERROR(VALUE(SUBSTITUTE(TRIM(Input!H465&amp;""),"%","")),0)&lt;1),1,100))</f>
        <v/>
      </c>
      <c r="H465" t="str">
        <f>IF(A465="","",IFERROR(VALUE(SUBSTITUTE(TRIM(Input!I465&amp;""),"%","")),0)/IF(AND(IFERROR(VALUE(SUBSTITUTE(TRIM(Input!I465&amp;""),"%","")),0)&gt;0,IFERROR(VALUE(SUBSTITUTE(TRIM(Input!I465&amp;""),"%","")),0)&lt;1),1,100))</f>
        <v/>
      </c>
    </row>
    <row r="466" spans="1:8">
      <c r="A466" t="str">
        <f>IF(TRIM(Input!B466&amp;"")="","",UPPER(TRIM(Input!B466&amp;"")))</f>
        <v/>
      </c>
      <c r="B466" t="str">
        <f>IF(A466="","",IFERROR(VALUE(RIGHT(TRIM(Input!D466&amp;""),1)),0))</f>
        <v/>
      </c>
      <c r="C466" t="str">
        <f t="shared" si="7"/>
        <v/>
      </c>
      <c r="D466" t="str">
        <f>IF(A466="","",IFERROR(VALUE(SUBSTITUTE(TRIM(Input!E466&amp;""),"%","")),0)/IF(AND(IFERROR(VALUE(SUBSTITUTE(TRIM(Input!E466&amp;""),"%","")),0)&gt;0,IFERROR(VALUE(SUBSTITUTE(TRIM(Input!E466&amp;""),"%","")),0)&lt;1),1,100))</f>
        <v/>
      </c>
      <c r="E466" t="str">
        <f>IF(A466="","",IFERROR(VALUE(SUBSTITUTE(TRIM(Input!F466&amp;""),"%","")),0)/IF(AND(IFERROR(VALUE(SUBSTITUTE(TRIM(Input!F466&amp;""),"%","")),0)&gt;0,IFERROR(VALUE(SUBSTITUTE(TRIM(Input!F466&amp;""),"%","")),0)&lt;1),1,100))</f>
        <v/>
      </c>
      <c r="F466" t="str">
        <f>IF(A466="","",IFERROR(VALUE(SUBSTITUTE(TRIM(Input!G466&amp;""),"%","")),0)/IF(AND(IFERROR(VALUE(SUBSTITUTE(TRIM(Input!G466&amp;""),"%","")),0)&gt;0,IFERROR(VALUE(SUBSTITUTE(TRIM(Input!G466&amp;""),"%","")),0)&lt;1),1,100))</f>
        <v/>
      </c>
      <c r="G466" t="str">
        <f>IF(A466="","",IFERROR(VALUE(SUBSTITUTE(TRIM(Input!H466&amp;""),"%","")),0)/IF(AND(IFERROR(VALUE(SUBSTITUTE(TRIM(Input!H466&amp;""),"%","")),0)&gt;0,IFERROR(VALUE(SUBSTITUTE(TRIM(Input!H466&amp;""),"%","")),0)&lt;1),1,100))</f>
        <v/>
      </c>
      <c r="H466" t="str">
        <f>IF(A466="","",IFERROR(VALUE(SUBSTITUTE(TRIM(Input!I466&amp;""),"%","")),0)/IF(AND(IFERROR(VALUE(SUBSTITUTE(TRIM(Input!I466&amp;""),"%","")),0)&gt;0,IFERROR(VALUE(SUBSTITUTE(TRIM(Input!I466&amp;""),"%","")),0)&lt;1),1,100))</f>
        <v/>
      </c>
    </row>
    <row r="467" spans="1:8">
      <c r="A467" t="str">
        <f>IF(TRIM(Input!B467&amp;"")="","",UPPER(TRIM(Input!B467&amp;"")))</f>
        <v/>
      </c>
      <c r="B467" t="str">
        <f>IF(A467="","",IFERROR(VALUE(RIGHT(TRIM(Input!D467&amp;""),1)),0))</f>
        <v/>
      </c>
      <c r="C467" t="str">
        <f t="shared" si="7"/>
        <v/>
      </c>
      <c r="D467" t="str">
        <f>IF(A467="","",IFERROR(VALUE(SUBSTITUTE(TRIM(Input!E467&amp;""),"%","")),0)/IF(AND(IFERROR(VALUE(SUBSTITUTE(TRIM(Input!E467&amp;""),"%","")),0)&gt;0,IFERROR(VALUE(SUBSTITUTE(TRIM(Input!E467&amp;""),"%","")),0)&lt;1),1,100))</f>
        <v/>
      </c>
      <c r="E467" t="str">
        <f>IF(A467="","",IFERROR(VALUE(SUBSTITUTE(TRIM(Input!F467&amp;""),"%","")),0)/IF(AND(IFERROR(VALUE(SUBSTITUTE(TRIM(Input!F467&amp;""),"%","")),0)&gt;0,IFERROR(VALUE(SUBSTITUTE(TRIM(Input!F467&amp;""),"%","")),0)&lt;1),1,100))</f>
        <v/>
      </c>
      <c r="F467" t="str">
        <f>IF(A467="","",IFERROR(VALUE(SUBSTITUTE(TRIM(Input!G467&amp;""),"%","")),0)/IF(AND(IFERROR(VALUE(SUBSTITUTE(TRIM(Input!G467&amp;""),"%","")),0)&gt;0,IFERROR(VALUE(SUBSTITUTE(TRIM(Input!G467&amp;""),"%","")),0)&lt;1),1,100))</f>
        <v/>
      </c>
      <c r="G467" t="str">
        <f>IF(A467="","",IFERROR(VALUE(SUBSTITUTE(TRIM(Input!H467&amp;""),"%","")),0)/IF(AND(IFERROR(VALUE(SUBSTITUTE(TRIM(Input!H467&amp;""),"%","")),0)&gt;0,IFERROR(VALUE(SUBSTITUTE(TRIM(Input!H467&amp;""),"%","")),0)&lt;1),1,100))</f>
        <v/>
      </c>
      <c r="H467" t="str">
        <f>IF(A467="","",IFERROR(VALUE(SUBSTITUTE(TRIM(Input!I467&amp;""),"%","")),0)/IF(AND(IFERROR(VALUE(SUBSTITUTE(TRIM(Input!I467&amp;""),"%","")),0)&gt;0,IFERROR(VALUE(SUBSTITUTE(TRIM(Input!I467&amp;""),"%","")),0)&lt;1),1,100))</f>
        <v/>
      </c>
    </row>
    <row r="468" spans="1:8">
      <c r="A468" t="str">
        <f>IF(TRIM(Input!B468&amp;"")="","",UPPER(TRIM(Input!B468&amp;"")))</f>
        <v/>
      </c>
      <c r="B468" t="str">
        <f>IF(A468="","",IFERROR(VALUE(RIGHT(TRIM(Input!D468&amp;""),1)),0))</f>
        <v/>
      </c>
      <c r="C468" t="str">
        <f t="shared" si="7"/>
        <v/>
      </c>
      <c r="D468" t="str">
        <f>IF(A468="","",IFERROR(VALUE(SUBSTITUTE(TRIM(Input!E468&amp;""),"%","")),0)/IF(AND(IFERROR(VALUE(SUBSTITUTE(TRIM(Input!E468&amp;""),"%","")),0)&gt;0,IFERROR(VALUE(SUBSTITUTE(TRIM(Input!E468&amp;""),"%","")),0)&lt;1),1,100))</f>
        <v/>
      </c>
      <c r="E468" t="str">
        <f>IF(A468="","",IFERROR(VALUE(SUBSTITUTE(TRIM(Input!F468&amp;""),"%","")),0)/IF(AND(IFERROR(VALUE(SUBSTITUTE(TRIM(Input!F468&amp;""),"%","")),0)&gt;0,IFERROR(VALUE(SUBSTITUTE(TRIM(Input!F468&amp;""),"%","")),0)&lt;1),1,100))</f>
        <v/>
      </c>
      <c r="F468" t="str">
        <f>IF(A468="","",IFERROR(VALUE(SUBSTITUTE(TRIM(Input!G468&amp;""),"%","")),0)/IF(AND(IFERROR(VALUE(SUBSTITUTE(TRIM(Input!G468&amp;""),"%","")),0)&gt;0,IFERROR(VALUE(SUBSTITUTE(TRIM(Input!G468&amp;""),"%","")),0)&lt;1),1,100))</f>
        <v/>
      </c>
      <c r="G468" t="str">
        <f>IF(A468="","",IFERROR(VALUE(SUBSTITUTE(TRIM(Input!H468&amp;""),"%","")),0)/IF(AND(IFERROR(VALUE(SUBSTITUTE(TRIM(Input!H468&amp;""),"%","")),0)&gt;0,IFERROR(VALUE(SUBSTITUTE(TRIM(Input!H468&amp;""),"%","")),0)&lt;1),1,100))</f>
        <v/>
      </c>
      <c r="H468" t="str">
        <f>IF(A468="","",IFERROR(VALUE(SUBSTITUTE(TRIM(Input!I468&amp;""),"%","")),0)/IF(AND(IFERROR(VALUE(SUBSTITUTE(TRIM(Input!I468&amp;""),"%","")),0)&gt;0,IFERROR(VALUE(SUBSTITUTE(TRIM(Input!I468&amp;""),"%","")),0)&lt;1),1,100))</f>
        <v/>
      </c>
    </row>
    <row r="469" spans="1:8">
      <c r="A469" t="str">
        <f>IF(TRIM(Input!B469&amp;"")="","",UPPER(TRIM(Input!B469&amp;"")))</f>
        <v/>
      </c>
      <c r="B469" t="str">
        <f>IF(A469="","",IFERROR(VALUE(RIGHT(TRIM(Input!D469&amp;""),1)),0))</f>
        <v/>
      </c>
      <c r="C469" t="str">
        <f t="shared" si="7"/>
        <v/>
      </c>
      <c r="D469" t="str">
        <f>IF(A469="","",IFERROR(VALUE(SUBSTITUTE(TRIM(Input!E469&amp;""),"%","")),0)/IF(AND(IFERROR(VALUE(SUBSTITUTE(TRIM(Input!E469&amp;""),"%","")),0)&gt;0,IFERROR(VALUE(SUBSTITUTE(TRIM(Input!E469&amp;""),"%","")),0)&lt;1),1,100))</f>
        <v/>
      </c>
      <c r="E469" t="str">
        <f>IF(A469="","",IFERROR(VALUE(SUBSTITUTE(TRIM(Input!F469&amp;""),"%","")),0)/IF(AND(IFERROR(VALUE(SUBSTITUTE(TRIM(Input!F469&amp;""),"%","")),0)&gt;0,IFERROR(VALUE(SUBSTITUTE(TRIM(Input!F469&amp;""),"%","")),0)&lt;1),1,100))</f>
        <v/>
      </c>
      <c r="F469" t="str">
        <f>IF(A469="","",IFERROR(VALUE(SUBSTITUTE(TRIM(Input!G469&amp;""),"%","")),0)/IF(AND(IFERROR(VALUE(SUBSTITUTE(TRIM(Input!G469&amp;""),"%","")),0)&gt;0,IFERROR(VALUE(SUBSTITUTE(TRIM(Input!G469&amp;""),"%","")),0)&lt;1),1,100))</f>
        <v/>
      </c>
      <c r="G469" t="str">
        <f>IF(A469="","",IFERROR(VALUE(SUBSTITUTE(TRIM(Input!H469&amp;""),"%","")),0)/IF(AND(IFERROR(VALUE(SUBSTITUTE(TRIM(Input!H469&amp;""),"%","")),0)&gt;0,IFERROR(VALUE(SUBSTITUTE(TRIM(Input!H469&amp;""),"%","")),0)&lt;1),1,100))</f>
        <v/>
      </c>
      <c r="H469" t="str">
        <f>IF(A469="","",IFERROR(VALUE(SUBSTITUTE(TRIM(Input!I469&amp;""),"%","")),0)/IF(AND(IFERROR(VALUE(SUBSTITUTE(TRIM(Input!I469&amp;""),"%","")),0)&gt;0,IFERROR(VALUE(SUBSTITUTE(TRIM(Input!I469&amp;""),"%","")),0)&lt;1),1,100))</f>
        <v/>
      </c>
    </row>
    <row r="470" spans="1:8">
      <c r="A470" t="str">
        <f>IF(TRIM(Input!B470&amp;"")="","",UPPER(TRIM(Input!B470&amp;"")))</f>
        <v/>
      </c>
      <c r="B470" t="str">
        <f>IF(A470="","",IFERROR(VALUE(RIGHT(TRIM(Input!D470&amp;""),1)),0))</f>
        <v/>
      </c>
      <c r="C470" t="str">
        <f t="shared" si="7"/>
        <v/>
      </c>
      <c r="D470" t="str">
        <f>IF(A470="","",IFERROR(VALUE(SUBSTITUTE(TRIM(Input!E470&amp;""),"%","")),0)/IF(AND(IFERROR(VALUE(SUBSTITUTE(TRIM(Input!E470&amp;""),"%","")),0)&gt;0,IFERROR(VALUE(SUBSTITUTE(TRIM(Input!E470&amp;""),"%","")),0)&lt;1),1,100))</f>
        <v/>
      </c>
      <c r="E470" t="str">
        <f>IF(A470="","",IFERROR(VALUE(SUBSTITUTE(TRIM(Input!F470&amp;""),"%","")),0)/IF(AND(IFERROR(VALUE(SUBSTITUTE(TRIM(Input!F470&amp;""),"%","")),0)&gt;0,IFERROR(VALUE(SUBSTITUTE(TRIM(Input!F470&amp;""),"%","")),0)&lt;1),1,100))</f>
        <v/>
      </c>
      <c r="F470" t="str">
        <f>IF(A470="","",IFERROR(VALUE(SUBSTITUTE(TRIM(Input!G470&amp;""),"%","")),0)/IF(AND(IFERROR(VALUE(SUBSTITUTE(TRIM(Input!G470&amp;""),"%","")),0)&gt;0,IFERROR(VALUE(SUBSTITUTE(TRIM(Input!G470&amp;""),"%","")),0)&lt;1),1,100))</f>
        <v/>
      </c>
      <c r="G470" t="str">
        <f>IF(A470="","",IFERROR(VALUE(SUBSTITUTE(TRIM(Input!H470&amp;""),"%","")),0)/IF(AND(IFERROR(VALUE(SUBSTITUTE(TRIM(Input!H470&amp;""),"%","")),0)&gt;0,IFERROR(VALUE(SUBSTITUTE(TRIM(Input!H470&amp;""),"%","")),0)&lt;1),1,100))</f>
        <v/>
      </c>
      <c r="H470" t="str">
        <f>IF(A470="","",IFERROR(VALUE(SUBSTITUTE(TRIM(Input!I470&amp;""),"%","")),0)/IF(AND(IFERROR(VALUE(SUBSTITUTE(TRIM(Input!I470&amp;""),"%","")),0)&gt;0,IFERROR(VALUE(SUBSTITUTE(TRIM(Input!I470&amp;""),"%","")),0)&lt;1),1,100))</f>
        <v/>
      </c>
    </row>
    <row r="471" spans="1:8">
      <c r="A471" t="str">
        <f>IF(TRIM(Input!B471&amp;"")="","",UPPER(TRIM(Input!B471&amp;"")))</f>
        <v/>
      </c>
      <c r="B471" t="str">
        <f>IF(A471="","",IFERROR(VALUE(RIGHT(TRIM(Input!D471&amp;""),1)),0))</f>
        <v/>
      </c>
      <c r="C471" t="str">
        <f t="shared" si="7"/>
        <v/>
      </c>
      <c r="D471" t="str">
        <f>IF(A471="","",IFERROR(VALUE(SUBSTITUTE(TRIM(Input!E471&amp;""),"%","")),0)/IF(AND(IFERROR(VALUE(SUBSTITUTE(TRIM(Input!E471&amp;""),"%","")),0)&gt;0,IFERROR(VALUE(SUBSTITUTE(TRIM(Input!E471&amp;""),"%","")),0)&lt;1),1,100))</f>
        <v/>
      </c>
      <c r="E471" t="str">
        <f>IF(A471="","",IFERROR(VALUE(SUBSTITUTE(TRIM(Input!F471&amp;""),"%","")),0)/IF(AND(IFERROR(VALUE(SUBSTITUTE(TRIM(Input!F471&amp;""),"%","")),0)&gt;0,IFERROR(VALUE(SUBSTITUTE(TRIM(Input!F471&amp;""),"%","")),0)&lt;1),1,100))</f>
        <v/>
      </c>
      <c r="F471" t="str">
        <f>IF(A471="","",IFERROR(VALUE(SUBSTITUTE(TRIM(Input!G471&amp;""),"%","")),0)/IF(AND(IFERROR(VALUE(SUBSTITUTE(TRIM(Input!G471&amp;""),"%","")),0)&gt;0,IFERROR(VALUE(SUBSTITUTE(TRIM(Input!G471&amp;""),"%","")),0)&lt;1),1,100))</f>
        <v/>
      </c>
      <c r="G471" t="str">
        <f>IF(A471="","",IFERROR(VALUE(SUBSTITUTE(TRIM(Input!H471&amp;""),"%","")),0)/IF(AND(IFERROR(VALUE(SUBSTITUTE(TRIM(Input!H471&amp;""),"%","")),0)&gt;0,IFERROR(VALUE(SUBSTITUTE(TRIM(Input!H471&amp;""),"%","")),0)&lt;1),1,100))</f>
        <v/>
      </c>
      <c r="H471" t="str">
        <f>IF(A471="","",IFERROR(VALUE(SUBSTITUTE(TRIM(Input!I471&amp;""),"%","")),0)/IF(AND(IFERROR(VALUE(SUBSTITUTE(TRIM(Input!I471&amp;""),"%","")),0)&gt;0,IFERROR(VALUE(SUBSTITUTE(TRIM(Input!I471&amp;""),"%","")),0)&lt;1),1,100))</f>
        <v/>
      </c>
    </row>
    <row r="472" spans="1:8">
      <c r="A472" t="str">
        <f>IF(TRIM(Input!B472&amp;"")="","",UPPER(TRIM(Input!B472&amp;"")))</f>
        <v/>
      </c>
      <c r="B472" t="str">
        <f>IF(A472="","",IFERROR(VALUE(RIGHT(TRIM(Input!D472&amp;""),1)),0))</f>
        <v/>
      </c>
      <c r="C472" t="str">
        <f t="shared" si="7"/>
        <v/>
      </c>
      <c r="D472" t="str">
        <f>IF(A472="","",IFERROR(VALUE(SUBSTITUTE(TRIM(Input!E472&amp;""),"%","")),0)/IF(AND(IFERROR(VALUE(SUBSTITUTE(TRIM(Input!E472&amp;""),"%","")),0)&gt;0,IFERROR(VALUE(SUBSTITUTE(TRIM(Input!E472&amp;""),"%","")),0)&lt;1),1,100))</f>
        <v/>
      </c>
      <c r="E472" t="str">
        <f>IF(A472="","",IFERROR(VALUE(SUBSTITUTE(TRIM(Input!F472&amp;""),"%","")),0)/IF(AND(IFERROR(VALUE(SUBSTITUTE(TRIM(Input!F472&amp;""),"%","")),0)&gt;0,IFERROR(VALUE(SUBSTITUTE(TRIM(Input!F472&amp;""),"%","")),0)&lt;1),1,100))</f>
        <v/>
      </c>
      <c r="F472" t="str">
        <f>IF(A472="","",IFERROR(VALUE(SUBSTITUTE(TRIM(Input!G472&amp;""),"%","")),0)/IF(AND(IFERROR(VALUE(SUBSTITUTE(TRIM(Input!G472&amp;""),"%","")),0)&gt;0,IFERROR(VALUE(SUBSTITUTE(TRIM(Input!G472&amp;""),"%","")),0)&lt;1),1,100))</f>
        <v/>
      </c>
      <c r="G472" t="str">
        <f>IF(A472="","",IFERROR(VALUE(SUBSTITUTE(TRIM(Input!H472&amp;""),"%","")),0)/IF(AND(IFERROR(VALUE(SUBSTITUTE(TRIM(Input!H472&amp;""),"%","")),0)&gt;0,IFERROR(VALUE(SUBSTITUTE(TRIM(Input!H472&amp;""),"%","")),0)&lt;1),1,100))</f>
        <v/>
      </c>
      <c r="H472" t="str">
        <f>IF(A472="","",IFERROR(VALUE(SUBSTITUTE(TRIM(Input!I472&amp;""),"%","")),0)/IF(AND(IFERROR(VALUE(SUBSTITUTE(TRIM(Input!I472&amp;""),"%","")),0)&gt;0,IFERROR(VALUE(SUBSTITUTE(TRIM(Input!I472&amp;""),"%","")),0)&lt;1),1,100))</f>
        <v/>
      </c>
    </row>
    <row r="473" spans="1:8">
      <c r="A473" t="str">
        <f>IF(TRIM(Input!B473&amp;"")="","",UPPER(TRIM(Input!B473&amp;"")))</f>
        <v/>
      </c>
      <c r="B473" t="str">
        <f>IF(A473="","",IFERROR(VALUE(RIGHT(TRIM(Input!D473&amp;""),1)),0))</f>
        <v/>
      </c>
      <c r="C473" t="str">
        <f t="shared" si="7"/>
        <v/>
      </c>
      <c r="D473" t="str">
        <f>IF(A473="","",IFERROR(VALUE(SUBSTITUTE(TRIM(Input!E473&amp;""),"%","")),0)/IF(AND(IFERROR(VALUE(SUBSTITUTE(TRIM(Input!E473&amp;""),"%","")),0)&gt;0,IFERROR(VALUE(SUBSTITUTE(TRIM(Input!E473&amp;""),"%","")),0)&lt;1),1,100))</f>
        <v/>
      </c>
      <c r="E473" t="str">
        <f>IF(A473="","",IFERROR(VALUE(SUBSTITUTE(TRIM(Input!F473&amp;""),"%","")),0)/IF(AND(IFERROR(VALUE(SUBSTITUTE(TRIM(Input!F473&amp;""),"%","")),0)&gt;0,IFERROR(VALUE(SUBSTITUTE(TRIM(Input!F473&amp;""),"%","")),0)&lt;1),1,100))</f>
        <v/>
      </c>
      <c r="F473" t="str">
        <f>IF(A473="","",IFERROR(VALUE(SUBSTITUTE(TRIM(Input!G473&amp;""),"%","")),0)/IF(AND(IFERROR(VALUE(SUBSTITUTE(TRIM(Input!G473&amp;""),"%","")),0)&gt;0,IFERROR(VALUE(SUBSTITUTE(TRIM(Input!G473&amp;""),"%","")),0)&lt;1),1,100))</f>
        <v/>
      </c>
      <c r="G473" t="str">
        <f>IF(A473="","",IFERROR(VALUE(SUBSTITUTE(TRIM(Input!H473&amp;""),"%","")),0)/IF(AND(IFERROR(VALUE(SUBSTITUTE(TRIM(Input!H473&amp;""),"%","")),0)&gt;0,IFERROR(VALUE(SUBSTITUTE(TRIM(Input!H473&amp;""),"%","")),0)&lt;1),1,100))</f>
        <v/>
      </c>
      <c r="H473" t="str">
        <f>IF(A473="","",IFERROR(VALUE(SUBSTITUTE(TRIM(Input!I473&amp;""),"%","")),0)/IF(AND(IFERROR(VALUE(SUBSTITUTE(TRIM(Input!I473&amp;""),"%","")),0)&gt;0,IFERROR(VALUE(SUBSTITUTE(TRIM(Input!I473&amp;""),"%","")),0)&lt;1),1,100))</f>
        <v/>
      </c>
    </row>
    <row r="474" spans="1:8">
      <c r="A474" t="str">
        <f>IF(TRIM(Input!B474&amp;"")="","",UPPER(TRIM(Input!B474&amp;"")))</f>
        <v/>
      </c>
      <c r="B474" t="str">
        <f>IF(A474="","",IFERROR(VALUE(RIGHT(TRIM(Input!D474&amp;""),1)),0))</f>
        <v/>
      </c>
      <c r="C474" t="str">
        <f t="shared" si="7"/>
        <v/>
      </c>
      <c r="D474" t="str">
        <f>IF(A474="","",IFERROR(VALUE(SUBSTITUTE(TRIM(Input!E474&amp;""),"%","")),0)/IF(AND(IFERROR(VALUE(SUBSTITUTE(TRIM(Input!E474&amp;""),"%","")),0)&gt;0,IFERROR(VALUE(SUBSTITUTE(TRIM(Input!E474&amp;""),"%","")),0)&lt;1),1,100))</f>
        <v/>
      </c>
      <c r="E474" t="str">
        <f>IF(A474="","",IFERROR(VALUE(SUBSTITUTE(TRIM(Input!F474&amp;""),"%","")),0)/IF(AND(IFERROR(VALUE(SUBSTITUTE(TRIM(Input!F474&amp;""),"%","")),0)&gt;0,IFERROR(VALUE(SUBSTITUTE(TRIM(Input!F474&amp;""),"%","")),0)&lt;1),1,100))</f>
        <v/>
      </c>
      <c r="F474" t="str">
        <f>IF(A474="","",IFERROR(VALUE(SUBSTITUTE(TRIM(Input!G474&amp;""),"%","")),0)/IF(AND(IFERROR(VALUE(SUBSTITUTE(TRIM(Input!G474&amp;""),"%","")),0)&gt;0,IFERROR(VALUE(SUBSTITUTE(TRIM(Input!G474&amp;""),"%","")),0)&lt;1),1,100))</f>
        <v/>
      </c>
      <c r="G474" t="str">
        <f>IF(A474="","",IFERROR(VALUE(SUBSTITUTE(TRIM(Input!H474&amp;""),"%","")),0)/IF(AND(IFERROR(VALUE(SUBSTITUTE(TRIM(Input!H474&amp;""),"%","")),0)&gt;0,IFERROR(VALUE(SUBSTITUTE(TRIM(Input!H474&amp;""),"%","")),0)&lt;1),1,100))</f>
        <v/>
      </c>
      <c r="H474" t="str">
        <f>IF(A474="","",IFERROR(VALUE(SUBSTITUTE(TRIM(Input!I474&amp;""),"%","")),0)/IF(AND(IFERROR(VALUE(SUBSTITUTE(TRIM(Input!I474&amp;""),"%","")),0)&gt;0,IFERROR(VALUE(SUBSTITUTE(TRIM(Input!I474&amp;""),"%","")),0)&lt;1),1,100))</f>
        <v/>
      </c>
    </row>
    <row r="475" spans="1:8">
      <c r="A475" t="str">
        <f>IF(TRIM(Input!B475&amp;"")="","",UPPER(TRIM(Input!B475&amp;"")))</f>
        <v/>
      </c>
      <c r="B475" t="str">
        <f>IF(A475="","",IFERROR(VALUE(RIGHT(TRIM(Input!D475&amp;""),1)),0))</f>
        <v/>
      </c>
      <c r="C475" t="str">
        <f t="shared" si="7"/>
        <v/>
      </c>
      <c r="D475" t="str">
        <f>IF(A475="","",IFERROR(VALUE(SUBSTITUTE(TRIM(Input!E475&amp;""),"%","")),0)/IF(AND(IFERROR(VALUE(SUBSTITUTE(TRIM(Input!E475&amp;""),"%","")),0)&gt;0,IFERROR(VALUE(SUBSTITUTE(TRIM(Input!E475&amp;""),"%","")),0)&lt;1),1,100))</f>
        <v/>
      </c>
      <c r="E475" t="str">
        <f>IF(A475="","",IFERROR(VALUE(SUBSTITUTE(TRIM(Input!F475&amp;""),"%","")),0)/IF(AND(IFERROR(VALUE(SUBSTITUTE(TRIM(Input!F475&amp;""),"%","")),0)&gt;0,IFERROR(VALUE(SUBSTITUTE(TRIM(Input!F475&amp;""),"%","")),0)&lt;1),1,100))</f>
        <v/>
      </c>
      <c r="F475" t="str">
        <f>IF(A475="","",IFERROR(VALUE(SUBSTITUTE(TRIM(Input!G475&amp;""),"%","")),0)/IF(AND(IFERROR(VALUE(SUBSTITUTE(TRIM(Input!G475&amp;""),"%","")),0)&gt;0,IFERROR(VALUE(SUBSTITUTE(TRIM(Input!G475&amp;""),"%","")),0)&lt;1),1,100))</f>
        <v/>
      </c>
      <c r="G475" t="str">
        <f>IF(A475="","",IFERROR(VALUE(SUBSTITUTE(TRIM(Input!H475&amp;""),"%","")),0)/IF(AND(IFERROR(VALUE(SUBSTITUTE(TRIM(Input!H475&amp;""),"%","")),0)&gt;0,IFERROR(VALUE(SUBSTITUTE(TRIM(Input!H475&amp;""),"%","")),0)&lt;1),1,100))</f>
        <v/>
      </c>
      <c r="H475" t="str">
        <f>IF(A475="","",IFERROR(VALUE(SUBSTITUTE(TRIM(Input!I475&amp;""),"%","")),0)/IF(AND(IFERROR(VALUE(SUBSTITUTE(TRIM(Input!I475&amp;""),"%","")),0)&gt;0,IFERROR(VALUE(SUBSTITUTE(TRIM(Input!I475&amp;""),"%","")),0)&lt;1),1,100))</f>
        <v/>
      </c>
    </row>
    <row r="476" spans="1:8">
      <c r="A476" t="str">
        <f>IF(TRIM(Input!B476&amp;"")="","",UPPER(TRIM(Input!B476&amp;"")))</f>
        <v/>
      </c>
      <c r="B476" t="str">
        <f>IF(A476="","",IFERROR(VALUE(RIGHT(TRIM(Input!D476&amp;""),1)),0))</f>
        <v/>
      </c>
      <c r="C476" t="str">
        <f t="shared" si="7"/>
        <v/>
      </c>
      <c r="D476" t="str">
        <f>IF(A476="","",IFERROR(VALUE(SUBSTITUTE(TRIM(Input!E476&amp;""),"%","")),0)/IF(AND(IFERROR(VALUE(SUBSTITUTE(TRIM(Input!E476&amp;""),"%","")),0)&gt;0,IFERROR(VALUE(SUBSTITUTE(TRIM(Input!E476&amp;""),"%","")),0)&lt;1),1,100))</f>
        <v/>
      </c>
      <c r="E476" t="str">
        <f>IF(A476="","",IFERROR(VALUE(SUBSTITUTE(TRIM(Input!F476&amp;""),"%","")),0)/IF(AND(IFERROR(VALUE(SUBSTITUTE(TRIM(Input!F476&amp;""),"%","")),0)&gt;0,IFERROR(VALUE(SUBSTITUTE(TRIM(Input!F476&amp;""),"%","")),0)&lt;1),1,100))</f>
        <v/>
      </c>
      <c r="F476" t="str">
        <f>IF(A476="","",IFERROR(VALUE(SUBSTITUTE(TRIM(Input!G476&amp;""),"%","")),0)/IF(AND(IFERROR(VALUE(SUBSTITUTE(TRIM(Input!G476&amp;""),"%","")),0)&gt;0,IFERROR(VALUE(SUBSTITUTE(TRIM(Input!G476&amp;""),"%","")),0)&lt;1),1,100))</f>
        <v/>
      </c>
      <c r="G476" t="str">
        <f>IF(A476="","",IFERROR(VALUE(SUBSTITUTE(TRIM(Input!H476&amp;""),"%","")),0)/IF(AND(IFERROR(VALUE(SUBSTITUTE(TRIM(Input!H476&amp;""),"%","")),0)&gt;0,IFERROR(VALUE(SUBSTITUTE(TRIM(Input!H476&amp;""),"%","")),0)&lt;1),1,100))</f>
        <v/>
      </c>
      <c r="H476" t="str">
        <f>IF(A476="","",IFERROR(VALUE(SUBSTITUTE(TRIM(Input!I476&amp;""),"%","")),0)/IF(AND(IFERROR(VALUE(SUBSTITUTE(TRIM(Input!I476&amp;""),"%","")),0)&gt;0,IFERROR(VALUE(SUBSTITUTE(TRIM(Input!I476&amp;""),"%","")),0)&lt;1),1,100))</f>
        <v/>
      </c>
    </row>
    <row r="477" spans="1:8">
      <c r="A477" t="str">
        <f>IF(TRIM(Input!B477&amp;"")="","",UPPER(TRIM(Input!B477&amp;"")))</f>
        <v/>
      </c>
      <c r="B477" t="str">
        <f>IF(A477="","",IFERROR(VALUE(RIGHT(TRIM(Input!D477&amp;""),1)),0))</f>
        <v/>
      </c>
      <c r="C477" t="str">
        <f t="shared" si="7"/>
        <v/>
      </c>
      <c r="D477" t="str">
        <f>IF(A477="","",IFERROR(VALUE(SUBSTITUTE(TRIM(Input!E477&amp;""),"%","")),0)/IF(AND(IFERROR(VALUE(SUBSTITUTE(TRIM(Input!E477&amp;""),"%","")),0)&gt;0,IFERROR(VALUE(SUBSTITUTE(TRIM(Input!E477&amp;""),"%","")),0)&lt;1),1,100))</f>
        <v/>
      </c>
      <c r="E477" t="str">
        <f>IF(A477="","",IFERROR(VALUE(SUBSTITUTE(TRIM(Input!F477&amp;""),"%","")),0)/IF(AND(IFERROR(VALUE(SUBSTITUTE(TRIM(Input!F477&amp;""),"%","")),0)&gt;0,IFERROR(VALUE(SUBSTITUTE(TRIM(Input!F477&amp;""),"%","")),0)&lt;1),1,100))</f>
        <v/>
      </c>
      <c r="F477" t="str">
        <f>IF(A477="","",IFERROR(VALUE(SUBSTITUTE(TRIM(Input!G477&amp;""),"%","")),0)/IF(AND(IFERROR(VALUE(SUBSTITUTE(TRIM(Input!G477&amp;""),"%","")),0)&gt;0,IFERROR(VALUE(SUBSTITUTE(TRIM(Input!G477&amp;""),"%","")),0)&lt;1),1,100))</f>
        <v/>
      </c>
      <c r="G477" t="str">
        <f>IF(A477="","",IFERROR(VALUE(SUBSTITUTE(TRIM(Input!H477&amp;""),"%","")),0)/IF(AND(IFERROR(VALUE(SUBSTITUTE(TRIM(Input!H477&amp;""),"%","")),0)&gt;0,IFERROR(VALUE(SUBSTITUTE(TRIM(Input!H477&amp;""),"%","")),0)&lt;1),1,100))</f>
        <v/>
      </c>
      <c r="H477" t="str">
        <f>IF(A477="","",IFERROR(VALUE(SUBSTITUTE(TRIM(Input!I477&amp;""),"%","")),0)/IF(AND(IFERROR(VALUE(SUBSTITUTE(TRIM(Input!I477&amp;""),"%","")),0)&gt;0,IFERROR(VALUE(SUBSTITUTE(TRIM(Input!I477&amp;""),"%","")),0)&lt;1),1,100))</f>
        <v/>
      </c>
    </row>
    <row r="478" spans="1:8">
      <c r="A478" t="str">
        <f>IF(TRIM(Input!B478&amp;"")="","",UPPER(TRIM(Input!B478&amp;"")))</f>
        <v/>
      </c>
      <c r="B478" t="str">
        <f>IF(A478="","",IFERROR(VALUE(RIGHT(TRIM(Input!D478&amp;""),1)),0))</f>
        <v/>
      </c>
      <c r="C478" t="str">
        <f t="shared" si="7"/>
        <v/>
      </c>
      <c r="D478" t="str">
        <f>IF(A478="","",IFERROR(VALUE(SUBSTITUTE(TRIM(Input!E478&amp;""),"%","")),0)/IF(AND(IFERROR(VALUE(SUBSTITUTE(TRIM(Input!E478&amp;""),"%","")),0)&gt;0,IFERROR(VALUE(SUBSTITUTE(TRIM(Input!E478&amp;""),"%","")),0)&lt;1),1,100))</f>
        <v/>
      </c>
      <c r="E478" t="str">
        <f>IF(A478="","",IFERROR(VALUE(SUBSTITUTE(TRIM(Input!F478&amp;""),"%","")),0)/IF(AND(IFERROR(VALUE(SUBSTITUTE(TRIM(Input!F478&amp;""),"%","")),0)&gt;0,IFERROR(VALUE(SUBSTITUTE(TRIM(Input!F478&amp;""),"%","")),0)&lt;1),1,100))</f>
        <v/>
      </c>
      <c r="F478" t="str">
        <f>IF(A478="","",IFERROR(VALUE(SUBSTITUTE(TRIM(Input!G478&amp;""),"%","")),0)/IF(AND(IFERROR(VALUE(SUBSTITUTE(TRIM(Input!G478&amp;""),"%","")),0)&gt;0,IFERROR(VALUE(SUBSTITUTE(TRIM(Input!G478&amp;""),"%","")),0)&lt;1),1,100))</f>
        <v/>
      </c>
      <c r="G478" t="str">
        <f>IF(A478="","",IFERROR(VALUE(SUBSTITUTE(TRIM(Input!H478&amp;""),"%","")),0)/IF(AND(IFERROR(VALUE(SUBSTITUTE(TRIM(Input!H478&amp;""),"%","")),0)&gt;0,IFERROR(VALUE(SUBSTITUTE(TRIM(Input!H478&amp;""),"%","")),0)&lt;1),1,100))</f>
        <v/>
      </c>
      <c r="H478" t="str">
        <f>IF(A478="","",IFERROR(VALUE(SUBSTITUTE(TRIM(Input!I478&amp;""),"%","")),0)/IF(AND(IFERROR(VALUE(SUBSTITUTE(TRIM(Input!I478&amp;""),"%","")),0)&gt;0,IFERROR(VALUE(SUBSTITUTE(TRIM(Input!I478&amp;""),"%","")),0)&lt;1),1,100))</f>
        <v/>
      </c>
    </row>
    <row r="479" spans="1:8">
      <c r="A479" t="str">
        <f>IF(TRIM(Input!B479&amp;"")="","",UPPER(TRIM(Input!B479&amp;"")))</f>
        <v/>
      </c>
      <c r="B479" t="str">
        <f>IF(A479="","",IFERROR(VALUE(RIGHT(TRIM(Input!D479&amp;""),1)),0))</f>
        <v/>
      </c>
      <c r="C479" t="str">
        <f t="shared" si="7"/>
        <v/>
      </c>
      <c r="D479" t="str">
        <f>IF(A479="","",IFERROR(VALUE(SUBSTITUTE(TRIM(Input!E479&amp;""),"%","")),0)/IF(AND(IFERROR(VALUE(SUBSTITUTE(TRIM(Input!E479&amp;""),"%","")),0)&gt;0,IFERROR(VALUE(SUBSTITUTE(TRIM(Input!E479&amp;""),"%","")),0)&lt;1),1,100))</f>
        <v/>
      </c>
      <c r="E479" t="str">
        <f>IF(A479="","",IFERROR(VALUE(SUBSTITUTE(TRIM(Input!F479&amp;""),"%","")),0)/IF(AND(IFERROR(VALUE(SUBSTITUTE(TRIM(Input!F479&amp;""),"%","")),0)&gt;0,IFERROR(VALUE(SUBSTITUTE(TRIM(Input!F479&amp;""),"%","")),0)&lt;1),1,100))</f>
        <v/>
      </c>
      <c r="F479" t="str">
        <f>IF(A479="","",IFERROR(VALUE(SUBSTITUTE(TRIM(Input!G479&amp;""),"%","")),0)/IF(AND(IFERROR(VALUE(SUBSTITUTE(TRIM(Input!G479&amp;""),"%","")),0)&gt;0,IFERROR(VALUE(SUBSTITUTE(TRIM(Input!G479&amp;""),"%","")),0)&lt;1),1,100))</f>
        <v/>
      </c>
      <c r="G479" t="str">
        <f>IF(A479="","",IFERROR(VALUE(SUBSTITUTE(TRIM(Input!H479&amp;""),"%","")),0)/IF(AND(IFERROR(VALUE(SUBSTITUTE(TRIM(Input!H479&amp;""),"%","")),0)&gt;0,IFERROR(VALUE(SUBSTITUTE(TRIM(Input!H479&amp;""),"%","")),0)&lt;1),1,100))</f>
        <v/>
      </c>
      <c r="H479" t="str">
        <f>IF(A479="","",IFERROR(VALUE(SUBSTITUTE(TRIM(Input!I479&amp;""),"%","")),0)/IF(AND(IFERROR(VALUE(SUBSTITUTE(TRIM(Input!I479&amp;""),"%","")),0)&gt;0,IFERROR(VALUE(SUBSTITUTE(TRIM(Input!I479&amp;""),"%","")),0)&lt;1),1,100))</f>
        <v/>
      </c>
    </row>
    <row r="480" spans="1:8">
      <c r="A480" t="str">
        <f>IF(TRIM(Input!B480&amp;"")="","",UPPER(TRIM(Input!B480&amp;"")))</f>
        <v/>
      </c>
      <c r="B480" t="str">
        <f>IF(A480="","",IFERROR(VALUE(RIGHT(TRIM(Input!D480&amp;""),1)),0))</f>
        <v/>
      </c>
      <c r="C480" t="str">
        <f t="shared" si="7"/>
        <v/>
      </c>
      <c r="D480" t="str">
        <f>IF(A480="","",IFERROR(VALUE(SUBSTITUTE(TRIM(Input!E480&amp;""),"%","")),0)/IF(AND(IFERROR(VALUE(SUBSTITUTE(TRIM(Input!E480&amp;""),"%","")),0)&gt;0,IFERROR(VALUE(SUBSTITUTE(TRIM(Input!E480&amp;""),"%","")),0)&lt;1),1,100))</f>
        <v/>
      </c>
      <c r="E480" t="str">
        <f>IF(A480="","",IFERROR(VALUE(SUBSTITUTE(TRIM(Input!F480&amp;""),"%","")),0)/IF(AND(IFERROR(VALUE(SUBSTITUTE(TRIM(Input!F480&amp;""),"%","")),0)&gt;0,IFERROR(VALUE(SUBSTITUTE(TRIM(Input!F480&amp;""),"%","")),0)&lt;1),1,100))</f>
        <v/>
      </c>
      <c r="F480" t="str">
        <f>IF(A480="","",IFERROR(VALUE(SUBSTITUTE(TRIM(Input!G480&amp;""),"%","")),0)/IF(AND(IFERROR(VALUE(SUBSTITUTE(TRIM(Input!G480&amp;""),"%","")),0)&gt;0,IFERROR(VALUE(SUBSTITUTE(TRIM(Input!G480&amp;""),"%","")),0)&lt;1),1,100))</f>
        <v/>
      </c>
      <c r="G480" t="str">
        <f>IF(A480="","",IFERROR(VALUE(SUBSTITUTE(TRIM(Input!H480&amp;""),"%","")),0)/IF(AND(IFERROR(VALUE(SUBSTITUTE(TRIM(Input!H480&amp;""),"%","")),0)&gt;0,IFERROR(VALUE(SUBSTITUTE(TRIM(Input!H480&amp;""),"%","")),0)&lt;1),1,100))</f>
        <v/>
      </c>
      <c r="H480" t="str">
        <f>IF(A480="","",IFERROR(VALUE(SUBSTITUTE(TRIM(Input!I480&amp;""),"%","")),0)/IF(AND(IFERROR(VALUE(SUBSTITUTE(TRIM(Input!I480&amp;""),"%","")),0)&gt;0,IFERROR(VALUE(SUBSTITUTE(TRIM(Input!I480&amp;""),"%","")),0)&lt;1),1,100))</f>
        <v/>
      </c>
    </row>
    <row r="481" spans="1:8">
      <c r="A481" t="str">
        <f>IF(TRIM(Input!B481&amp;"")="","",UPPER(TRIM(Input!B481&amp;"")))</f>
        <v/>
      </c>
      <c r="B481" t="str">
        <f>IF(A481="","",IFERROR(VALUE(RIGHT(TRIM(Input!D481&amp;""),1)),0))</f>
        <v/>
      </c>
      <c r="C481" t="str">
        <f t="shared" si="7"/>
        <v/>
      </c>
      <c r="D481" t="str">
        <f>IF(A481="","",IFERROR(VALUE(SUBSTITUTE(TRIM(Input!E481&amp;""),"%","")),0)/IF(AND(IFERROR(VALUE(SUBSTITUTE(TRIM(Input!E481&amp;""),"%","")),0)&gt;0,IFERROR(VALUE(SUBSTITUTE(TRIM(Input!E481&amp;""),"%","")),0)&lt;1),1,100))</f>
        <v/>
      </c>
      <c r="E481" t="str">
        <f>IF(A481="","",IFERROR(VALUE(SUBSTITUTE(TRIM(Input!F481&amp;""),"%","")),0)/IF(AND(IFERROR(VALUE(SUBSTITUTE(TRIM(Input!F481&amp;""),"%","")),0)&gt;0,IFERROR(VALUE(SUBSTITUTE(TRIM(Input!F481&amp;""),"%","")),0)&lt;1),1,100))</f>
        <v/>
      </c>
      <c r="F481" t="str">
        <f>IF(A481="","",IFERROR(VALUE(SUBSTITUTE(TRIM(Input!G481&amp;""),"%","")),0)/IF(AND(IFERROR(VALUE(SUBSTITUTE(TRIM(Input!G481&amp;""),"%","")),0)&gt;0,IFERROR(VALUE(SUBSTITUTE(TRIM(Input!G481&amp;""),"%","")),0)&lt;1),1,100))</f>
        <v/>
      </c>
      <c r="G481" t="str">
        <f>IF(A481="","",IFERROR(VALUE(SUBSTITUTE(TRIM(Input!H481&amp;""),"%","")),0)/IF(AND(IFERROR(VALUE(SUBSTITUTE(TRIM(Input!H481&amp;""),"%","")),0)&gt;0,IFERROR(VALUE(SUBSTITUTE(TRIM(Input!H481&amp;""),"%","")),0)&lt;1),1,100))</f>
        <v/>
      </c>
      <c r="H481" t="str">
        <f>IF(A481="","",IFERROR(VALUE(SUBSTITUTE(TRIM(Input!I481&amp;""),"%","")),0)/IF(AND(IFERROR(VALUE(SUBSTITUTE(TRIM(Input!I481&amp;""),"%","")),0)&gt;0,IFERROR(VALUE(SUBSTITUTE(TRIM(Input!I481&amp;""),"%","")),0)&lt;1),1,100))</f>
        <v/>
      </c>
    </row>
    <row r="482" spans="1:8">
      <c r="A482" t="str">
        <f>IF(TRIM(Input!B482&amp;"")="","",UPPER(TRIM(Input!B482&amp;"")))</f>
        <v/>
      </c>
      <c r="B482" t="str">
        <f>IF(A482="","",IFERROR(VALUE(RIGHT(TRIM(Input!D482&amp;""),1)),0))</f>
        <v/>
      </c>
      <c r="C482" t="str">
        <f t="shared" si="7"/>
        <v/>
      </c>
      <c r="D482" t="str">
        <f>IF(A482="","",IFERROR(VALUE(SUBSTITUTE(TRIM(Input!E482&amp;""),"%","")),0)/IF(AND(IFERROR(VALUE(SUBSTITUTE(TRIM(Input!E482&amp;""),"%","")),0)&gt;0,IFERROR(VALUE(SUBSTITUTE(TRIM(Input!E482&amp;""),"%","")),0)&lt;1),1,100))</f>
        <v/>
      </c>
      <c r="E482" t="str">
        <f>IF(A482="","",IFERROR(VALUE(SUBSTITUTE(TRIM(Input!F482&amp;""),"%","")),0)/IF(AND(IFERROR(VALUE(SUBSTITUTE(TRIM(Input!F482&amp;""),"%","")),0)&gt;0,IFERROR(VALUE(SUBSTITUTE(TRIM(Input!F482&amp;""),"%","")),0)&lt;1),1,100))</f>
        <v/>
      </c>
      <c r="F482" t="str">
        <f>IF(A482="","",IFERROR(VALUE(SUBSTITUTE(TRIM(Input!G482&amp;""),"%","")),0)/IF(AND(IFERROR(VALUE(SUBSTITUTE(TRIM(Input!G482&amp;""),"%","")),0)&gt;0,IFERROR(VALUE(SUBSTITUTE(TRIM(Input!G482&amp;""),"%","")),0)&lt;1),1,100))</f>
        <v/>
      </c>
      <c r="G482" t="str">
        <f>IF(A482="","",IFERROR(VALUE(SUBSTITUTE(TRIM(Input!H482&amp;""),"%","")),0)/IF(AND(IFERROR(VALUE(SUBSTITUTE(TRIM(Input!H482&amp;""),"%","")),0)&gt;0,IFERROR(VALUE(SUBSTITUTE(TRIM(Input!H482&amp;""),"%","")),0)&lt;1),1,100))</f>
        <v/>
      </c>
      <c r="H482" t="str">
        <f>IF(A482="","",IFERROR(VALUE(SUBSTITUTE(TRIM(Input!I482&amp;""),"%","")),0)/IF(AND(IFERROR(VALUE(SUBSTITUTE(TRIM(Input!I482&amp;""),"%","")),0)&gt;0,IFERROR(VALUE(SUBSTITUTE(TRIM(Input!I482&amp;""),"%","")),0)&lt;1),1,100))</f>
        <v/>
      </c>
    </row>
    <row r="483" spans="1:8">
      <c r="A483" t="str">
        <f>IF(TRIM(Input!B483&amp;"")="","",UPPER(TRIM(Input!B483&amp;"")))</f>
        <v/>
      </c>
      <c r="B483" t="str">
        <f>IF(A483="","",IFERROR(VALUE(RIGHT(TRIM(Input!D483&amp;""),1)),0))</f>
        <v/>
      </c>
      <c r="C483" t="str">
        <f t="shared" si="7"/>
        <v/>
      </c>
      <c r="D483" t="str">
        <f>IF(A483="","",IFERROR(VALUE(SUBSTITUTE(TRIM(Input!E483&amp;""),"%","")),0)/IF(AND(IFERROR(VALUE(SUBSTITUTE(TRIM(Input!E483&amp;""),"%","")),0)&gt;0,IFERROR(VALUE(SUBSTITUTE(TRIM(Input!E483&amp;""),"%","")),0)&lt;1),1,100))</f>
        <v/>
      </c>
      <c r="E483" t="str">
        <f>IF(A483="","",IFERROR(VALUE(SUBSTITUTE(TRIM(Input!F483&amp;""),"%","")),0)/IF(AND(IFERROR(VALUE(SUBSTITUTE(TRIM(Input!F483&amp;""),"%","")),0)&gt;0,IFERROR(VALUE(SUBSTITUTE(TRIM(Input!F483&amp;""),"%","")),0)&lt;1),1,100))</f>
        <v/>
      </c>
      <c r="F483" t="str">
        <f>IF(A483="","",IFERROR(VALUE(SUBSTITUTE(TRIM(Input!G483&amp;""),"%","")),0)/IF(AND(IFERROR(VALUE(SUBSTITUTE(TRIM(Input!G483&amp;""),"%","")),0)&gt;0,IFERROR(VALUE(SUBSTITUTE(TRIM(Input!G483&amp;""),"%","")),0)&lt;1),1,100))</f>
        <v/>
      </c>
      <c r="G483" t="str">
        <f>IF(A483="","",IFERROR(VALUE(SUBSTITUTE(TRIM(Input!H483&amp;""),"%","")),0)/IF(AND(IFERROR(VALUE(SUBSTITUTE(TRIM(Input!H483&amp;""),"%","")),0)&gt;0,IFERROR(VALUE(SUBSTITUTE(TRIM(Input!H483&amp;""),"%","")),0)&lt;1),1,100))</f>
        <v/>
      </c>
      <c r="H483" t="str">
        <f>IF(A483="","",IFERROR(VALUE(SUBSTITUTE(TRIM(Input!I483&amp;""),"%","")),0)/IF(AND(IFERROR(VALUE(SUBSTITUTE(TRIM(Input!I483&amp;""),"%","")),0)&gt;0,IFERROR(VALUE(SUBSTITUTE(TRIM(Input!I483&amp;""),"%","")),0)&lt;1),1,100))</f>
        <v/>
      </c>
    </row>
    <row r="484" spans="1:8">
      <c r="A484" t="str">
        <f>IF(TRIM(Input!B484&amp;"")="","",UPPER(TRIM(Input!B484&amp;"")))</f>
        <v/>
      </c>
      <c r="B484" t="str">
        <f>IF(A484="","",IFERROR(VALUE(RIGHT(TRIM(Input!D484&amp;""),1)),0))</f>
        <v/>
      </c>
      <c r="C484" t="str">
        <f t="shared" si="7"/>
        <v/>
      </c>
      <c r="D484" t="str">
        <f>IF(A484="","",IFERROR(VALUE(SUBSTITUTE(TRIM(Input!E484&amp;""),"%","")),0)/IF(AND(IFERROR(VALUE(SUBSTITUTE(TRIM(Input!E484&amp;""),"%","")),0)&gt;0,IFERROR(VALUE(SUBSTITUTE(TRIM(Input!E484&amp;""),"%","")),0)&lt;1),1,100))</f>
        <v/>
      </c>
      <c r="E484" t="str">
        <f>IF(A484="","",IFERROR(VALUE(SUBSTITUTE(TRIM(Input!F484&amp;""),"%","")),0)/IF(AND(IFERROR(VALUE(SUBSTITUTE(TRIM(Input!F484&amp;""),"%","")),0)&gt;0,IFERROR(VALUE(SUBSTITUTE(TRIM(Input!F484&amp;""),"%","")),0)&lt;1),1,100))</f>
        <v/>
      </c>
      <c r="F484" t="str">
        <f>IF(A484="","",IFERROR(VALUE(SUBSTITUTE(TRIM(Input!G484&amp;""),"%","")),0)/IF(AND(IFERROR(VALUE(SUBSTITUTE(TRIM(Input!G484&amp;""),"%","")),0)&gt;0,IFERROR(VALUE(SUBSTITUTE(TRIM(Input!G484&amp;""),"%","")),0)&lt;1),1,100))</f>
        <v/>
      </c>
      <c r="G484" t="str">
        <f>IF(A484="","",IFERROR(VALUE(SUBSTITUTE(TRIM(Input!H484&amp;""),"%","")),0)/IF(AND(IFERROR(VALUE(SUBSTITUTE(TRIM(Input!H484&amp;""),"%","")),0)&gt;0,IFERROR(VALUE(SUBSTITUTE(TRIM(Input!H484&amp;""),"%","")),0)&lt;1),1,100))</f>
        <v/>
      </c>
      <c r="H484" t="str">
        <f>IF(A484="","",IFERROR(VALUE(SUBSTITUTE(TRIM(Input!I484&amp;""),"%","")),0)/IF(AND(IFERROR(VALUE(SUBSTITUTE(TRIM(Input!I484&amp;""),"%","")),0)&gt;0,IFERROR(VALUE(SUBSTITUTE(TRIM(Input!I484&amp;""),"%","")),0)&lt;1),1,100))</f>
        <v/>
      </c>
    </row>
    <row r="485" spans="1:8">
      <c r="A485" t="str">
        <f>IF(TRIM(Input!B485&amp;"")="","",UPPER(TRIM(Input!B485&amp;"")))</f>
        <v/>
      </c>
      <c r="B485" t="str">
        <f>IF(A485="","",IFERROR(VALUE(RIGHT(TRIM(Input!D485&amp;""),1)),0))</f>
        <v/>
      </c>
      <c r="C485" t="str">
        <f t="shared" si="7"/>
        <v/>
      </c>
      <c r="D485" t="str">
        <f>IF(A485="","",IFERROR(VALUE(SUBSTITUTE(TRIM(Input!E485&amp;""),"%","")),0)/IF(AND(IFERROR(VALUE(SUBSTITUTE(TRIM(Input!E485&amp;""),"%","")),0)&gt;0,IFERROR(VALUE(SUBSTITUTE(TRIM(Input!E485&amp;""),"%","")),0)&lt;1),1,100))</f>
        <v/>
      </c>
      <c r="E485" t="str">
        <f>IF(A485="","",IFERROR(VALUE(SUBSTITUTE(TRIM(Input!F485&amp;""),"%","")),0)/IF(AND(IFERROR(VALUE(SUBSTITUTE(TRIM(Input!F485&amp;""),"%","")),0)&gt;0,IFERROR(VALUE(SUBSTITUTE(TRIM(Input!F485&amp;""),"%","")),0)&lt;1),1,100))</f>
        <v/>
      </c>
      <c r="F485" t="str">
        <f>IF(A485="","",IFERROR(VALUE(SUBSTITUTE(TRIM(Input!G485&amp;""),"%","")),0)/IF(AND(IFERROR(VALUE(SUBSTITUTE(TRIM(Input!G485&amp;""),"%","")),0)&gt;0,IFERROR(VALUE(SUBSTITUTE(TRIM(Input!G485&amp;""),"%","")),0)&lt;1),1,100))</f>
        <v/>
      </c>
      <c r="G485" t="str">
        <f>IF(A485="","",IFERROR(VALUE(SUBSTITUTE(TRIM(Input!H485&amp;""),"%","")),0)/IF(AND(IFERROR(VALUE(SUBSTITUTE(TRIM(Input!H485&amp;""),"%","")),0)&gt;0,IFERROR(VALUE(SUBSTITUTE(TRIM(Input!H485&amp;""),"%","")),0)&lt;1),1,100))</f>
        <v/>
      </c>
      <c r="H485" t="str">
        <f>IF(A485="","",IFERROR(VALUE(SUBSTITUTE(TRIM(Input!I485&amp;""),"%","")),0)/IF(AND(IFERROR(VALUE(SUBSTITUTE(TRIM(Input!I485&amp;""),"%","")),0)&gt;0,IFERROR(VALUE(SUBSTITUTE(TRIM(Input!I485&amp;""),"%","")),0)&lt;1),1,100))</f>
        <v/>
      </c>
    </row>
    <row r="486" spans="1:8">
      <c r="A486" t="str">
        <f>IF(TRIM(Input!B486&amp;"")="","",UPPER(TRIM(Input!B486&amp;"")))</f>
        <v/>
      </c>
      <c r="B486" t="str">
        <f>IF(A486="","",IFERROR(VALUE(RIGHT(TRIM(Input!D486&amp;""),1)),0))</f>
        <v/>
      </c>
      <c r="C486" t="str">
        <f t="shared" si="7"/>
        <v/>
      </c>
      <c r="D486" t="str">
        <f>IF(A486="","",IFERROR(VALUE(SUBSTITUTE(TRIM(Input!E486&amp;""),"%","")),0)/IF(AND(IFERROR(VALUE(SUBSTITUTE(TRIM(Input!E486&amp;""),"%","")),0)&gt;0,IFERROR(VALUE(SUBSTITUTE(TRIM(Input!E486&amp;""),"%","")),0)&lt;1),1,100))</f>
        <v/>
      </c>
      <c r="E486" t="str">
        <f>IF(A486="","",IFERROR(VALUE(SUBSTITUTE(TRIM(Input!F486&amp;""),"%","")),0)/IF(AND(IFERROR(VALUE(SUBSTITUTE(TRIM(Input!F486&amp;""),"%","")),0)&gt;0,IFERROR(VALUE(SUBSTITUTE(TRIM(Input!F486&amp;""),"%","")),0)&lt;1),1,100))</f>
        <v/>
      </c>
      <c r="F486" t="str">
        <f>IF(A486="","",IFERROR(VALUE(SUBSTITUTE(TRIM(Input!G486&amp;""),"%","")),0)/IF(AND(IFERROR(VALUE(SUBSTITUTE(TRIM(Input!G486&amp;""),"%","")),0)&gt;0,IFERROR(VALUE(SUBSTITUTE(TRIM(Input!G486&amp;""),"%","")),0)&lt;1),1,100))</f>
        <v/>
      </c>
      <c r="G486" t="str">
        <f>IF(A486="","",IFERROR(VALUE(SUBSTITUTE(TRIM(Input!H486&amp;""),"%","")),0)/IF(AND(IFERROR(VALUE(SUBSTITUTE(TRIM(Input!H486&amp;""),"%","")),0)&gt;0,IFERROR(VALUE(SUBSTITUTE(TRIM(Input!H486&amp;""),"%","")),0)&lt;1),1,100))</f>
        <v/>
      </c>
      <c r="H486" t="str">
        <f>IF(A486="","",IFERROR(VALUE(SUBSTITUTE(TRIM(Input!I486&amp;""),"%","")),0)/IF(AND(IFERROR(VALUE(SUBSTITUTE(TRIM(Input!I486&amp;""),"%","")),0)&gt;0,IFERROR(VALUE(SUBSTITUTE(TRIM(Input!I486&amp;""),"%","")),0)&lt;1),1,100))</f>
        <v/>
      </c>
    </row>
    <row r="487" spans="1:8">
      <c r="A487" t="str">
        <f>IF(TRIM(Input!B487&amp;"")="","",UPPER(TRIM(Input!B487&amp;"")))</f>
        <v/>
      </c>
      <c r="B487" t="str">
        <f>IF(A487="","",IFERROR(VALUE(RIGHT(TRIM(Input!D487&amp;""),1)),0))</f>
        <v/>
      </c>
      <c r="C487" t="str">
        <f t="shared" si="7"/>
        <v/>
      </c>
      <c r="D487" t="str">
        <f>IF(A487="","",IFERROR(VALUE(SUBSTITUTE(TRIM(Input!E487&amp;""),"%","")),0)/IF(AND(IFERROR(VALUE(SUBSTITUTE(TRIM(Input!E487&amp;""),"%","")),0)&gt;0,IFERROR(VALUE(SUBSTITUTE(TRIM(Input!E487&amp;""),"%","")),0)&lt;1),1,100))</f>
        <v/>
      </c>
      <c r="E487" t="str">
        <f>IF(A487="","",IFERROR(VALUE(SUBSTITUTE(TRIM(Input!F487&amp;""),"%","")),0)/IF(AND(IFERROR(VALUE(SUBSTITUTE(TRIM(Input!F487&amp;""),"%","")),0)&gt;0,IFERROR(VALUE(SUBSTITUTE(TRIM(Input!F487&amp;""),"%","")),0)&lt;1),1,100))</f>
        <v/>
      </c>
      <c r="F487" t="str">
        <f>IF(A487="","",IFERROR(VALUE(SUBSTITUTE(TRIM(Input!G487&amp;""),"%","")),0)/IF(AND(IFERROR(VALUE(SUBSTITUTE(TRIM(Input!G487&amp;""),"%","")),0)&gt;0,IFERROR(VALUE(SUBSTITUTE(TRIM(Input!G487&amp;""),"%","")),0)&lt;1),1,100))</f>
        <v/>
      </c>
      <c r="G487" t="str">
        <f>IF(A487="","",IFERROR(VALUE(SUBSTITUTE(TRIM(Input!H487&amp;""),"%","")),0)/IF(AND(IFERROR(VALUE(SUBSTITUTE(TRIM(Input!H487&amp;""),"%","")),0)&gt;0,IFERROR(VALUE(SUBSTITUTE(TRIM(Input!H487&amp;""),"%","")),0)&lt;1),1,100))</f>
        <v/>
      </c>
      <c r="H487" t="str">
        <f>IF(A487="","",IFERROR(VALUE(SUBSTITUTE(TRIM(Input!I487&amp;""),"%","")),0)/IF(AND(IFERROR(VALUE(SUBSTITUTE(TRIM(Input!I487&amp;""),"%","")),0)&gt;0,IFERROR(VALUE(SUBSTITUTE(TRIM(Input!I487&amp;""),"%","")),0)&lt;1),1,100))</f>
        <v/>
      </c>
    </row>
    <row r="488" spans="1:8">
      <c r="A488" t="str">
        <f>IF(TRIM(Input!B488&amp;"")="","",UPPER(TRIM(Input!B488&amp;"")))</f>
        <v/>
      </c>
      <c r="B488" t="str">
        <f>IF(A488="","",IFERROR(VALUE(RIGHT(TRIM(Input!D488&amp;""),1)),0))</f>
        <v/>
      </c>
      <c r="C488" t="str">
        <f t="shared" si="7"/>
        <v/>
      </c>
      <c r="D488" t="str">
        <f>IF(A488="","",IFERROR(VALUE(SUBSTITUTE(TRIM(Input!E488&amp;""),"%","")),0)/IF(AND(IFERROR(VALUE(SUBSTITUTE(TRIM(Input!E488&amp;""),"%","")),0)&gt;0,IFERROR(VALUE(SUBSTITUTE(TRIM(Input!E488&amp;""),"%","")),0)&lt;1),1,100))</f>
        <v/>
      </c>
      <c r="E488" t="str">
        <f>IF(A488="","",IFERROR(VALUE(SUBSTITUTE(TRIM(Input!F488&amp;""),"%","")),0)/IF(AND(IFERROR(VALUE(SUBSTITUTE(TRIM(Input!F488&amp;""),"%","")),0)&gt;0,IFERROR(VALUE(SUBSTITUTE(TRIM(Input!F488&amp;""),"%","")),0)&lt;1),1,100))</f>
        <v/>
      </c>
      <c r="F488" t="str">
        <f>IF(A488="","",IFERROR(VALUE(SUBSTITUTE(TRIM(Input!G488&amp;""),"%","")),0)/IF(AND(IFERROR(VALUE(SUBSTITUTE(TRIM(Input!G488&amp;""),"%","")),0)&gt;0,IFERROR(VALUE(SUBSTITUTE(TRIM(Input!G488&amp;""),"%","")),0)&lt;1),1,100))</f>
        <v/>
      </c>
      <c r="G488" t="str">
        <f>IF(A488="","",IFERROR(VALUE(SUBSTITUTE(TRIM(Input!H488&amp;""),"%","")),0)/IF(AND(IFERROR(VALUE(SUBSTITUTE(TRIM(Input!H488&amp;""),"%","")),0)&gt;0,IFERROR(VALUE(SUBSTITUTE(TRIM(Input!H488&amp;""),"%","")),0)&lt;1),1,100))</f>
        <v/>
      </c>
      <c r="H488" t="str">
        <f>IF(A488="","",IFERROR(VALUE(SUBSTITUTE(TRIM(Input!I488&amp;""),"%","")),0)/IF(AND(IFERROR(VALUE(SUBSTITUTE(TRIM(Input!I488&amp;""),"%","")),0)&gt;0,IFERROR(VALUE(SUBSTITUTE(TRIM(Input!I488&amp;""),"%","")),0)&lt;1),1,100))</f>
        <v/>
      </c>
    </row>
    <row r="489" spans="1:8">
      <c r="A489" t="str">
        <f>IF(TRIM(Input!B489&amp;"")="","",UPPER(TRIM(Input!B489&amp;"")))</f>
        <v/>
      </c>
      <c r="B489" t="str">
        <f>IF(A489="","",IFERROR(VALUE(RIGHT(TRIM(Input!D489&amp;""),1)),0))</f>
        <v/>
      </c>
      <c r="C489" t="str">
        <f t="shared" si="7"/>
        <v/>
      </c>
      <c r="D489" t="str">
        <f>IF(A489="","",IFERROR(VALUE(SUBSTITUTE(TRIM(Input!E489&amp;""),"%","")),0)/IF(AND(IFERROR(VALUE(SUBSTITUTE(TRIM(Input!E489&amp;""),"%","")),0)&gt;0,IFERROR(VALUE(SUBSTITUTE(TRIM(Input!E489&amp;""),"%","")),0)&lt;1),1,100))</f>
        <v/>
      </c>
      <c r="E489" t="str">
        <f>IF(A489="","",IFERROR(VALUE(SUBSTITUTE(TRIM(Input!F489&amp;""),"%","")),0)/IF(AND(IFERROR(VALUE(SUBSTITUTE(TRIM(Input!F489&amp;""),"%","")),0)&gt;0,IFERROR(VALUE(SUBSTITUTE(TRIM(Input!F489&amp;""),"%","")),0)&lt;1),1,100))</f>
        <v/>
      </c>
      <c r="F489" t="str">
        <f>IF(A489="","",IFERROR(VALUE(SUBSTITUTE(TRIM(Input!G489&amp;""),"%","")),0)/IF(AND(IFERROR(VALUE(SUBSTITUTE(TRIM(Input!G489&amp;""),"%","")),0)&gt;0,IFERROR(VALUE(SUBSTITUTE(TRIM(Input!G489&amp;""),"%","")),0)&lt;1),1,100))</f>
        <v/>
      </c>
      <c r="G489" t="str">
        <f>IF(A489="","",IFERROR(VALUE(SUBSTITUTE(TRIM(Input!H489&amp;""),"%","")),0)/IF(AND(IFERROR(VALUE(SUBSTITUTE(TRIM(Input!H489&amp;""),"%","")),0)&gt;0,IFERROR(VALUE(SUBSTITUTE(TRIM(Input!H489&amp;""),"%","")),0)&lt;1),1,100))</f>
        <v/>
      </c>
      <c r="H489" t="str">
        <f>IF(A489="","",IFERROR(VALUE(SUBSTITUTE(TRIM(Input!I489&amp;""),"%","")),0)/IF(AND(IFERROR(VALUE(SUBSTITUTE(TRIM(Input!I489&amp;""),"%","")),0)&gt;0,IFERROR(VALUE(SUBSTITUTE(TRIM(Input!I489&amp;""),"%","")),0)&lt;1),1,100))</f>
        <v/>
      </c>
    </row>
    <row r="490" spans="1:8">
      <c r="A490" t="str">
        <f>IF(TRIM(Input!B490&amp;"")="","",UPPER(TRIM(Input!B490&amp;"")))</f>
        <v/>
      </c>
      <c r="B490" t="str">
        <f>IF(A490="","",IFERROR(VALUE(RIGHT(TRIM(Input!D490&amp;""),1)),0))</f>
        <v/>
      </c>
      <c r="C490" t="str">
        <f t="shared" si="7"/>
        <v/>
      </c>
      <c r="D490" t="str">
        <f>IF(A490="","",IFERROR(VALUE(SUBSTITUTE(TRIM(Input!E490&amp;""),"%","")),0)/IF(AND(IFERROR(VALUE(SUBSTITUTE(TRIM(Input!E490&amp;""),"%","")),0)&gt;0,IFERROR(VALUE(SUBSTITUTE(TRIM(Input!E490&amp;""),"%","")),0)&lt;1),1,100))</f>
        <v/>
      </c>
      <c r="E490" t="str">
        <f>IF(A490="","",IFERROR(VALUE(SUBSTITUTE(TRIM(Input!F490&amp;""),"%","")),0)/IF(AND(IFERROR(VALUE(SUBSTITUTE(TRIM(Input!F490&amp;""),"%","")),0)&gt;0,IFERROR(VALUE(SUBSTITUTE(TRIM(Input!F490&amp;""),"%","")),0)&lt;1),1,100))</f>
        <v/>
      </c>
      <c r="F490" t="str">
        <f>IF(A490="","",IFERROR(VALUE(SUBSTITUTE(TRIM(Input!G490&amp;""),"%","")),0)/IF(AND(IFERROR(VALUE(SUBSTITUTE(TRIM(Input!G490&amp;""),"%","")),0)&gt;0,IFERROR(VALUE(SUBSTITUTE(TRIM(Input!G490&amp;""),"%","")),0)&lt;1),1,100))</f>
        <v/>
      </c>
      <c r="G490" t="str">
        <f>IF(A490="","",IFERROR(VALUE(SUBSTITUTE(TRIM(Input!H490&amp;""),"%","")),0)/IF(AND(IFERROR(VALUE(SUBSTITUTE(TRIM(Input!H490&amp;""),"%","")),0)&gt;0,IFERROR(VALUE(SUBSTITUTE(TRIM(Input!H490&amp;""),"%","")),0)&lt;1),1,100))</f>
        <v/>
      </c>
      <c r="H490" t="str">
        <f>IF(A490="","",IFERROR(VALUE(SUBSTITUTE(TRIM(Input!I490&amp;""),"%","")),0)/IF(AND(IFERROR(VALUE(SUBSTITUTE(TRIM(Input!I490&amp;""),"%","")),0)&gt;0,IFERROR(VALUE(SUBSTITUTE(TRIM(Input!I490&amp;""),"%","")),0)&lt;1),1,100))</f>
        <v/>
      </c>
    </row>
    <row r="491" spans="1:8">
      <c r="A491" t="str">
        <f>IF(TRIM(Input!B491&amp;"")="","",UPPER(TRIM(Input!B491&amp;"")))</f>
        <v/>
      </c>
      <c r="B491" t="str">
        <f>IF(A491="","",IFERROR(VALUE(RIGHT(TRIM(Input!D491&amp;""),1)),0))</f>
        <v/>
      </c>
      <c r="C491" t="str">
        <f t="shared" si="7"/>
        <v/>
      </c>
      <c r="D491" t="str">
        <f>IF(A491="","",IFERROR(VALUE(SUBSTITUTE(TRIM(Input!E491&amp;""),"%","")),0)/IF(AND(IFERROR(VALUE(SUBSTITUTE(TRIM(Input!E491&amp;""),"%","")),0)&gt;0,IFERROR(VALUE(SUBSTITUTE(TRIM(Input!E491&amp;""),"%","")),0)&lt;1),1,100))</f>
        <v/>
      </c>
      <c r="E491" t="str">
        <f>IF(A491="","",IFERROR(VALUE(SUBSTITUTE(TRIM(Input!F491&amp;""),"%","")),0)/IF(AND(IFERROR(VALUE(SUBSTITUTE(TRIM(Input!F491&amp;""),"%","")),0)&gt;0,IFERROR(VALUE(SUBSTITUTE(TRIM(Input!F491&amp;""),"%","")),0)&lt;1),1,100))</f>
        <v/>
      </c>
      <c r="F491" t="str">
        <f>IF(A491="","",IFERROR(VALUE(SUBSTITUTE(TRIM(Input!G491&amp;""),"%","")),0)/IF(AND(IFERROR(VALUE(SUBSTITUTE(TRIM(Input!G491&amp;""),"%","")),0)&gt;0,IFERROR(VALUE(SUBSTITUTE(TRIM(Input!G491&amp;""),"%","")),0)&lt;1),1,100))</f>
        <v/>
      </c>
      <c r="G491" t="str">
        <f>IF(A491="","",IFERROR(VALUE(SUBSTITUTE(TRIM(Input!H491&amp;""),"%","")),0)/IF(AND(IFERROR(VALUE(SUBSTITUTE(TRIM(Input!H491&amp;""),"%","")),0)&gt;0,IFERROR(VALUE(SUBSTITUTE(TRIM(Input!H491&amp;""),"%","")),0)&lt;1),1,100))</f>
        <v/>
      </c>
      <c r="H491" t="str">
        <f>IF(A491="","",IFERROR(VALUE(SUBSTITUTE(TRIM(Input!I491&amp;""),"%","")),0)/IF(AND(IFERROR(VALUE(SUBSTITUTE(TRIM(Input!I491&amp;""),"%","")),0)&gt;0,IFERROR(VALUE(SUBSTITUTE(TRIM(Input!I491&amp;""),"%","")),0)&lt;1),1,100))</f>
        <v/>
      </c>
    </row>
    <row r="492" spans="1:8">
      <c r="A492" t="str">
        <f>IF(TRIM(Input!B492&amp;"")="","",UPPER(TRIM(Input!B492&amp;"")))</f>
        <v/>
      </c>
      <c r="B492" t="str">
        <f>IF(A492="","",IFERROR(VALUE(RIGHT(TRIM(Input!D492&amp;""),1)),0))</f>
        <v/>
      </c>
      <c r="C492" t="str">
        <f t="shared" si="7"/>
        <v/>
      </c>
      <c r="D492" t="str">
        <f>IF(A492="","",IFERROR(VALUE(SUBSTITUTE(TRIM(Input!E492&amp;""),"%","")),0)/IF(AND(IFERROR(VALUE(SUBSTITUTE(TRIM(Input!E492&amp;""),"%","")),0)&gt;0,IFERROR(VALUE(SUBSTITUTE(TRIM(Input!E492&amp;""),"%","")),0)&lt;1),1,100))</f>
        <v/>
      </c>
      <c r="E492" t="str">
        <f>IF(A492="","",IFERROR(VALUE(SUBSTITUTE(TRIM(Input!F492&amp;""),"%","")),0)/IF(AND(IFERROR(VALUE(SUBSTITUTE(TRIM(Input!F492&amp;""),"%","")),0)&gt;0,IFERROR(VALUE(SUBSTITUTE(TRIM(Input!F492&amp;""),"%","")),0)&lt;1),1,100))</f>
        <v/>
      </c>
      <c r="F492" t="str">
        <f>IF(A492="","",IFERROR(VALUE(SUBSTITUTE(TRIM(Input!G492&amp;""),"%","")),0)/IF(AND(IFERROR(VALUE(SUBSTITUTE(TRIM(Input!G492&amp;""),"%","")),0)&gt;0,IFERROR(VALUE(SUBSTITUTE(TRIM(Input!G492&amp;""),"%","")),0)&lt;1),1,100))</f>
        <v/>
      </c>
      <c r="G492" t="str">
        <f>IF(A492="","",IFERROR(VALUE(SUBSTITUTE(TRIM(Input!H492&amp;""),"%","")),0)/IF(AND(IFERROR(VALUE(SUBSTITUTE(TRIM(Input!H492&amp;""),"%","")),0)&gt;0,IFERROR(VALUE(SUBSTITUTE(TRIM(Input!H492&amp;""),"%","")),0)&lt;1),1,100))</f>
        <v/>
      </c>
      <c r="H492" t="str">
        <f>IF(A492="","",IFERROR(VALUE(SUBSTITUTE(TRIM(Input!I492&amp;""),"%","")),0)/IF(AND(IFERROR(VALUE(SUBSTITUTE(TRIM(Input!I492&amp;""),"%","")),0)&gt;0,IFERROR(VALUE(SUBSTITUTE(TRIM(Input!I492&amp;""),"%","")),0)&lt;1),1,100))</f>
        <v/>
      </c>
    </row>
    <row r="493" spans="1:8">
      <c r="A493" t="str">
        <f>IF(TRIM(Input!B493&amp;"")="","",UPPER(TRIM(Input!B493&amp;"")))</f>
        <v/>
      </c>
      <c r="B493" t="str">
        <f>IF(A493="","",IFERROR(VALUE(RIGHT(TRIM(Input!D493&amp;""),1)),0))</f>
        <v/>
      </c>
      <c r="C493" t="str">
        <f t="shared" si="7"/>
        <v/>
      </c>
      <c r="D493" t="str">
        <f>IF(A493="","",IFERROR(VALUE(SUBSTITUTE(TRIM(Input!E493&amp;""),"%","")),0)/IF(AND(IFERROR(VALUE(SUBSTITUTE(TRIM(Input!E493&amp;""),"%","")),0)&gt;0,IFERROR(VALUE(SUBSTITUTE(TRIM(Input!E493&amp;""),"%","")),0)&lt;1),1,100))</f>
        <v/>
      </c>
      <c r="E493" t="str">
        <f>IF(A493="","",IFERROR(VALUE(SUBSTITUTE(TRIM(Input!F493&amp;""),"%","")),0)/IF(AND(IFERROR(VALUE(SUBSTITUTE(TRIM(Input!F493&amp;""),"%","")),0)&gt;0,IFERROR(VALUE(SUBSTITUTE(TRIM(Input!F493&amp;""),"%","")),0)&lt;1),1,100))</f>
        <v/>
      </c>
      <c r="F493" t="str">
        <f>IF(A493="","",IFERROR(VALUE(SUBSTITUTE(TRIM(Input!G493&amp;""),"%","")),0)/IF(AND(IFERROR(VALUE(SUBSTITUTE(TRIM(Input!G493&amp;""),"%","")),0)&gt;0,IFERROR(VALUE(SUBSTITUTE(TRIM(Input!G493&amp;""),"%","")),0)&lt;1),1,100))</f>
        <v/>
      </c>
      <c r="G493" t="str">
        <f>IF(A493="","",IFERROR(VALUE(SUBSTITUTE(TRIM(Input!H493&amp;""),"%","")),0)/IF(AND(IFERROR(VALUE(SUBSTITUTE(TRIM(Input!H493&amp;""),"%","")),0)&gt;0,IFERROR(VALUE(SUBSTITUTE(TRIM(Input!H493&amp;""),"%","")),0)&lt;1),1,100))</f>
        <v/>
      </c>
      <c r="H493" t="str">
        <f>IF(A493="","",IFERROR(VALUE(SUBSTITUTE(TRIM(Input!I493&amp;""),"%","")),0)/IF(AND(IFERROR(VALUE(SUBSTITUTE(TRIM(Input!I493&amp;""),"%","")),0)&gt;0,IFERROR(VALUE(SUBSTITUTE(TRIM(Input!I493&amp;""),"%","")),0)&lt;1),1,100))</f>
        <v/>
      </c>
    </row>
    <row r="494" spans="1:8">
      <c r="A494" t="str">
        <f>IF(TRIM(Input!B494&amp;"")="","",UPPER(TRIM(Input!B494&amp;"")))</f>
        <v/>
      </c>
      <c r="B494" t="str">
        <f>IF(A494="","",IFERROR(VALUE(RIGHT(TRIM(Input!D494&amp;""),1)),0))</f>
        <v/>
      </c>
      <c r="C494" t="str">
        <f t="shared" si="7"/>
        <v/>
      </c>
      <c r="D494" t="str">
        <f>IF(A494="","",IFERROR(VALUE(SUBSTITUTE(TRIM(Input!E494&amp;""),"%","")),0)/IF(AND(IFERROR(VALUE(SUBSTITUTE(TRIM(Input!E494&amp;""),"%","")),0)&gt;0,IFERROR(VALUE(SUBSTITUTE(TRIM(Input!E494&amp;""),"%","")),0)&lt;1),1,100))</f>
        <v/>
      </c>
      <c r="E494" t="str">
        <f>IF(A494="","",IFERROR(VALUE(SUBSTITUTE(TRIM(Input!F494&amp;""),"%","")),0)/IF(AND(IFERROR(VALUE(SUBSTITUTE(TRIM(Input!F494&amp;""),"%","")),0)&gt;0,IFERROR(VALUE(SUBSTITUTE(TRIM(Input!F494&amp;""),"%","")),0)&lt;1),1,100))</f>
        <v/>
      </c>
      <c r="F494" t="str">
        <f>IF(A494="","",IFERROR(VALUE(SUBSTITUTE(TRIM(Input!G494&amp;""),"%","")),0)/IF(AND(IFERROR(VALUE(SUBSTITUTE(TRIM(Input!G494&amp;""),"%","")),0)&gt;0,IFERROR(VALUE(SUBSTITUTE(TRIM(Input!G494&amp;""),"%","")),0)&lt;1),1,100))</f>
        <v/>
      </c>
      <c r="G494" t="str">
        <f>IF(A494="","",IFERROR(VALUE(SUBSTITUTE(TRIM(Input!H494&amp;""),"%","")),0)/IF(AND(IFERROR(VALUE(SUBSTITUTE(TRIM(Input!H494&amp;""),"%","")),0)&gt;0,IFERROR(VALUE(SUBSTITUTE(TRIM(Input!H494&amp;""),"%","")),0)&lt;1),1,100))</f>
        <v/>
      </c>
      <c r="H494" t="str">
        <f>IF(A494="","",IFERROR(VALUE(SUBSTITUTE(TRIM(Input!I494&amp;""),"%","")),0)/IF(AND(IFERROR(VALUE(SUBSTITUTE(TRIM(Input!I494&amp;""),"%","")),0)&gt;0,IFERROR(VALUE(SUBSTITUTE(TRIM(Input!I494&amp;""),"%","")),0)&lt;1),1,100))</f>
        <v/>
      </c>
    </row>
    <row r="495" spans="1:8">
      <c r="A495" t="str">
        <f>IF(TRIM(Input!B495&amp;"")="","",UPPER(TRIM(Input!B495&amp;"")))</f>
        <v/>
      </c>
      <c r="B495" t="str">
        <f>IF(A495="","",IFERROR(VALUE(RIGHT(TRIM(Input!D495&amp;""),1)),0))</f>
        <v/>
      </c>
      <c r="C495" t="str">
        <f t="shared" si="7"/>
        <v/>
      </c>
      <c r="D495" t="str">
        <f>IF(A495="","",IFERROR(VALUE(SUBSTITUTE(TRIM(Input!E495&amp;""),"%","")),0)/IF(AND(IFERROR(VALUE(SUBSTITUTE(TRIM(Input!E495&amp;""),"%","")),0)&gt;0,IFERROR(VALUE(SUBSTITUTE(TRIM(Input!E495&amp;""),"%","")),0)&lt;1),1,100))</f>
        <v/>
      </c>
      <c r="E495" t="str">
        <f>IF(A495="","",IFERROR(VALUE(SUBSTITUTE(TRIM(Input!F495&amp;""),"%","")),0)/IF(AND(IFERROR(VALUE(SUBSTITUTE(TRIM(Input!F495&amp;""),"%","")),0)&gt;0,IFERROR(VALUE(SUBSTITUTE(TRIM(Input!F495&amp;""),"%","")),0)&lt;1),1,100))</f>
        <v/>
      </c>
      <c r="F495" t="str">
        <f>IF(A495="","",IFERROR(VALUE(SUBSTITUTE(TRIM(Input!G495&amp;""),"%","")),0)/IF(AND(IFERROR(VALUE(SUBSTITUTE(TRIM(Input!G495&amp;""),"%","")),0)&gt;0,IFERROR(VALUE(SUBSTITUTE(TRIM(Input!G495&amp;""),"%","")),0)&lt;1),1,100))</f>
        <v/>
      </c>
      <c r="G495" t="str">
        <f>IF(A495="","",IFERROR(VALUE(SUBSTITUTE(TRIM(Input!H495&amp;""),"%","")),0)/IF(AND(IFERROR(VALUE(SUBSTITUTE(TRIM(Input!H495&amp;""),"%","")),0)&gt;0,IFERROR(VALUE(SUBSTITUTE(TRIM(Input!H495&amp;""),"%","")),0)&lt;1),1,100))</f>
        <v/>
      </c>
      <c r="H495" t="str">
        <f>IF(A495="","",IFERROR(VALUE(SUBSTITUTE(TRIM(Input!I495&amp;""),"%","")),0)/IF(AND(IFERROR(VALUE(SUBSTITUTE(TRIM(Input!I495&amp;""),"%","")),0)&gt;0,IFERROR(VALUE(SUBSTITUTE(TRIM(Input!I495&amp;""),"%","")),0)&lt;1),1,100))</f>
        <v/>
      </c>
    </row>
    <row r="496" spans="1:8">
      <c r="A496" t="str">
        <f>IF(TRIM(Input!B496&amp;"")="","",UPPER(TRIM(Input!B496&amp;"")))</f>
        <v/>
      </c>
      <c r="B496" t="str">
        <f>IF(A496="","",IFERROR(VALUE(RIGHT(TRIM(Input!D496&amp;""),1)),0))</f>
        <v/>
      </c>
      <c r="C496" t="str">
        <f t="shared" si="7"/>
        <v/>
      </c>
      <c r="D496" t="str">
        <f>IF(A496="","",IFERROR(VALUE(SUBSTITUTE(TRIM(Input!E496&amp;""),"%","")),0)/IF(AND(IFERROR(VALUE(SUBSTITUTE(TRIM(Input!E496&amp;""),"%","")),0)&gt;0,IFERROR(VALUE(SUBSTITUTE(TRIM(Input!E496&amp;""),"%","")),0)&lt;1),1,100))</f>
        <v/>
      </c>
      <c r="E496" t="str">
        <f>IF(A496="","",IFERROR(VALUE(SUBSTITUTE(TRIM(Input!F496&amp;""),"%","")),0)/IF(AND(IFERROR(VALUE(SUBSTITUTE(TRIM(Input!F496&amp;""),"%","")),0)&gt;0,IFERROR(VALUE(SUBSTITUTE(TRIM(Input!F496&amp;""),"%","")),0)&lt;1),1,100))</f>
        <v/>
      </c>
      <c r="F496" t="str">
        <f>IF(A496="","",IFERROR(VALUE(SUBSTITUTE(TRIM(Input!G496&amp;""),"%","")),0)/IF(AND(IFERROR(VALUE(SUBSTITUTE(TRIM(Input!G496&amp;""),"%","")),0)&gt;0,IFERROR(VALUE(SUBSTITUTE(TRIM(Input!G496&amp;""),"%","")),0)&lt;1),1,100))</f>
        <v/>
      </c>
      <c r="G496" t="str">
        <f>IF(A496="","",IFERROR(VALUE(SUBSTITUTE(TRIM(Input!H496&amp;""),"%","")),0)/IF(AND(IFERROR(VALUE(SUBSTITUTE(TRIM(Input!H496&amp;""),"%","")),0)&gt;0,IFERROR(VALUE(SUBSTITUTE(TRIM(Input!H496&amp;""),"%","")),0)&lt;1),1,100))</f>
        <v/>
      </c>
      <c r="H496" t="str">
        <f>IF(A496="","",IFERROR(VALUE(SUBSTITUTE(TRIM(Input!I496&amp;""),"%","")),0)/IF(AND(IFERROR(VALUE(SUBSTITUTE(TRIM(Input!I496&amp;""),"%","")),0)&gt;0,IFERROR(VALUE(SUBSTITUTE(TRIM(Input!I496&amp;""),"%","")),0)&lt;1),1,100))</f>
        <v/>
      </c>
    </row>
    <row r="497" spans="1:8">
      <c r="A497" t="str">
        <f>IF(TRIM(Input!B497&amp;"")="","",UPPER(TRIM(Input!B497&amp;"")))</f>
        <v/>
      </c>
      <c r="B497" t="str">
        <f>IF(A497="","",IFERROR(VALUE(RIGHT(TRIM(Input!D497&amp;""),1)),0))</f>
        <v/>
      </c>
      <c r="C497" t="str">
        <f t="shared" si="7"/>
        <v/>
      </c>
      <c r="D497" t="str">
        <f>IF(A497="","",IFERROR(VALUE(SUBSTITUTE(TRIM(Input!E497&amp;""),"%","")),0)/IF(AND(IFERROR(VALUE(SUBSTITUTE(TRIM(Input!E497&amp;""),"%","")),0)&gt;0,IFERROR(VALUE(SUBSTITUTE(TRIM(Input!E497&amp;""),"%","")),0)&lt;1),1,100))</f>
        <v/>
      </c>
      <c r="E497" t="str">
        <f>IF(A497="","",IFERROR(VALUE(SUBSTITUTE(TRIM(Input!F497&amp;""),"%","")),0)/IF(AND(IFERROR(VALUE(SUBSTITUTE(TRIM(Input!F497&amp;""),"%","")),0)&gt;0,IFERROR(VALUE(SUBSTITUTE(TRIM(Input!F497&amp;""),"%","")),0)&lt;1),1,100))</f>
        <v/>
      </c>
      <c r="F497" t="str">
        <f>IF(A497="","",IFERROR(VALUE(SUBSTITUTE(TRIM(Input!G497&amp;""),"%","")),0)/IF(AND(IFERROR(VALUE(SUBSTITUTE(TRIM(Input!G497&amp;""),"%","")),0)&gt;0,IFERROR(VALUE(SUBSTITUTE(TRIM(Input!G497&amp;""),"%","")),0)&lt;1),1,100))</f>
        <v/>
      </c>
      <c r="G497" t="str">
        <f>IF(A497="","",IFERROR(VALUE(SUBSTITUTE(TRIM(Input!H497&amp;""),"%","")),0)/IF(AND(IFERROR(VALUE(SUBSTITUTE(TRIM(Input!H497&amp;""),"%","")),0)&gt;0,IFERROR(VALUE(SUBSTITUTE(TRIM(Input!H497&amp;""),"%","")),0)&lt;1),1,100))</f>
        <v/>
      </c>
      <c r="H497" t="str">
        <f>IF(A497="","",IFERROR(VALUE(SUBSTITUTE(TRIM(Input!I497&amp;""),"%","")),0)/IF(AND(IFERROR(VALUE(SUBSTITUTE(TRIM(Input!I497&amp;""),"%","")),0)&gt;0,IFERROR(VALUE(SUBSTITUTE(TRIM(Input!I497&amp;""),"%","")),0)&lt;1),1,100))</f>
        <v/>
      </c>
    </row>
    <row r="498" spans="1:8">
      <c r="A498" t="str">
        <f>IF(TRIM(Input!B498&amp;"")="","",UPPER(TRIM(Input!B498&amp;"")))</f>
        <v/>
      </c>
      <c r="B498" t="str">
        <f>IF(A498="","",IFERROR(VALUE(RIGHT(TRIM(Input!D498&amp;""),1)),0))</f>
        <v/>
      </c>
      <c r="C498" t="str">
        <f t="shared" si="7"/>
        <v/>
      </c>
      <c r="D498" t="str">
        <f>IF(A498="","",IFERROR(VALUE(SUBSTITUTE(TRIM(Input!E498&amp;""),"%","")),0)/IF(AND(IFERROR(VALUE(SUBSTITUTE(TRIM(Input!E498&amp;""),"%","")),0)&gt;0,IFERROR(VALUE(SUBSTITUTE(TRIM(Input!E498&amp;""),"%","")),0)&lt;1),1,100))</f>
        <v/>
      </c>
      <c r="E498" t="str">
        <f>IF(A498="","",IFERROR(VALUE(SUBSTITUTE(TRIM(Input!F498&amp;""),"%","")),0)/IF(AND(IFERROR(VALUE(SUBSTITUTE(TRIM(Input!F498&amp;""),"%","")),0)&gt;0,IFERROR(VALUE(SUBSTITUTE(TRIM(Input!F498&amp;""),"%","")),0)&lt;1),1,100))</f>
        <v/>
      </c>
      <c r="F498" t="str">
        <f>IF(A498="","",IFERROR(VALUE(SUBSTITUTE(TRIM(Input!G498&amp;""),"%","")),0)/IF(AND(IFERROR(VALUE(SUBSTITUTE(TRIM(Input!G498&amp;""),"%","")),0)&gt;0,IFERROR(VALUE(SUBSTITUTE(TRIM(Input!G498&amp;""),"%","")),0)&lt;1),1,100))</f>
        <v/>
      </c>
      <c r="G498" t="str">
        <f>IF(A498="","",IFERROR(VALUE(SUBSTITUTE(TRIM(Input!H498&amp;""),"%","")),0)/IF(AND(IFERROR(VALUE(SUBSTITUTE(TRIM(Input!H498&amp;""),"%","")),0)&gt;0,IFERROR(VALUE(SUBSTITUTE(TRIM(Input!H498&amp;""),"%","")),0)&lt;1),1,100))</f>
        <v/>
      </c>
      <c r="H498" t="str">
        <f>IF(A498="","",IFERROR(VALUE(SUBSTITUTE(TRIM(Input!I498&amp;""),"%","")),0)/IF(AND(IFERROR(VALUE(SUBSTITUTE(TRIM(Input!I498&amp;""),"%","")),0)&gt;0,IFERROR(VALUE(SUBSTITUTE(TRIM(Input!I498&amp;""),"%","")),0)&lt;1),1,100))</f>
        <v/>
      </c>
    </row>
    <row r="499" spans="1:8">
      <c r="A499" t="str">
        <f>IF(TRIM(Input!B499&amp;"")="","",UPPER(TRIM(Input!B499&amp;"")))</f>
        <v/>
      </c>
      <c r="B499" t="str">
        <f>IF(A499="","",IFERROR(VALUE(RIGHT(TRIM(Input!D499&amp;""),1)),0))</f>
        <v/>
      </c>
      <c r="C499" t="str">
        <f t="shared" si="7"/>
        <v/>
      </c>
      <c r="D499" t="str">
        <f>IF(A499="","",IFERROR(VALUE(SUBSTITUTE(TRIM(Input!E499&amp;""),"%","")),0)/IF(AND(IFERROR(VALUE(SUBSTITUTE(TRIM(Input!E499&amp;""),"%","")),0)&gt;0,IFERROR(VALUE(SUBSTITUTE(TRIM(Input!E499&amp;""),"%","")),0)&lt;1),1,100))</f>
        <v/>
      </c>
      <c r="E499" t="str">
        <f>IF(A499="","",IFERROR(VALUE(SUBSTITUTE(TRIM(Input!F499&amp;""),"%","")),0)/IF(AND(IFERROR(VALUE(SUBSTITUTE(TRIM(Input!F499&amp;""),"%","")),0)&gt;0,IFERROR(VALUE(SUBSTITUTE(TRIM(Input!F499&amp;""),"%","")),0)&lt;1),1,100))</f>
        <v/>
      </c>
      <c r="F499" t="str">
        <f>IF(A499="","",IFERROR(VALUE(SUBSTITUTE(TRIM(Input!G499&amp;""),"%","")),0)/IF(AND(IFERROR(VALUE(SUBSTITUTE(TRIM(Input!G499&amp;""),"%","")),0)&gt;0,IFERROR(VALUE(SUBSTITUTE(TRIM(Input!G499&amp;""),"%","")),0)&lt;1),1,100))</f>
        <v/>
      </c>
      <c r="G499" t="str">
        <f>IF(A499="","",IFERROR(VALUE(SUBSTITUTE(TRIM(Input!H499&amp;""),"%","")),0)/IF(AND(IFERROR(VALUE(SUBSTITUTE(TRIM(Input!H499&amp;""),"%","")),0)&gt;0,IFERROR(VALUE(SUBSTITUTE(TRIM(Input!H499&amp;""),"%","")),0)&lt;1),1,100))</f>
        <v/>
      </c>
      <c r="H499" t="str">
        <f>IF(A499="","",IFERROR(VALUE(SUBSTITUTE(TRIM(Input!I499&amp;""),"%","")),0)/IF(AND(IFERROR(VALUE(SUBSTITUTE(TRIM(Input!I499&amp;""),"%","")),0)&gt;0,IFERROR(VALUE(SUBSTITUTE(TRIM(Input!I499&amp;""),"%","")),0)&lt;1),1,100))</f>
        <v/>
      </c>
    </row>
    <row r="500" spans="1:8">
      <c r="A500" t="str">
        <f>IF(TRIM(Input!B500&amp;"")="","",UPPER(TRIM(Input!B500&amp;"")))</f>
        <v/>
      </c>
      <c r="B500" t="str">
        <f>IF(A500="","",IFERROR(VALUE(RIGHT(TRIM(Input!D500&amp;""),1)),0))</f>
        <v/>
      </c>
      <c r="C500" t="str">
        <f t="shared" si="7"/>
        <v/>
      </c>
      <c r="D500" t="str">
        <f>IF(A500="","",IFERROR(VALUE(SUBSTITUTE(TRIM(Input!E500&amp;""),"%","")),0)/IF(AND(IFERROR(VALUE(SUBSTITUTE(TRIM(Input!E500&amp;""),"%","")),0)&gt;0,IFERROR(VALUE(SUBSTITUTE(TRIM(Input!E500&amp;""),"%","")),0)&lt;1),1,100))</f>
        <v/>
      </c>
      <c r="E500" t="str">
        <f>IF(A500="","",IFERROR(VALUE(SUBSTITUTE(TRIM(Input!F500&amp;""),"%","")),0)/IF(AND(IFERROR(VALUE(SUBSTITUTE(TRIM(Input!F500&amp;""),"%","")),0)&gt;0,IFERROR(VALUE(SUBSTITUTE(TRIM(Input!F500&amp;""),"%","")),0)&lt;1),1,100))</f>
        <v/>
      </c>
      <c r="F500" t="str">
        <f>IF(A500="","",IFERROR(VALUE(SUBSTITUTE(TRIM(Input!G500&amp;""),"%","")),0)/IF(AND(IFERROR(VALUE(SUBSTITUTE(TRIM(Input!G500&amp;""),"%","")),0)&gt;0,IFERROR(VALUE(SUBSTITUTE(TRIM(Input!G500&amp;""),"%","")),0)&lt;1),1,100))</f>
        <v/>
      </c>
      <c r="G500" t="str">
        <f>IF(A500="","",IFERROR(VALUE(SUBSTITUTE(TRIM(Input!H500&amp;""),"%","")),0)/IF(AND(IFERROR(VALUE(SUBSTITUTE(TRIM(Input!H500&amp;""),"%","")),0)&gt;0,IFERROR(VALUE(SUBSTITUTE(TRIM(Input!H500&amp;""),"%","")),0)&lt;1),1,100))</f>
        <v/>
      </c>
      <c r="H500" t="str">
        <f>IF(A500="","",IFERROR(VALUE(SUBSTITUTE(TRIM(Input!I500&amp;""),"%","")),0)/IF(AND(IFERROR(VALUE(SUBSTITUTE(TRIM(Input!I500&amp;""),"%","")),0)&gt;0,IFERROR(VALUE(SUBSTITUTE(TRIM(Input!I500&amp;""),"%","")),0)&lt;1),1,100))</f>
        <v/>
      </c>
    </row>
    <row r="501" spans="1:8">
      <c r="A501" t="str">
        <f>IF(TRIM(Input!B501&amp;"")="","",UPPER(TRIM(Input!B501&amp;"")))</f>
        <v/>
      </c>
      <c r="B501" t="str">
        <f>IF(A501="","",IFERROR(VALUE(RIGHT(TRIM(Input!D501&amp;""),1)),0))</f>
        <v/>
      </c>
      <c r="C501" t="str">
        <f t="shared" si="7"/>
        <v/>
      </c>
      <c r="D501" t="str">
        <f>IF(A501="","",IFERROR(VALUE(SUBSTITUTE(TRIM(Input!E501&amp;""),"%","")),0)/IF(AND(IFERROR(VALUE(SUBSTITUTE(TRIM(Input!E501&amp;""),"%","")),0)&gt;0,IFERROR(VALUE(SUBSTITUTE(TRIM(Input!E501&amp;""),"%","")),0)&lt;1),1,100))</f>
        <v/>
      </c>
      <c r="E501" t="str">
        <f>IF(A501="","",IFERROR(VALUE(SUBSTITUTE(TRIM(Input!F501&amp;""),"%","")),0)/IF(AND(IFERROR(VALUE(SUBSTITUTE(TRIM(Input!F501&amp;""),"%","")),0)&gt;0,IFERROR(VALUE(SUBSTITUTE(TRIM(Input!F501&amp;""),"%","")),0)&lt;1),1,100))</f>
        <v/>
      </c>
      <c r="F501" t="str">
        <f>IF(A501="","",IFERROR(VALUE(SUBSTITUTE(TRIM(Input!G501&amp;""),"%","")),0)/IF(AND(IFERROR(VALUE(SUBSTITUTE(TRIM(Input!G501&amp;""),"%","")),0)&gt;0,IFERROR(VALUE(SUBSTITUTE(TRIM(Input!G501&amp;""),"%","")),0)&lt;1),1,100))</f>
        <v/>
      </c>
      <c r="G501" t="str">
        <f>IF(A501="","",IFERROR(VALUE(SUBSTITUTE(TRIM(Input!H501&amp;""),"%","")),0)/IF(AND(IFERROR(VALUE(SUBSTITUTE(TRIM(Input!H501&amp;""),"%","")),0)&gt;0,IFERROR(VALUE(SUBSTITUTE(TRIM(Input!H501&amp;""),"%","")),0)&lt;1),1,100))</f>
        <v/>
      </c>
      <c r="H501" t="str">
        <f>IF(A501="","",IFERROR(VALUE(SUBSTITUTE(TRIM(Input!I501&amp;""),"%","")),0)/IF(AND(IFERROR(VALUE(SUBSTITUTE(TRIM(Input!I501&amp;""),"%","")),0)&gt;0,IFERROR(VALUE(SUBSTITUTE(TRIM(Input!I501&amp;""),"%","")),0)&lt;1),1,100))</f>
        <v/>
      </c>
    </row>
    <row r="502" spans="1:8">
      <c r="A502" t="str">
        <f>IF(TRIM(Input!B502&amp;"")="","",UPPER(TRIM(Input!B502&amp;"")))</f>
        <v/>
      </c>
      <c r="B502" t="str">
        <f>IF(A502="","",IFERROR(VALUE(RIGHT(TRIM(Input!D502&amp;""),1)),0))</f>
        <v/>
      </c>
      <c r="C502" t="str">
        <f t="shared" si="7"/>
        <v/>
      </c>
      <c r="D502" t="str">
        <f>IF(A502="","",IFERROR(VALUE(SUBSTITUTE(TRIM(Input!E502&amp;""),"%","")),0)/IF(AND(IFERROR(VALUE(SUBSTITUTE(TRIM(Input!E502&amp;""),"%","")),0)&gt;0,IFERROR(VALUE(SUBSTITUTE(TRIM(Input!E502&amp;""),"%","")),0)&lt;1),1,100))</f>
        <v/>
      </c>
      <c r="E502" t="str">
        <f>IF(A502="","",IFERROR(VALUE(SUBSTITUTE(TRIM(Input!F502&amp;""),"%","")),0)/IF(AND(IFERROR(VALUE(SUBSTITUTE(TRIM(Input!F502&amp;""),"%","")),0)&gt;0,IFERROR(VALUE(SUBSTITUTE(TRIM(Input!F502&amp;""),"%","")),0)&lt;1),1,100))</f>
        <v/>
      </c>
      <c r="F502" t="str">
        <f>IF(A502="","",IFERROR(VALUE(SUBSTITUTE(TRIM(Input!G502&amp;""),"%","")),0)/IF(AND(IFERROR(VALUE(SUBSTITUTE(TRIM(Input!G502&amp;""),"%","")),0)&gt;0,IFERROR(VALUE(SUBSTITUTE(TRIM(Input!G502&amp;""),"%","")),0)&lt;1),1,100))</f>
        <v/>
      </c>
      <c r="G502" t="str">
        <f>IF(A502="","",IFERROR(VALUE(SUBSTITUTE(TRIM(Input!H502&amp;""),"%","")),0)/IF(AND(IFERROR(VALUE(SUBSTITUTE(TRIM(Input!H502&amp;""),"%","")),0)&gt;0,IFERROR(VALUE(SUBSTITUTE(TRIM(Input!H502&amp;""),"%","")),0)&lt;1),1,100))</f>
        <v/>
      </c>
      <c r="H502" t="str">
        <f>IF(A502="","",IFERROR(VALUE(SUBSTITUTE(TRIM(Input!I502&amp;""),"%","")),0)/IF(AND(IFERROR(VALUE(SUBSTITUTE(TRIM(Input!I502&amp;""),"%","")),0)&gt;0,IFERROR(VALUE(SUBSTITUTE(TRIM(Input!I502&amp;""),"%","")),0)&lt;1),1,100))</f>
        <v/>
      </c>
    </row>
    <row r="503" spans="1:8">
      <c r="A503" t="str">
        <f>IF(TRIM(Input!B503&amp;"")="","",UPPER(TRIM(Input!B503&amp;"")))</f>
        <v/>
      </c>
      <c r="B503" t="str">
        <f>IF(A503="","",IFERROR(VALUE(RIGHT(TRIM(Input!D503&amp;""),1)),0))</f>
        <v/>
      </c>
      <c r="C503" t="str">
        <f t="shared" si="7"/>
        <v/>
      </c>
      <c r="D503" t="str">
        <f>IF(A503="","",IFERROR(VALUE(SUBSTITUTE(TRIM(Input!E503&amp;""),"%","")),0)/IF(AND(IFERROR(VALUE(SUBSTITUTE(TRIM(Input!E503&amp;""),"%","")),0)&gt;0,IFERROR(VALUE(SUBSTITUTE(TRIM(Input!E503&amp;""),"%","")),0)&lt;1),1,100))</f>
        <v/>
      </c>
      <c r="E503" t="str">
        <f>IF(A503="","",IFERROR(VALUE(SUBSTITUTE(TRIM(Input!F503&amp;""),"%","")),0)/IF(AND(IFERROR(VALUE(SUBSTITUTE(TRIM(Input!F503&amp;""),"%","")),0)&gt;0,IFERROR(VALUE(SUBSTITUTE(TRIM(Input!F503&amp;""),"%","")),0)&lt;1),1,100))</f>
        <v/>
      </c>
      <c r="F503" t="str">
        <f>IF(A503="","",IFERROR(VALUE(SUBSTITUTE(TRIM(Input!G503&amp;""),"%","")),0)/IF(AND(IFERROR(VALUE(SUBSTITUTE(TRIM(Input!G503&amp;""),"%","")),0)&gt;0,IFERROR(VALUE(SUBSTITUTE(TRIM(Input!G503&amp;""),"%","")),0)&lt;1),1,100))</f>
        <v/>
      </c>
      <c r="G503" t="str">
        <f>IF(A503="","",IFERROR(VALUE(SUBSTITUTE(TRIM(Input!H503&amp;""),"%","")),0)/IF(AND(IFERROR(VALUE(SUBSTITUTE(TRIM(Input!H503&amp;""),"%","")),0)&gt;0,IFERROR(VALUE(SUBSTITUTE(TRIM(Input!H503&amp;""),"%","")),0)&lt;1),1,100))</f>
        <v/>
      </c>
      <c r="H503" t="str">
        <f>IF(A503="","",IFERROR(VALUE(SUBSTITUTE(TRIM(Input!I503&amp;""),"%","")),0)/IF(AND(IFERROR(VALUE(SUBSTITUTE(TRIM(Input!I503&amp;""),"%","")),0)&gt;0,IFERROR(VALUE(SUBSTITUTE(TRIM(Input!I503&amp;""),"%","")),0)&lt;1),1,100))</f>
        <v/>
      </c>
    </row>
    <row r="504" spans="1:8">
      <c r="A504" t="str">
        <f>IF(TRIM(Input!B504&amp;"")="","",UPPER(TRIM(Input!B504&amp;"")))</f>
        <v/>
      </c>
      <c r="B504" t="str">
        <f>IF(A504="","",IFERROR(VALUE(RIGHT(TRIM(Input!D504&amp;""),1)),0))</f>
        <v/>
      </c>
      <c r="C504" t="str">
        <f t="shared" si="7"/>
        <v/>
      </c>
      <c r="D504" t="str">
        <f>IF(A504="","",IFERROR(VALUE(SUBSTITUTE(TRIM(Input!E504&amp;""),"%","")),0)/IF(AND(IFERROR(VALUE(SUBSTITUTE(TRIM(Input!E504&amp;""),"%","")),0)&gt;0,IFERROR(VALUE(SUBSTITUTE(TRIM(Input!E504&amp;""),"%","")),0)&lt;1),1,100))</f>
        <v/>
      </c>
      <c r="E504" t="str">
        <f>IF(A504="","",IFERROR(VALUE(SUBSTITUTE(TRIM(Input!F504&amp;""),"%","")),0)/IF(AND(IFERROR(VALUE(SUBSTITUTE(TRIM(Input!F504&amp;""),"%","")),0)&gt;0,IFERROR(VALUE(SUBSTITUTE(TRIM(Input!F504&amp;""),"%","")),0)&lt;1),1,100))</f>
        <v/>
      </c>
      <c r="F504" t="str">
        <f>IF(A504="","",IFERROR(VALUE(SUBSTITUTE(TRIM(Input!G504&amp;""),"%","")),0)/IF(AND(IFERROR(VALUE(SUBSTITUTE(TRIM(Input!G504&amp;""),"%","")),0)&gt;0,IFERROR(VALUE(SUBSTITUTE(TRIM(Input!G504&amp;""),"%","")),0)&lt;1),1,100))</f>
        <v/>
      </c>
      <c r="G504" t="str">
        <f>IF(A504="","",IFERROR(VALUE(SUBSTITUTE(TRIM(Input!H504&amp;""),"%","")),0)/IF(AND(IFERROR(VALUE(SUBSTITUTE(TRIM(Input!H504&amp;""),"%","")),0)&gt;0,IFERROR(VALUE(SUBSTITUTE(TRIM(Input!H504&amp;""),"%","")),0)&lt;1),1,100))</f>
        <v/>
      </c>
      <c r="H504" t="str">
        <f>IF(A504="","",IFERROR(VALUE(SUBSTITUTE(TRIM(Input!I504&amp;""),"%","")),0)/IF(AND(IFERROR(VALUE(SUBSTITUTE(TRIM(Input!I504&amp;""),"%","")),0)&gt;0,IFERROR(VALUE(SUBSTITUTE(TRIM(Input!I504&amp;""),"%","")),0)&lt;1),1,100))</f>
        <v/>
      </c>
    </row>
    <row r="505" spans="1:8">
      <c r="A505" t="str">
        <f>IF(TRIM(Input!B505&amp;"")="","",UPPER(TRIM(Input!B505&amp;"")))</f>
        <v/>
      </c>
      <c r="B505" t="str">
        <f>IF(A505="","",IFERROR(VALUE(RIGHT(TRIM(Input!D505&amp;""),1)),0))</f>
        <v/>
      </c>
      <c r="C505" t="str">
        <f t="shared" si="7"/>
        <v/>
      </c>
      <c r="D505" t="str">
        <f>IF(A505="","",IFERROR(VALUE(SUBSTITUTE(TRIM(Input!E505&amp;""),"%","")),0)/IF(AND(IFERROR(VALUE(SUBSTITUTE(TRIM(Input!E505&amp;""),"%","")),0)&gt;0,IFERROR(VALUE(SUBSTITUTE(TRIM(Input!E505&amp;""),"%","")),0)&lt;1),1,100))</f>
        <v/>
      </c>
      <c r="E505" t="str">
        <f>IF(A505="","",IFERROR(VALUE(SUBSTITUTE(TRIM(Input!F505&amp;""),"%","")),0)/IF(AND(IFERROR(VALUE(SUBSTITUTE(TRIM(Input!F505&amp;""),"%","")),0)&gt;0,IFERROR(VALUE(SUBSTITUTE(TRIM(Input!F505&amp;""),"%","")),0)&lt;1),1,100))</f>
        <v/>
      </c>
      <c r="F505" t="str">
        <f>IF(A505="","",IFERROR(VALUE(SUBSTITUTE(TRIM(Input!G505&amp;""),"%","")),0)/IF(AND(IFERROR(VALUE(SUBSTITUTE(TRIM(Input!G505&amp;""),"%","")),0)&gt;0,IFERROR(VALUE(SUBSTITUTE(TRIM(Input!G505&amp;""),"%","")),0)&lt;1),1,100))</f>
        <v/>
      </c>
      <c r="G505" t="str">
        <f>IF(A505="","",IFERROR(VALUE(SUBSTITUTE(TRIM(Input!H505&amp;""),"%","")),0)/IF(AND(IFERROR(VALUE(SUBSTITUTE(TRIM(Input!H505&amp;""),"%","")),0)&gt;0,IFERROR(VALUE(SUBSTITUTE(TRIM(Input!H505&amp;""),"%","")),0)&lt;1),1,100))</f>
        <v/>
      </c>
      <c r="H505" t="str">
        <f>IF(A505="","",IFERROR(VALUE(SUBSTITUTE(TRIM(Input!I505&amp;""),"%","")),0)/IF(AND(IFERROR(VALUE(SUBSTITUTE(TRIM(Input!I505&amp;""),"%","")),0)&gt;0,IFERROR(VALUE(SUBSTITUTE(TRIM(Input!I505&amp;""),"%","")),0)&lt;1),1,100))</f>
        <v/>
      </c>
    </row>
    <row r="506" spans="1:8">
      <c r="A506" t="str">
        <f>IF(TRIM(Input!B506&amp;"")="","",UPPER(TRIM(Input!B506&amp;"")))</f>
        <v/>
      </c>
      <c r="B506" t="str">
        <f>IF(A506="","",IFERROR(VALUE(RIGHT(TRIM(Input!D506&amp;""),1)),0))</f>
        <v/>
      </c>
      <c r="C506" t="str">
        <f t="shared" si="7"/>
        <v/>
      </c>
      <c r="D506" t="str">
        <f>IF(A506="","",IFERROR(VALUE(SUBSTITUTE(TRIM(Input!E506&amp;""),"%","")),0)/IF(AND(IFERROR(VALUE(SUBSTITUTE(TRIM(Input!E506&amp;""),"%","")),0)&gt;0,IFERROR(VALUE(SUBSTITUTE(TRIM(Input!E506&amp;""),"%","")),0)&lt;1),1,100))</f>
        <v/>
      </c>
      <c r="E506" t="str">
        <f>IF(A506="","",IFERROR(VALUE(SUBSTITUTE(TRIM(Input!F506&amp;""),"%","")),0)/IF(AND(IFERROR(VALUE(SUBSTITUTE(TRIM(Input!F506&amp;""),"%","")),0)&gt;0,IFERROR(VALUE(SUBSTITUTE(TRIM(Input!F506&amp;""),"%","")),0)&lt;1),1,100))</f>
        <v/>
      </c>
      <c r="F506" t="str">
        <f>IF(A506="","",IFERROR(VALUE(SUBSTITUTE(TRIM(Input!G506&amp;""),"%","")),0)/IF(AND(IFERROR(VALUE(SUBSTITUTE(TRIM(Input!G506&amp;""),"%","")),0)&gt;0,IFERROR(VALUE(SUBSTITUTE(TRIM(Input!G506&amp;""),"%","")),0)&lt;1),1,100))</f>
        <v/>
      </c>
      <c r="G506" t="str">
        <f>IF(A506="","",IFERROR(VALUE(SUBSTITUTE(TRIM(Input!H506&amp;""),"%","")),0)/IF(AND(IFERROR(VALUE(SUBSTITUTE(TRIM(Input!H506&amp;""),"%","")),0)&gt;0,IFERROR(VALUE(SUBSTITUTE(TRIM(Input!H506&amp;""),"%","")),0)&lt;1),1,100))</f>
        <v/>
      </c>
      <c r="H506" t="str">
        <f>IF(A506="","",IFERROR(VALUE(SUBSTITUTE(TRIM(Input!I506&amp;""),"%","")),0)/IF(AND(IFERROR(VALUE(SUBSTITUTE(TRIM(Input!I506&amp;""),"%","")),0)&gt;0,IFERROR(VALUE(SUBSTITUTE(TRIM(Input!I506&amp;""),"%","")),0)&lt;1),1,100))</f>
        <v/>
      </c>
    </row>
    <row r="507" spans="1:8">
      <c r="A507" t="str">
        <f>IF(TRIM(Input!B507&amp;"")="","",UPPER(TRIM(Input!B507&amp;"")))</f>
        <v/>
      </c>
      <c r="B507" t="str">
        <f>IF(A507="","",IFERROR(VALUE(RIGHT(TRIM(Input!D507&amp;""),1)),0))</f>
        <v/>
      </c>
      <c r="C507" t="str">
        <f t="shared" si="7"/>
        <v/>
      </c>
      <c r="D507" t="str">
        <f>IF(A507="","",IFERROR(VALUE(SUBSTITUTE(TRIM(Input!E507&amp;""),"%","")),0)/IF(AND(IFERROR(VALUE(SUBSTITUTE(TRIM(Input!E507&amp;""),"%","")),0)&gt;0,IFERROR(VALUE(SUBSTITUTE(TRIM(Input!E507&amp;""),"%","")),0)&lt;1),1,100))</f>
        <v/>
      </c>
      <c r="E507" t="str">
        <f>IF(A507="","",IFERROR(VALUE(SUBSTITUTE(TRIM(Input!F507&amp;""),"%","")),0)/IF(AND(IFERROR(VALUE(SUBSTITUTE(TRIM(Input!F507&amp;""),"%","")),0)&gt;0,IFERROR(VALUE(SUBSTITUTE(TRIM(Input!F507&amp;""),"%","")),0)&lt;1),1,100))</f>
        <v/>
      </c>
      <c r="F507" t="str">
        <f>IF(A507="","",IFERROR(VALUE(SUBSTITUTE(TRIM(Input!G507&amp;""),"%","")),0)/IF(AND(IFERROR(VALUE(SUBSTITUTE(TRIM(Input!G507&amp;""),"%","")),0)&gt;0,IFERROR(VALUE(SUBSTITUTE(TRIM(Input!G507&amp;""),"%","")),0)&lt;1),1,100))</f>
        <v/>
      </c>
      <c r="G507" t="str">
        <f>IF(A507="","",IFERROR(VALUE(SUBSTITUTE(TRIM(Input!H507&amp;""),"%","")),0)/IF(AND(IFERROR(VALUE(SUBSTITUTE(TRIM(Input!H507&amp;""),"%","")),0)&gt;0,IFERROR(VALUE(SUBSTITUTE(TRIM(Input!H507&amp;""),"%","")),0)&lt;1),1,100))</f>
        <v/>
      </c>
      <c r="H507" t="str">
        <f>IF(A507="","",IFERROR(VALUE(SUBSTITUTE(TRIM(Input!I507&amp;""),"%","")),0)/IF(AND(IFERROR(VALUE(SUBSTITUTE(TRIM(Input!I507&amp;""),"%","")),0)&gt;0,IFERROR(VALUE(SUBSTITUTE(TRIM(Input!I507&amp;""),"%","")),0)&lt;1),1,100))</f>
        <v/>
      </c>
    </row>
    <row r="508" spans="1:8">
      <c r="A508" t="str">
        <f>IF(TRIM(Input!B508&amp;"")="","",UPPER(TRIM(Input!B508&amp;"")))</f>
        <v/>
      </c>
      <c r="B508" t="str">
        <f>IF(A508="","",IFERROR(VALUE(RIGHT(TRIM(Input!D508&amp;""),1)),0))</f>
        <v/>
      </c>
      <c r="C508" t="str">
        <f t="shared" si="7"/>
        <v/>
      </c>
      <c r="D508" t="str">
        <f>IF(A508="","",IFERROR(VALUE(SUBSTITUTE(TRIM(Input!E508&amp;""),"%","")),0)/IF(AND(IFERROR(VALUE(SUBSTITUTE(TRIM(Input!E508&amp;""),"%","")),0)&gt;0,IFERROR(VALUE(SUBSTITUTE(TRIM(Input!E508&amp;""),"%","")),0)&lt;1),1,100))</f>
        <v/>
      </c>
      <c r="E508" t="str">
        <f>IF(A508="","",IFERROR(VALUE(SUBSTITUTE(TRIM(Input!F508&amp;""),"%","")),0)/IF(AND(IFERROR(VALUE(SUBSTITUTE(TRIM(Input!F508&amp;""),"%","")),0)&gt;0,IFERROR(VALUE(SUBSTITUTE(TRIM(Input!F508&amp;""),"%","")),0)&lt;1),1,100))</f>
        <v/>
      </c>
      <c r="F508" t="str">
        <f>IF(A508="","",IFERROR(VALUE(SUBSTITUTE(TRIM(Input!G508&amp;""),"%","")),0)/IF(AND(IFERROR(VALUE(SUBSTITUTE(TRIM(Input!G508&amp;""),"%","")),0)&gt;0,IFERROR(VALUE(SUBSTITUTE(TRIM(Input!G508&amp;""),"%","")),0)&lt;1),1,100))</f>
        <v/>
      </c>
      <c r="G508" t="str">
        <f>IF(A508="","",IFERROR(VALUE(SUBSTITUTE(TRIM(Input!H508&amp;""),"%","")),0)/IF(AND(IFERROR(VALUE(SUBSTITUTE(TRIM(Input!H508&amp;""),"%","")),0)&gt;0,IFERROR(VALUE(SUBSTITUTE(TRIM(Input!H508&amp;""),"%","")),0)&lt;1),1,100))</f>
        <v/>
      </c>
      <c r="H508" t="str">
        <f>IF(A508="","",IFERROR(VALUE(SUBSTITUTE(TRIM(Input!I508&amp;""),"%","")),0)/IF(AND(IFERROR(VALUE(SUBSTITUTE(TRIM(Input!I508&amp;""),"%","")),0)&gt;0,IFERROR(VALUE(SUBSTITUTE(TRIM(Input!I508&amp;""),"%","")),0)&lt;1),1,100))</f>
        <v/>
      </c>
    </row>
    <row r="509" spans="1:8">
      <c r="A509" t="str">
        <f>IF(TRIM(Input!B509&amp;"")="","",UPPER(TRIM(Input!B509&amp;"")))</f>
        <v/>
      </c>
      <c r="B509" t="str">
        <f>IF(A509="","",IFERROR(VALUE(RIGHT(TRIM(Input!D509&amp;""),1)),0))</f>
        <v/>
      </c>
      <c r="C509" t="str">
        <f t="shared" si="7"/>
        <v/>
      </c>
      <c r="D509" t="str">
        <f>IF(A509="","",IFERROR(VALUE(SUBSTITUTE(TRIM(Input!E509&amp;""),"%","")),0)/IF(AND(IFERROR(VALUE(SUBSTITUTE(TRIM(Input!E509&amp;""),"%","")),0)&gt;0,IFERROR(VALUE(SUBSTITUTE(TRIM(Input!E509&amp;""),"%","")),0)&lt;1),1,100))</f>
        <v/>
      </c>
      <c r="E509" t="str">
        <f>IF(A509="","",IFERROR(VALUE(SUBSTITUTE(TRIM(Input!F509&amp;""),"%","")),0)/IF(AND(IFERROR(VALUE(SUBSTITUTE(TRIM(Input!F509&amp;""),"%","")),0)&gt;0,IFERROR(VALUE(SUBSTITUTE(TRIM(Input!F509&amp;""),"%","")),0)&lt;1),1,100))</f>
        <v/>
      </c>
      <c r="F509" t="str">
        <f>IF(A509="","",IFERROR(VALUE(SUBSTITUTE(TRIM(Input!G509&amp;""),"%","")),0)/IF(AND(IFERROR(VALUE(SUBSTITUTE(TRIM(Input!G509&amp;""),"%","")),0)&gt;0,IFERROR(VALUE(SUBSTITUTE(TRIM(Input!G509&amp;""),"%","")),0)&lt;1),1,100))</f>
        <v/>
      </c>
      <c r="G509" t="str">
        <f>IF(A509="","",IFERROR(VALUE(SUBSTITUTE(TRIM(Input!H509&amp;""),"%","")),0)/IF(AND(IFERROR(VALUE(SUBSTITUTE(TRIM(Input!H509&amp;""),"%","")),0)&gt;0,IFERROR(VALUE(SUBSTITUTE(TRIM(Input!H509&amp;""),"%","")),0)&lt;1),1,100))</f>
        <v/>
      </c>
      <c r="H509" t="str">
        <f>IF(A509="","",IFERROR(VALUE(SUBSTITUTE(TRIM(Input!I509&amp;""),"%","")),0)/IF(AND(IFERROR(VALUE(SUBSTITUTE(TRIM(Input!I509&amp;""),"%","")),0)&gt;0,IFERROR(VALUE(SUBSTITUTE(TRIM(Input!I509&amp;""),"%","")),0)&lt;1),1,100))</f>
        <v/>
      </c>
    </row>
    <row r="510" spans="1:8">
      <c r="A510" t="str">
        <f>IF(TRIM(Input!B510&amp;"")="","",UPPER(TRIM(Input!B510&amp;"")))</f>
        <v/>
      </c>
      <c r="B510" t="str">
        <f>IF(A510="","",IFERROR(VALUE(RIGHT(TRIM(Input!D510&amp;""),1)),0))</f>
        <v/>
      </c>
      <c r="C510" t="str">
        <f t="shared" si="7"/>
        <v/>
      </c>
      <c r="D510" t="str">
        <f>IF(A510="","",IFERROR(VALUE(SUBSTITUTE(TRIM(Input!E510&amp;""),"%","")),0)/IF(AND(IFERROR(VALUE(SUBSTITUTE(TRIM(Input!E510&amp;""),"%","")),0)&gt;0,IFERROR(VALUE(SUBSTITUTE(TRIM(Input!E510&amp;""),"%","")),0)&lt;1),1,100))</f>
        <v/>
      </c>
      <c r="E510" t="str">
        <f>IF(A510="","",IFERROR(VALUE(SUBSTITUTE(TRIM(Input!F510&amp;""),"%","")),0)/IF(AND(IFERROR(VALUE(SUBSTITUTE(TRIM(Input!F510&amp;""),"%","")),0)&gt;0,IFERROR(VALUE(SUBSTITUTE(TRIM(Input!F510&amp;""),"%","")),0)&lt;1),1,100))</f>
        <v/>
      </c>
      <c r="F510" t="str">
        <f>IF(A510="","",IFERROR(VALUE(SUBSTITUTE(TRIM(Input!G510&amp;""),"%","")),0)/IF(AND(IFERROR(VALUE(SUBSTITUTE(TRIM(Input!G510&amp;""),"%","")),0)&gt;0,IFERROR(VALUE(SUBSTITUTE(TRIM(Input!G510&amp;""),"%","")),0)&lt;1),1,100))</f>
        <v/>
      </c>
      <c r="G510" t="str">
        <f>IF(A510="","",IFERROR(VALUE(SUBSTITUTE(TRIM(Input!H510&amp;""),"%","")),0)/IF(AND(IFERROR(VALUE(SUBSTITUTE(TRIM(Input!H510&amp;""),"%","")),0)&gt;0,IFERROR(VALUE(SUBSTITUTE(TRIM(Input!H510&amp;""),"%","")),0)&lt;1),1,100))</f>
        <v/>
      </c>
      <c r="H510" t="str">
        <f>IF(A510="","",IFERROR(VALUE(SUBSTITUTE(TRIM(Input!I510&amp;""),"%","")),0)/IF(AND(IFERROR(VALUE(SUBSTITUTE(TRIM(Input!I510&amp;""),"%","")),0)&gt;0,IFERROR(VALUE(SUBSTITUTE(TRIM(Input!I510&amp;""),"%","")),0)&lt;1),1,100))</f>
        <v/>
      </c>
    </row>
    <row r="511" spans="1:8">
      <c r="A511" t="str">
        <f>IF(TRIM(Input!B511&amp;"")="","",UPPER(TRIM(Input!B511&amp;"")))</f>
        <v/>
      </c>
      <c r="B511" t="str">
        <f>IF(A511="","",IFERROR(VALUE(RIGHT(TRIM(Input!D511&amp;""),1)),0))</f>
        <v/>
      </c>
      <c r="C511" t="str">
        <f t="shared" si="7"/>
        <v/>
      </c>
      <c r="D511" t="str">
        <f>IF(A511="","",IFERROR(VALUE(SUBSTITUTE(TRIM(Input!E511&amp;""),"%","")),0)/IF(AND(IFERROR(VALUE(SUBSTITUTE(TRIM(Input!E511&amp;""),"%","")),0)&gt;0,IFERROR(VALUE(SUBSTITUTE(TRIM(Input!E511&amp;""),"%","")),0)&lt;1),1,100))</f>
        <v/>
      </c>
      <c r="E511" t="str">
        <f>IF(A511="","",IFERROR(VALUE(SUBSTITUTE(TRIM(Input!F511&amp;""),"%","")),0)/IF(AND(IFERROR(VALUE(SUBSTITUTE(TRIM(Input!F511&amp;""),"%","")),0)&gt;0,IFERROR(VALUE(SUBSTITUTE(TRIM(Input!F511&amp;""),"%","")),0)&lt;1),1,100))</f>
        <v/>
      </c>
      <c r="F511" t="str">
        <f>IF(A511="","",IFERROR(VALUE(SUBSTITUTE(TRIM(Input!G511&amp;""),"%","")),0)/IF(AND(IFERROR(VALUE(SUBSTITUTE(TRIM(Input!G511&amp;""),"%","")),0)&gt;0,IFERROR(VALUE(SUBSTITUTE(TRIM(Input!G511&amp;""),"%","")),0)&lt;1),1,100))</f>
        <v/>
      </c>
      <c r="G511" t="str">
        <f>IF(A511="","",IFERROR(VALUE(SUBSTITUTE(TRIM(Input!H511&amp;""),"%","")),0)/IF(AND(IFERROR(VALUE(SUBSTITUTE(TRIM(Input!H511&amp;""),"%","")),0)&gt;0,IFERROR(VALUE(SUBSTITUTE(TRIM(Input!H511&amp;""),"%","")),0)&lt;1),1,100))</f>
        <v/>
      </c>
      <c r="H511" t="str">
        <f>IF(A511="","",IFERROR(VALUE(SUBSTITUTE(TRIM(Input!I511&amp;""),"%","")),0)/IF(AND(IFERROR(VALUE(SUBSTITUTE(TRIM(Input!I511&amp;""),"%","")),0)&gt;0,IFERROR(VALUE(SUBSTITUTE(TRIM(Input!I511&amp;""),"%","")),0)&lt;1),1,100))</f>
        <v/>
      </c>
    </row>
    <row r="512" spans="1:8">
      <c r="A512" t="str">
        <f>IF(TRIM(Input!B512&amp;"")="","",UPPER(TRIM(Input!B512&amp;"")))</f>
        <v/>
      </c>
      <c r="B512" t="str">
        <f>IF(A512="","",IFERROR(VALUE(RIGHT(TRIM(Input!D512&amp;""),1)),0))</f>
        <v/>
      </c>
      <c r="C512" t="str">
        <f t="shared" si="7"/>
        <v/>
      </c>
      <c r="D512" t="str">
        <f>IF(A512="","",IFERROR(VALUE(SUBSTITUTE(TRIM(Input!E512&amp;""),"%","")),0)/IF(AND(IFERROR(VALUE(SUBSTITUTE(TRIM(Input!E512&amp;""),"%","")),0)&gt;0,IFERROR(VALUE(SUBSTITUTE(TRIM(Input!E512&amp;""),"%","")),0)&lt;1),1,100))</f>
        <v/>
      </c>
      <c r="E512" t="str">
        <f>IF(A512="","",IFERROR(VALUE(SUBSTITUTE(TRIM(Input!F512&amp;""),"%","")),0)/IF(AND(IFERROR(VALUE(SUBSTITUTE(TRIM(Input!F512&amp;""),"%","")),0)&gt;0,IFERROR(VALUE(SUBSTITUTE(TRIM(Input!F512&amp;""),"%","")),0)&lt;1),1,100))</f>
        <v/>
      </c>
      <c r="F512" t="str">
        <f>IF(A512="","",IFERROR(VALUE(SUBSTITUTE(TRIM(Input!G512&amp;""),"%","")),0)/IF(AND(IFERROR(VALUE(SUBSTITUTE(TRIM(Input!G512&amp;""),"%","")),0)&gt;0,IFERROR(VALUE(SUBSTITUTE(TRIM(Input!G512&amp;""),"%","")),0)&lt;1),1,100))</f>
        <v/>
      </c>
      <c r="G512" t="str">
        <f>IF(A512="","",IFERROR(VALUE(SUBSTITUTE(TRIM(Input!H512&amp;""),"%","")),0)/IF(AND(IFERROR(VALUE(SUBSTITUTE(TRIM(Input!H512&amp;""),"%","")),0)&gt;0,IFERROR(VALUE(SUBSTITUTE(TRIM(Input!H512&amp;""),"%","")),0)&lt;1),1,100))</f>
        <v/>
      </c>
      <c r="H512" t="str">
        <f>IF(A512="","",IFERROR(VALUE(SUBSTITUTE(TRIM(Input!I512&amp;""),"%","")),0)/IF(AND(IFERROR(VALUE(SUBSTITUTE(TRIM(Input!I512&amp;""),"%","")),0)&gt;0,IFERROR(VALUE(SUBSTITUTE(TRIM(Input!I512&amp;""),"%","")),0)&lt;1),1,100))</f>
        <v/>
      </c>
    </row>
    <row r="513" spans="1:8">
      <c r="A513" t="str">
        <f>IF(TRIM(Input!B513&amp;"")="","",UPPER(TRIM(Input!B513&amp;"")))</f>
        <v/>
      </c>
      <c r="B513" t="str">
        <f>IF(A513="","",IFERROR(VALUE(RIGHT(TRIM(Input!D513&amp;""),1)),0))</f>
        <v/>
      </c>
      <c r="C513" t="str">
        <f t="shared" si="7"/>
        <v/>
      </c>
      <c r="D513" t="str">
        <f>IF(A513="","",IFERROR(VALUE(SUBSTITUTE(TRIM(Input!E513&amp;""),"%","")),0)/IF(AND(IFERROR(VALUE(SUBSTITUTE(TRIM(Input!E513&amp;""),"%","")),0)&gt;0,IFERROR(VALUE(SUBSTITUTE(TRIM(Input!E513&amp;""),"%","")),0)&lt;1),1,100))</f>
        <v/>
      </c>
      <c r="E513" t="str">
        <f>IF(A513="","",IFERROR(VALUE(SUBSTITUTE(TRIM(Input!F513&amp;""),"%","")),0)/IF(AND(IFERROR(VALUE(SUBSTITUTE(TRIM(Input!F513&amp;""),"%","")),0)&gt;0,IFERROR(VALUE(SUBSTITUTE(TRIM(Input!F513&amp;""),"%","")),0)&lt;1),1,100))</f>
        <v/>
      </c>
      <c r="F513" t="str">
        <f>IF(A513="","",IFERROR(VALUE(SUBSTITUTE(TRIM(Input!G513&amp;""),"%","")),0)/IF(AND(IFERROR(VALUE(SUBSTITUTE(TRIM(Input!G513&amp;""),"%","")),0)&gt;0,IFERROR(VALUE(SUBSTITUTE(TRIM(Input!G513&amp;""),"%","")),0)&lt;1),1,100))</f>
        <v/>
      </c>
      <c r="G513" t="str">
        <f>IF(A513="","",IFERROR(VALUE(SUBSTITUTE(TRIM(Input!H513&amp;""),"%","")),0)/IF(AND(IFERROR(VALUE(SUBSTITUTE(TRIM(Input!H513&amp;""),"%","")),0)&gt;0,IFERROR(VALUE(SUBSTITUTE(TRIM(Input!H513&amp;""),"%","")),0)&lt;1),1,100))</f>
        <v/>
      </c>
      <c r="H513" t="str">
        <f>IF(A513="","",IFERROR(VALUE(SUBSTITUTE(TRIM(Input!I513&amp;""),"%","")),0)/IF(AND(IFERROR(VALUE(SUBSTITUTE(TRIM(Input!I513&amp;""),"%","")),0)&gt;0,IFERROR(VALUE(SUBSTITUTE(TRIM(Input!I513&amp;""),"%","")),0)&lt;1),1,100))</f>
        <v/>
      </c>
    </row>
    <row r="514" spans="1:8">
      <c r="A514" t="str">
        <f>IF(TRIM(Input!B514&amp;"")="","",UPPER(TRIM(Input!B514&amp;"")))</f>
        <v/>
      </c>
      <c r="B514" t="str">
        <f>IF(A514="","",IFERROR(VALUE(RIGHT(TRIM(Input!D514&amp;""),1)),0))</f>
        <v/>
      </c>
      <c r="C514" t="str">
        <f t="shared" ref="C514:C577" si="8">IF(A514="","",A514&amp;"|"&amp;B514)</f>
        <v/>
      </c>
      <c r="D514" t="str">
        <f>IF(A514="","",IFERROR(VALUE(SUBSTITUTE(TRIM(Input!E514&amp;""),"%","")),0)/IF(AND(IFERROR(VALUE(SUBSTITUTE(TRIM(Input!E514&amp;""),"%","")),0)&gt;0,IFERROR(VALUE(SUBSTITUTE(TRIM(Input!E514&amp;""),"%","")),0)&lt;1),1,100))</f>
        <v/>
      </c>
      <c r="E514" t="str">
        <f>IF(A514="","",IFERROR(VALUE(SUBSTITUTE(TRIM(Input!F514&amp;""),"%","")),0)/IF(AND(IFERROR(VALUE(SUBSTITUTE(TRIM(Input!F514&amp;""),"%","")),0)&gt;0,IFERROR(VALUE(SUBSTITUTE(TRIM(Input!F514&amp;""),"%","")),0)&lt;1),1,100))</f>
        <v/>
      </c>
      <c r="F514" t="str">
        <f>IF(A514="","",IFERROR(VALUE(SUBSTITUTE(TRIM(Input!G514&amp;""),"%","")),0)/IF(AND(IFERROR(VALUE(SUBSTITUTE(TRIM(Input!G514&amp;""),"%","")),0)&gt;0,IFERROR(VALUE(SUBSTITUTE(TRIM(Input!G514&amp;""),"%","")),0)&lt;1),1,100))</f>
        <v/>
      </c>
      <c r="G514" t="str">
        <f>IF(A514="","",IFERROR(VALUE(SUBSTITUTE(TRIM(Input!H514&amp;""),"%","")),0)/IF(AND(IFERROR(VALUE(SUBSTITUTE(TRIM(Input!H514&amp;""),"%","")),0)&gt;0,IFERROR(VALUE(SUBSTITUTE(TRIM(Input!H514&amp;""),"%","")),0)&lt;1),1,100))</f>
        <v/>
      </c>
      <c r="H514" t="str">
        <f>IF(A514="","",IFERROR(VALUE(SUBSTITUTE(TRIM(Input!I514&amp;""),"%","")),0)/IF(AND(IFERROR(VALUE(SUBSTITUTE(TRIM(Input!I514&amp;""),"%","")),0)&gt;0,IFERROR(VALUE(SUBSTITUTE(TRIM(Input!I514&amp;""),"%","")),0)&lt;1),1,100))</f>
        <v/>
      </c>
    </row>
    <row r="515" spans="1:8">
      <c r="A515" t="str">
        <f>IF(TRIM(Input!B515&amp;"")="","",UPPER(TRIM(Input!B515&amp;"")))</f>
        <v/>
      </c>
      <c r="B515" t="str">
        <f>IF(A515="","",IFERROR(VALUE(RIGHT(TRIM(Input!D515&amp;""),1)),0))</f>
        <v/>
      </c>
      <c r="C515" t="str">
        <f t="shared" si="8"/>
        <v/>
      </c>
      <c r="D515" t="str">
        <f>IF(A515="","",IFERROR(VALUE(SUBSTITUTE(TRIM(Input!E515&amp;""),"%","")),0)/IF(AND(IFERROR(VALUE(SUBSTITUTE(TRIM(Input!E515&amp;""),"%","")),0)&gt;0,IFERROR(VALUE(SUBSTITUTE(TRIM(Input!E515&amp;""),"%","")),0)&lt;1),1,100))</f>
        <v/>
      </c>
      <c r="E515" t="str">
        <f>IF(A515="","",IFERROR(VALUE(SUBSTITUTE(TRIM(Input!F515&amp;""),"%","")),0)/IF(AND(IFERROR(VALUE(SUBSTITUTE(TRIM(Input!F515&amp;""),"%","")),0)&gt;0,IFERROR(VALUE(SUBSTITUTE(TRIM(Input!F515&amp;""),"%","")),0)&lt;1),1,100))</f>
        <v/>
      </c>
      <c r="F515" t="str">
        <f>IF(A515="","",IFERROR(VALUE(SUBSTITUTE(TRIM(Input!G515&amp;""),"%","")),0)/IF(AND(IFERROR(VALUE(SUBSTITUTE(TRIM(Input!G515&amp;""),"%","")),0)&gt;0,IFERROR(VALUE(SUBSTITUTE(TRIM(Input!G515&amp;""),"%","")),0)&lt;1),1,100))</f>
        <v/>
      </c>
      <c r="G515" t="str">
        <f>IF(A515="","",IFERROR(VALUE(SUBSTITUTE(TRIM(Input!H515&amp;""),"%","")),0)/IF(AND(IFERROR(VALUE(SUBSTITUTE(TRIM(Input!H515&amp;""),"%","")),0)&gt;0,IFERROR(VALUE(SUBSTITUTE(TRIM(Input!H515&amp;""),"%","")),0)&lt;1),1,100))</f>
        <v/>
      </c>
      <c r="H515" t="str">
        <f>IF(A515="","",IFERROR(VALUE(SUBSTITUTE(TRIM(Input!I515&amp;""),"%","")),0)/IF(AND(IFERROR(VALUE(SUBSTITUTE(TRIM(Input!I515&amp;""),"%","")),0)&gt;0,IFERROR(VALUE(SUBSTITUTE(TRIM(Input!I515&amp;""),"%","")),0)&lt;1),1,100))</f>
        <v/>
      </c>
    </row>
    <row r="516" spans="1:8">
      <c r="A516" t="str">
        <f>IF(TRIM(Input!B516&amp;"")="","",UPPER(TRIM(Input!B516&amp;"")))</f>
        <v/>
      </c>
      <c r="B516" t="str">
        <f>IF(A516="","",IFERROR(VALUE(RIGHT(TRIM(Input!D516&amp;""),1)),0))</f>
        <v/>
      </c>
      <c r="C516" t="str">
        <f t="shared" si="8"/>
        <v/>
      </c>
      <c r="D516" t="str">
        <f>IF(A516="","",IFERROR(VALUE(SUBSTITUTE(TRIM(Input!E516&amp;""),"%","")),0)/IF(AND(IFERROR(VALUE(SUBSTITUTE(TRIM(Input!E516&amp;""),"%","")),0)&gt;0,IFERROR(VALUE(SUBSTITUTE(TRIM(Input!E516&amp;""),"%","")),0)&lt;1),1,100))</f>
        <v/>
      </c>
      <c r="E516" t="str">
        <f>IF(A516="","",IFERROR(VALUE(SUBSTITUTE(TRIM(Input!F516&amp;""),"%","")),0)/IF(AND(IFERROR(VALUE(SUBSTITUTE(TRIM(Input!F516&amp;""),"%","")),0)&gt;0,IFERROR(VALUE(SUBSTITUTE(TRIM(Input!F516&amp;""),"%","")),0)&lt;1),1,100))</f>
        <v/>
      </c>
      <c r="F516" t="str">
        <f>IF(A516="","",IFERROR(VALUE(SUBSTITUTE(TRIM(Input!G516&amp;""),"%","")),0)/IF(AND(IFERROR(VALUE(SUBSTITUTE(TRIM(Input!G516&amp;""),"%","")),0)&gt;0,IFERROR(VALUE(SUBSTITUTE(TRIM(Input!G516&amp;""),"%","")),0)&lt;1),1,100))</f>
        <v/>
      </c>
      <c r="G516" t="str">
        <f>IF(A516="","",IFERROR(VALUE(SUBSTITUTE(TRIM(Input!H516&amp;""),"%","")),0)/IF(AND(IFERROR(VALUE(SUBSTITUTE(TRIM(Input!H516&amp;""),"%","")),0)&gt;0,IFERROR(VALUE(SUBSTITUTE(TRIM(Input!H516&amp;""),"%","")),0)&lt;1),1,100))</f>
        <v/>
      </c>
      <c r="H516" t="str">
        <f>IF(A516="","",IFERROR(VALUE(SUBSTITUTE(TRIM(Input!I516&amp;""),"%","")),0)/IF(AND(IFERROR(VALUE(SUBSTITUTE(TRIM(Input!I516&amp;""),"%","")),0)&gt;0,IFERROR(VALUE(SUBSTITUTE(TRIM(Input!I516&amp;""),"%","")),0)&lt;1),1,100))</f>
        <v/>
      </c>
    </row>
    <row r="517" spans="1:8">
      <c r="A517" t="str">
        <f>IF(TRIM(Input!B517&amp;"")="","",UPPER(TRIM(Input!B517&amp;"")))</f>
        <v/>
      </c>
      <c r="B517" t="str">
        <f>IF(A517="","",IFERROR(VALUE(RIGHT(TRIM(Input!D517&amp;""),1)),0))</f>
        <v/>
      </c>
      <c r="C517" t="str">
        <f t="shared" si="8"/>
        <v/>
      </c>
      <c r="D517" t="str">
        <f>IF(A517="","",IFERROR(VALUE(SUBSTITUTE(TRIM(Input!E517&amp;""),"%","")),0)/IF(AND(IFERROR(VALUE(SUBSTITUTE(TRIM(Input!E517&amp;""),"%","")),0)&gt;0,IFERROR(VALUE(SUBSTITUTE(TRIM(Input!E517&amp;""),"%","")),0)&lt;1),1,100))</f>
        <v/>
      </c>
      <c r="E517" t="str">
        <f>IF(A517="","",IFERROR(VALUE(SUBSTITUTE(TRIM(Input!F517&amp;""),"%","")),0)/IF(AND(IFERROR(VALUE(SUBSTITUTE(TRIM(Input!F517&amp;""),"%","")),0)&gt;0,IFERROR(VALUE(SUBSTITUTE(TRIM(Input!F517&amp;""),"%","")),0)&lt;1),1,100))</f>
        <v/>
      </c>
      <c r="F517" t="str">
        <f>IF(A517="","",IFERROR(VALUE(SUBSTITUTE(TRIM(Input!G517&amp;""),"%","")),0)/IF(AND(IFERROR(VALUE(SUBSTITUTE(TRIM(Input!G517&amp;""),"%","")),0)&gt;0,IFERROR(VALUE(SUBSTITUTE(TRIM(Input!G517&amp;""),"%","")),0)&lt;1),1,100))</f>
        <v/>
      </c>
      <c r="G517" t="str">
        <f>IF(A517="","",IFERROR(VALUE(SUBSTITUTE(TRIM(Input!H517&amp;""),"%","")),0)/IF(AND(IFERROR(VALUE(SUBSTITUTE(TRIM(Input!H517&amp;""),"%","")),0)&gt;0,IFERROR(VALUE(SUBSTITUTE(TRIM(Input!H517&amp;""),"%","")),0)&lt;1),1,100))</f>
        <v/>
      </c>
      <c r="H517" t="str">
        <f>IF(A517="","",IFERROR(VALUE(SUBSTITUTE(TRIM(Input!I517&amp;""),"%","")),0)/IF(AND(IFERROR(VALUE(SUBSTITUTE(TRIM(Input!I517&amp;""),"%","")),0)&gt;0,IFERROR(VALUE(SUBSTITUTE(TRIM(Input!I517&amp;""),"%","")),0)&lt;1),1,100))</f>
        <v/>
      </c>
    </row>
    <row r="518" spans="1:8">
      <c r="A518" t="str">
        <f>IF(TRIM(Input!B518&amp;"")="","",UPPER(TRIM(Input!B518&amp;"")))</f>
        <v/>
      </c>
      <c r="B518" t="str">
        <f>IF(A518="","",IFERROR(VALUE(RIGHT(TRIM(Input!D518&amp;""),1)),0))</f>
        <v/>
      </c>
      <c r="C518" t="str">
        <f t="shared" si="8"/>
        <v/>
      </c>
      <c r="D518" t="str">
        <f>IF(A518="","",IFERROR(VALUE(SUBSTITUTE(TRIM(Input!E518&amp;""),"%","")),0)/IF(AND(IFERROR(VALUE(SUBSTITUTE(TRIM(Input!E518&amp;""),"%","")),0)&gt;0,IFERROR(VALUE(SUBSTITUTE(TRIM(Input!E518&amp;""),"%","")),0)&lt;1),1,100))</f>
        <v/>
      </c>
      <c r="E518" t="str">
        <f>IF(A518="","",IFERROR(VALUE(SUBSTITUTE(TRIM(Input!F518&amp;""),"%","")),0)/IF(AND(IFERROR(VALUE(SUBSTITUTE(TRIM(Input!F518&amp;""),"%","")),0)&gt;0,IFERROR(VALUE(SUBSTITUTE(TRIM(Input!F518&amp;""),"%","")),0)&lt;1),1,100))</f>
        <v/>
      </c>
      <c r="F518" t="str">
        <f>IF(A518="","",IFERROR(VALUE(SUBSTITUTE(TRIM(Input!G518&amp;""),"%","")),0)/IF(AND(IFERROR(VALUE(SUBSTITUTE(TRIM(Input!G518&amp;""),"%","")),0)&gt;0,IFERROR(VALUE(SUBSTITUTE(TRIM(Input!G518&amp;""),"%","")),0)&lt;1),1,100))</f>
        <v/>
      </c>
      <c r="G518" t="str">
        <f>IF(A518="","",IFERROR(VALUE(SUBSTITUTE(TRIM(Input!H518&amp;""),"%","")),0)/IF(AND(IFERROR(VALUE(SUBSTITUTE(TRIM(Input!H518&amp;""),"%","")),0)&gt;0,IFERROR(VALUE(SUBSTITUTE(TRIM(Input!H518&amp;""),"%","")),0)&lt;1),1,100))</f>
        <v/>
      </c>
      <c r="H518" t="str">
        <f>IF(A518="","",IFERROR(VALUE(SUBSTITUTE(TRIM(Input!I518&amp;""),"%","")),0)/IF(AND(IFERROR(VALUE(SUBSTITUTE(TRIM(Input!I518&amp;""),"%","")),0)&gt;0,IFERROR(VALUE(SUBSTITUTE(TRIM(Input!I518&amp;""),"%","")),0)&lt;1),1,100))</f>
        <v/>
      </c>
    </row>
    <row r="519" spans="1:8">
      <c r="A519" t="str">
        <f>IF(TRIM(Input!B519&amp;"")="","",UPPER(TRIM(Input!B519&amp;"")))</f>
        <v/>
      </c>
      <c r="B519" t="str">
        <f>IF(A519="","",IFERROR(VALUE(RIGHT(TRIM(Input!D519&amp;""),1)),0))</f>
        <v/>
      </c>
      <c r="C519" t="str">
        <f t="shared" si="8"/>
        <v/>
      </c>
      <c r="D519" t="str">
        <f>IF(A519="","",IFERROR(VALUE(SUBSTITUTE(TRIM(Input!E519&amp;""),"%","")),0)/IF(AND(IFERROR(VALUE(SUBSTITUTE(TRIM(Input!E519&amp;""),"%","")),0)&gt;0,IFERROR(VALUE(SUBSTITUTE(TRIM(Input!E519&amp;""),"%","")),0)&lt;1),1,100))</f>
        <v/>
      </c>
      <c r="E519" t="str">
        <f>IF(A519="","",IFERROR(VALUE(SUBSTITUTE(TRIM(Input!F519&amp;""),"%","")),0)/IF(AND(IFERROR(VALUE(SUBSTITUTE(TRIM(Input!F519&amp;""),"%","")),0)&gt;0,IFERROR(VALUE(SUBSTITUTE(TRIM(Input!F519&amp;""),"%","")),0)&lt;1),1,100))</f>
        <v/>
      </c>
      <c r="F519" t="str">
        <f>IF(A519="","",IFERROR(VALUE(SUBSTITUTE(TRIM(Input!G519&amp;""),"%","")),0)/IF(AND(IFERROR(VALUE(SUBSTITUTE(TRIM(Input!G519&amp;""),"%","")),0)&gt;0,IFERROR(VALUE(SUBSTITUTE(TRIM(Input!G519&amp;""),"%","")),0)&lt;1),1,100))</f>
        <v/>
      </c>
      <c r="G519" t="str">
        <f>IF(A519="","",IFERROR(VALUE(SUBSTITUTE(TRIM(Input!H519&amp;""),"%","")),0)/IF(AND(IFERROR(VALUE(SUBSTITUTE(TRIM(Input!H519&amp;""),"%","")),0)&gt;0,IFERROR(VALUE(SUBSTITUTE(TRIM(Input!H519&amp;""),"%","")),0)&lt;1),1,100))</f>
        <v/>
      </c>
      <c r="H519" t="str">
        <f>IF(A519="","",IFERROR(VALUE(SUBSTITUTE(TRIM(Input!I519&amp;""),"%","")),0)/IF(AND(IFERROR(VALUE(SUBSTITUTE(TRIM(Input!I519&amp;""),"%","")),0)&gt;0,IFERROR(VALUE(SUBSTITUTE(TRIM(Input!I519&amp;""),"%","")),0)&lt;1),1,100))</f>
        <v/>
      </c>
    </row>
    <row r="520" spans="1:8">
      <c r="A520" t="str">
        <f>IF(TRIM(Input!B520&amp;"")="","",UPPER(TRIM(Input!B520&amp;"")))</f>
        <v/>
      </c>
      <c r="B520" t="str">
        <f>IF(A520="","",IFERROR(VALUE(RIGHT(TRIM(Input!D520&amp;""),1)),0))</f>
        <v/>
      </c>
      <c r="C520" t="str">
        <f t="shared" si="8"/>
        <v/>
      </c>
      <c r="D520" t="str">
        <f>IF(A520="","",IFERROR(VALUE(SUBSTITUTE(TRIM(Input!E520&amp;""),"%","")),0)/IF(AND(IFERROR(VALUE(SUBSTITUTE(TRIM(Input!E520&amp;""),"%","")),0)&gt;0,IFERROR(VALUE(SUBSTITUTE(TRIM(Input!E520&amp;""),"%","")),0)&lt;1),1,100))</f>
        <v/>
      </c>
      <c r="E520" t="str">
        <f>IF(A520="","",IFERROR(VALUE(SUBSTITUTE(TRIM(Input!F520&amp;""),"%","")),0)/IF(AND(IFERROR(VALUE(SUBSTITUTE(TRIM(Input!F520&amp;""),"%","")),0)&gt;0,IFERROR(VALUE(SUBSTITUTE(TRIM(Input!F520&amp;""),"%","")),0)&lt;1),1,100))</f>
        <v/>
      </c>
      <c r="F520" t="str">
        <f>IF(A520="","",IFERROR(VALUE(SUBSTITUTE(TRIM(Input!G520&amp;""),"%","")),0)/IF(AND(IFERROR(VALUE(SUBSTITUTE(TRIM(Input!G520&amp;""),"%","")),0)&gt;0,IFERROR(VALUE(SUBSTITUTE(TRIM(Input!G520&amp;""),"%","")),0)&lt;1),1,100))</f>
        <v/>
      </c>
      <c r="G520" t="str">
        <f>IF(A520="","",IFERROR(VALUE(SUBSTITUTE(TRIM(Input!H520&amp;""),"%","")),0)/IF(AND(IFERROR(VALUE(SUBSTITUTE(TRIM(Input!H520&amp;""),"%","")),0)&gt;0,IFERROR(VALUE(SUBSTITUTE(TRIM(Input!H520&amp;""),"%","")),0)&lt;1),1,100))</f>
        <v/>
      </c>
      <c r="H520" t="str">
        <f>IF(A520="","",IFERROR(VALUE(SUBSTITUTE(TRIM(Input!I520&amp;""),"%","")),0)/IF(AND(IFERROR(VALUE(SUBSTITUTE(TRIM(Input!I520&amp;""),"%","")),0)&gt;0,IFERROR(VALUE(SUBSTITUTE(TRIM(Input!I520&amp;""),"%","")),0)&lt;1),1,100))</f>
        <v/>
      </c>
    </row>
    <row r="521" spans="1:8">
      <c r="A521" t="str">
        <f>IF(TRIM(Input!B521&amp;"")="","",UPPER(TRIM(Input!B521&amp;"")))</f>
        <v/>
      </c>
      <c r="B521" t="str">
        <f>IF(A521="","",IFERROR(VALUE(RIGHT(TRIM(Input!D521&amp;""),1)),0))</f>
        <v/>
      </c>
      <c r="C521" t="str">
        <f t="shared" si="8"/>
        <v/>
      </c>
      <c r="D521" t="str">
        <f>IF(A521="","",IFERROR(VALUE(SUBSTITUTE(TRIM(Input!E521&amp;""),"%","")),0)/IF(AND(IFERROR(VALUE(SUBSTITUTE(TRIM(Input!E521&amp;""),"%","")),0)&gt;0,IFERROR(VALUE(SUBSTITUTE(TRIM(Input!E521&amp;""),"%","")),0)&lt;1),1,100))</f>
        <v/>
      </c>
      <c r="E521" t="str">
        <f>IF(A521="","",IFERROR(VALUE(SUBSTITUTE(TRIM(Input!F521&amp;""),"%","")),0)/IF(AND(IFERROR(VALUE(SUBSTITUTE(TRIM(Input!F521&amp;""),"%","")),0)&gt;0,IFERROR(VALUE(SUBSTITUTE(TRIM(Input!F521&amp;""),"%","")),0)&lt;1),1,100))</f>
        <v/>
      </c>
      <c r="F521" t="str">
        <f>IF(A521="","",IFERROR(VALUE(SUBSTITUTE(TRIM(Input!G521&amp;""),"%","")),0)/IF(AND(IFERROR(VALUE(SUBSTITUTE(TRIM(Input!G521&amp;""),"%","")),0)&gt;0,IFERROR(VALUE(SUBSTITUTE(TRIM(Input!G521&amp;""),"%","")),0)&lt;1),1,100))</f>
        <v/>
      </c>
      <c r="G521" t="str">
        <f>IF(A521="","",IFERROR(VALUE(SUBSTITUTE(TRIM(Input!H521&amp;""),"%","")),0)/IF(AND(IFERROR(VALUE(SUBSTITUTE(TRIM(Input!H521&amp;""),"%","")),0)&gt;0,IFERROR(VALUE(SUBSTITUTE(TRIM(Input!H521&amp;""),"%","")),0)&lt;1),1,100))</f>
        <v/>
      </c>
      <c r="H521" t="str">
        <f>IF(A521="","",IFERROR(VALUE(SUBSTITUTE(TRIM(Input!I521&amp;""),"%","")),0)/IF(AND(IFERROR(VALUE(SUBSTITUTE(TRIM(Input!I521&amp;""),"%","")),0)&gt;0,IFERROR(VALUE(SUBSTITUTE(TRIM(Input!I521&amp;""),"%","")),0)&lt;1),1,100))</f>
        <v/>
      </c>
    </row>
    <row r="522" spans="1:8">
      <c r="A522" t="str">
        <f>IF(TRIM(Input!B522&amp;"")="","",UPPER(TRIM(Input!B522&amp;"")))</f>
        <v/>
      </c>
      <c r="B522" t="str">
        <f>IF(A522="","",IFERROR(VALUE(RIGHT(TRIM(Input!D522&amp;""),1)),0))</f>
        <v/>
      </c>
      <c r="C522" t="str">
        <f t="shared" si="8"/>
        <v/>
      </c>
      <c r="D522" t="str">
        <f>IF(A522="","",IFERROR(VALUE(SUBSTITUTE(TRIM(Input!E522&amp;""),"%","")),0)/IF(AND(IFERROR(VALUE(SUBSTITUTE(TRIM(Input!E522&amp;""),"%","")),0)&gt;0,IFERROR(VALUE(SUBSTITUTE(TRIM(Input!E522&amp;""),"%","")),0)&lt;1),1,100))</f>
        <v/>
      </c>
      <c r="E522" t="str">
        <f>IF(A522="","",IFERROR(VALUE(SUBSTITUTE(TRIM(Input!F522&amp;""),"%","")),0)/IF(AND(IFERROR(VALUE(SUBSTITUTE(TRIM(Input!F522&amp;""),"%","")),0)&gt;0,IFERROR(VALUE(SUBSTITUTE(TRIM(Input!F522&amp;""),"%","")),0)&lt;1),1,100))</f>
        <v/>
      </c>
      <c r="F522" t="str">
        <f>IF(A522="","",IFERROR(VALUE(SUBSTITUTE(TRIM(Input!G522&amp;""),"%","")),0)/IF(AND(IFERROR(VALUE(SUBSTITUTE(TRIM(Input!G522&amp;""),"%","")),0)&gt;0,IFERROR(VALUE(SUBSTITUTE(TRIM(Input!G522&amp;""),"%","")),0)&lt;1),1,100))</f>
        <v/>
      </c>
      <c r="G522" t="str">
        <f>IF(A522="","",IFERROR(VALUE(SUBSTITUTE(TRIM(Input!H522&amp;""),"%","")),0)/IF(AND(IFERROR(VALUE(SUBSTITUTE(TRIM(Input!H522&amp;""),"%","")),0)&gt;0,IFERROR(VALUE(SUBSTITUTE(TRIM(Input!H522&amp;""),"%","")),0)&lt;1),1,100))</f>
        <v/>
      </c>
      <c r="H522" t="str">
        <f>IF(A522="","",IFERROR(VALUE(SUBSTITUTE(TRIM(Input!I522&amp;""),"%","")),0)/IF(AND(IFERROR(VALUE(SUBSTITUTE(TRIM(Input!I522&amp;""),"%","")),0)&gt;0,IFERROR(VALUE(SUBSTITUTE(TRIM(Input!I522&amp;""),"%","")),0)&lt;1),1,100))</f>
        <v/>
      </c>
    </row>
    <row r="523" spans="1:8">
      <c r="A523" t="str">
        <f>IF(TRIM(Input!B523&amp;"")="","",UPPER(TRIM(Input!B523&amp;"")))</f>
        <v/>
      </c>
      <c r="B523" t="str">
        <f>IF(A523="","",IFERROR(VALUE(RIGHT(TRIM(Input!D523&amp;""),1)),0))</f>
        <v/>
      </c>
      <c r="C523" t="str">
        <f t="shared" si="8"/>
        <v/>
      </c>
      <c r="D523" t="str">
        <f>IF(A523="","",IFERROR(VALUE(SUBSTITUTE(TRIM(Input!E523&amp;""),"%","")),0)/IF(AND(IFERROR(VALUE(SUBSTITUTE(TRIM(Input!E523&amp;""),"%","")),0)&gt;0,IFERROR(VALUE(SUBSTITUTE(TRIM(Input!E523&amp;""),"%","")),0)&lt;1),1,100))</f>
        <v/>
      </c>
      <c r="E523" t="str">
        <f>IF(A523="","",IFERROR(VALUE(SUBSTITUTE(TRIM(Input!F523&amp;""),"%","")),0)/IF(AND(IFERROR(VALUE(SUBSTITUTE(TRIM(Input!F523&amp;""),"%","")),0)&gt;0,IFERROR(VALUE(SUBSTITUTE(TRIM(Input!F523&amp;""),"%","")),0)&lt;1),1,100))</f>
        <v/>
      </c>
      <c r="F523" t="str">
        <f>IF(A523="","",IFERROR(VALUE(SUBSTITUTE(TRIM(Input!G523&amp;""),"%","")),0)/IF(AND(IFERROR(VALUE(SUBSTITUTE(TRIM(Input!G523&amp;""),"%","")),0)&gt;0,IFERROR(VALUE(SUBSTITUTE(TRIM(Input!G523&amp;""),"%","")),0)&lt;1),1,100))</f>
        <v/>
      </c>
      <c r="G523" t="str">
        <f>IF(A523="","",IFERROR(VALUE(SUBSTITUTE(TRIM(Input!H523&amp;""),"%","")),0)/IF(AND(IFERROR(VALUE(SUBSTITUTE(TRIM(Input!H523&amp;""),"%","")),0)&gt;0,IFERROR(VALUE(SUBSTITUTE(TRIM(Input!H523&amp;""),"%","")),0)&lt;1),1,100))</f>
        <v/>
      </c>
      <c r="H523" t="str">
        <f>IF(A523="","",IFERROR(VALUE(SUBSTITUTE(TRIM(Input!I523&amp;""),"%","")),0)/IF(AND(IFERROR(VALUE(SUBSTITUTE(TRIM(Input!I523&amp;""),"%","")),0)&gt;0,IFERROR(VALUE(SUBSTITUTE(TRIM(Input!I523&amp;""),"%","")),0)&lt;1),1,100))</f>
        <v/>
      </c>
    </row>
    <row r="524" spans="1:8">
      <c r="A524" t="str">
        <f>IF(TRIM(Input!B524&amp;"")="","",UPPER(TRIM(Input!B524&amp;"")))</f>
        <v/>
      </c>
      <c r="B524" t="str">
        <f>IF(A524="","",IFERROR(VALUE(RIGHT(TRIM(Input!D524&amp;""),1)),0))</f>
        <v/>
      </c>
      <c r="C524" t="str">
        <f t="shared" si="8"/>
        <v/>
      </c>
      <c r="D524" t="str">
        <f>IF(A524="","",IFERROR(VALUE(SUBSTITUTE(TRIM(Input!E524&amp;""),"%","")),0)/IF(AND(IFERROR(VALUE(SUBSTITUTE(TRIM(Input!E524&amp;""),"%","")),0)&gt;0,IFERROR(VALUE(SUBSTITUTE(TRIM(Input!E524&amp;""),"%","")),0)&lt;1),1,100))</f>
        <v/>
      </c>
      <c r="E524" t="str">
        <f>IF(A524="","",IFERROR(VALUE(SUBSTITUTE(TRIM(Input!F524&amp;""),"%","")),0)/IF(AND(IFERROR(VALUE(SUBSTITUTE(TRIM(Input!F524&amp;""),"%","")),0)&gt;0,IFERROR(VALUE(SUBSTITUTE(TRIM(Input!F524&amp;""),"%","")),0)&lt;1),1,100))</f>
        <v/>
      </c>
      <c r="F524" t="str">
        <f>IF(A524="","",IFERROR(VALUE(SUBSTITUTE(TRIM(Input!G524&amp;""),"%","")),0)/IF(AND(IFERROR(VALUE(SUBSTITUTE(TRIM(Input!G524&amp;""),"%","")),0)&gt;0,IFERROR(VALUE(SUBSTITUTE(TRIM(Input!G524&amp;""),"%","")),0)&lt;1),1,100))</f>
        <v/>
      </c>
      <c r="G524" t="str">
        <f>IF(A524="","",IFERROR(VALUE(SUBSTITUTE(TRIM(Input!H524&amp;""),"%","")),0)/IF(AND(IFERROR(VALUE(SUBSTITUTE(TRIM(Input!H524&amp;""),"%","")),0)&gt;0,IFERROR(VALUE(SUBSTITUTE(TRIM(Input!H524&amp;""),"%","")),0)&lt;1),1,100))</f>
        <v/>
      </c>
      <c r="H524" t="str">
        <f>IF(A524="","",IFERROR(VALUE(SUBSTITUTE(TRIM(Input!I524&amp;""),"%","")),0)/IF(AND(IFERROR(VALUE(SUBSTITUTE(TRIM(Input!I524&amp;""),"%","")),0)&gt;0,IFERROR(VALUE(SUBSTITUTE(TRIM(Input!I524&amp;""),"%","")),0)&lt;1),1,100))</f>
        <v/>
      </c>
    </row>
    <row r="525" spans="1:8">
      <c r="A525" t="str">
        <f>IF(TRIM(Input!B525&amp;"")="","",UPPER(TRIM(Input!B525&amp;"")))</f>
        <v/>
      </c>
      <c r="B525" t="str">
        <f>IF(A525="","",IFERROR(VALUE(RIGHT(TRIM(Input!D525&amp;""),1)),0))</f>
        <v/>
      </c>
      <c r="C525" t="str">
        <f t="shared" si="8"/>
        <v/>
      </c>
      <c r="D525" t="str">
        <f>IF(A525="","",IFERROR(VALUE(SUBSTITUTE(TRIM(Input!E525&amp;""),"%","")),0)/IF(AND(IFERROR(VALUE(SUBSTITUTE(TRIM(Input!E525&amp;""),"%","")),0)&gt;0,IFERROR(VALUE(SUBSTITUTE(TRIM(Input!E525&amp;""),"%","")),0)&lt;1),1,100))</f>
        <v/>
      </c>
      <c r="E525" t="str">
        <f>IF(A525="","",IFERROR(VALUE(SUBSTITUTE(TRIM(Input!F525&amp;""),"%","")),0)/IF(AND(IFERROR(VALUE(SUBSTITUTE(TRIM(Input!F525&amp;""),"%","")),0)&gt;0,IFERROR(VALUE(SUBSTITUTE(TRIM(Input!F525&amp;""),"%","")),0)&lt;1),1,100))</f>
        <v/>
      </c>
      <c r="F525" t="str">
        <f>IF(A525="","",IFERROR(VALUE(SUBSTITUTE(TRIM(Input!G525&amp;""),"%","")),0)/IF(AND(IFERROR(VALUE(SUBSTITUTE(TRIM(Input!G525&amp;""),"%","")),0)&gt;0,IFERROR(VALUE(SUBSTITUTE(TRIM(Input!G525&amp;""),"%","")),0)&lt;1),1,100))</f>
        <v/>
      </c>
      <c r="G525" t="str">
        <f>IF(A525="","",IFERROR(VALUE(SUBSTITUTE(TRIM(Input!H525&amp;""),"%","")),0)/IF(AND(IFERROR(VALUE(SUBSTITUTE(TRIM(Input!H525&amp;""),"%","")),0)&gt;0,IFERROR(VALUE(SUBSTITUTE(TRIM(Input!H525&amp;""),"%","")),0)&lt;1),1,100))</f>
        <v/>
      </c>
      <c r="H525" t="str">
        <f>IF(A525="","",IFERROR(VALUE(SUBSTITUTE(TRIM(Input!I525&amp;""),"%","")),0)/IF(AND(IFERROR(VALUE(SUBSTITUTE(TRIM(Input!I525&amp;""),"%","")),0)&gt;0,IFERROR(VALUE(SUBSTITUTE(TRIM(Input!I525&amp;""),"%","")),0)&lt;1),1,100))</f>
        <v/>
      </c>
    </row>
    <row r="526" spans="1:8">
      <c r="A526" t="str">
        <f>IF(TRIM(Input!B526&amp;"")="","",UPPER(TRIM(Input!B526&amp;"")))</f>
        <v/>
      </c>
      <c r="B526" t="str">
        <f>IF(A526="","",IFERROR(VALUE(RIGHT(TRIM(Input!D526&amp;""),1)),0))</f>
        <v/>
      </c>
      <c r="C526" t="str">
        <f t="shared" si="8"/>
        <v/>
      </c>
      <c r="D526" t="str">
        <f>IF(A526="","",IFERROR(VALUE(SUBSTITUTE(TRIM(Input!E526&amp;""),"%","")),0)/IF(AND(IFERROR(VALUE(SUBSTITUTE(TRIM(Input!E526&amp;""),"%","")),0)&gt;0,IFERROR(VALUE(SUBSTITUTE(TRIM(Input!E526&amp;""),"%","")),0)&lt;1),1,100))</f>
        <v/>
      </c>
      <c r="E526" t="str">
        <f>IF(A526="","",IFERROR(VALUE(SUBSTITUTE(TRIM(Input!F526&amp;""),"%","")),0)/IF(AND(IFERROR(VALUE(SUBSTITUTE(TRIM(Input!F526&amp;""),"%","")),0)&gt;0,IFERROR(VALUE(SUBSTITUTE(TRIM(Input!F526&amp;""),"%","")),0)&lt;1),1,100))</f>
        <v/>
      </c>
      <c r="F526" t="str">
        <f>IF(A526="","",IFERROR(VALUE(SUBSTITUTE(TRIM(Input!G526&amp;""),"%","")),0)/IF(AND(IFERROR(VALUE(SUBSTITUTE(TRIM(Input!G526&amp;""),"%","")),0)&gt;0,IFERROR(VALUE(SUBSTITUTE(TRIM(Input!G526&amp;""),"%","")),0)&lt;1),1,100))</f>
        <v/>
      </c>
      <c r="G526" t="str">
        <f>IF(A526="","",IFERROR(VALUE(SUBSTITUTE(TRIM(Input!H526&amp;""),"%","")),0)/IF(AND(IFERROR(VALUE(SUBSTITUTE(TRIM(Input!H526&amp;""),"%","")),0)&gt;0,IFERROR(VALUE(SUBSTITUTE(TRIM(Input!H526&amp;""),"%","")),0)&lt;1),1,100))</f>
        <v/>
      </c>
      <c r="H526" t="str">
        <f>IF(A526="","",IFERROR(VALUE(SUBSTITUTE(TRIM(Input!I526&amp;""),"%","")),0)/IF(AND(IFERROR(VALUE(SUBSTITUTE(TRIM(Input!I526&amp;""),"%","")),0)&gt;0,IFERROR(VALUE(SUBSTITUTE(TRIM(Input!I526&amp;""),"%","")),0)&lt;1),1,100))</f>
        <v/>
      </c>
    </row>
    <row r="527" spans="1:8">
      <c r="A527" t="str">
        <f>IF(TRIM(Input!B527&amp;"")="","",UPPER(TRIM(Input!B527&amp;"")))</f>
        <v/>
      </c>
      <c r="B527" t="str">
        <f>IF(A527="","",IFERROR(VALUE(RIGHT(TRIM(Input!D527&amp;""),1)),0))</f>
        <v/>
      </c>
      <c r="C527" t="str">
        <f t="shared" si="8"/>
        <v/>
      </c>
      <c r="D527" t="str">
        <f>IF(A527="","",IFERROR(VALUE(SUBSTITUTE(TRIM(Input!E527&amp;""),"%","")),0)/IF(AND(IFERROR(VALUE(SUBSTITUTE(TRIM(Input!E527&amp;""),"%","")),0)&gt;0,IFERROR(VALUE(SUBSTITUTE(TRIM(Input!E527&amp;""),"%","")),0)&lt;1),1,100))</f>
        <v/>
      </c>
      <c r="E527" t="str">
        <f>IF(A527="","",IFERROR(VALUE(SUBSTITUTE(TRIM(Input!F527&amp;""),"%","")),0)/IF(AND(IFERROR(VALUE(SUBSTITUTE(TRIM(Input!F527&amp;""),"%","")),0)&gt;0,IFERROR(VALUE(SUBSTITUTE(TRIM(Input!F527&amp;""),"%","")),0)&lt;1),1,100))</f>
        <v/>
      </c>
      <c r="F527" t="str">
        <f>IF(A527="","",IFERROR(VALUE(SUBSTITUTE(TRIM(Input!G527&amp;""),"%","")),0)/IF(AND(IFERROR(VALUE(SUBSTITUTE(TRIM(Input!G527&amp;""),"%","")),0)&gt;0,IFERROR(VALUE(SUBSTITUTE(TRIM(Input!G527&amp;""),"%","")),0)&lt;1),1,100))</f>
        <v/>
      </c>
      <c r="G527" t="str">
        <f>IF(A527="","",IFERROR(VALUE(SUBSTITUTE(TRIM(Input!H527&amp;""),"%","")),0)/IF(AND(IFERROR(VALUE(SUBSTITUTE(TRIM(Input!H527&amp;""),"%","")),0)&gt;0,IFERROR(VALUE(SUBSTITUTE(TRIM(Input!H527&amp;""),"%","")),0)&lt;1),1,100))</f>
        <v/>
      </c>
      <c r="H527" t="str">
        <f>IF(A527="","",IFERROR(VALUE(SUBSTITUTE(TRIM(Input!I527&amp;""),"%","")),0)/IF(AND(IFERROR(VALUE(SUBSTITUTE(TRIM(Input!I527&amp;""),"%","")),0)&gt;0,IFERROR(VALUE(SUBSTITUTE(TRIM(Input!I527&amp;""),"%","")),0)&lt;1),1,100))</f>
        <v/>
      </c>
    </row>
    <row r="528" spans="1:8">
      <c r="A528" t="str">
        <f>IF(TRIM(Input!B528&amp;"")="","",UPPER(TRIM(Input!B528&amp;"")))</f>
        <v/>
      </c>
      <c r="B528" t="str">
        <f>IF(A528="","",IFERROR(VALUE(RIGHT(TRIM(Input!D528&amp;""),1)),0))</f>
        <v/>
      </c>
      <c r="C528" t="str">
        <f t="shared" si="8"/>
        <v/>
      </c>
      <c r="D528" t="str">
        <f>IF(A528="","",IFERROR(VALUE(SUBSTITUTE(TRIM(Input!E528&amp;""),"%","")),0)/IF(AND(IFERROR(VALUE(SUBSTITUTE(TRIM(Input!E528&amp;""),"%","")),0)&gt;0,IFERROR(VALUE(SUBSTITUTE(TRIM(Input!E528&amp;""),"%","")),0)&lt;1),1,100))</f>
        <v/>
      </c>
      <c r="E528" t="str">
        <f>IF(A528="","",IFERROR(VALUE(SUBSTITUTE(TRIM(Input!F528&amp;""),"%","")),0)/IF(AND(IFERROR(VALUE(SUBSTITUTE(TRIM(Input!F528&amp;""),"%","")),0)&gt;0,IFERROR(VALUE(SUBSTITUTE(TRIM(Input!F528&amp;""),"%","")),0)&lt;1),1,100))</f>
        <v/>
      </c>
      <c r="F528" t="str">
        <f>IF(A528="","",IFERROR(VALUE(SUBSTITUTE(TRIM(Input!G528&amp;""),"%","")),0)/IF(AND(IFERROR(VALUE(SUBSTITUTE(TRIM(Input!G528&amp;""),"%","")),0)&gt;0,IFERROR(VALUE(SUBSTITUTE(TRIM(Input!G528&amp;""),"%","")),0)&lt;1),1,100))</f>
        <v/>
      </c>
      <c r="G528" t="str">
        <f>IF(A528="","",IFERROR(VALUE(SUBSTITUTE(TRIM(Input!H528&amp;""),"%","")),0)/IF(AND(IFERROR(VALUE(SUBSTITUTE(TRIM(Input!H528&amp;""),"%","")),0)&gt;0,IFERROR(VALUE(SUBSTITUTE(TRIM(Input!H528&amp;""),"%","")),0)&lt;1),1,100))</f>
        <v/>
      </c>
      <c r="H528" t="str">
        <f>IF(A528="","",IFERROR(VALUE(SUBSTITUTE(TRIM(Input!I528&amp;""),"%","")),0)/IF(AND(IFERROR(VALUE(SUBSTITUTE(TRIM(Input!I528&amp;""),"%","")),0)&gt;0,IFERROR(VALUE(SUBSTITUTE(TRIM(Input!I528&amp;""),"%","")),0)&lt;1),1,100))</f>
        <v/>
      </c>
    </row>
    <row r="529" spans="1:8">
      <c r="A529" t="str">
        <f>IF(TRIM(Input!B529&amp;"")="","",UPPER(TRIM(Input!B529&amp;"")))</f>
        <v/>
      </c>
      <c r="B529" t="str">
        <f>IF(A529="","",IFERROR(VALUE(RIGHT(TRIM(Input!D529&amp;""),1)),0))</f>
        <v/>
      </c>
      <c r="C529" t="str">
        <f t="shared" si="8"/>
        <v/>
      </c>
      <c r="D529" t="str">
        <f>IF(A529="","",IFERROR(VALUE(SUBSTITUTE(TRIM(Input!E529&amp;""),"%","")),0)/IF(AND(IFERROR(VALUE(SUBSTITUTE(TRIM(Input!E529&amp;""),"%","")),0)&gt;0,IFERROR(VALUE(SUBSTITUTE(TRIM(Input!E529&amp;""),"%","")),0)&lt;1),1,100))</f>
        <v/>
      </c>
      <c r="E529" t="str">
        <f>IF(A529="","",IFERROR(VALUE(SUBSTITUTE(TRIM(Input!F529&amp;""),"%","")),0)/IF(AND(IFERROR(VALUE(SUBSTITUTE(TRIM(Input!F529&amp;""),"%","")),0)&gt;0,IFERROR(VALUE(SUBSTITUTE(TRIM(Input!F529&amp;""),"%","")),0)&lt;1),1,100))</f>
        <v/>
      </c>
      <c r="F529" t="str">
        <f>IF(A529="","",IFERROR(VALUE(SUBSTITUTE(TRIM(Input!G529&amp;""),"%","")),0)/IF(AND(IFERROR(VALUE(SUBSTITUTE(TRIM(Input!G529&amp;""),"%","")),0)&gt;0,IFERROR(VALUE(SUBSTITUTE(TRIM(Input!G529&amp;""),"%","")),0)&lt;1),1,100))</f>
        <v/>
      </c>
      <c r="G529" t="str">
        <f>IF(A529="","",IFERROR(VALUE(SUBSTITUTE(TRIM(Input!H529&amp;""),"%","")),0)/IF(AND(IFERROR(VALUE(SUBSTITUTE(TRIM(Input!H529&amp;""),"%","")),0)&gt;0,IFERROR(VALUE(SUBSTITUTE(TRIM(Input!H529&amp;""),"%","")),0)&lt;1),1,100))</f>
        <v/>
      </c>
      <c r="H529" t="str">
        <f>IF(A529="","",IFERROR(VALUE(SUBSTITUTE(TRIM(Input!I529&amp;""),"%","")),0)/IF(AND(IFERROR(VALUE(SUBSTITUTE(TRIM(Input!I529&amp;""),"%","")),0)&gt;0,IFERROR(VALUE(SUBSTITUTE(TRIM(Input!I529&amp;""),"%","")),0)&lt;1),1,100))</f>
        <v/>
      </c>
    </row>
    <row r="530" spans="1:8">
      <c r="A530" t="str">
        <f>IF(TRIM(Input!B530&amp;"")="","",UPPER(TRIM(Input!B530&amp;"")))</f>
        <v/>
      </c>
      <c r="B530" t="str">
        <f>IF(A530="","",IFERROR(VALUE(RIGHT(TRIM(Input!D530&amp;""),1)),0))</f>
        <v/>
      </c>
      <c r="C530" t="str">
        <f t="shared" si="8"/>
        <v/>
      </c>
      <c r="D530" t="str">
        <f>IF(A530="","",IFERROR(VALUE(SUBSTITUTE(TRIM(Input!E530&amp;""),"%","")),0)/IF(AND(IFERROR(VALUE(SUBSTITUTE(TRIM(Input!E530&amp;""),"%","")),0)&gt;0,IFERROR(VALUE(SUBSTITUTE(TRIM(Input!E530&amp;""),"%","")),0)&lt;1),1,100))</f>
        <v/>
      </c>
      <c r="E530" t="str">
        <f>IF(A530="","",IFERROR(VALUE(SUBSTITUTE(TRIM(Input!F530&amp;""),"%","")),0)/IF(AND(IFERROR(VALUE(SUBSTITUTE(TRIM(Input!F530&amp;""),"%","")),0)&gt;0,IFERROR(VALUE(SUBSTITUTE(TRIM(Input!F530&amp;""),"%","")),0)&lt;1),1,100))</f>
        <v/>
      </c>
      <c r="F530" t="str">
        <f>IF(A530="","",IFERROR(VALUE(SUBSTITUTE(TRIM(Input!G530&amp;""),"%","")),0)/IF(AND(IFERROR(VALUE(SUBSTITUTE(TRIM(Input!G530&amp;""),"%","")),0)&gt;0,IFERROR(VALUE(SUBSTITUTE(TRIM(Input!G530&amp;""),"%","")),0)&lt;1),1,100))</f>
        <v/>
      </c>
      <c r="G530" t="str">
        <f>IF(A530="","",IFERROR(VALUE(SUBSTITUTE(TRIM(Input!H530&amp;""),"%","")),0)/IF(AND(IFERROR(VALUE(SUBSTITUTE(TRIM(Input!H530&amp;""),"%","")),0)&gt;0,IFERROR(VALUE(SUBSTITUTE(TRIM(Input!H530&amp;""),"%","")),0)&lt;1),1,100))</f>
        <v/>
      </c>
      <c r="H530" t="str">
        <f>IF(A530="","",IFERROR(VALUE(SUBSTITUTE(TRIM(Input!I530&amp;""),"%","")),0)/IF(AND(IFERROR(VALUE(SUBSTITUTE(TRIM(Input!I530&amp;""),"%","")),0)&gt;0,IFERROR(VALUE(SUBSTITUTE(TRIM(Input!I530&amp;""),"%","")),0)&lt;1),1,100))</f>
        <v/>
      </c>
    </row>
    <row r="531" spans="1:8">
      <c r="A531" t="str">
        <f>IF(TRIM(Input!B531&amp;"")="","",UPPER(TRIM(Input!B531&amp;"")))</f>
        <v/>
      </c>
      <c r="B531" t="str">
        <f>IF(A531="","",IFERROR(VALUE(RIGHT(TRIM(Input!D531&amp;""),1)),0))</f>
        <v/>
      </c>
      <c r="C531" t="str">
        <f t="shared" si="8"/>
        <v/>
      </c>
      <c r="D531" t="str">
        <f>IF(A531="","",IFERROR(VALUE(SUBSTITUTE(TRIM(Input!E531&amp;""),"%","")),0)/IF(AND(IFERROR(VALUE(SUBSTITUTE(TRIM(Input!E531&amp;""),"%","")),0)&gt;0,IFERROR(VALUE(SUBSTITUTE(TRIM(Input!E531&amp;""),"%","")),0)&lt;1),1,100))</f>
        <v/>
      </c>
      <c r="E531" t="str">
        <f>IF(A531="","",IFERROR(VALUE(SUBSTITUTE(TRIM(Input!F531&amp;""),"%","")),0)/IF(AND(IFERROR(VALUE(SUBSTITUTE(TRIM(Input!F531&amp;""),"%","")),0)&gt;0,IFERROR(VALUE(SUBSTITUTE(TRIM(Input!F531&amp;""),"%","")),0)&lt;1),1,100))</f>
        <v/>
      </c>
      <c r="F531" t="str">
        <f>IF(A531="","",IFERROR(VALUE(SUBSTITUTE(TRIM(Input!G531&amp;""),"%","")),0)/IF(AND(IFERROR(VALUE(SUBSTITUTE(TRIM(Input!G531&amp;""),"%","")),0)&gt;0,IFERROR(VALUE(SUBSTITUTE(TRIM(Input!G531&amp;""),"%","")),0)&lt;1),1,100))</f>
        <v/>
      </c>
      <c r="G531" t="str">
        <f>IF(A531="","",IFERROR(VALUE(SUBSTITUTE(TRIM(Input!H531&amp;""),"%","")),0)/IF(AND(IFERROR(VALUE(SUBSTITUTE(TRIM(Input!H531&amp;""),"%","")),0)&gt;0,IFERROR(VALUE(SUBSTITUTE(TRIM(Input!H531&amp;""),"%","")),0)&lt;1),1,100))</f>
        <v/>
      </c>
      <c r="H531" t="str">
        <f>IF(A531="","",IFERROR(VALUE(SUBSTITUTE(TRIM(Input!I531&amp;""),"%","")),0)/IF(AND(IFERROR(VALUE(SUBSTITUTE(TRIM(Input!I531&amp;""),"%","")),0)&gt;0,IFERROR(VALUE(SUBSTITUTE(TRIM(Input!I531&amp;""),"%","")),0)&lt;1),1,100))</f>
        <v/>
      </c>
    </row>
    <row r="532" spans="1:8">
      <c r="A532" t="str">
        <f>IF(TRIM(Input!B532&amp;"")="","",UPPER(TRIM(Input!B532&amp;"")))</f>
        <v/>
      </c>
      <c r="B532" t="str">
        <f>IF(A532="","",IFERROR(VALUE(RIGHT(TRIM(Input!D532&amp;""),1)),0))</f>
        <v/>
      </c>
      <c r="C532" t="str">
        <f t="shared" si="8"/>
        <v/>
      </c>
      <c r="D532" t="str">
        <f>IF(A532="","",IFERROR(VALUE(SUBSTITUTE(TRIM(Input!E532&amp;""),"%","")),0)/IF(AND(IFERROR(VALUE(SUBSTITUTE(TRIM(Input!E532&amp;""),"%","")),0)&gt;0,IFERROR(VALUE(SUBSTITUTE(TRIM(Input!E532&amp;""),"%","")),0)&lt;1),1,100))</f>
        <v/>
      </c>
      <c r="E532" t="str">
        <f>IF(A532="","",IFERROR(VALUE(SUBSTITUTE(TRIM(Input!F532&amp;""),"%","")),0)/IF(AND(IFERROR(VALUE(SUBSTITUTE(TRIM(Input!F532&amp;""),"%","")),0)&gt;0,IFERROR(VALUE(SUBSTITUTE(TRIM(Input!F532&amp;""),"%","")),0)&lt;1),1,100))</f>
        <v/>
      </c>
      <c r="F532" t="str">
        <f>IF(A532="","",IFERROR(VALUE(SUBSTITUTE(TRIM(Input!G532&amp;""),"%","")),0)/IF(AND(IFERROR(VALUE(SUBSTITUTE(TRIM(Input!G532&amp;""),"%","")),0)&gt;0,IFERROR(VALUE(SUBSTITUTE(TRIM(Input!G532&amp;""),"%","")),0)&lt;1),1,100))</f>
        <v/>
      </c>
      <c r="G532" t="str">
        <f>IF(A532="","",IFERROR(VALUE(SUBSTITUTE(TRIM(Input!H532&amp;""),"%","")),0)/IF(AND(IFERROR(VALUE(SUBSTITUTE(TRIM(Input!H532&amp;""),"%","")),0)&gt;0,IFERROR(VALUE(SUBSTITUTE(TRIM(Input!H532&amp;""),"%","")),0)&lt;1),1,100))</f>
        <v/>
      </c>
      <c r="H532" t="str">
        <f>IF(A532="","",IFERROR(VALUE(SUBSTITUTE(TRIM(Input!I532&amp;""),"%","")),0)/IF(AND(IFERROR(VALUE(SUBSTITUTE(TRIM(Input!I532&amp;""),"%","")),0)&gt;0,IFERROR(VALUE(SUBSTITUTE(TRIM(Input!I532&amp;""),"%","")),0)&lt;1),1,100))</f>
        <v/>
      </c>
    </row>
    <row r="533" spans="1:8">
      <c r="A533" t="str">
        <f>IF(TRIM(Input!B533&amp;"")="","",UPPER(TRIM(Input!B533&amp;"")))</f>
        <v/>
      </c>
      <c r="B533" t="str">
        <f>IF(A533="","",IFERROR(VALUE(RIGHT(TRIM(Input!D533&amp;""),1)),0))</f>
        <v/>
      </c>
      <c r="C533" t="str">
        <f t="shared" si="8"/>
        <v/>
      </c>
      <c r="D533" t="str">
        <f>IF(A533="","",IFERROR(VALUE(SUBSTITUTE(TRIM(Input!E533&amp;""),"%","")),0)/IF(AND(IFERROR(VALUE(SUBSTITUTE(TRIM(Input!E533&amp;""),"%","")),0)&gt;0,IFERROR(VALUE(SUBSTITUTE(TRIM(Input!E533&amp;""),"%","")),0)&lt;1),1,100))</f>
        <v/>
      </c>
      <c r="E533" t="str">
        <f>IF(A533="","",IFERROR(VALUE(SUBSTITUTE(TRIM(Input!F533&amp;""),"%","")),0)/IF(AND(IFERROR(VALUE(SUBSTITUTE(TRIM(Input!F533&amp;""),"%","")),0)&gt;0,IFERROR(VALUE(SUBSTITUTE(TRIM(Input!F533&amp;""),"%","")),0)&lt;1),1,100))</f>
        <v/>
      </c>
      <c r="F533" t="str">
        <f>IF(A533="","",IFERROR(VALUE(SUBSTITUTE(TRIM(Input!G533&amp;""),"%","")),0)/IF(AND(IFERROR(VALUE(SUBSTITUTE(TRIM(Input!G533&amp;""),"%","")),0)&gt;0,IFERROR(VALUE(SUBSTITUTE(TRIM(Input!G533&amp;""),"%","")),0)&lt;1),1,100))</f>
        <v/>
      </c>
      <c r="G533" t="str">
        <f>IF(A533="","",IFERROR(VALUE(SUBSTITUTE(TRIM(Input!H533&amp;""),"%","")),0)/IF(AND(IFERROR(VALUE(SUBSTITUTE(TRIM(Input!H533&amp;""),"%","")),0)&gt;0,IFERROR(VALUE(SUBSTITUTE(TRIM(Input!H533&amp;""),"%","")),0)&lt;1),1,100))</f>
        <v/>
      </c>
      <c r="H533" t="str">
        <f>IF(A533="","",IFERROR(VALUE(SUBSTITUTE(TRIM(Input!I533&amp;""),"%","")),0)/IF(AND(IFERROR(VALUE(SUBSTITUTE(TRIM(Input!I533&amp;""),"%","")),0)&gt;0,IFERROR(VALUE(SUBSTITUTE(TRIM(Input!I533&amp;""),"%","")),0)&lt;1),1,100))</f>
        <v/>
      </c>
    </row>
    <row r="534" spans="1:8">
      <c r="A534" t="str">
        <f>IF(TRIM(Input!B534&amp;"")="","",UPPER(TRIM(Input!B534&amp;"")))</f>
        <v/>
      </c>
      <c r="B534" t="str">
        <f>IF(A534="","",IFERROR(VALUE(RIGHT(TRIM(Input!D534&amp;""),1)),0))</f>
        <v/>
      </c>
      <c r="C534" t="str">
        <f t="shared" si="8"/>
        <v/>
      </c>
      <c r="D534" t="str">
        <f>IF(A534="","",IFERROR(VALUE(SUBSTITUTE(TRIM(Input!E534&amp;""),"%","")),0)/IF(AND(IFERROR(VALUE(SUBSTITUTE(TRIM(Input!E534&amp;""),"%","")),0)&gt;0,IFERROR(VALUE(SUBSTITUTE(TRIM(Input!E534&amp;""),"%","")),0)&lt;1),1,100))</f>
        <v/>
      </c>
      <c r="E534" t="str">
        <f>IF(A534="","",IFERROR(VALUE(SUBSTITUTE(TRIM(Input!F534&amp;""),"%","")),0)/IF(AND(IFERROR(VALUE(SUBSTITUTE(TRIM(Input!F534&amp;""),"%","")),0)&gt;0,IFERROR(VALUE(SUBSTITUTE(TRIM(Input!F534&amp;""),"%","")),0)&lt;1),1,100))</f>
        <v/>
      </c>
      <c r="F534" t="str">
        <f>IF(A534="","",IFERROR(VALUE(SUBSTITUTE(TRIM(Input!G534&amp;""),"%","")),0)/IF(AND(IFERROR(VALUE(SUBSTITUTE(TRIM(Input!G534&amp;""),"%","")),0)&gt;0,IFERROR(VALUE(SUBSTITUTE(TRIM(Input!G534&amp;""),"%","")),0)&lt;1),1,100))</f>
        <v/>
      </c>
      <c r="G534" t="str">
        <f>IF(A534="","",IFERROR(VALUE(SUBSTITUTE(TRIM(Input!H534&amp;""),"%","")),0)/IF(AND(IFERROR(VALUE(SUBSTITUTE(TRIM(Input!H534&amp;""),"%","")),0)&gt;0,IFERROR(VALUE(SUBSTITUTE(TRIM(Input!H534&amp;""),"%","")),0)&lt;1),1,100))</f>
        <v/>
      </c>
      <c r="H534" t="str">
        <f>IF(A534="","",IFERROR(VALUE(SUBSTITUTE(TRIM(Input!I534&amp;""),"%","")),0)/IF(AND(IFERROR(VALUE(SUBSTITUTE(TRIM(Input!I534&amp;""),"%","")),0)&gt;0,IFERROR(VALUE(SUBSTITUTE(TRIM(Input!I534&amp;""),"%","")),0)&lt;1),1,100))</f>
        <v/>
      </c>
    </row>
    <row r="535" spans="1:8">
      <c r="A535" t="str">
        <f>IF(TRIM(Input!B535&amp;"")="","",UPPER(TRIM(Input!B535&amp;"")))</f>
        <v/>
      </c>
      <c r="B535" t="str">
        <f>IF(A535="","",IFERROR(VALUE(RIGHT(TRIM(Input!D535&amp;""),1)),0))</f>
        <v/>
      </c>
      <c r="C535" t="str">
        <f t="shared" si="8"/>
        <v/>
      </c>
      <c r="D535" t="str">
        <f>IF(A535="","",IFERROR(VALUE(SUBSTITUTE(TRIM(Input!E535&amp;""),"%","")),0)/IF(AND(IFERROR(VALUE(SUBSTITUTE(TRIM(Input!E535&amp;""),"%","")),0)&gt;0,IFERROR(VALUE(SUBSTITUTE(TRIM(Input!E535&amp;""),"%","")),0)&lt;1),1,100))</f>
        <v/>
      </c>
      <c r="E535" t="str">
        <f>IF(A535="","",IFERROR(VALUE(SUBSTITUTE(TRIM(Input!F535&amp;""),"%","")),0)/IF(AND(IFERROR(VALUE(SUBSTITUTE(TRIM(Input!F535&amp;""),"%","")),0)&gt;0,IFERROR(VALUE(SUBSTITUTE(TRIM(Input!F535&amp;""),"%","")),0)&lt;1),1,100))</f>
        <v/>
      </c>
      <c r="F535" t="str">
        <f>IF(A535="","",IFERROR(VALUE(SUBSTITUTE(TRIM(Input!G535&amp;""),"%","")),0)/IF(AND(IFERROR(VALUE(SUBSTITUTE(TRIM(Input!G535&amp;""),"%","")),0)&gt;0,IFERROR(VALUE(SUBSTITUTE(TRIM(Input!G535&amp;""),"%","")),0)&lt;1),1,100))</f>
        <v/>
      </c>
      <c r="G535" t="str">
        <f>IF(A535="","",IFERROR(VALUE(SUBSTITUTE(TRIM(Input!H535&amp;""),"%","")),0)/IF(AND(IFERROR(VALUE(SUBSTITUTE(TRIM(Input!H535&amp;""),"%","")),0)&gt;0,IFERROR(VALUE(SUBSTITUTE(TRIM(Input!H535&amp;""),"%","")),0)&lt;1),1,100))</f>
        <v/>
      </c>
      <c r="H535" t="str">
        <f>IF(A535="","",IFERROR(VALUE(SUBSTITUTE(TRIM(Input!I535&amp;""),"%","")),0)/IF(AND(IFERROR(VALUE(SUBSTITUTE(TRIM(Input!I535&amp;""),"%","")),0)&gt;0,IFERROR(VALUE(SUBSTITUTE(TRIM(Input!I535&amp;""),"%","")),0)&lt;1),1,100))</f>
        <v/>
      </c>
    </row>
    <row r="536" spans="1:8">
      <c r="A536" t="str">
        <f>IF(TRIM(Input!B536&amp;"")="","",UPPER(TRIM(Input!B536&amp;"")))</f>
        <v/>
      </c>
      <c r="B536" t="str">
        <f>IF(A536="","",IFERROR(VALUE(RIGHT(TRIM(Input!D536&amp;""),1)),0))</f>
        <v/>
      </c>
      <c r="C536" t="str">
        <f t="shared" si="8"/>
        <v/>
      </c>
      <c r="D536" t="str">
        <f>IF(A536="","",IFERROR(VALUE(SUBSTITUTE(TRIM(Input!E536&amp;""),"%","")),0)/IF(AND(IFERROR(VALUE(SUBSTITUTE(TRIM(Input!E536&amp;""),"%","")),0)&gt;0,IFERROR(VALUE(SUBSTITUTE(TRIM(Input!E536&amp;""),"%","")),0)&lt;1),1,100))</f>
        <v/>
      </c>
      <c r="E536" t="str">
        <f>IF(A536="","",IFERROR(VALUE(SUBSTITUTE(TRIM(Input!F536&amp;""),"%","")),0)/IF(AND(IFERROR(VALUE(SUBSTITUTE(TRIM(Input!F536&amp;""),"%","")),0)&gt;0,IFERROR(VALUE(SUBSTITUTE(TRIM(Input!F536&amp;""),"%","")),0)&lt;1),1,100))</f>
        <v/>
      </c>
      <c r="F536" t="str">
        <f>IF(A536="","",IFERROR(VALUE(SUBSTITUTE(TRIM(Input!G536&amp;""),"%","")),0)/IF(AND(IFERROR(VALUE(SUBSTITUTE(TRIM(Input!G536&amp;""),"%","")),0)&gt;0,IFERROR(VALUE(SUBSTITUTE(TRIM(Input!G536&amp;""),"%","")),0)&lt;1),1,100))</f>
        <v/>
      </c>
      <c r="G536" t="str">
        <f>IF(A536="","",IFERROR(VALUE(SUBSTITUTE(TRIM(Input!H536&amp;""),"%","")),0)/IF(AND(IFERROR(VALUE(SUBSTITUTE(TRIM(Input!H536&amp;""),"%","")),0)&gt;0,IFERROR(VALUE(SUBSTITUTE(TRIM(Input!H536&amp;""),"%","")),0)&lt;1),1,100))</f>
        <v/>
      </c>
      <c r="H536" t="str">
        <f>IF(A536="","",IFERROR(VALUE(SUBSTITUTE(TRIM(Input!I536&amp;""),"%","")),0)/IF(AND(IFERROR(VALUE(SUBSTITUTE(TRIM(Input!I536&amp;""),"%","")),0)&gt;0,IFERROR(VALUE(SUBSTITUTE(TRIM(Input!I536&amp;""),"%","")),0)&lt;1),1,100))</f>
        <v/>
      </c>
    </row>
    <row r="537" spans="1:8">
      <c r="A537" t="str">
        <f>IF(TRIM(Input!B537&amp;"")="","",UPPER(TRIM(Input!B537&amp;"")))</f>
        <v/>
      </c>
      <c r="B537" t="str">
        <f>IF(A537="","",IFERROR(VALUE(RIGHT(TRIM(Input!D537&amp;""),1)),0))</f>
        <v/>
      </c>
      <c r="C537" t="str">
        <f t="shared" si="8"/>
        <v/>
      </c>
      <c r="D537" t="str">
        <f>IF(A537="","",IFERROR(VALUE(SUBSTITUTE(TRIM(Input!E537&amp;""),"%","")),0)/IF(AND(IFERROR(VALUE(SUBSTITUTE(TRIM(Input!E537&amp;""),"%","")),0)&gt;0,IFERROR(VALUE(SUBSTITUTE(TRIM(Input!E537&amp;""),"%","")),0)&lt;1),1,100))</f>
        <v/>
      </c>
      <c r="E537" t="str">
        <f>IF(A537="","",IFERROR(VALUE(SUBSTITUTE(TRIM(Input!F537&amp;""),"%","")),0)/IF(AND(IFERROR(VALUE(SUBSTITUTE(TRIM(Input!F537&amp;""),"%","")),0)&gt;0,IFERROR(VALUE(SUBSTITUTE(TRIM(Input!F537&amp;""),"%","")),0)&lt;1),1,100))</f>
        <v/>
      </c>
      <c r="F537" t="str">
        <f>IF(A537="","",IFERROR(VALUE(SUBSTITUTE(TRIM(Input!G537&amp;""),"%","")),0)/IF(AND(IFERROR(VALUE(SUBSTITUTE(TRIM(Input!G537&amp;""),"%","")),0)&gt;0,IFERROR(VALUE(SUBSTITUTE(TRIM(Input!G537&amp;""),"%","")),0)&lt;1),1,100))</f>
        <v/>
      </c>
      <c r="G537" t="str">
        <f>IF(A537="","",IFERROR(VALUE(SUBSTITUTE(TRIM(Input!H537&amp;""),"%","")),0)/IF(AND(IFERROR(VALUE(SUBSTITUTE(TRIM(Input!H537&amp;""),"%","")),0)&gt;0,IFERROR(VALUE(SUBSTITUTE(TRIM(Input!H537&amp;""),"%","")),0)&lt;1),1,100))</f>
        <v/>
      </c>
      <c r="H537" t="str">
        <f>IF(A537="","",IFERROR(VALUE(SUBSTITUTE(TRIM(Input!I537&amp;""),"%","")),0)/IF(AND(IFERROR(VALUE(SUBSTITUTE(TRIM(Input!I537&amp;""),"%","")),0)&gt;0,IFERROR(VALUE(SUBSTITUTE(TRIM(Input!I537&amp;""),"%","")),0)&lt;1),1,100))</f>
        <v/>
      </c>
    </row>
    <row r="538" spans="1:8">
      <c r="A538" t="str">
        <f>IF(TRIM(Input!B538&amp;"")="","",UPPER(TRIM(Input!B538&amp;"")))</f>
        <v/>
      </c>
      <c r="B538" t="str">
        <f>IF(A538="","",IFERROR(VALUE(RIGHT(TRIM(Input!D538&amp;""),1)),0))</f>
        <v/>
      </c>
      <c r="C538" t="str">
        <f t="shared" si="8"/>
        <v/>
      </c>
      <c r="D538" t="str">
        <f>IF(A538="","",IFERROR(VALUE(SUBSTITUTE(TRIM(Input!E538&amp;""),"%","")),0)/IF(AND(IFERROR(VALUE(SUBSTITUTE(TRIM(Input!E538&amp;""),"%","")),0)&gt;0,IFERROR(VALUE(SUBSTITUTE(TRIM(Input!E538&amp;""),"%","")),0)&lt;1),1,100))</f>
        <v/>
      </c>
      <c r="E538" t="str">
        <f>IF(A538="","",IFERROR(VALUE(SUBSTITUTE(TRIM(Input!F538&amp;""),"%","")),0)/IF(AND(IFERROR(VALUE(SUBSTITUTE(TRIM(Input!F538&amp;""),"%","")),0)&gt;0,IFERROR(VALUE(SUBSTITUTE(TRIM(Input!F538&amp;""),"%","")),0)&lt;1),1,100))</f>
        <v/>
      </c>
      <c r="F538" t="str">
        <f>IF(A538="","",IFERROR(VALUE(SUBSTITUTE(TRIM(Input!G538&amp;""),"%","")),0)/IF(AND(IFERROR(VALUE(SUBSTITUTE(TRIM(Input!G538&amp;""),"%","")),0)&gt;0,IFERROR(VALUE(SUBSTITUTE(TRIM(Input!G538&amp;""),"%","")),0)&lt;1),1,100))</f>
        <v/>
      </c>
      <c r="G538" t="str">
        <f>IF(A538="","",IFERROR(VALUE(SUBSTITUTE(TRIM(Input!H538&amp;""),"%","")),0)/IF(AND(IFERROR(VALUE(SUBSTITUTE(TRIM(Input!H538&amp;""),"%","")),0)&gt;0,IFERROR(VALUE(SUBSTITUTE(TRIM(Input!H538&amp;""),"%","")),0)&lt;1),1,100))</f>
        <v/>
      </c>
      <c r="H538" t="str">
        <f>IF(A538="","",IFERROR(VALUE(SUBSTITUTE(TRIM(Input!I538&amp;""),"%","")),0)/IF(AND(IFERROR(VALUE(SUBSTITUTE(TRIM(Input!I538&amp;""),"%","")),0)&gt;0,IFERROR(VALUE(SUBSTITUTE(TRIM(Input!I538&amp;""),"%","")),0)&lt;1),1,100))</f>
        <v/>
      </c>
    </row>
    <row r="539" spans="1:8">
      <c r="A539" t="str">
        <f>IF(TRIM(Input!B539&amp;"")="","",UPPER(TRIM(Input!B539&amp;"")))</f>
        <v/>
      </c>
      <c r="B539" t="str">
        <f>IF(A539="","",IFERROR(VALUE(RIGHT(TRIM(Input!D539&amp;""),1)),0))</f>
        <v/>
      </c>
      <c r="C539" t="str">
        <f t="shared" si="8"/>
        <v/>
      </c>
      <c r="D539" t="str">
        <f>IF(A539="","",IFERROR(VALUE(SUBSTITUTE(TRIM(Input!E539&amp;""),"%","")),0)/IF(AND(IFERROR(VALUE(SUBSTITUTE(TRIM(Input!E539&amp;""),"%","")),0)&gt;0,IFERROR(VALUE(SUBSTITUTE(TRIM(Input!E539&amp;""),"%","")),0)&lt;1),1,100))</f>
        <v/>
      </c>
      <c r="E539" t="str">
        <f>IF(A539="","",IFERROR(VALUE(SUBSTITUTE(TRIM(Input!F539&amp;""),"%","")),0)/IF(AND(IFERROR(VALUE(SUBSTITUTE(TRIM(Input!F539&amp;""),"%","")),0)&gt;0,IFERROR(VALUE(SUBSTITUTE(TRIM(Input!F539&amp;""),"%","")),0)&lt;1),1,100))</f>
        <v/>
      </c>
      <c r="F539" t="str">
        <f>IF(A539="","",IFERROR(VALUE(SUBSTITUTE(TRIM(Input!G539&amp;""),"%","")),0)/IF(AND(IFERROR(VALUE(SUBSTITUTE(TRIM(Input!G539&amp;""),"%","")),0)&gt;0,IFERROR(VALUE(SUBSTITUTE(TRIM(Input!G539&amp;""),"%","")),0)&lt;1),1,100))</f>
        <v/>
      </c>
      <c r="G539" t="str">
        <f>IF(A539="","",IFERROR(VALUE(SUBSTITUTE(TRIM(Input!H539&amp;""),"%","")),0)/IF(AND(IFERROR(VALUE(SUBSTITUTE(TRIM(Input!H539&amp;""),"%","")),0)&gt;0,IFERROR(VALUE(SUBSTITUTE(TRIM(Input!H539&amp;""),"%","")),0)&lt;1),1,100))</f>
        <v/>
      </c>
      <c r="H539" t="str">
        <f>IF(A539="","",IFERROR(VALUE(SUBSTITUTE(TRIM(Input!I539&amp;""),"%","")),0)/IF(AND(IFERROR(VALUE(SUBSTITUTE(TRIM(Input!I539&amp;""),"%","")),0)&gt;0,IFERROR(VALUE(SUBSTITUTE(TRIM(Input!I539&amp;""),"%","")),0)&lt;1),1,100))</f>
        <v/>
      </c>
    </row>
    <row r="540" spans="1:8">
      <c r="A540" t="str">
        <f>IF(TRIM(Input!B540&amp;"")="","",UPPER(TRIM(Input!B540&amp;"")))</f>
        <v/>
      </c>
      <c r="B540" t="str">
        <f>IF(A540="","",IFERROR(VALUE(RIGHT(TRIM(Input!D540&amp;""),1)),0))</f>
        <v/>
      </c>
      <c r="C540" t="str">
        <f t="shared" si="8"/>
        <v/>
      </c>
      <c r="D540" t="str">
        <f>IF(A540="","",IFERROR(VALUE(SUBSTITUTE(TRIM(Input!E540&amp;""),"%","")),0)/IF(AND(IFERROR(VALUE(SUBSTITUTE(TRIM(Input!E540&amp;""),"%","")),0)&gt;0,IFERROR(VALUE(SUBSTITUTE(TRIM(Input!E540&amp;""),"%","")),0)&lt;1),1,100))</f>
        <v/>
      </c>
      <c r="E540" t="str">
        <f>IF(A540="","",IFERROR(VALUE(SUBSTITUTE(TRIM(Input!F540&amp;""),"%","")),0)/IF(AND(IFERROR(VALUE(SUBSTITUTE(TRIM(Input!F540&amp;""),"%","")),0)&gt;0,IFERROR(VALUE(SUBSTITUTE(TRIM(Input!F540&amp;""),"%","")),0)&lt;1),1,100))</f>
        <v/>
      </c>
      <c r="F540" t="str">
        <f>IF(A540="","",IFERROR(VALUE(SUBSTITUTE(TRIM(Input!G540&amp;""),"%","")),0)/IF(AND(IFERROR(VALUE(SUBSTITUTE(TRIM(Input!G540&amp;""),"%","")),0)&gt;0,IFERROR(VALUE(SUBSTITUTE(TRIM(Input!G540&amp;""),"%","")),0)&lt;1),1,100))</f>
        <v/>
      </c>
      <c r="G540" t="str">
        <f>IF(A540="","",IFERROR(VALUE(SUBSTITUTE(TRIM(Input!H540&amp;""),"%","")),0)/IF(AND(IFERROR(VALUE(SUBSTITUTE(TRIM(Input!H540&amp;""),"%","")),0)&gt;0,IFERROR(VALUE(SUBSTITUTE(TRIM(Input!H540&amp;""),"%","")),0)&lt;1),1,100))</f>
        <v/>
      </c>
      <c r="H540" t="str">
        <f>IF(A540="","",IFERROR(VALUE(SUBSTITUTE(TRIM(Input!I540&amp;""),"%","")),0)/IF(AND(IFERROR(VALUE(SUBSTITUTE(TRIM(Input!I540&amp;""),"%","")),0)&gt;0,IFERROR(VALUE(SUBSTITUTE(TRIM(Input!I540&amp;""),"%","")),0)&lt;1),1,100))</f>
        <v/>
      </c>
    </row>
    <row r="541" spans="1:8">
      <c r="A541" t="str">
        <f>IF(TRIM(Input!B541&amp;"")="","",UPPER(TRIM(Input!B541&amp;"")))</f>
        <v/>
      </c>
      <c r="B541" t="str">
        <f>IF(A541="","",IFERROR(VALUE(RIGHT(TRIM(Input!D541&amp;""),1)),0))</f>
        <v/>
      </c>
      <c r="C541" t="str">
        <f t="shared" si="8"/>
        <v/>
      </c>
      <c r="D541" t="str">
        <f>IF(A541="","",IFERROR(VALUE(SUBSTITUTE(TRIM(Input!E541&amp;""),"%","")),0)/IF(AND(IFERROR(VALUE(SUBSTITUTE(TRIM(Input!E541&amp;""),"%","")),0)&gt;0,IFERROR(VALUE(SUBSTITUTE(TRIM(Input!E541&amp;""),"%","")),0)&lt;1),1,100))</f>
        <v/>
      </c>
      <c r="E541" t="str">
        <f>IF(A541="","",IFERROR(VALUE(SUBSTITUTE(TRIM(Input!F541&amp;""),"%","")),0)/IF(AND(IFERROR(VALUE(SUBSTITUTE(TRIM(Input!F541&amp;""),"%","")),0)&gt;0,IFERROR(VALUE(SUBSTITUTE(TRIM(Input!F541&amp;""),"%","")),0)&lt;1),1,100))</f>
        <v/>
      </c>
      <c r="F541" t="str">
        <f>IF(A541="","",IFERROR(VALUE(SUBSTITUTE(TRIM(Input!G541&amp;""),"%","")),0)/IF(AND(IFERROR(VALUE(SUBSTITUTE(TRIM(Input!G541&amp;""),"%","")),0)&gt;0,IFERROR(VALUE(SUBSTITUTE(TRIM(Input!G541&amp;""),"%","")),0)&lt;1),1,100))</f>
        <v/>
      </c>
      <c r="G541" t="str">
        <f>IF(A541="","",IFERROR(VALUE(SUBSTITUTE(TRIM(Input!H541&amp;""),"%","")),0)/IF(AND(IFERROR(VALUE(SUBSTITUTE(TRIM(Input!H541&amp;""),"%","")),0)&gt;0,IFERROR(VALUE(SUBSTITUTE(TRIM(Input!H541&amp;""),"%","")),0)&lt;1),1,100))</f>
        <v/>
      </c>
      <c r="H541" t="str">
        <f>IF(A541="","",IFERROR(VALUE(SUBSTITUTE(TRIM(Input!I541&amp;""),"%","")),0)/IF(AND(IFERROR(VALUE(SUBSTITUTE(TRIM(Input!I541&amp;""),"%","")),0)&gt;0,IFERROR(VALUE(SUBSTITUTE(TRIM(Input!I541&amp;""),"%","")),0)&lt;1),1,100))</f>
        <v/>
      </c>
    </row>
    <row r="542" spans="1:8">
      <c r="A542" t="str">
        <f>IF(TRIM(Input!B542&amp;"")="","",UPPER(TRIM(Input!B542&amp;"")))</f>
        <v/>
      </c>
      <c r="B542" t="str">
        <f>IF(A542="","",IFERROR(VALUE(RIGHT(TRIM(Input!D542&amp;""),1)),0))</f>
        <v/>
      </c>
      <c r="C542" t="str">
        <f t="shared" si="8"/>
        <v/>
      </c>
      <c r="D542" t="str">
        <f>IF(A542="","",IFERROR(VALUE(SUBSTITUTE(TRIM(Input!E542&amp;""),"%","")),0)/IF(AND(IFERROR(VALUE(SUBSTITUTE(TRIM(Input!E542&amp;""),"%","")),0)&gt;0,IFERROR(VALUE(SUBSTITUTE(TRIM(Input!E542&amp;""),"%","")),0)&lt;1),1,100))</f>
        <v/>
      </c>
      <c r="E542" t="str">
        <f>IF(A542="","",IFERROR(VALUE(SUBSTITUTE(TRIM(Input!F542&amp;""),"%","")),0)/IF(AND(IFERROR(VALUE(SUBSTITUTE(TRIM(Input!F542&amp;""),"%","")),0)&gt;0,IFERROR(VALUE(SUBSTITUTE(TRIM(Input!F542&amp;""),"%","")),0)&lt;1),1,100))</f>
        <v/>
      </c>
      <c r="F542" t="str">
        <f>IF(A542="","",IFERROR(VALUE(SUBSTITUTE(TRIM(Input!G542&amp;""),"%","")),0)/IF(AND(IFERROR(VALUE(SUBSTITUTE(TRIM(Input!G542&amp;""),"%","")),0)&gt;0,IFERROR(VALUE(SUBSTITUTE(TRIM(Input!G542&amp;""),"%","")),0)&lt;1),1,100))</f>
        <v/>
      </c>
      <c r="G542" t="str">
        <f>IF(A542="","",IFERROR(VALUE(SUBSTITUTE(TRIM(Input!H542&amp;""),"%","")),0)/IF(AND(IFERROR(VALUE(SUBSTITUTE(TRIM(Input!H542&amp;""),"%","")),0)&gt;0,IFERROR(VALUE(SUBSTITUTE(TRIM(Input!H542&amp;""),"%","")),0)&lt;1),1,100))</f>
        <v/>
      </c>
      <c r="H542" t="str">
        <f>IF(A542="","",IFERROR(VALUE(SUBSTITUTE(TRIM(Input!I542&amp;""),"%","")),0)/IF(AND(IFERROR(VALUE(SUBSTITUTE(TRIM(Input!I542&amp;""),"%","")),0)&gt;0,IFERROR(VALUE(SUBSTITUTE(TRIM(Input!I542&amp;""),"%","")),0)&lt;1),1,100))</f>
        <v/>
      </c>
    </row>
    <row r="543" spans="1:8">
      <c r="A543" t="str">
        <f>IF(TRIM(Input!B543&amp;"")="","",UPPER(TRIM(Input!B543&amp;"")))</f>
        <v/>
      </c>
      <c r="B543" t="str">
        <f>IF(A543="","",IFERROR(VALUE(RIGHT(TRIM(Input!D543&amp;""),1)),0))</f>
        <v/>
      </c>
      <c r="C543" t="str">
        <f t="shared" si="8"/>
        <v/>
      </c>
      <c r="D543" t="str">
        <f>IF(A543="","",IFERROR(VALUE(SUBSTITUTE(TRIM(Input!E543&amp;""),"%","")),0)/IF(AND(IFERROR(VALUE(SUBSTITUTE(TRIM(Input!E543&amp;""),"%","")),0)&gt;0,IFERROR(VALUE(SUBSTITUTE(TRIM(Input!E543&amp;""),"%","")),0)&lt;1),1,100))</f>
        <v/>
      </c>
      <c r="E543" t="str">
        <f>IF(A543="","",IFERROR(VALUE(SUBSTITUTE(TRIM(Input!F543&amp;""),"%","")),0)/IF(AND(IFERROR(VALUE(SUBSTITUTE(TRIM(Input!F543&amp;""),"%","")),0)&gt;0,IFERROR(VALUE(SUBSTITUTE(TRIM(Input!F543&amp;""),"%","")),0)&lt;1),1,100))</f>
        <v/>
      </c>
      <c r="F543" t="str">
        <f>IF(A543="","",IFERROR(VALUE(SUBSTITUTE(TRIM(Input!G543&amp;""),"%","")),0)/IF(AND(IFERROR(VALUE(SUBSTITUTE(TRIM(Input!G543&amp;""),"%","")),0)&gt;0,IFERROR(VALUE(SUBSTITUTE(TRIM(Input!G543&amp;""),"%","")),0)&lt;1),1,100))</f>
        <v/>
      </c>
      <c r="G543" t="str">
        <f>IF(A543="","",IFERROR(VALUE(SUBSTITUTE(TRIM(Input!H543&amp;""),"%","")),0)/IF(AND(IFERROR(VALUE(SUBSTITUTE(TRIM(Input!H543&amp;""),"%","")),0)&gt;0,IFERROR(VALUE(SUBSTITUTE(TRIM(Input!H543&amp;""),"%","")),0)&lt;1),1,100))</f>
        <v/>
      </c>
      <c r="H543" t="str">
        <f>IF(A543="","",IFERROR(VALUE(SUBSTITUTE(TRIM(Input!I543&amp;""),"%","")),0)/IF(AND(IFERROR(VALUE(SUBSTITUTE(TRIM(Input!I543&amp;""),"%","")),0)&gt;0,IFERROR(VALUE(SUBSTITUTE(TRIM(Input!I543&amp;""),"%","")),0)&lt;1),1,100))</f>
        <v/>
      </c>
    </row>
    <row r="544" spans="1:8">
      <c r="A544" t="str">
        <f>IF(TRIM(Input!B544&amp;"")="","",UPPER(TRIM(Input!B544&amp;"")))</f>
        <v/>
      </c>
      <c r="B544" t="str">
        <f>IF(A544="","",IFERROR(VALUE(RIGHT(TRIM(Input!D544&amp;""),1)),0))</f>
        <v/>
      </c>
      <c r="C544" t="str">
        <f t="shared" si="8"/>
        <v/>
      </c>
      <c r="D544" t="str">
        <f>IF(A544="","",IFERROR(VALUE(SUBSTITUTE(TRIM(Input!E544&amp;""),"%","")),0)/IF(AND(IFERROR(VALUE(SUBSTITUTE(TRIM(Input!E544&amp;""),"%","")),0)&gt;0,IFERROR(VALUE(SUBSTITUTE(TRIM(Input!E544&amp;""),"%","")),0)&lt;1),1,100))</f>
        <v/>
      </c>
      <c r="E544" t="str">
        <f>IF(A544="","",IFERROR(VALUE(SUBSTITUTE(TRIM(Input!F544&amp;""),"%","")),0)/IF(AND(IFERROR(VALUE(SUBSTITUTE(TRIM(Input!F544&amp;""),"%","")),0)&gt;0,IFERROR(VALUE(SUBSTITUTE(TRIM(Input!F544&amp;""),"%","")),0)&lt;1),1,100))</f>
        <v/>
      </c>
      <c r="F544" t="str">
        <f>IF(A544="","",IFERROR(VALUE(SUBSTITUTE(TRIM(Input!G544&amp;""),"%","")),0)/IF(AND(IFERROR(VALUE(SUBSTITUTE(TRIM(Input!G544&amp;""),"%","")),0)&gt;0,IFERROR(VALUE(SUBSTITUTE(TRIM(Input!G544&amp;""),"%","")),0)&lt;1),1,100))</f>
        <v/>
      </c>
      <c r="G544" t="str">
        <f>IF(A544="","",IFERROR(VALUE(SUBSTITUTE(TRIM(Input!H544&amp;""),"%","")),0)/IF(AND(IFERROR(VALUE(SUBSTITUTE(TRIM(Input!H544&amp;""),"%","")),0)&gt;0,IFERROR(VALUE(SUBSTITUTE(TRIM(Input!H544&amp;""),"%","")),0)&lt;1),1,100))</f>
        <v/>
      </c>
      <c r="H544" t="str">
        <f>IF(A544="","",IFERROR(VALUE(SUBSTITUTE(TRIM(Input!I544&amp;""),"%","")),0)/IF(AND(IFERROR(VALUE(SUBSTITUTE(TRIM(Input!I544&amp;""),"%","")),0)&gt;0,IFERROR(VALUE(SUBSTITUTE(TRIM(Input!I544&amp;""),"%","")),0)&lt;1),1,100))</f>
        <v/>
      </c>
    </row>
    <row r="545" spans="1:8">
      <c r="A545" t="str">
        <f>IF(TRIM(Input!B545&amp;"")="","",UPPER(TRIM(Input!B545&amp;"")))</f>
        <v/>
      </c>
      <c r="B545" t="str">
        <f>IF(A545="","",IFERROR(VALUE(RIGHT(TRIM(Input!D545&amp;""),1)),0))</f>
        <v/>
      </c>
      <c r="C545" t="str">
        <f t="shared" si="8"/>
        <v/>
      </c>
      <c r="D545" t="str">
        <f>IF(A545="","",IFERROR(VALUE(SUBSTITUTE(TRIM(Input!E545&amp;""),"%","")),0)/IF(AND(IFERROR(VALUE(SUBSTITUTE(TRIM(Input!E545&amp;""),"%","")),0)&gt;0,IFERROR(VALUE(SUBSTITUTE(TRIM(Input!E545&amp;""),"%","")),0)&lt;1),1,100))</f>
        <v/>
      </c>
      <c r="E545" t="str">
        <f>IF(A545="","",IFERROR(VALUE(SUBSTITUTE(TRIM(Input!F545&amp;""),"%","")),0)/IF(AND(IFERROR(VALUE(SUBSTITUTE(TRIM(Input!F545&amp;""),"%","")),0)&gt;0,IFERROR(VALUE(SUBSTITUTE(TRIM(Input!F545&amp;""),"%","")),0)&lt;1),1,100))</f>
        <v/>
      </c>
      <c r="F545" t="str">
        <f>IF(A545="","",IFERROR(VALUE(SUBSTITUTE(TRIM(Input!G545&amp;""),"%","")),0)/IF(AND(IFERROR(VALUE(SUBSTITUTE(TRIM(Input!G545&amp;""),"%","")),0)&gt;0,IFERROR(VALUE(SUBSTITUTE(TRIM(Input!G545&amp;""),"%","")),0)&lt;1),1,100))</f>
        <v/>
      </c>
      <c r="G545" t="str">
        <f>IF(A545="","",IFERROR(VALUE(SUBSTITUTE(TRIM(Input!H545&amp;""),"%","")),0)/IF(AND(IFERROR(VALUE(SUBSTITUTE(TRIM(Input!H545&amp;""),"%","")),0)&gt;0,IFERROR(VALUE(SUBSTITUTE(TRIM(Input!H545&amp;""),"%","")),0)&lt;1),1,100))</f>
        <v/>
      </c>
      <c r="H545" t="str">
        <f>IF(A545="","",IFERROR(VALUE(SUBSTITUTE(TRIM(Input!I545&amp;""),"%","")),0)/IF(AND(IFERROR(VALUE(SUBSTITUTE(TRIM(Input!I545&amp;""),"%","")),0)&gt;0,IFERROR(VALUE(SUBSTITUTE(TRIM(Input!I545&amp;""),"%","")),0)&lt;1),1,100))</f>
        <v/>
      </c>
    </row>
    <row r="546" spans="1:8">
      <c r="A546" t="str">
        <f>IF(TRIM(Input!B546&amp;"")="","",UPPER(TRIM(Input!B546&amp;"")))</f>
        <v/>
      </c>
      <c r="B546" t="str">
        <f>IF(A546="","",IFERROR(VALUE(RIGHT(TRIM(Input!D546&amp;""),1)),0))</f>
        <v/>
      </c>
      <c r="C546" t="str">
        <f t="shared" si="8"/>
        <v/>
      </c>
      <c r="D546" t="str">
        <f>IF(A546="","",IFERROR(VALUE(SUBSTITUTE(TRIM(Input!E546&amp;""),"%","")),0)/IF(AND(IFERROR(VALUE(SUBSTITUTE(TRIM(Input!E546&amp;""),"%","")),0)&gt;0,IFERROR(VALUE(SUBSTITUTE(TRIM(Input!E546&amp;""),"%","")),0)&lt;1),1,100))</f>
        <v/>
      </c>
      <c r="E546" t="str">
        <f>IF(A546="","",IFERROR(VALUE(SUBSTITUTE(TRIM(Input!F546&amp;""),"%","")),0)/IF(AND(IFERROR(VALUE(SUBSTITUTE(TRIM(Input!F546&amp;""),"%","")),0)&gt;0,IFERROR(VALUE(SUBSTITUTE(TRIM(Input!F546&amp;""),"%","")),0)&lt;1),1,100))</f>
        <v/>
      </c>
      <c r="F546" t="str">
        <f>IF(A546="","",IFERROR(VALUE(SUBSTITUTE(TRIM(Input!G546&amp;""),"%","")),0)/IF(AND(IFERROR(VALUE(SUBSTITUTE(TRIM(Input!G546&amp;""),"%","")),0)&gt;0,IFERROR(VALUE(SUBSTITUTE(TRIM(Input!G546&amp;""),"%","")),0)&lt;1),1,100))</f>
        <v/>
      </c>
      <c r="G546" t="str">
        <f>IF(A546="","",IFERROR(VALUE(SUBSTITUTE(TRIM(Input!H546&amp;""),"%","")),0)/IF(AND(IFERROR(VALUE(SUBSTITUTE(TRIM(Input!H546&amp;""),"%","")),0)&gt;0,IFERROR(VALUE(SUBSTITUTE(TRIM(Input!H546&amp;""),"%","")),0)&lt;1),1,100))</f>
        <v/>
      </c>
      <c r="H546" t="str">
        <f>IF(A546="","",IFERROR(VALUE(SUBSTITUTE(TRIM(Input!I546&amp;""),"%","")),0)/IF(AND(IFERROR(VALUE(SUBSTITUTE(TRIM(Input!I546&amp;""),"%","")),0)&gt;0,IFERROR(VALUE(SUBSTITUTE(TRIM(Input!I546&amp;""),"%","")),0)&lt;1),1,100))</f>
        <v/>
      </c>
    </row>
    <row r="547" spans="1:8">
      <c r="A547" t="str">
        <f>IF(TRIM(Input!B547&amp;"")="","",UPPER(TRIM(Input!B547&amp;"")))</f>
        <v/>
      </c>
      <c r="B547" t="str">
        <f>IF(A547="","",IFERROR(VALUE(RIGHT(TRIM(Input!D547&amp;""),1)),0))</f>
        <v/>
      </c>
      <c r="C547" t="str">
        <f t="shared" si="8"/>
        <v/>
      </c>
      <c r="D547" t="str">
        <f>IF(A547="","",IFERROR(VALUE(SUBSTITUTE(TRIM(Input!E547&amp;""),"%","")),0)/IF(AND(IFERROR(VALUE(SUBSTITUTE(TRIM(Input!E547&amp;""),"%","")),0)&gt;0,IFERROR(VALUE(SUBSTITUTE(TRIM(Input!E547&amp;""),"%","")),0)&lt;1),1,100))</f>
        <v/>
      </c>
      <c r="E547" t="str">
        <f>IF(A547="","",IFERROR(VALUE(SUBSTITUTE(TRIM(Input!F547&amp;""),"%","")),0)/IF(AND(IFERROR(VALUE(SUBSTITUTE(TRIM(Input!F547&amp;""),"%","")),0)&gt;0,IFERROR(VALUE(SUBSTITUTE(TRIM(Input!F547&amp;""),"%","")),0)&lt;1),1,100))</f>
        <v/>
      </c>
      <c r="F547" t="str">
        <f>IF(A547="","",IFERROR(VALUE(SUBSTITUTE(TRIM(Input!G547&amp;""),"%","")),0)/IF(AND(IFERROR(VALUE(SUBSTITUTE(TRIM(Input!G547&amp;""),"%","")),0)&gt;0,IFERROR(VALUE(SUBSTITUTE(TRIM(Input!G547&amp;""),"%","")),0)&lt;1),1,100))</f>
        <v/>
      </c>
      <c r="G547" t="str">
        <f>IF(A547="","",IFERROR(VALUE(SUBSTITUTE(TRIM(Input!H547&amp;""),"%","")),0)/IF(AND(IFERROR(VALUE(SUBSTITUTE(TRIM(Input!H547&amp;""),"%","")),0)&gt;0,IFERROR(VALUE(SUBSTITUTE(TRIM(Input!H547&amp;""),"%","")),0)&lt;1),1,100))</f>
        <v/>
      </c>
      <c r="H547" t="str">
        <f>IF(A547="","",IFERROR(VALUE(SUBSTITUTE(TRIM(Input!I547&amp;""),"%","")),0)/IF(AND(IFERROR(VALUE(SUBSTITUTE(TRIM(Input!I547&amp;""),"%","")),0)&gt;0,IFERROR(VALUE(SUBSTITUTE(TRIM(Input!I547&amp;""),"%","")),0)&lt;1),1,100))</f>
        <v/>
      </c>
    </row>
    <row r="548" spans="1:8">
      <c r="A548" t="str">
        <f>IF(TRIM(Input!B548&amp;"")="","",UPPER(TRIM(Input!B548&amp;"")))</f>
        <v/>
      </c>
      <c r="B548" t="str">
        <f>IF(A548="","",IFERROR(VALUE(RIGHT(TRIM(Input!D548&amp;""),1)),0))</f>
        <v/>
      </c>
      <c r="C548" t="str">
        <f t="shared" si="8"/>
        <v/>
      </c>
      <c r="D548" t="str">
        <f>IF(A548="","",IFERROR(VALUE(SUBSTITUTE(TRIM(Input!E548&amp;""),"%","")),0)/IF(AND(IFERROR(VALUE(SUBSTITUTE(TRIM(Input!E548&amp;""),"%","")),0)&gt;0,IFERROR(VALUE(SUBSTITUTE(TRIM(Input!E548&amp;""),"%","")),0)&lt;1),1,100))</f>
        <v/>
      </c>
      <c r="E548" t="str">
        <f>IF(A548="","",IFERROR(VALUE(SUBSTITUTE(TRIM(Input!F548&amp;""),"%","")),0)/IF(AND(IFERROR(VALUE(SUBSTITUTE(TRIM(Input!F548&amp;""),"%","")),0)&gt;0,IFERROR(VALUE(SUBSTITUTE(TRIM(Input!F548&amp;""),"%","")),0)&lt;1),1,100))</f>
        <v/>
      </c>
      <c r="F548" t="str">
        <f>IF(A548="","",IFERROR(VALUE(SUBSTITUTE(TRIM(Input!G548&amp;""),"%","")),0)/IF(AND(IFERROR(VALUE(SUBSTITUTE(TRIM(Input!G548&amp;""),"%","")),0)&gt;0,IFERROR(VALUE(SUBSTITUTE(TRIM(Input!G548&amp;""),"%","")),0)&lt;1),1,100))</f>
        <v/>
      </c>
      <c r="G548" t="str">
        <f>IF(A548="","",IFERROR(VALUE(SUBSTITUTE(TRIM(Input!H548&amp;""),"%","")),0)/IF(AND(IFERROR(VALUE(SUBSTITUTE(TRIM(Input!H548&amp;""),"%","")),0)&gt;0,IFERROR(VALUE(SUBSTITUTE(TRIM(Input!H548&amp;""),"%","")),0)&lt;1),1,100))</f>
        <v/>
      </c>
      <c r="H548" t="str">
        <f>IF(A548="","",IFERROR(VALUE(SUBSTITUTE(TRIM(Input!I548&amp;""),"%","")),0)/IF(AND(IFERROR(VALUE(SUBSTITUTE(TRIM(Input!I548&amp;""),"%","")),0)&gt;0,IFERROR(VALUE(SUBSTITUTE(TRIM(Input!I548&amp;""),"%","")),0)&lt;1),1,100))</f>
        <v/>
      </c>
    </row>
    <row r="549" spans="1:8">
      <c r="A549" t="str">
        <f>IF(TRIM(Input!B549&amp;"")="","",UPPER(TRIM(Input!B549&amp;"")))</f>
        <v/>
      </c>
      <c r="B549" t="str">
        <f>IF(A549="","",IFERROR(VALUE(RIGHT(TRIM(Input!D549&amp;""),1)),0))</f>
        <v/>
      </c>
      <c r="C549" t="str">
        <f t="shared" si="8"/>
        <v/>
      </c>
      <c r="D549" t="str">
        <f>IF(A549="","",IFERROR(VALUE(SUBSTITUTE(TRIM(Input!E549&amp;""),"%","")),0)/IF(AND(IFERROR(VALUE(SUBSTITUTE(TRIM(Input!E549&amp;""),"%","")),0)&gt;0,IFERROR(VALUE(SUBSTITUTE(TRIM(Input!E549&amp;""),"%","")),0)&lt;1),1,100))</f>
        <v/>
      </c>
      <c r="E549" t="str">
        <f>IF(A549="","",IFERROR(VALUE(SUBSTITUTE(TRIM(Input!F549&amp;""),"%","")),0)/IF(AND(IFERROR(VALUE(SUBSTITUTE(TRIM(Input!F549&amp;""),"%","")),0)&gt;0,IFERROR(VALUE(SUBSTITUTE(TRIM(Input!F549&amp;""),"%","")),0)&lt;1),1,100))</f>
        <v/>
      </c>
      <c r="F549" t="str">
        <f>IF(A549="","",IFERROR(VALUE(SUBSTITUTE(TRIM(Input!G549&amp;""),"%","")),0)/IF(AND(IFERROR(VALUE(SUBSTITUTE(TRIM(Input!G549&amp;""),"%","")),0)&gt;0,IFERROR(VALUE(SUBSTITUTE(TRIM(Input!G549&amp;""),"%","")),0)&lt;1),1,100))</f>
        <v/>
      </c>
      <c r="G549" t="str">
        <f>IF(A549="","",IFERROR(VALUE(SUBSTITUTE(TRIM(Input!H549&amp;""),"%","")),0)/IF(AND(IFERROR(VALUE(SUBSTITUTE(TRIM(Input!H549&amp;""),"%","")),0)&gt;0,IFERROR(VALUE(SUBSTITUTE(TRIM(Input!H549&amp;""),"%","")),0)&lt;1),1,100))</f>
        <v/>
      </c>
      <c r="H549" t="str">
        <f>IF(A549="","",IFERROR(VALUE(SUBSTITUTE(TRIM(Input!I549&amp;""),"%","")),0)/IF(AND(IFERROR(VALUE(SUBSTITUTE(TRIM(Input!I549&amp;""),"%","")),0)&gt;0,IFERROR(VALUE(SUBSTITUTE(TRIM(Input!I549&amp;""),"%","")),0)&lt;1),1,100))</f>
        <v/>
      </c>
    </row>
    <row r="550" spans="1:8">
      <c r="A550" t="str">
        <f>IF(TRIM(Input!B550&amp;"")="","",UPPER(TRIM(Input!B550&amp;"")))</f>
        <v/>
      </c>
      <c r="B550" t="str">
        <f>IF(A550="","",IFERROR(VALUE(RIGHT(TRIM(Input!D550&amp;""),1)),0))</f>
        <v/>
      </c>
      <c r="C550" t="str">
        <f t="shared" si="8"/>
        <v/>
      </c>
      <c r="D550" t="str">
        <f>IF(A550="","",IFERROR(VALUE(SUBSTITUTE(TRIM(Input!E550&amp;""),"%","")),0)/IF(AND(IFERROR(VALUE(SUBSTITUTE(TRIM(Input!E550&amp;""),"%","")),0)&gt;0,IFERROR(VALUE(SUBSTITUTE(TRIM(Input!E550&amp;""),"%","")),0)&lt;1),1,100))</f>
        <v/>
      </c>
      <c r="E550" t="str">
        <f>IF(A550="","",IFERROR(VALUE(SUBSTITUTE(TRIM(Input!F550&amp;""),"%","")),0)/IF(AND(IFERROR(VALUE(SUBSTITUTE(TRIM(Input!F550&amp;""),"%","")),0)&gt;0,IFERROR(VALUE(SUBSTITUTE(TRIM(Input!F550&amp;""),"%","")),0)&lt;1),1,100))</f>
        <v/>
      </c>
      <c r="F550" t="str">
        <f>IF(A550="","",IFERROR(VALUE(SUBSTITUTE(TRIM(Input!G550&amp;""),"%","")),0)/IF(AND(IFERROR(VALUE(SUBSTITUTE(TRIM(Input!G550&amp;""),"%","")),0)&gt;0,IFERROR(VALUE(SUBSTITUTE(TRIM(Input!G550&amp;""),"%","")),0)&lt;1),1,100))</f>
        <v/>
      </c>
      <c r="G550" t="str">
        <f>IF(A550="","",IFERROR(VALUE(SUBSTITUTE(TRIM(Input!H550&amp;""),"%","")),0)/IF(AND(IFERROR(VALUE(SUBSTITUTE(TRIM(Input!H550&amp;""),"%","")),0)&gt;0,IFERROR(VALUE(SUBSTITUTE(TRIM(Input!H550&amp;""),"%","")),0)&lt;1),1,100))</f>
        <v/>
      </c>
      <c r="H550" t="str">
        <f>IF(A550="","",IFERROR(VALUE(SUBSTITUTE(TRIM(Input!I550&amp;""),"%","")),0)/IF(AND(IFERROR(VALUE(SUBSTITUTE(TRIM(Input!I550&amp;""),"%","")),0)&gt;0,IFERROR(VALUE(SUBSTITUTE(TRIM(Input!I550&amp;""),"%","")),0)&lt;1),1,100))</f>
        <v/>
      </c>
    </row>
    <row r="551" spans="1:8">
      <c r="A551" t="str">
        <f>IF(TRIM(Input!B551&amp;"")="","",UPPER(TRIM(Input!B551&amp;"")))</f>
        <v/>
      </c>
      <c r="B551" t="str">
        <f>IF(A551="","",IFERROR(VALUE(RIGHT(TRIM(Input!D551&amp;""),1)),0))</f>
        <v/>
      </c>
      <c r="C551" t="str">
        <f t="shared" si="8"/>
        <v/>
      </c>
      <c r="D551" t="str">
        <f>IF(A551="","",IFERROR(VALUE(SUBSTITUTE(TRIM(Input!E551&amp;""),"%","")),0)/IF(AND(IFERROR(VALUE(SUBSTITUTE(TRIM(Input!E551&amp;""),"%","")),0)&gt;0,IFERROR(VALUE(SUBSTITUTE(TRIM(Input!E551&amp;""),"%","")),0)&lt;1),1,100))</f>
        <v/>
      </c>
      <c r="E551" t="str">
        <f>IF(A551="","",IFERROR(VALUE(SUBSTITUTE(TRIM(Input!F551&amp;""),"%","")),0)/IF(AND(IFERROR(VALUE(SUBSTITUTE(TRIM(Input!F551&amp;""),"%","")),0)&gt;0,IFERROR(VALUE(SUBSTITUTE(TRIM(Input!F551&amp;""),"%","")),0)&lt;1),1,100))</f>
        <v/>
      </c>
      <c r="F551" t="str">
        <f>IF(A551="","",IFERROR(VALUE(SUBSTITUTE(TRIM(Input!G551&amp;""),"%","")),0)/IF(AND(IFERROR(VALUE(SUBSTITUTE(TRIM(Input!G551&amp;""),"%","")),0)&gt;0,IFERROR(VALUE(SUBSTITUTE(TRIM(Input!G551&amp;""),"%","")),0)&lt;1),1,100))</f>
        <v/>
      </c>
      <c r="G551" t="str">
        <f>IF(A551="","",IFERROR(VALUE(SUBSTITUTE(TRIM(Input!H551&amp;""),"%","")),0)/IF(AND(IFERROR(VALUE(SUBSTITUTE(TRIM(Input!H551&amp;""),"%","")),0)&gt;0,IFERROR(VALUE(SUBSTITUTE(TRIM(Input!H551&amp;""),"%","")),0)&lt;1),1,100))</f>
        <v/>
      </c>
      <c r="H551" t="str">
        <f>IF(A551="","",IFERROR(VALUE(SUBSTITUTE(TRIM(Input!I551&amp;""),"%","")),0)/IF(AND(IFERROR(VALUE(SUBSTITUTE(TRIM(Input!I551&amp;""),"%","")),0)&gt;0,IFERROR(VALUE(SUBSTITUTE(TRIM(Input!I551&amp;""),"%","")),0)&lt;1),1,100))</f>
        <v/>
      </c>
    </row>
    <row r="552" spans="1:8">
      <c r="A552" t="str">
        <f>IF(TRIM(Input!B552&amp;"")="","",UPPER(TRIM(Input!B552&amp;"")))</f>
        <v/>
      </c>
      <c r="B552" t="str">
        <f>IF(A552="","",IFERROR(VALUE(RIGHT(TRIM(Input!D552&amp;""),1)),0))</f>
        <v/>
      </c>
      <c r="C552" t="str">
        <f t="shared" si="8"/>
        <v/>
      </c>
      <c r="D552" t="str">
        <f>IF(A552="","",IFERROR(VALUE(SUBSTITUTE(TRIM(Input!E552&amp;""),"%","")),0)/IF(AND(IFERROR(VALUE(SUBSTITUTE(TRIM(Input!E552&amp;""),"%","")),0)&gt;0,IFERROR(VALUE(SUBSTITUTE(TRIM(Input!E552&amp;""),"%","")),0)&lt;1),1,100))</f>
        <v/>
      </c>
      <c r="E552" t="str">
        <f>IF(A552="","",IFERROR(VALUE(SUBSTITUTE(TRIM(Input!F552&amp;""),"%","")),0)/IF(AND(IFERROR(VALUE(SUBSTITUTE(TRIM(Input!F552&amp;""),"%","")),0)&gt;0,IFERROR(VALUE(SUBSTITUTE(TRIM(Input!F552&amp;""),"%","")),0)&lt;1),1,100))</f>
        <v/>
      </c>
      <c r="F552" t="str">
        <f>IF(A552="","",IFERROR(VALUE(SUBSTITUTE(TRIM(Input!G552&amp;""),"%","")),0)/IF(AND(IFERROR(VALUE(SUBSTITUTE(TRIM(Input!G552&amp;""),"%","")),0)&gt;0,IFERROR(VALUE(SUBSTITUTE(TRIM(Input!G552&amp;""),"%","")),0)&lt;1),1,100))</f>
        <v/>
      </c>
      <c r="G552" t="str">
        <f>IF(A552="","",IFERROR(VALUE(SUBSTITUTE(TRIM(Input!H552&amp;""),"%","")),0)/IF(AND(IFERROR(VALUE(SUBSTITUTE(TRIM(Input!H552&amp;""),"%","")),0)&gt;0,IFERROR(VALUE(SUBSTITUTE(TRIM(Input!H552&amp;""),"%","")),0)&lt;1),1,100))</f>
        <v/>
      </c>
      <c r="H552" t="str">
        <f>IF(A552="","",IFERROR(VALUE(SUBSTITUTE(TRIM(Input!I552&amp;""),"%","")),0)/IF(AND(IFERROR(VALUE(SUBSTITUTE(TRIM(Input!I552&amp;""),"%","")),0)&gt;0,IFERROR(VALUE(SUBSTITUTE(TRIM(Input!I552&amp;""),"%","")),0)&lt;1),1,100))</f>
        <v/>
      </c>
    </row>
    <row r="553" spans="1:8">
      <c r="A553" t="str">
        <f>IF(TRIM(Input!B553&amp;"")="","",UPPER(TRIM(Input!B553&amp;"")))</f>
        <v/>
      </c>
      <c r="B553" t="str">
        <f>IF(A553="","",IFERROR(VALUE(RIGHT(TRIM(Input!D553&amp;""),1)),0))</f>
        <v/>
      </c>
      <c r="C553" t="str">
        <f t="shared" si="8"/>
        <v/>
      </c>
      <c r="D553" t="str">
        <f>IF(A553="","",IFERROR(VALUE(SUBSTITUTE(TRIM(Input!E553&amp;""),"%","")),0)/IF(AND(IFERROR(VALUE(SUBSTITUTE(TRIM(Input!E553&amp;""),"%","")),0)&gt;0,IFERROR(VALUE(SUBSTITUTE(TRIM(Input!E553&amp;""),"%","")),0)&lt;1),1,100))</f>
        <v/>
      </c>
      <c r="E553" t="str">
        <f>IF(A553="","",IFERROR(VALUE(SUBSTITUTE(TRIM(Input!F553&amp;""),"%","")),0)/IF(AND(IFERROR(VALUE(SUBSTITUTE(TRIM(Input!F553&amp;""),"%","")),0)&gt;0,IFERROR(VALUE(SUBSTITUTE(TRIM(Input!F553&amp;""),"%","")),0)&lt;1),1,100))</f>
        <v/>
      </c>
      <c r="F553" t="str">
        <f>IF(A553="","",IFERROR(VALUE(SUBSTITUTE(TRIM(Input!G553&amp;""),"%","")),0)/IF(AND(IFERROR(VALUE(SUBSTITUTE(TRIM(Input!G553&amp;""),"%","")),0)&gt;0,IFERROR(VALUE(SUBSTITUTE(TRIM(Input!G553&amp;""),"%","")),0)&lt;1),1,100))</f>
        <v/>
      </c>
      <c r="G553" t="str">
        <f>IF(A553="","",IFERROR(VALUE(SUBSTITUTE(TRIM(Input!H553&amp;""),"%","")),0)/IF(AND(IFERROR(VALUE(SUBSTITUTE(TRIM(Input!H553&amp;""),"%","")),0)&gt;0,IFERROR(VALUE(SUBSTITUTE(TRIM(Input!H553&amp;""),"%","")),0)&lt;1),1,100))</f>
        <v/>
      </c>
      <c r="H553" t="str">
        <f>IF(A553="","",IFERROR(VALUE(SUBSTITUTE(TRIM(Input!I553&amp;""),"%","")),0)/IF(AND(IFERROR(VALUE(SUBSTITUTE(TRIM(Input!I553&amp;""),"%","")),0)&gt;0,IFERROR(VALUE(SUBSTITUTE(TRIM(Input!I553&amp;""),"%","")),0)&lt;1),1,100))</f>
        <v/>
      </c>
    </row>
    <row r="554" spans="1:8">
      <c r="A554" t="str">
        <f>IF(TRIM(Input!B554&amp;"")="","",UPPER(TRIM(Input!B554&amp;"")))</f>
        <v/>
      </c>
      <c r="B554" t="str">
        <f>IF(A554="","",IFERROR(VALUE(RIGHT(TRIM(Input!D554&amp;""),1)),0))</f>
        <v/>
      </c>
      <c r="C554" t="str">
        <f t="shared" si="8"/>
        <v/>
      </c>
      <c r="D554" t="str">
        <f>IF(A554="","",IFERROR(VALUE(SUBSTITUTE(TRIM(Input!E554&amp;""),"%","")),0)/IF(AND(IFERROR(VALUE(SUBSTITUTE(TRIM(Input!E554&amp;""),"%","")),0)&gt;0,IFERROR(VALUE(SUBSTITUTE(TRIM(Input!E554&amp;""),"%","")),0)&lt;1),1,100))</f>
        <v/>
      </c>
      <c r="E554" t="str">
        <f>IF(A554="","",IFERROR(VALUE(SUBSTITUTE(TRIM(Input!F554&amp;""),"%","")),0)/IF(AND(IFERROR(VALUE(SUBSTITUTE(TRIM(Input!F554&amp;""),"%","")),0)&gt;0,IFERROR(VALUE(SUBSTITUTE(TRIM(Input!F554&amp;""),"%","")),0)&lt;1),1,100))</f>
        <v/>
      </c>
      <c r="F554" t="str">
        <f>IF(A554="","",IFERROR(VALUE(SUBSTITUTE(TRIM(Input!G554&amp;""),"%","")),0)/IF(AND(IFERROR(VALUE(SUBSTITUTE(TRIM(Input!G554&amp;""),"%","")),0)&gt;0,IFERROR(VALUE(SUBSTITUTE(TRIM(Input!G554&amp;""),"%","")),0)&lt;1),1,100))</f>
        <v/>
      </c>
      <c r="G554" t="str">
        <f>IF(A554="","",IFERROR(VALUE(SUBSTITUTE(TRIM(Input!H554&amp;""),"%","")),0)/IF(AND(IFERROR(VALUE(SUBSTITUTE(TRIM(Input!H554&amp;""),"%","")),0)&gt;0,IFERROR(VALUE(SUBSTITUTE(TRIM(Input!H554&amp;""),"%","")),0)&lt;1),1,100))</f>
        <v/>
      </c>
      <c r="H554" t="str">
        <f>IF(A554="","",IFERROR(VALUE(SUBSTITUTE(TRIM(Input!I554&amp;""),"%","")),0)/IF(AND(IFERROR(VALUE(SUBSTITUTE(TRIM(Input!I554&amp;""),"%","")),0)&gt;0,IFERROR(VALUE(SUBSTITUTE(TRIM(Input!I554&amp;""),"%","")),0)&lt;1),1,100))</f>
        <v/>
      </c>
    </row>
    <row r="555" spans="1:8">
      <c r="A555" t="str">
        <f>IF(TRIM(Input!B555&amp;"")="","",UPPER(TRIM(Input!B555&amp;"")))</f>
        <v/>
      </c>
      <c r="B555" t="str">
        <f>IF(A555="","",IFERROR(VALUE(RIGHT(TRIM(Input!D555&amp;""),1)),0))</f>
        <v/>
      </c>
      <c r="C555" t="str">
        <f t="shared" si="8"/>
        <v/>
      </c>
      <c r="D555" t="str">
        <f>IF(A555="","",IFERROR(VALUE(SUBSTITUTE(TRIM(Input!E555&amp;""),"%","")),0)/IF(AND(IFERROR(VALUE(SUBSTITUTE(TRIM(Input!E555&amp;""),"%","")),0)&gt;0,IFERROR(VALUE(SUBSTITUTE(TRIM(Input!E555&amp;""),"%","")),0)&lt;1),1,100))</f>
        <v/>
      </c>
      <c r="E555" t="str">
        <f>IF(A555="","",IFERROR(VALUE(SUBSTITUTE(TRIM(Input!F555&amp;""),"%","")),0)/IF(AND(IFERROR(VALUE(SUBSTITUTE(TRIM(Input!F555&amp;""),"%","")),0)&gt;0,IFERROR(VALUE(SUBSTITUTE(TRIM(Input!F555&amp;""),"%","")),0)&lt;1),1,100))</f>
        <v/>
      </c>
      <c r="F555" t="str">
        <f>IF(A555="","",IFERROR(VALUE(SUBSTITUTE(TRIM(Input!G555&amp;""),"%","")),0)/IF(AND(IFERROR(VALUE(SUBSTITUTE(TRIM(Input!G555&amp;""),"%","")),0)&gt;0,IFERROR(VALUE(SUBSTITUTE(TRIM(Input!G555&amp;""),"%","")),0)&lt;1),1,100))</f>
        <v/>
      </c>
      <c r="G555" t="str">
        <f>IF(A555="","",IFERROR(VALUE(SUBSTITUTE(TRIM(Input!H555&amp;""),"%","")),0)/IF(AND(IFERROR(VALUE(SUBSTITUTE(TRIM(Input!H555&amp;""),"%","")),0)&gt;0,IFERROR(VALUE(SUBSTITUTE(TRIM(Input!H555&amp;""),"%","")),0)&lt;1),1,100))</f>
        <v/>
      </c>
      <c r="H555" t="str">
        <f>IF(A555="","",IFERROR(VALUE(SUBSTITUTE(TRIM(Input!I555&amp;""),"%","")),0)/IF(AND(IFERROR(VALUE(SUBSTITUTE(TRIM(Input!I555&amp;""),"%","")),0)&gt;0,IFERROR(VALUE(SUBSTITUTE(TRIM(Input!I555&amp;""),"%","")),0)&lt;1),1,100))</f>
        <v/>
      </c>
    </row>
    <row r="556" spans="1:8">
      <c r="A556" t="str">
        <f>IF(TRIM(Input!B556&amp;"")="","",UPPER(TRIM(Input!B556&amp;"")))</f>
        <v/>
      </c>
      <c r="B556" t="str">
        <f>IF(A556="","",IFERROR(VALUE(RIGHT(TRIM(Input!D556&amp;""),1)),0))</f>
        <v/>
      </c>
      <c r="C556" t="str">
        <f t="shared" si="8"/>
        <v/>
      </c>
      <c r="D556" t="str">
        <f>IF(A556="","",IFERROR(VALUE(SUBSTITUTE(TRIM(Input!E556&amp;""),"%","")),0)/IF(AND(IFERROR(VALUE(SUBSTITUTE(TRIM(Input!E556&amp;""),"%","")),0)&gt;0,IFERROR(VALUE(SUBSTITUTE(TRIM(Input!E556&amp;""),"%","")),0)&lt;1),1,100))</f>
        <v/>
      </c>
      <c r="E556" t="str">
        <f>IF(A556="","",IFERROR(VALUE(SUBSTITUTE(TRIM(Input!F556&amp;""),"%","")),0)/IF(AND(IFERROR(VALUE(SUBSTITUTE(TRIM(Input!F556&amp;""),"%","")),0)&gt;0,IFERROR(VALUE(SUBSTITUTE(TRIM(Input!F556&amp;""),"%","")),0)&lt;1),1,100))</f>
        <v/>
      </c>
      <c r="F556" t="str">
        <f>IF(A556="","",IFERROR(VALUE(SUBSTITUTE(TRIM(Input!G556&amp;""),"%","")),0)/IF(AND(IFERROR(VALUE(SUBSTITUTE(TRIM(Input!G556&amp;""),"%","")),0)&gt;0,IFERROR(VALUE(SUBSTITUTE(TRIM(Input!G556&amp;""),"%","")),0)&lt;1),1,100))</f>
        <v/>
      </c>
      <c r="G556" t="str">
        <f>IF(A556="","",IFERROR(VALUE(SUBSTITUTE(TRIM(Input!H556&amp;""),"%","")),0)/IF(AND(IFERROR(VALUE(SUBSTITUTE(TRIM(Input!H556&amp;""),"%","")),0)&gt;0,IFERROR(VALUE(SUBSTITUTE(TRIM(Input!H556&amp;""),"%","")),0)&lt;1),1,100))</f>
        <v/>
      </c>
      <c r="H556" t="str">
        <f>IF(A556="","",IFERROR(VALUE(SUBSTITUTE(TRIM(Input!I556&amp;""),"%","")),0)/IF(AND(IFERROR(VALUE(SUBSTITUTE(TRIM(Input!I556&amp;""),"%","")),0)&gt;0,IFERROR(VALUE(SUBSTITUTE(TRIM(Input!I556&amp;""),"%","")),0)&lt;1),1,100))</f>
        <v/>
      </c>
    </row>
    <row r="557" spans="1:8">
      <c r="A557" t="str">
        <f>IF(TRIM(Input!B557&amp;"")="","",UPPER(TRIM(Input!B557&amp;"")))</f>
        <v/>
      </c>
      <c r="B557" t="str">
        <f>IF(A557="","",IFERROR(VALUE(RIGHT(TRIM(Input!D557&amp;""),1)),0))</f>
        <v/>
      </c>
      <c r="C557" t="str">
        <f t="shared" si="8"/>
        <v/>
      </c>
      <c r="D557" t="str">
        <f>IF(A557="","",IFERROR(VALUE(SUBSTITUTE(TRIM(Input!E557&amp;""),"%","")),0)/IF(AND(IFERROR(VALUE(SUBSTITUTE(TRIM(Input!E557&amp;""),"%","")),0)&gt;0,IFERROR(VALUE(SUBSTITUTE(TRIM(Input!E557&amp;""),"%","")),0)&lt;1),1,100))</f>
        <v/>
      </c>
      <c r="E557" t="str">
        <f>IF(A557="","",IFERROR(VALUE(SUBSTITUTE(TRIM(Input!F557&amp;""),"%","")),0)/IF(AND(IFERROR(VALUE(SUBSTITUTE(TRIM(Input!F557&amp;""),"%","")),0)&gt;0,IFERROR(VALUE(SUBSTITUTE(TRIM(Input!F557&amp;""),"%","")),0)&lt;1),1,100))</f>
        <v/>
      </c>
      <c r="F557" t="str">
        <f>IF(A557="","",IFERROR(VALUE(SUBSTITUTE(TRIM(Input!G557&amp;""),"%","")),0)/IF(AND(IFERROR(VALUE(SUBSTITUTE(TRIM(Input!G557&amp;""),"%","")),0)&gt;0,IFERROR(VALUE(SUBSTITUTE(TRIM(Input!G557&amp;""),"%","")),0)&lt;1),1,100))</f>
        <v/>
      </c>
      <c r="G557" t="str">
        <f>IF(A557="","",IFERROR(VALUE(SUBSTITUTE(TRIM(Input!H557&amp;""),"%","")),0)/IF(AND(IFERROR(VALUE(SUBSTITUTE(TRIM(Input!H557&amp;""),"%","")),0)&gt;0,IFERROR(VALUE(SUBSTITUTE(TRIM(Input!H557&amp;""),"%","")),0)&lt;1),1,100))</f>
        <v/>
      </c>
      <c r="H557" t="str">
        <f>IF(A557="","",IFERROR(VALUE(SUBSTITUTE(TRIM(Input!I557&amp;""),"%","")),0)/IF(AND(IFERROR(VALUE(SUBSTITUTE(TRIM(Input!I557&amp;""),"%","")),0)&gt;0,IFERROR(VALUE(SUBSTITUTE(TRIM(Input!I557&amp;""),"%","")),0)&lt;1),1,100))</f>
        <v/>
      </c>
    </row>
    <row r="558" spans="1:8">
      <c r="A558" t="str">
        <f>IF(TRIM(Input!B558&amp;"")="","",UPPER(TRIM(Input!B558&amp;"")))</f>
        <v/>
      </c>
      <c r="B558" t="str">
        <f>IF(A558="","",IFERROR(VALUE(RIGHT(TRIM(Input!D558&amp;""),1)),0))</f>
        <v/>
      </c>
      <c r="C558" t="str">
        <f t="shared" si="8"/>
        <v/>
      </c>
      <c r="D558" t="str">
        <f>IF(A558="","",IFERROR(VALUE(SUBSTITUTE(TRIM(Input!E558&amp;""),"%","")),0)/IF(AND(IFERROR(VALUE(SUBSTITUTE(TRIM(Input!E558&amp;""),"%","")),0)&gt;0,IFERROR(VALUE(SUBSTITUTE(TRIM(Input!E558&amp;""),"%","")),0)&lt;1),1,100))</f>
        <v/>
      </c>
      <c r="E558" t="str">
        <f>IF(A558="","",IFERROR(VALUE(SUBSTITUTE(TRIM(Input!F558&amp;""),"%","")),0)/IF(AND(IFERROR(VALUE(SUBSTITUTE(TRIM(Input!F558&amp;""),"%","")),0)&gt;0,IFERROR(VALUE(SUBSTITUTE(TRIM(Input!F558&amp;""),"%","")),0)&lt;1),1,100))</f>
        <v/>
      </c>
      <c r="F558" t="str">
        <f>IF(A558="","",IFERROR(VALUE(SUBSTITUTE(TRIM(Input!G558&amp;""),"%","")),0)/IF(AND(IFERROR(VALUE(SUBSTITUTE(TRIM(Input!G558&amp;""),"%","")),0)&gt;0,IFERROR(VALUE(SUBSTITUTE(TRIM(Input!G558&amp;""),"%","")),0)&lt;1),1,100))</f>
        <v/>
      </c>
      <c r="G558" t="str">
        <f>IF(A558="","",IFERROR(VALUE(SUBSTITUTE(TRIM(Input!H558&amp;""),"%","")),0)/IF(AND(IFERROR(VALUE(SUBSTITUTE(TRIM(Input!H558&amp;""),"%","")),0)&gt;0,IFERROR(VALUE(SUBSTITUTE(TRIM(Input!H558&amp;""),"%","")),0)&lt;1),1,100))</f>
        <v/>
      </c>
      <c r="H558" t="str">
        <f>IF(A558="","",IFERROR(VALUE(SUBSTITUTE(TRIM(Input!I558&amp;""),"%","")),0)/IF(AND(IFERROR(VALUE(SUBSTITUTE(TRIM(Input!I558&amp;""),"%","")),0)&gt;0,IFERROR(VALUE(SUBSTITUTE(TRIM(Input!I558&amp;""),"%","")),0)&lt;1),1,100))</f>
        <v/>
      </c>
    </row>
    <row r="559" spans="1:8">
      <c r="A559" t="str">
        <f>IF(TRIM(Input!B559&amp;"")="","",UPPER(TRIM(Input!B559&amp;"")))</f>
        <v/>
      </c>
      <c r="B559" t="str">
        <f>IF(A559="","",IFERROR(VALUE(RIGHT(TRIM(Input!D559&amp;""),1)),0))</f>
        <v/>
      </c>
      <c r="C559" t="str">
        <f t="shared" si="8"/>
        <v/>
      </c>
      <c r="D559" t="str">
        <f>IF(A559="","",IFERROR(VALUE(SUBSTITUTE(TRIM(Input!E559&amp;""),"%","")),0)/IF(AND(IFERROR(VALUE(SUBSTITUTE(TRIM(Input!E559&amp;""),"%","")),0)&gt;0,IFERROR(VALUE(SUBSTITUTE(TRIM(Input!E559&amp;""),"%","")),0)&lt;1),1,100))</f>
        <v/>
      </c>
      <c r="E559" t="str">
        <f>IF(A559="","",IFERROR(VALUE(SUBSTITUTE(TRIM(Input!F559&amp;""),"%","")),0)/IF(AND(IFERROR(VALUE(SUBSTITUTE(TRIM(Input!F559&amp;""),"%","")),0)&gt;0,IFERROR(VALUE(SUBSTITUTE(TRIM(Input!F559&amp;""),"%","")),0)&lt;1),1,100))</f>
        <v/>
      </c>
      <c r="F559" t="str">
        <f>IF(A559="","",IFERROR(VALUE(SUBSTITUTE(TRIM(Input!G559&amp;""),"%","")),0)/IF(AND(IFERROR(VALUE(SUBSTITUTE(TRIM(Input!G559&amp;""),"%","")),0)&gt;0,IFERROR(VALUE(SUBSTITUTE(TRIM(Input!G559&amp;""),"%","")),0)&lt;1),1,100))</f>
        <v/>
      </c>
      <c r="G559" t="str">
        <f>IF(A559="","",IFERROR(VALUE(SUBSTITUTE(TRIM(Input!H559&amp;""),"%","")),0)/IF(AND(IFERROR(VALUE(SUBSTITUTE(TRIM(Input!H559&amp;""),"%","")),0)&gt;0,IFERROR(VALUE(SUBSTITUTE(TRIM(Input!H559&amp;""),"%","")),0)&lt;1),1,100))</f>
        <v/>
      </c>
      <c r="H559" t="str">
        <f>IF(A559="","",IFERROR(VALUE(SUBSTITUTE(TRIM(Input!I559&amp;""),"%","")),0)/IF(AND(IFERROR(VALUE(SUBSTITUTE(TRIM(Input!I559&amp;""),"%","")),0)&gt;0,IFERROR(VALUE(SUBSTITUTE(TRIM(Input!I559&amp;""),"%","")),0)&lt;1),1,100))</f>
        <v/>
      </c>
    </row>
    <row r="560" spans="1:8">
      <c r="A560" t="str">
        <f>IF(TRIM(Input!B560&amp;"")="","",UPPER(TRIM(Input!B560&amp;"")))</f>
        <v/>
      </c>
      <c r="B560" t="str">
        <f>IF(A560="","",IFERROR(VALUE(RIGHT(TRIM(Input!D560&amp;""),1)),0))</f>
        <v/>
      </c>
      <c r="C560" t="str">
        <f t="shared" si="8"/>
        <v/>
      </c>
      <c r="D560" t="str">
        <f>IF(A560="","",IFERROR(VALUE(SUBSTITUTE(TRIM(Input!E560&amp;""),"%","")),0)/IF(AND(IFERROR(VALUE(SUBSTITUTE(TRIM(Input!E560&amp;""),"%","")),0)&gt;0,IFERROR(VALUE(SUBSTITUTE(TRIM(Input!E560&amp;""),"%","")),0)&lt;1),1,100))</f>
        <v/>
      </c>
      <c r="E560" t="str">
        <f>IF(A560="","",IFERROR(VALUE(SUBSTITUTE(TRIM(Input!F560&amp;""),"%","")),0)/IF(AND(IFERROR(VALUE(SUBSTITUTE(TRIM(Input!F560&amp;""),"%","")),0)&gt;0,IFERROR(VALUE(SUBSTITUTE(TRIM(Input!F560&amp;""),"%","")),0)&lt;1),1,100))</f>
        <v/>
      </c>
      <c r="F560" t="str">
        <f>IF(A560="","",IFERROR(VALUE(SUBSTITUTE(TRIM(Input!G560&amp;""),"%","")),0)/IF(AND(IFERROR(VALUE(SUBSTITUTE(TRIM(Input!G560&amp;""),"%","")),0)&gt;0,IFERROR(VALUE(SUBSTITUTE(TRIM(Input!G560&amp;""),"%","")),0)&lt;1),1,100))</f>
        <v/>
      </c>
      <c r="G560" t="str">
        <f>IF(A560="","",IFERROR(VALUE(SUBSTITUTE(TRIM(Input!H560&amp;""),"%","")),0)/IF(AND(IFERROR(VALUE(SUBSTITUTE(TRIM(Input!H560&amp;""),"%","")),0)&gt;0,IFERROR(VALUE(SUBSTITUTE(TRIM(Input!H560&amp;""),"%","")),0)&lt;1),1,100))</f>
        <v/>
      </c>
      <c r="H560" t="str">
        <f>IF(A560="","",IFERROR(VALUE(SUBSTITUTE(TRIM(Input!I560&amp;""),"%","")),0)/IF(AND(IFERROR(VALUE(SUBSTITUTE(TRIM(Input!I560&amp;""),"%","")),0)&gt;0,IFERROR(VALUE(SUBSTITUTE(TRIM(Input!I560&amp;""),"%","")),0)&lt;1),1,100))</f>
        <v/>
      </c>
    </row>
    <row r="561" spans="1:8">
      <c r="A561" t="str">
        <f>IF(TRIM(Input!B561&amp;"")="","",UPPER(TRIM(Input!B561&amp;"")))</f>
        <v/>
      </c>
      <c r="B561" t="str">
        <f>IF(A561="","",IFERROR(VALUE(RIGHT(TRIM(Input!D561&amp;""),1)),0))</f>
        <v/>
      </c>
      <c r="C561" t="str">
        <f t="shared" si="8"/>
        <v/>
      </c>
      <c r="D561" t="str">
        <f>IF(A561="","",IFERROR(VALUE(SUBSTITUTE(TRIM(Input!E561&amp;""),"%","")),0)/IF(AND(IFERROR(VALUE(SUBSTITUTE(TRIM(Input!E561&amp;""),"%","")),0)&gt;0,IFERROR(VALUE(SUBSTITUTE(TRIM(Input!E561&amp;""),"%","")),0)&lt;1),1,100))</f>
        <v/>
      </c>
      <c r="E561" t="str">
        <f>IF(A561="","",IFERROR(VALUE(SUBSTITUTE(TRIM(Input!F561&amp;""),"%","")),0)/IF(AND(IFERROR(VALUE(SUBSTITUTE(TRIM(Input!F561&amp;""),"%","")),0)&gt;0,IFERROR(VALUE(SUBSTITUTE(TRIM(Input!F561&amp;""),"%","")),0)&lt;1),1,100))</f>
        <v/>
      </c>
      <c r="F561" t="str">
        <f>IF(A561="","",IFERROR(VALUE(SUBSTITUTE(TRIM(Input!G561&amp;""),"%","")),0)/IF(AND(IFERROR(VALUE(SUBSTITUTE(TRIM(Input!G561&amp;""),"%","")),0)&gt;0,IFERROR(VALUE(SUBSTITUTE(TRIM(Input!G561&amp;""),"%","")),0)&lt;1),1,100))</f>
        <v/>
      </c>
      <c r="G561" t="str">
        <f>IF(A561="","",IFERROR(VALUE(SUBSTITUTE(TRIM(Input!H561&amp;""),"%","")),0)/IF(AND(IFERROR(VALUE(SUBSTITUTE(TRIM(Input!H561&amp;""),"%","")),0)&gt;0,IFERROR(VALUE(SUBSTITUTE(TRIM(Input!H561&amp;""),"%","")),0)&lt;1),1,100))</f>
        <v/>
      </c>
      <c r="H561" t="str">
        <f>IF(A561="","",IFERROR(VALUE(SUBSTITUTE(TRIM(Input!I561&amp;""),"%","")),0)/IF(AND(IFERROR(VALUE(SUBSTITUTE(TRIM(Input!I561&amp;""),"%","")),0)&gt;0,IFERROR(VALUE(SUBSTITUTE(TRIM(Input!I561&amp;""),"%","")),0)&lt;1),1,100))</f>
        <v/>
      </c>
    </row>
    <row r="562" spans="1:8">
      <c r="A562" t="str">
        <f>IF(TRIM(Input!B562&amp;"")="","",UPPER(TRIM(Input!B562&amp;"")))</f>
        <v/>
      </c>
      <c r="B562" t="str">
        <f>IF(A562="","",IFERROR(VALUE(RIGHT(TRIM(Input!D562&amp;""),1)),0))</f>
        <v/>
      </c>
      <c r="C562" t="str">
        <f t="shared" si="8"/>
        <v/>
      </c>
      <c r="D562" t="str">
        <f>IF(A562="","",IFERROR(VALUE(SUBSTITUTE(TRIM(Input!E562&amp;""),"%","")),0)/IF(AND(IFERROR(VALUE(SUBSTITUTE(TRIM(Input!E562&amp;""),"%","")),0)&gt;0,IFERROR(VALUE(SUBSTITUTE(TRIM(Input!E562&amp;""),"%","")),0)&lt;1),1,100))</f>
        <v/>
      </c>
      <c r="E562" t="str">
        <f>IF(A562="","",IFERROR(VALUE(SUBSTITUTE(TRIM(Input!F562&amp;""),"%","")),0)/IF(AND(IFERROR(VALUE(SUBSTITUTE(TRIM(Input!F562&amp;""),"%","")),0)&gt;0,IFERROR(VALUE(SUBSTITUTE(TRIM(Input!F562&amp;""),"%","")),0)&lt;1),1,100))</f>
        <v/>
      </c>
      <c r="F562" t="str">
        <f>IF(A562="","",IFERROR(VALUE(SUBSTITUTE(TRIM(Input!G562&amp;""),"%","")),0)/IF(AND(IFERROR(VALUE(SUBSTITUTE(TRIM(Input!G562&amp;""),"%","")),0)&gt;0,IFERROR(VALUE(SUBSTITUTE(TRIM(Input!G562&amp;""),"%","")),0)&lt;1),1,100))</f>
        <v/>
      </c>
      <c r="G562" t="str">
        <f>IF(A562="","",IFERROR(VALUE(SUBSTITUTE(TRIM(Input!H562&amp;""),"%","")),0)/IF(AND(IFERROR(VALUE(SUBSTITUTE(TRIM(Input!H562&amp;""),"%","")),0)&gt;0,IFERROR(VALUE(SUBSTITUTE(TRIM(Input!H562&amp;""),"%","")),0)&lt;1),1,100))</f>
        <v/>
      </c>
      <c r="H562" t="str">
        <f>IF(A562="","",IFERROR(VALUE(SUBSTITUTE(TRIM(Input!I562&amp;""),"%","")),0)/IF(AND(IFERROR(VALUE(SUBSTITUTE(TRIM(Input!I562&amp;""),"%","")),0)&gt;0,IFERROR(VALUE(SUBSTITUTE(TRIM(Input!I562&amp;""),"%","")),0)&lt;1),1,100))</f>
        <v/>
      </c>
    </row>
    <row r="563" spans="1:8">
      <c r="A563" t="str">
        <f>IF(TRIM(Input!B563&amp;"")="","",UPPER(TRIM(Input!B563&amp;"")))</f>
        <v/>
      </c>
      <c r="B563" t="str">
        <f>IF(A563="","",IFERROR(VALUE(RIGHT(TRIM(Input!D563&amp;""),1)),0))</f>
        <v/>
      </c>
      <c r="C563" t="str">
        <f t="shared" si="8"/>
        <v/>
      </c>
      <c r="D563" t="str">
        <f>IF(A563="","",IFERROR(VALUE(SUBSTITUTE(TRIM(Input!E563&amp;""),"%","")),0)/IF(AND(IFERROR(VALUE(SUBSTITUTE(TRIM(Input!E563&amp;""),"%","")),0)&gt;0,IFERROR(VALUE(SUBSTITUTE(TRIM(Input!E563&amp;""),"%","")),0)&lt;1),1,100))</f>
        <v/>
      </c>
      <c r="E563" t="str">
        <f>IF(A563="","",IFERROR(VALUE(SUBSTITUTE(TRIM(Input!F563&amp;""),"%","")),0)/IF(AND(IFERROR(VALUE(SUBSTITUTE(TRIM(Input!F563&amp;""),"%","")),0)&gt;0,IFERROR(VALUE(SUBSTITUTE(TRIM(Input!F563&amp;""),"%","")),0)&lt;1),1,100))</f>
        <v/>
      </c>
      <c r="F563" t="str">
        <f>IF(A563="","",IFERROR(VALUE(SUBSTITUTE(TRIM(Input!G563&amp;""),"%","")),0)/IF(AND(IFERROR(VALUE(SUBSTITUTE(TRIM(Input!G563&amp;""),"%","")),0)&gt;0,IFERROR(VALUE(SUBSTITUTE(TRIM(Input!G563&amp;""),"%","")),0)&lt;1),1,100))</f>
        <v/>
      </c>
      <c r="G563" t="str">
        <f>IF(A563="","",IFERROR(VALUE(SUBSTITUTE(TRIM(Input!H563&amp;""),"%","")),0)/IF(AND(IFERROR(VALUE(SUBSTITUTE(TRIM(Input!H563&amp;""),"%","")),0)&gt;0,IFERROR(VALUE(SUBSTITUTE(TRIM(Input!H563&amp;""),"%","")),0)&lt;1),1,100))</f>
        <v/>
      </c>
      <c r="H563" t="str">
        <f>IF(A563="","",IFERROR(VALUE(SUBSTITUTE(TRIM(Input!I563&amp;""),"%","")),0)/IF(AND(IFERROR(VALUE(SUBSTITUTE(TRIM(Input!I563&amp;""),"%","")),0)&gt;0,IFERROR(VALUE(SUBSTITUTE(TRIM(Input!I563&amp;""),"%","")),0)&lt;1),1,100))</f>
        <v/>
      </c>
    </row>
    <row r="564" spans="1:8">
      <c r="A564" t="str">
        <f>IF(TRIM(Input!B564&amp;"")="","",UPPER(TRIM(Input!B564&amp;"")))</f>
        <v/>
      </c>
      <c r="B564" t="str">
        <f>IF(A564="","",IFERROR(VALUE(RIGHT(TRIM(Input!D564&amp;""),1)),0))</f>
        <v/>
      </c>
      <c r="C564" t="str">
        <f t="shared" si="8"/>
        <v/>
      </c>
      <c r="D564" t="str">
        <f>IF(A564="","",IFERROR(VALUE(SUBSTITUTE(TRIM(Input!E564&amp;""),"%","")),0)/IF(AND(IFERROR(VALUE(SUBSTITUTE(TRIM(Input!E564&amp;""),"%","")),0)&gt;0,IFERROR(VALUE(SUBSTITUTE(TRIM(Input!E564&amp;""),"%","")),0)&lt;1),1,100))</f>
        <v/>
      </c>
      <c r="E564" t="str">
        <f>IF(A564="","",IFERROR(VALUE(SUBSTITUTE(TRIM(Input!F564&amp;""),"%","")),0)/IF(AND(IFERROR(VALUE(SUBSTITUTE(TRIM(Input!F564&amp;""),"%","")),0)&gt;0,IFERROR(VALUE(SUBSTITUTE(TRIM(Input!F564&amp;""),"%","")),0)&lt;1),1,100))</f>
        <v/>
      </c>
      <c r="F564" t="str">
        <f>IF(A564="","",IFERROR(VALUE(SUBSTITUTE(TRIM(Input!G564&amp;""),"%","")),0)/IF(AND(IFERROR(VALUE(SUBSTITUTE(TRIM(Input!G564&amp;""),"%","")),0)&gt;0,IFERROR(VALUE(SUBSTITUTE(TRIM(Input!G564&amp;""),"%","")),0)&lt;1),1,100))</f>
        <v/>
      </c>
      <c r="G564" t="str">
        <f>IF(A564="","",IFERROR(VALUE(SUBSTITUTE(TRIM(Input!H564&amp;""),"%","")),0)/IF(AND(IFERROR(VALUE(SUBSTITUTE(TRIM(Input!H564&amp;""),"%","")),0)&gt;0,IFERROR(VALUE(SUBSTITUTE(TRIM(Input!H564&amp;""),"%","")),0)&lt;1),1,100))</f>
        <v/>
      </c>
      <c r="H564" t="str">
        <f>IF(A564="","",IFERROR(VALUE(SUBSTITUTE(TRIM(Input!I564&amp;""),"%","")),0)/IF(AND(IFERROR(VALUE(SUBSTITUTE(TRIM(Input!I564&amp;""),"%","")),0)&gt;0,IFERROR(VALUE(SUBSTITUTE(TRIM(Input!I564&amp;""),"%","")),0)&lt;1),1,100))</f>
        <v/>
      </c>
    </row>
    <row r="565" spans="1:8">
      <c r="A565" t="str">
        <f>IF(TRIM(Input!B565&amp;"")="","",UPPER(TRIM(Input!B565&amp;"")))</f>
        <v/>
      </c>
      <c r="B565" t="str">
        <f>IF(A565="","",IFERROR(VALUE(RIGHT(TRIM(Input!D565&amp;""),1)),0))</f>
        <v/>
      </c>
      <c r="C565" t="str">
        <f t="shared" si="8"/>
        <v/>
      </c>
      <c r="D565" t="str">
        <f>IF(A565="","",IFERROR(VALUE(SUBSTITUTE(TRIM(Input!E565&amp;""),"%","")),0)/IF(AND(IFERROR(VALUE(SUBSTITUTE(TRIM(Input!E565&amp;""),"%","")),0)&gt;0,IFERROR(VALUE(SUBSTITUTE(TRIM(Input!E565&amp;""),"%","")),0)&lt;1),1,100))</f>
        <v/>
      </c>
      <c r="E565" t="str">
        <f>IF(A565="","",IFERROR(VALUE(SUBSTITUTE(TRIM(Input!F565&amp;""),"%","")),0)/IF(AND(IFERROR(VALUE(SUBSTITUTE(TRIM(Input!F565&amp;""),"%","")),0)&gt;0,IFERROR(VALUE(SUBSTITUTE(TRIM(Input!F565&amp;""),"%","")),0)&lt;1),1,100))</f>
        <v/>
      </c>
      <c r="F565" t="str">
        <f>IF(A565="","",IFERROR(VALUE(SUBSTITUTE(TRIM(Input!G565&amp;""),"%","")),0)/IF(AND(IFERROR(VALUE(SUBSTITUTE(TRIM(Input!G565&amp;""),"%","")),0)&gt;0,IFERROR(VALUE(SUBSTITUTE(TRIM(Input!G565&amp;""),"%","")),0)&lt;1),1,100))</f>
        <v/>
      </c>
      <c r="G565" t="str">
        <f>IF(A565="","",IFERROR(VALUE(SUBSTITUTE(TRIM(Input!H565&amp;""),"%","")),0)/IF(AND(IFERROR(VALUE(SUBSTITUTE(TRIM(Input!H565&amp;""),"%","")),0)&gt;0,IFERROR(VALUE(SUBSTITUTE(TRIM(Input!H565&amp;""),"%","")),0)&lt;1),1,100))</f>
        <v/>
      </c>
      <c r="H565" t="str">
        <f>IF(A565="","",IFERROR(VALUE(SUBSTITUTE(TRIM(Input!I565&amp;""),"%","")),0)/IF(AND(IFERROR(VALUE(SUBSTITUTE(TRIM(Input!I565&amp;""),"%","")),0)&gt;0,IFERROR(VALUE(SUBSTITUTE(TRIM(Input!I565&amp;""),"%","")),0)&lt;1),1,100))</f>
        <v/>
      </c>
    </row>
    <row r="566" spans="1:8">
      <c r="A566" t="str">
        <f>IF(TRIM(Input!B566&amp;"")="","",UPPER(TRIM(Input!B566&amp;"")))</f>
        <v/>
      </c>
      <c r="B566" t="str">
        <f>IF(A566="","",IFERROR(VALUE(RIGHT(TRIM(Input!D566&amp;""),1)),0))</f>
        <v/>
      </c>
      <c r="C566" t="str">
        <f t="shared" si="8"/>
        <v/>
      </c>
      <c r="D566" t="str">
        <f>IF(A566="","",IFERROR(VALUE(SUBSTITUTE(TRIM(Input!E566&amp;""),"%","")),0)/IF(AND(IFERROR(VALUE(SUBSTITUTE(TRIM(Input!E566&amp;""),"%","")),0)&gt;0,IFERROR(VALUE(SUBSTITUTE(TRIM(Input!E566&amp;""),"%","")),0)&lt;1),1,100))</f>
        <v/>
      </c>
      <c r="E566" t="str">
        <f>IF(A566="","",IFERROR(VALUE(SUBSTITUTE(TRIM(Input!F566&amp;""),"%","")),0)/IF(AND(IFERROR(VALUE(SUBSTITUTE(TRIM(Input!F566&amp;""),"%","")),0)&gt;0,IFERROR(VALUE(SUBSTITUTE(TRIM(Input!F566&amp;""),"%","")),0)&lt;1),1,100))</f>
        <v/>
      </c>
      <c r="F566" t="str">
        <f>IF(A566="","",IFERROR(VALUE(SUBSTITUTE(TRIM(Input!G566&amp;""),"%","")),0)/IF(AND(IFERROR(VALUE(SUBSTITUTE(TRIM(Input!G566&amp;""),"%","")),0)&gt;0,IFERROR(VALUE(SUBSTITUTE(TRIM(Input!G566&amp;""),"%","")),0)&lt;1),1,100))</f>
        <v/>
      </c>
      <c r="G566" t="str">
        <f>IF(A566="","",IFERROR(VALUE(SUBSTITUTE(TRIM(Input!H566&amp;""),"%","")),0)/IF(AND(IFERROR(VALUE(SUBSTITUTE(TRIM(Input!H566&amp;""),"%","")),0)&gt;0,IFERROR(VALUE(SUBSTITUTE(TRIM(Input!H566&amp;""),"%","")),0)&lt;1),1,100))</f>
        <v/>
      </c>
      <c r="H566" t="str">
        <f>IF(A566="","",IFERROR(VALUE(SUBSTITUTE(TRIM(Input!I566&amp;""),"%","")),0)/IF(AND(IFERROR(VALUE(SUBSTITUTE(TRIM(Input!I566&amp;""),"%","")),0)&gt;0,IFERROR(VALUE(SUBSTITUTE(TRIM(Input!I566&amp;""),"%","")),0)&lt;1),1,100))</f>
        <v/>
      </c>
    </row>
    <row r="567" spans="1:8">
      <c r="A567" t="str">
        <f>IF(TRIM(Input!B567&amp;"")="","",UPPER(TRIM(Input!B567&amp;"")))</f>
        <v/>
      </c>
      <c r="B567" t="str">
        <f>IF(A567="","",IFERROR(VALUE(RIGHT(TRIM(Input!D567&amp;""),1)),0))</f>
        <v/>
      </c>
      <c r="C567" t="str">
        <f t="shared" si="8"/>
        <v/>
      </c>
      <c r="D567" t="str">
        <f>IF(A567="","",IFERROR(VALUE(SUBSTITUTE(TRIM(Input!E567&amp;""),"%","")),0)/IF(AND(IFERROR(VALUE(SUBSTITUTE(TRIM(Input!E567&amp;""),"%","")),0)&gt;0,IFERROR(VALUE(SUBSTITUTE(TRIM(Input!E567&amp;""),"%","")),0)&lt;1),1,100))</f>
        <v/>
      </c>
      <c r="E567" t="str">
        <f>IF(A567="","",IFERROR(VALUE(SUBSTITUTE(TRIM(Input!F567&amp;""),"%","")),0)/IF(AND(IFERROR(VALUE(SUBSTITUTE(TRIM(Input!F567&amp;""),"%","")),0)&gt;0,IFERROR(VALUE(SUBSTITUTE(TRIM(Input!F567&amp;""),"%","")),0)&lt;1),1,100))</f>
        <v/>
      </c>
      <c r="F567" t="str">
        <f>IF(A567="","",IFERROR(VALUE(SUBSTITUTE(TRIM(Input!G567&amp;""),"%","")),0)/IF(AND(IFERROR(VALUE(SUBSTITUTE(TRIM(Input!G567&amp;""),"%","")),0)&gt;0,IFERROR(VALUE(SUBSTITUTE(TRIM(Input!G567&amp;""),"%","")),0)&lt;1),1,100))</f>
        <v/>
      </c>
      <c r="G567" t="str">
        <f>IF(A567="","",IFERROR(VALUE(SUBSTITUTE(TRIM(Input!H567&amp;""),"%","")),0)/IF(AND(IFERROR(VALUE(SUBSTITUTE(TRIM(Input!H567&amp;""),"%","")),0)&gt;0,IFERROR(VALUE(SUBSTITUTE(TRIM(Input!H567&amp;""),"%","")),0)&lt;1),1,100))</f>
        <v/>
      </c>
      <c r="H567" t="str">
        <f>IF(A567="","",IFERROR(VALUE(SUBSTITUTE(TRIM(Input!I567&amp;""),"%","")),0)/IF(AND(IFERROR(VALUE(SUBSTITUTE(TRIM(Input!I567&amp;""),"%","")),0)&gt;0,IFERROR(VALUE(SUBSTITUTE(TRIM(Input!I567&amp;""),"%","")),0)&lt;1),1,100))</f>
        <v/>
      </c>
    </row>
    <row r="568" spans="1:8">
      <c r="A568" t="str">
        <f>IF(TRIM(Input!B568&amp;"")="","",UPPER(TRIM(Input!B568&amp;"")))</f>
        <v/>
      </c>
      <c r="B568" t="str">
        <f>IF(A568="","",IFERROR(VALUE(RIGHT(TRIM(Input!D568&amp;""),1)),0))</f>
        <v/>
      </c>
      <c r="C568" t="str">
        <f t="shared" si="8"/>
        <v/>
      </c>
      <c r="D568" t="str">
        <f>IF(A568="","",IFERROR(VALUE(SUBSTITUTE(TRIM(Input!E568&amp;""),"%","")),0)/IF(AND(IFERROR(VALUE(SUBSTITUTE(TRIM(Input!E568&amp;""),"%","")),0)&gt;0,IFERROR(VALUE(SUBSTITUTE(TRIM(Input!E568&amp;""),"%","")),0)&lt;1),1,100))</f>
        <v/>
      </c>
      <c r="E568" t="str">
        <f>IF(A568="","",IFERROR(VALUE(SUBSTITUTE(TRIM(Input!F568&amp;""),"%","")),0)/IF(AND(IFERROR(VALUE(SUBSTITUTE(TRIM(Input!F568&amp;""),"%","")),0)&gt;0,IFERROR(VALUE(SUBSTITUTE(TRIM(Input!F568&amp;""),"%","")),0)&lt;1),1,100))</f>
        <v/>
      </c>
      <c r="F568" t="str">
        <f>IF(A568="","",IFERROR(VALUE(SUBSTITUTE(TRIM(Input!G568&amp;""),"%","")),0)/IF(AND(IFERROR(VALUE(SUBSTITUTE(TRIM(Input!G568&amp;""),"%","")),0)&gt;0,IFERROR(VALUE(SUBSTITUTE(TRIM(Input!G568&amp;""),"%","")),0)&lt;1),1,100))</f>
        <v/>
      </c>
      <c r="G568" t="str">
        <f>IF(A568="","",IFERROR(VALUE(SUBSTITUTE(TRIM(Input!H568&amp;""),"%","")),0)/IF(AND(IFERROR(VALUE(SUBSTITUTE(TRIM(Input!H568&amp;""),"%","")),0)&gt;0,IFERROR(VALUE(SUBSTITUTE(TRIM(Input!H568&amp;""),"%","")),0)&lt;1),1,100))</f>
        <v/>
      </c>
      <c r="H568" t="str">
        <f>IF(A568="","",IFERROR(VALUE(SUBSTITUTE(TRIM(Input!I568&amp;""),"%","")),0)/IF(AND(IFERROR(VALUE(SUBSTITUTE(TRIM(Input!I568&amp;""),"%","")),0)&gt;0,IFERROR(VALUE(SUBSTITUTE(TRIM(Input!I568&amp;""),"%","")),0)&lt;1),1,100))</f>
        <v/>
      </c>
    </row>
    <row r="569" spans="1:8">
      <c r="A569" t="str">
        <f>IF(TRIM(Input!B569&amp;"")="","",UPPER(TRIM(Input!B569&amp;"")))</f>
        <v/>
      </c>
      <c r="B569" t="str">
        <f>IF(A569="","",IFERROR(VALUE(RIGHT(TRIM(Input!D569&amp;""),1)),0))</f>
        <v/>
      </c>
      <c r="C569" t="str">
        <f t="shared" si="8"/>
        <v/>
      </c>
      <c r="D569" t="str">
        <f>IF(A569="","",IFERROR(VALUE(SUBSTITUTE(TRIM(Input!E569&amp;""),"%","")),0)/IF(AND(IFERROR(VALUE(SUBSTITUTE(TRIM(Input!E569&amp;""),"%","")),0)&gt;0,IFERROR(VALUE(SUBSTITUTE(TRIM(Input!E569&amp;""),"%","")),0)&lt;1),1,100))</f>
        <v/>
      </c>
      <c r="E569" t="str">
        <f>IF(A569="","",IFERROR(VALUE(SUBSTITUTE(TRIM(Input!F569&amp;""),"%","")),0)/IF(AND(IFERROR(VALUE(SUBSTITUTE(TRIM(Input!F569&amp;""),"%","")),0)&gt;0,IFERROR(VALUE(SUBSTITUTE(TRIM(Input!F569&amp;""),"%","")),0)&lt;1),1,100))</f>
        <v/>
      </c>
      <c r="F569" t="str">
        <f>IF(A569="","",IFERROR(VALUE(SUBSTITUTE(TRIM(Input!G569&amp;""),"%","")),0)/IF(AND(IFERROR(VALUE(SUBSTITUTE(TRIM(Input!G569&amp;""),"%","")),0)&gt;0,IFERROR(VALUE(SUBSTITUTE(TRIM(Input!G569&amp;""),"%","")),0)&lt;1),1,100))</f>
        <v/>
      </c>
      <c r="G569" t="str">
        <f>IF(A569="","",IFERROR(VALUE(SUBSTITUTE(TRIM(Input!H569&amp;""),"%","")),0)/IF(AND(IFERROR(VALUE(SUBSTITUTE(TRIM(Input!H569&amp;""),"%","")),0)&gt;0,IFERROR(VALUE(SUBSTITUTE(TRIM(Input!H569&amp;""),"%","")),0)&lt;1),1,100))</f>
        <v/>
      </c>
      <c r="H569" t="str">
        <f>IF(A569="","",IFERROR(VALUE(SUBSTITUTE(TRIM(Input!I569&amp;""),"%","")),0)/IF(AND(IFERROR(VALUE(SUBSTITUTE(TRIM(Input!I569&amp;""),"%","")),0)&gt;0,IFERROR(VALUE(SUBSTITUTE(TRIM(Input!I569&amp;""),"%","")),0)&lt;1),1,100))</f>
        <v/>
      </c>
    </row>
    <row r="570" spans="1:8">
      <c r="A570" t="str">
        <f>IF(TRIM(Input!B570&amp;"")="","",UPPER(TRIM(Input!B570&amp;"")))</f>
        <v/>
      </c>
      <c r="B570" t="str">
        <f>IF(A570="","",IFERROR(VALUE(RIGHT(TRIM(Input!D570&amp;""),1)),0))</f>
        <v/>
      </c>
      <c r="C570" t="str">
        <f t="shared" si="8"/>
        <v/>
      </c>
      <c r="D570" t="str">
        <f>IF(A570="","",IFERROR(VALUE(SUBSTITUTE(TRIM(Input!E570&amp;""),"%","")),0)/IF(AND(IFERROR(VALUE(SUBSTITUTE(TRIM(Input!E570&amp;""),"%","")),0)&gt;0,IFERROR(VALUE(SUBSTITUTE(TRIM(Input!E570&amp;""),"%","")),0)&lt;1),1,100))</f>
        <v/>
      </c>
      <c r="E570" t="str">
        <f>IF(A570="","",IFERROR(VALUE(SUBSTITUTE(TRIM(Input!F570&amp;""),"%","")),0)/IF(AND(IFERROR(VALUE(SUBSTITUTE(TRIM(Input!F570&amp;""),"%","")),0)&gt;0,IFERROR(VALUE(SUBSTITUTE(TRIM(Input!F570&amp;""),"%","")),0)&lt;1),1,100))</f>
        <v/>
      </c>
      <c r="F570" t="str">
        <f>IF(A570="","",IFERROR(VALUE(SUBSTITUTE(TRIM(Input!G570&amp;""),"%","")),0)/IF(AND(IFERROR(VALUE(SUBSTITUTE(TRIM(Input!G570&amp;""),"%","")),0)&gt;0,IFERROR(VALUE(SUBSTITUTE(TRIM(Input!G570&amp;""),"%","")),0)&lt;1),1,100))</f>
        <v/>
      </c>
      <c r="G570" t="str">
        <f>IF(A570="","",IFERROR(VALUE(SUBSTITUTE(TRIM(Input!H570&amp;""),"%","")),0)/IF(AND(IFERROR(VALUE(SUBSTITUTE(TRIM(Input!H570&amp;""),"%","")),0)&gt;0,IFERROR(VALUE(SUBSTITUTE(TRIM(Input!H570&amp;""),"%","")),0)&lt;1),1,100))</f>
        <v/>
      </c>
      <c r="H570" t="str">
        <f>IF(A570="","",IFERROR(VALUE(SUBSTITUTE(TRIM(Input!I570&amp;""),"%","")),0)/IF(AND(IFERROR(VALUE(SUBSTITUTE(TRIM(Input!I570&amp;""),"%","")),0)&gt;0,IFERROR(VALUE(SUBSTITUTE(TRIM(Input!I570&amp;""),"%","")),0)&lt;1),1,100))</f>
        <v/>
      </c>
    </row>
    <row r="571" spans="1:8">
      <c r="A571" t="str">
        <f>IF(TRIM(Input!B571&amp;"")="","",UPPER(TRIM(Input!B571&amp;"")))</f>
        <v/>
      </c>
      <c r="B571" t="str">
        <f>IF(A571="","",IFERROR(VALUE(RIGHT(TRIM(Input!D571&amp;""),1)),0))</f>
        <v/>
      </c>
      <c r="C571" t="str">
        <f t="shared" si="8"/>
        <v/>
      </c>
      <c r="D571" t="str">
        <f>IF(A571="","",IFERROR(VALUE(SUBSTITUTE(TRIM(Input!E571&amp;""),"%","")),0)/IF(AND(IFERROR(VALUE(SUBSTITUTE(TRIM(Input!E571&amp;""),"%","")),0)&gt;0,IFERROR(VALUE(SUBSTITUTE(TRIM(Input!E571&amp;""),"%","")),0)&lt;1),1,100))</f>
        <v/>
      </c>
      <c r="E571" t="str">
        <f>IF(A571="","",IFERROR(VALUE(SUBSTITUTE(TRIM(Input!F571&amp;""),"%","")),0)/IF(AND(IFERROR(VALUE(SUBSTITUTE(TRIM(Input!F571&amp;""),"%","")),0)&gt;0,IFERROR(VALUE(SUBSTITUTE(TRIM(Input!F571&amp;""),"%","")),0)&lt;1),1,100))</f>
        <v/>
      </c>
      <c r="F571" t="str">
        <f>IF(A571="","",IFERROR(VALUE(SUBSTITUTE(TRIM(Input!G571&amp;""),"%","")),0)/IF(AND(IFERROR(VALUE(SUBSTITUTE(TRIM(Input!G571&amp;""),"%","")),0)&gt;0,IFERROR(VALUE(SUBSTITUTE(TRIM(Input!G571&amp;""),"%","")),0)&lt;1),1,100))</f>
        <v/>
      </c>
      <c r="G571" t="str">
        <f>IF(A571="","",IFERROR(VALUE(SUBSTITUTE(TRIM(Input!H571&amp;""),"%","")),0)/IF(AND(IFERROR(VALUE(SUBSTITUTE(TRIM(Input!H571&amp;""),"%","")),0)&gt;0,IFERROR(VALUE(SUBSTITUTE(TRIM(Input!H571&amp;""),"%","")),0)&lt;1),1,100))</f>
        <v/>
      </c>
      <c r="H571" t="str">
        <f>IF(A571="","",IFERROR(VALUE(SUBSTITUTE(TRIM(Input!I571&amp;""),"%","")),0)/IF(AND(IFERROR(VALUE(SUBSTITUTE(TRIM(Input!I571&amp;""),"%","")),0)&gt;0,IFERROR(VALUE(SUBSTITUTE(TRIM(Input!I571&amp;""),"%","")),0)&lt;1),1,100))</f>
        <v/>
      </c>
    </row>
    <row r="572" spans="1:8">
      <c r="A572" t="str">
        <f>IF(TRIM(Input!B572&amp;"")="","",UPPER(TRIM(Input!B572&amp;"")))</f>
        <v/>
      </c>
      <c r="B572" t="str">
        <f>IF(A572="","",IFERROR(VALUE(RIGHT(TRIM(Input!D572&amp;""),1)),0))</f>
        <v/>
      </c>
      <c r="C572" t="str">
        <f t="shared" si="8"/>
        <v/>
      </c>
      <c r="D572" t="str">
        <f>IF(A572="","",IFERROR(VALUE(SUBSTITUTE(TRIM(Input!E572&amp;""),"%","")),0)/IF(AND(IFERROR(VALUE(SUBSTITUTE(TRIM(Input!E572&amp;""),"%","")),0)&gt;0,IFERROR(VALUE(SUBSTITUTE(TRIM(Input!E572&amp;""),"%","")),0)&lt;1),1,100))</f>
        <v/>
      </c>
      <c r="E572" t="str">
        <f>IF(A572="","",IFERROR(VALUE(SUBSTITUTE(TRIM(Input!F572&amp;""),"%","")),0)/IF(AND(IFERROR(VALUE(SUBSTITUTE(TRIM(Input!F572&amp;""),"%","")),0)&gt;0,IFERROR(VALUE(SUBSTITUTE(TRIM(Input!F572&amp;""),"%","")),0)&lt;1),1,100))</f>
        <v/>
      </c>
      <c r="F572" t="str">
        <f>IF(A572="","",IFERROR(VALUE(SUBSTITUTE(TRIM(Input!G572&amp;""),"%","")),0)/IF(AND(IFERROR(VALUE(SUBSTITUTE(TRIM(Input!G572&amp;""),"%","")),0)&gt;0,IFERROR(VALUE(SUBSTITUTE(TRIM(Input!G572&amp;""),"%","")),0)&lt;1),1,100))</f>
        <v/>
      </c>
      <c r="G572" t="str">
        <f>IF(A572="","",IFERROR(VALUE(SUBSTITUTE(TRIM(Input!H572&amp;""),"%","")),0)/IF(AND(IFERROR(VALUE(SUBSTITUTE(TRIM(Input!H572&amp;""),"%","")),0)&gt;0,IFERROR(VALUE(SUBSTITUTE(TRIM(Input!H572&amp;""),"%","")),0)&lt;1),1,100))</f>
        <v/>
      </c>
      <c r="H572" t="str">
        <f>IF(A572="","",IFERROR(VALUE(SUBSTITUTE(TRIM(Input!I572&amp;""),"%","")),0)/IF(AND(IFERROR(VALUE(SUBSTITUTE(TRIM(Input!I572&amp;""),"%","")),0)&gt;0,IFERROR(VALUE(SUBSTITUTE(TRIM(Input!I572&amp;""),"%","")),0)&lt;1),1,100))</f>
        <v/>
      </c>
    </row>
    <row r="573" spans="1:8">
      <c r="A573" t="str">
        <f>IF(TRIM(Input!B573&amp;"")="","",UPPER(TRIM(Input!B573&amp;"")))</f>
        <v/>
      </c>
      <c r="B573" t="str">
        <f>IF(A573="","",IFERROR(VALUE(RIGHT(TRIM(Input!D573&amp;""),1)),0))</f>
        <v/>
      </c>
      <c r="C573" t="str">
        <f t="shared" si="8"/>
        <v/>
      </c>
      <c r="D573" t="str">
        <f>IF(A573="","",IFERROR(VALUE(SUBSTITUTE(TRIM(Input!E573&amp;""),"%","")),0)/IF(AND(IFERROR(VALUE(SUBSTITUTE(TRIM(Input!E573&amp;""),"%","")),0)&gt;0,IFERROR(VALUE(SUBSTITUTE(TRIM(Input!E573&amp;""),"%","")),0)&lt;1),1,100))</f>
        <v/>
      </c>
      <c r="E573" t="str">
        <f>IF(A573="","",IFERROR(VALUE(SUBSTITUTE(TRIM(Input!F573&amp;""),"%","")),0)/IF(AND(IFERROR(VALUE(SUBSTITUTE(TRIM(Input!F573&amp;""),"%","")),0)&gt;0,IFERROR(VALUE(SUBSTITUTE(TRIM(Input!F573&amp;""),"%","")),0)&lt;1),1,100))</f>
        <v/>
      </c>
      <c r="F573" t="str">
        <f>IF(A573="","",IFERROR(VALUE(SUBSTITUTE(TRIM(Input!G573&amp;""),"%","")),0)/IF(AND(IFERROR(VALUE(SUBSTITUTE(TRIM(Input!G573&amp;""),"%","")),0)&gt;0,IFERROR(VALUE(SUBSTITUTE(TRIM(Input!G573&amp;""),"%","")),0)&lt;1),1,100))</f>
        <v/>
      </c>
      <c r="G573" t="str">
        <f>IF(A573="","",IFERROR(VALUE(SUBSTITUTE(TRIM(Input!H573&amp;""),"%","")),0)/IF(AND(IFERROR(VALUE(SUBSTITUTE(TRIM(Input!H573&amp;""),"%","")),0)&gt;0,IFERROR(VALUE(SUBSTITUTE(TRIM(Input!H573&amp;""),"%","")),0)&lt;1),1,100))</f>
        <v/>
      </c>
      <c r="H573" t="str">
        <f>IF(A573="","",IFERROR(VALUE(SUBSTITUTE(TRIM(Input!I573&amp;""),"%","")),0)/IF(AND(IFERROR(VALUE(SUBSTITUTE(TRIM(Input!I573&amp;""),"%","")),0)&gt;0,IFERROR(VALUE(SUBSTITUTE(TRIM(Input!I573&amp;""),"%","")),0)&lt;1),1,100))</f>
        <v/>
      </c>
    </row>
    <row r="574" spans="1:8">
      <c r="A574" t="str">
        <f>IF(TRIM(Input!B574&amp;"")="","",UPPER(TRIM(Input!B574&amp;"")))</f>
        <v/>
      </c>
      <c r="B574" t="str">
        <f>IF(A574="","",IFERROR(VALUE(RIGHT(TRIM(Input!D574&amp;""),1)),0))</f>
        <v/>
      </c>
      <c r="C574" t="str">
        <f t="shared" si="8"/>
        <v/>
      </c>
      <c r="D574" t="str">
        <f>IF(A574="","",IFERROR(VALUE(SUBSTITUTE(TRIM(Input!E574&amp;""),"%","")),0)/IF(AND(IFERROR(VALUE(SUBSTITUTE(TRIM(Input!E574&amp;""),"%","")),0)&gt;0,IFERROR(VALUE(SUBSTITUTE(TRIM(Input!E574&amp;""),"%","")),0)&lt;1),1,100))</f>
        <v/>
      </c>
      <c r="E574" t="str">
        <f>IF(A574="","",IFERROR(VALUE(SUBSTITUTE(TRIM(Input!F574&amp;""),"%","")),0)/IF(AND(IFERROR(VALUE(SUBSTITUTE(TRIM(Input!F574&amp;""),"%","")),0)&gt;0,IFERROR(VALUE(SUBSTITUTE(TRIM(Input!F574&amp;""),"%","")),0)&lt;1),1,100))</f>
        <v/>
      </c>
      <c r="F574" t="str">
        <f>IF(A574="","",IFERROR(VALUE(SUBSTITUTE(TRIM(Input!G574&amp;""),"%","")),0)/IF(AND(IFERROR(VALUE(SUBSTITUTE(TRIM(Input!G574&amp;""),"%","")),0)&gt;0,IFERROR(VALUE(SUBSTITUTE(TRIM(Input!G574&amp;""),"%","")),0)&lt;1),1,100))</f>
        <v/>
      </c>
      <c r="G574" t="str">
        <f>IF(A574="","",IFERROR(VALUE(SUBSTITUTE(TRIM(Input!H574&amp;""),"%","")),0)/IF(AND(IFERROR(VALUE(SUBSTITUTE(TRIM(Input!H574&amp;""),"%","")),0)&gt;0,IFERROR(VALUE(SUBSTITUTE(TRIM(Input!H574&amp;""),"%","")),0)&lt;1),1,100))</f>
        <v/>
      </c>
      <c r="H574" t="str">
        <f>IF(A574="","",IFERROR(VALUE(SUBSTITUTE(TRIM(Input!I574&amp;""),"%","")),0)/IF(AND(IFERROR(VALUE(SUBSTITUTE(TRIM(Input!I574&amp;""),"%","")),0)&gt;0,IFERROR(VALUE(SUBSTITUTE(TRIM(Input!I574&amp;""),"%","")),0)&lt;1),1,100))</f>
        <v/>
      </c>
    </row>
    <row r="575" spans="1:8">
      <c r="A575" t="str">
        <f>IF(TRIM(Input!B575&amp;"")="","",UPPER(TRIM(Input!B575&amp;"")))</f>
        <v/>
      </c>
      <c r="B575" t="str">
        <f>IF(A575="","",IFERROR(VALUE(RIGHT(TRIM(Input!D575&amp;""),1)),0))</f>
        <v/>
      </c>
      <c r="C575" t="str">
        <f t="shared" si="8"/>
        <v/>
      </c>
      <c r="D575" t="str">
        <f>IF(A575="","",IFERROR(VALUE(SUBSTITUTE(TRIM(Input!E575&amp;""),"%","")),0)/IF(AND(IFERROR(VALUE(SUBSTITUTE(TRIM(Input!E575&amp;""),"%","")),0)&gt;0,IFERROR(VALUE(SUBSTITUTE(TRIM(Input!E575&amp;""),"%","")),0)&lt;1),1,100))</f>
        <v/>
      </c>
      <c r="E575" t="str">
        <f>IF(A575="","",IFERROR(VALUE(SUBSTITUTE(TRIM(Input!F575&amp;""),"%","")),0)/IF(AND(IFERROR(VALUE(SUBSTITUTE(TRIM(Input!F575&amp;""),"%","")),0)&gt;0,IFERROR(VALUE(SUBSTITUTE(TRIM(Input!F575&amp;""),"%","")),0)&lt;1),1,100))</f>
        <v/>
      </c>
      <c r="F575" t="str">
        <f>IF(A575="","",IFERROR(VALUE(SUBSTITUTE(TRIM(Input!G575&amp;""),"%","")),0)/IF(AND(IFERROR(VALUE(SUBSTITUTE(TRIM(Input!G575&amp;""),"%","")),0)&gt;0,IFERROR(VALUE(SUBSTITUTE(TRIM(Input!G575&amp;""),"%","")),0)&lt;1),1,100))</f>
        <v/>
      </c>
      <c r="G575" t="str">
        <f>IF(A575="","",IFERROR(VALUE(SUBSTITUTE(TRIM(Input!H575&amp;""),"%","")),0)/IF(AND(IFERROR(VALUE(SUBSTITUTE(TRIM(Input!H575&amp;""),"%","")),0)&gt;0,IFERROR(VALUE(SUBSTITUTE(TRIM(Input!H575&amp;""),"%","")),0)&lt;1),1,100))</f>
        <v/>
      </c>
      <c r="H575" t="str">
        <f>IF(A575="","",IFERROR(VALUE(SUBSTITUTE(TRIM(Input!I575&amp;""),"%","")),0)/IF(AND(IFERROR(VALUE(SUBSTITUTE(TRIM(Input!I575&amp;""),"%","")),0)&gt;0,IFERROR(VALUE(SUBSTITUTE(TRIM(Input!I575&amp;""),"%","")),0)&lt;1),1,100))</f>
        <v/>
      </c>
    </row>
    <row r="576" spans="1:8">
      <c r="A576" t="str">
        <f>IF(TRIM(Input!B576&amp;"")="","",UPPER(TRIM(Input!B576&amp;"")))</f>
        <v/>
      </c>
      <c r="B576" t="str">
        <f>IF(A576="","",IFERROR(VALUE(RIGHT(TRIM(Input!D576&amp;""),1)),0))</f>
        <v/>
      </c>
      <c r="C576" t="str">
        <f t="shared" si="8"/>
        <v/>
      </c>
      <c r="D576" t="str">
        <f>IF(A576="","",IFERROR(VALUE(SUBSTITUTE(TRIM(Input!E576&amp;""),"%","")),0)/IF(AND(IFERROR(VALUE(SUBSTITUTE(TRIM(Input!E576&amp;""),"%","")),0)&gt;0,IFERROR(VALUE(SUBSTITUTE(TRIM(Input!E576&amp;""),"%","")),0)&lt;1),1,100))</f>
        <v/>
      </c>
      <c r="E576" t="str">
        <f>IF(A576="","",IFERROR(VALUE(SUBSTITUTE(TRIM(Input!F576&amp;""),"%","")),0)/IF(AND(IFERROR(VALUE(SUBSTITUTE(TRIM(Input!F576&amp;""),"%","")),0)&gt;0,IFERROR(VALUE(SUBSTITUTE(TRIM(Input!F576&amp;""),"%","")),0)&lt;1),1,100))</f>
        <v/>
      </c>
      <c r="F576" t="str">
        <f>IF(A576="","",IFERROR(VALUE(SUBSTITUTE(TRIM(Input!G576&amp;""),"%","")),0)/IF(AND(IFERROR(VALUE(SUBSTITUTE(TRIM(Input!G576&amp;""),"%","")),0)&gt;0,IFERROR(VALUE(SUBSTITUTE(TRIM(Input!G576&amp;""),"%","")),0)&lt;1),1,100))</f>
        <v/>
      </c>
      <c r="G576" t="str">
        <f>IF(A576="","",IFERROR(VALUE(SUBSTITUTE(TRIM(Input!H576&amp;""),"%","")),0)/IF(AND(IFERROR(VALUE(SUBSTITUTE(TRIM(Input!H576&amp;""),"%","")),0)&gt;0,IFERROR(VALUE(SUBSTITUTE(TRIM(Input!H576&amp;""),"%","")),0)&lt;1),1,100))</f>
        <v/>
      </c>
      <c r="H576" t="str">
        <f>IF(A576="","",IFERROR(VALUE(SUBSTITUTE(TRIM(Input!I576&amp;""),"%","")),0)/IF(AND(IFERROR(VALUE(SUBSTITUTE(TRIM(Input!I576&amp;""),"%","")),0)&gt;0,IFERROR(VALUE(SUBSTITUTE(TRIM(Input!I576&amp;""),"%","")),0)&lt;1),1,100))</f>
        <v/>
      </c>
    </row>
    <row r="577" spans="1:8">
      <c r="A577" t="str">
        <f>IF(TRIM(Input!B577&amp;"")="","",UPPER(TRIM(Input!B577&amp;"")))</f>
        <v/>
      </c>
      <c r="B577" t="str">
        <f>IF(A577="","",IFERROR(VALUE(RIGHT(TRIM(Input!D577&amp;""),1)),0))</f>
        <v/>
      </c>
      <c r="C577" t="str">
        <f t="shared" si="8"/>
        <v/>
      </c>
      <c r="D577" t="str">
        <f>IF(A577="","",IFERROR(VALUE(SUBSTITUTE(TRIM(Input!E577&amp;""),"%","")),0)/IF(AND(IFERROR(VALUE(SUBSTITUTE(TRIM(Input!E577&amp;""),"%","")),0)&gt;0,IFERROR(VALUE(SUBSTITUTE(TRIM(Input!E577&amp;""),"%","")),0)&lt;1),1,100))</f>
        <v/>
      </c>
      <c r="E577" t="str">
        <f>IF(A577="","",IFERROR(VALUE(SUBSTITUTE(TRIM(Input!F577&amp;""),"%","")),0)/IF(AND(IFERROR(VALUE(SUBSTITUTE(TRIM(Input!F577&amp;""),"%","")),0)&gt;0,IFERROR(VALUE(SUBSTITUTE(TRIM(Input!F577&amp;""),"%","")),0)&lt;1),1,100))</f>
        <v/>
      </c>
      <c r="F577" t="str">
        <f>IF(A577="","",IFERROR(VALUE(SUBSTITUTE(TRIM(Input!G577&amp;""),"%","")),0)/IF(AND(IFERROR(VALUE(SUBSTITUTE(TRIM(Input!G577&amp;""),"%","")),0)&gt;0,IFERROR(VALUE(SUBSTITUTE(TRIM(Input!G577&amp;""),"%","")),0)&lt;1),1,100))</f>
        <v/>
      </c>
      <c r="G577" t="str">
        <f>IF(A577="","",IFERROR(VALUE(SUBSTITUTE(TRIM(Input!H577&amp;""),"%","")),0)/IF(AND(IFERROR(VALUE(SUBSTITUTE(TRIM(Input!H577&amp;""),"%","")),0)&gt;0,IFERROR(VALUE(SUBSTITUTE(TRIM(Input!H577&amp;""),"%","")),0)&lt;1),1,100))</f>
        <v/>
      </c>
      <c r="H577" t="str">
        <f>IF(A577="","",IFERROR(VALUE(SUBSTITUTE(TRIM(Input!I577&amp;""),"%","")),0)/IF(AND(IFERROR(VALUE(SUBSTITUTE(TRIM(Input!I577&amp;""),"%","")),0)&gt;0,IFERROR(VALUE(SUBSTITUTE(TRIM(Input!I577&amp;""),"%","")),0)&lt;1),1,100))</f>
        <v/>
      </c>
    </row>
    <row r="578" spans="1:8">
      <c r="A578" t="str">
        <f>IF(TRIM(Input!B578&amp;"")="","",UPPER(TRIM(Input!B578&amp;"")))</f>
        <v/>
      </c>
      <c r="B578" t="str">
        <f>IF(A578="","",IFERROR(VALUE(RIGHT(TRIM(Input!D578&amp;""),1)),0))</f>
        <v/>
      </c>
      <c r="C578" t="str">
        <f t="shared" ref="C578:C641" si="9">IF(A578="","",A578&amp;"|"&amp;B578)</f>
        <v/>
      </c>
      <c r="D578" t="str">
        <f>IF(A578="","",IFERROR(VALUE(SUBSTITUTE(TRIM(Input!E578&amp;""),"%","")),0)/IF(AND(IFERROR(VALUE(SUBSTITUTE(TRIM(Input!E578&amp;""),"%","")),0)&gt;0,IFERROR(VALUE(SUBSTITUTE(TRIM(Input!E578&amp;""),"%","")),0)&lt;1),1,100))</f>
        <v/>
      </c>
      <c r="E578" t="str">
        <f>IF(A578="","",IFERROR(VALUE(SUBSTITUTE(TRIM(Input!F578&amp;""),"%","")),0)/IF(AND(IFERROR(VALUE(SUBSTITUTE(TRIM(Input!F578&amp;""),"%","")),0)&gt;0,IFERROR(VALUE(SUBSTITUTE(TRIM(Input!F578&amp;""),"%","")),0)&lt;1),1,100))</f>
        <v/>
      </c>
      <c r="F578" t="str">
        <f>IF(A578="","",IFERROR(VALUE(SUBSTITUTE(TRIM(Input!G578&amp;""),"%","")),0)/IF(AND(IFERROR(VALUE(SUBSTITUTE(TRIM(Input!G578&amp;""),"%","")),0)&gt;0,IFERROR(VALUE(SUBSTITUTE(TRIM(Input!G578&amp;""),"%","")),0)&lt;1),1,100))</f>
        <v/>
      </c>
      <c r="G578" t="str">
        <f>IF(A578="","",IFERROR(VALUE(SUBSTITUTE(TRIM(Input!H578&amp;""),"%","")),0)/IF(AND(IFERROR(VALUE(SUBSTITUTE(TRIM(Input!H578&amp;""),"%","")),0)&gt;0,IFERROR(VALUE(SUBSTITUTE(TRIM(Input!H578&amp;""),"%","")),0)&lt;1),1,100))</f>
        <v/>
      </c>
      <c r="H578" t="str">
        <f>IF(A578="","",IFERROR(VALUE(SUBSTITUTE(TRIM(Input!I578&amp;""),"%","")),0)/IF(AND(IFERROR(VALUE(SUBSTITUTE(TRIM(Input!I578&amp;""),"%","")),0)&gt;0,IFERROR(VALUE(SUBSTITUTE(TRIM(Input!I578&amp;""),"%","")),0)&lt;1),1,100))</f>
        <v/>
      </c>
    </row>
    <row r="579" spans="1:8">
      <c r="A579" t="str">
        <f>IF(TRIM(Input!B579&amp;"")="","",UPPER(TRIM(Input!B579&amp;"")))</f>
        <v/>
      </c>
      <c r="B579" t="str">
        <f>IF(A579="","",IFERROR(VALUE(RIGHT(TRIM(Input!D579&amp;""),1)),0))</f>
        <v/>
      </c>
      <c r="C579" t="str">
        <f t="shared" si="9"/>
        <v/>
      </c>
      <c r="D579" t="str">
        <f>IF(A579="","",IFERROR(VALUE(SUBSTITUTE(TRIM(Input!E579&amp;""),"%","")),0)/IF(AND(IFERROR(VALUE(SUBSTITUTE(TRIM(Input!E579&amp;""),"%","")),0)&gt;0,IFERROR(VALUE(SUBSTITUTE(TRIM(Input!E579&amp;""),"%","")),0)&lt;1),1,100))</f>
        <v/>
      </c>
      <c r="E579" t="str">
        <f>IF(A579="","",IFERROR(VALUE(SUBSTITUTE(TRIM(Input!F579&amp;""),"%","")),0)/IF(AND(IFERROR(VALUE(SUBSTITUTE(TRIM(Input!F579&amp;""),"%","")),0)&gt;0,IFERROR(VALUE(SUBSTITUTE(TRIM(Input!F579&amp;""),"%","")),0)&lt;1),1,100))</f>
        <v/>
      </c>
      <c r="F579" t="str">
        <f>IF(A579="","",IFERROR(VALUE(SUBSTITUTE(TRIM(Input!G579&amp;""),"%","")),0)/IF(AND(IFERROR(VALUE(SUBSTITUTE(TRIM(Input!G579&amp;""),"%","")),0)&gt;0,IFERROR(VALUE(SUBSTITUTE(TRIM(Input!G579&amp;""),"%","")),0)&lt;1),1,100))</f>
        <v/>
      </c>
      <c r="G579" t="str">
        <f>IF(A579="","",IFERROR(VALUE(SUBSTITUTE(TRIM(Input!H579&amp;""),"%","")),0)/IF(AND(IFERROR(VALUE(SUBSTITUTE(TRIM(Input!H579&amp;""),"%","")),0)&gt;0,IFERROR(VALUE(SUBSTITUTE(TRIM(Input!H579&amp;""),"%","")),0)&lt;1),1,100))</f>
        <v/>
      </c>
      <c r="H579" t="str">
        <f>IF(A579="","",IFERROR(VALUE(SUBSTITUTE(TRIM(Input!I579&amp;""),"%","")),0)/IF(AND(IFERROR(VALUE(SUBSTITUTE(TRIM(Input!I579&amp;""),"%","")),0)&gt;0,IFERROR(VALUE(SUBSTITUTE(TRIM(Input!I579&amp;""),"%","")),0)&lt;1),1,100))</f>
        <v/>
      </c>
    </row>
    <row r="580" spans="1:8">
      <c r="A580" t="str">
        <f>IF(TRIM(Input!B580&amp;"")="","",UPPER(TRIM(Input!B580&amp;"")))</f>
        <v/>
      </c>
      <c r="B580" t="str">
        <f>IF(A580="","",IFERROR(VALUE(RIGHT(TRIM(Input!D580&amp;""),1)),0))</f>
        <v/>
      </c>
      <c r="C580" t="str">
        <f t="shared" si="9"/>
        <v/>
      </c>
      <c r="D580" t="str">
        <f>IF(A580="","",IFERROR(VALUE(SUBSTITUTE(TRIM(Input!E580&amp;""),"%","")),0)/IF(AND(IFERROR(VALUE(SUBSTITUTE(TRIM(Input!E580&amp;""),"%","")),0)&gt;0,IFERROR(VALUE(SUBSTITUTE(TRIM(Input!E580&amp;""),"%","")),0)&lt;1),1,100))</f>
        <v/>
      </c>
      <c r="E580" t="str">
        <f>IF(A580="","",IFERROR(VALUE(SUBSTITUTE(TRIM(Input!F580&amp;""),"%","")),0)/IF(AND(IFERROR(VALUE(SUBSTITUTE(TRIM(Input!F580&amp;""),"%","")),0)&gt;0,IFERROR(VALUE(SUBSTITUTE(TRIM(Input!F580&amp;""),"%","")),0)&lt;1),1,100))</f>
        <v/>
      </c>
      <c r="F580" t="str">
        <f>IF(A580="","",IFERROR(VALUE(SUBSTITUTE(TRIM(Input!G580&amp;""),"%","")),0)/IF(AND(IFERROR(VALUE(SUBSTITUTE(TRIM(Input!G580&amp;""),"%","")),0)&gt;0,IFERROR(VALUE(SUBSTITUTE(TRIM(Input!G580&amp;""),"%","")),0)&lt;1),1,100))</f>
        <v/>
      </c>
      <c r="G580" t="str">
        <f>IF(A580="","",IFERROR(VALUE(SUBSTITUTE(TRIM(Input!H580&amp;""),"%","")),0)/IF(AND(IFERROR(VALUE(SUBSTITUTE(TRIM(Input!H580&amp;""),"%","")),0)&gt;0,IFERROR(VALUE(SUBSTITUTE(TRIM(Input!H580&amp;""),"%","")),0)&lt;1),1,100))</f>
        <v/>
      </c>
      <c r="H580" t="str">
        <f>IF(A580="","",IFERROR(VALUE(SUBSTITUTE(TRIM(Input!I580&amp;""),"%","")),0)/IF(AND(IFERROR(VALUE(SUBSTITUTE(TRIM(Input!I580&amp;""),"%","")),0)&gt;0,IFERROR(VALUE(SUBSTITUTE(TRIM(Input!I580&amp;""),"%","")),0)&lt;1),1,100))</f>
        <v/>
      </c>
    </row>
    <row r="581" spans="1:8">
      <c r="A581" t="str">
        <f>IF(TRIM(Input!B581&amp;"")="","",UPPER(TRIM(Input!B581&amp;"")))</f>
        <v/>
      </c>
      <c r="B581" t="str">
        <f>IF(A581="","",IFERROR(VALUE(RIGHT(TRIM(Input!D581&amp;""),1)),0))</f>
        <v/>
      </c>
      <c r="C581" t="str">
        <f t="shared" si="9"/>
        <v/>
      </c>
      <c r="D581" t="str">
        <f>IF(A581="","",IFERROR(VALUE(SUBSTITUTE(TRIM(Input!E581&amp;""),"%","")),0)/IF(AND(IFERROR(VALUE(SUBSTITUTE(TRIM(Input!E581&amp;""),"%","")),0)&gt;0,IFERROR(VALUE(SUBSTITUTE(TRIM(Input!E581&amp;""),"%","")),0)&lt;1),1,100))</f>
        <v/>
      </c>
      <c r="E581" t="str">
        <f>IF(A581="","",IFERROR(VALUE(SUBSTITUTE(TRIM(Input!F581&amp;""),"%","")),0)/IF(AND(IFERROR(VALUE(SUBSTITUTE(TRIM(Input!F581&amp;""),"%","")),0)&gt;0,IFERROR(VALUE(SUBSTITUTE(TRIM(Input!F581&amp;""),"%","")),0)&lt;1),1,100))</f>
        <v/>
      </c>
      <c r="F581" t="str">
        <f>IF(A581="","",IFERROR(VALUE(SUBSTITUTE(TRIM(Input!G581&amp;""),"%","")),0)/IF(AND(IFERROR(VALUE(SUBSTITUTE(TRIM(Input!G581&amp;""),"%","")),0)&gt;0,IFERROR(VALUE(SUBSTITUTE(TRIM(Input!G581&amp;""),"%","")),0)&lt;1),1,100))</f>
        <v/>
      </c>
      <c r="G581" t="str">
        <f>IF(A581="","",IFERROR(VALUE(SUBSTITUTE(TRIM(Input!H581&amp;""),"%","")),0)/IF(AND(IFERROR(VALUE(SUBSTITUTE(TRIM(Input!H581&amp;""),"%","")),0)&gt;0,IFERROR(VALUE(SUBSTITUTE(TRIM(Input!H581&amp;""),"%","")),0)&lt;1),1,100))</f>
        <v/>
      </c>
      <c r="H581" t="str">
        <f>IF(A581="","",IFERROR(VALUE(SUBSTITUTE(TRIM(Input!I581&amp;""),"%","")),0)/IF(AND(IFERROR(VALUE(SUBSTITUTE(TRIM(Input!I581&amp;""),"%","")),0)&gt;0,IFERROR(VALUE(SUBSTITUTE(TRIM(Input!I581&amp;""),"%","")),0)&lt;1),1,100))</f>
        <v/>
      </c>
    </row>
    <row r="582" spans="1:8">
      <c r="A582" t="str">
        <f>IF(TRIM(Input!B582&amp;"")="","",UPPER(TRIM(Input!B582&amp;"")))</f>
        <v/>
      </c>
      <c r="B582" t="str">
        <f>IF(A582="","",IFERROR(VALUE(RIGHT(TRIM(Input!D582&amp;""),1)),0))</f>
        <v/>
      </c>
      <c r="C582" t="str">
        <f t="shared" si="9"/>
        <v/>
      </c>
      <c r="D582" t="str">
        <f>IF(A582="","",IFERROR(VALUE(SUBSTITUTE(TRIM(Input!E582&amp;""),"%","")),0)/IF(AND(IFERROR(VALUE(SUBSTITUTE(TRIM(Input!E582&amp;""),"%","")),0)&gt;0,IFERROR(VALUE(SUBSTITUTE(TRIM(Input!E582&amp;""),"%","")),0)&lt;1),1,100))</f>
        <v/>
      </c>
      <c r="E582" t="str">
        <f>IF(A582="","",IFERROR(VALUE(SUBSTITUTE(TRIM(Input!F582&amp;""),"%","")),0)/IF(AND(IFERROR(VALUE(SUBSTITUTE(TRIM(Input!F582&amp;""),"%","")),0)&gt;0,IFERROR(VALUE(SUBSTITUTE(TRIM(Input!F582&amp;""),"%","")),0)&lt;1),1,100))</f>
        <v/>
      </c>
      <c r="F582" t="str">
        <f>IF(A582="","",IFERROR(VALUE(SUBSTITUTE(TRIM(Input!G582&amp;""),"%","")),0)/IF(AND(IFERROR(VALUE(SUBSTITUTE(TRIM(Input!G582&amp;""),"%","")),0)&gt;0,IFERROR(VALUE(SUBSTITUTE(TRIM(Input!G582&amp;""),"%","")),0)&lt;1),1,100))</f>
        <v/>
      </c>
      <c r="G582" t="str">
        <f>IF(A582="","",IFERROR(VALUE(SUBSTITUTE(TRIM(Input!H582&amp;""),"%","")),0)/IF(AND(IFERROR(VALUE(SUBSTITUTE(TRIM(Input!H582&amp;""),"%","")),0)&gt;0,IFERROR(VALUE(SUBSTITUTE(TRIM(Input!H582&amp;""),"%","")),0)&lt;1),1,100))</f>
        <v/>
      </c>
      <c r="H582" t="str">
        <f>IF(A582="","",IFERROR(VALUE(SUBSTITUTE(TRIM(Input!I582&amp;""),"%","")),0)/IF(AND(IFERROR(VALUE(SUBSTITUTE(TRIM(Input!I582&amp;""),"%","")),0)&gt;0,IFERROR(VALUE(SUBSTITUTE(TRIM(Input!I582&amp;""),"%","")),0)&lt;1),1,100))</f>
        <v/>
      </c>
    </row>
    <row r="583" spans="1:8">
      <c r="A583" t="str">
        <f>IF(TRIM(Input!B583&amp;"")="","",UPPER(TRIM(Input!B583&amp;"")))</f>
        <v/>
      </c>
      <c r="B583" t="str">
        <f>IF(A583="","",IFERROR(VALUE(RIGHT(TRIM(Input!D583&amp;""),1)),0))</f>
        <v/>
      </c>
      <c r="C583" t="str">
        <f t="shared" si="9"/>
        <v/>
      </c>
      <c r="D583" t="str">
        <f>IF(A583="","",IFERROR(VALUE(SUBSTITUTE(TRIM(Input!E583&amp;""),"%","")),0)/IF(AND(IFERROR(VALUE(SUBSTITUTE(TRIM(Input!E583&amp;""),"%","")),0)&gt;0,IFERROR(VALUE(SUBSTITUTE(TRIM(Input!E583&amp;""),"%","")),0)&lt;1),1,100))</f>
        <v/>
      </c>
      <c r="E583" t="str">
        <f>IF(A583="","",IFERROR(VALUE(SUBSTITUTE(TRIM(Input!F583&amp;""),"%","")),0)/IF(AND(IFERROR(VALUE(SUBSTITUTE(TRIM(Input!F583&amp;""),"%","")),0)&gt;0,IFERROR(VALUE(SUBSTITUTE(TRIM(Input!F583&amp;""),"%","")),0)&lt;1),1,100))</f>
        <v/>
      </c>
      <c r="F583" t="str">
        <f>IF(A583="","",IFERROR(VALUE(SUBSTITUTE(TRIM(Input!G583&amp;""),"%","")),0)/IF(AND(IFERROR(VALUE(SUBSTITUTE(TRIM(Input!G583&amp;""),"%","")),0)&gt;0,IFERROR(VALUE(SUBSTITUTE(TRIM(Input!G583&amp;""),"%","")),0)&lt;1),1,100))</f>
        <v/>
      </c>
      <c r="G583" t="str">
        <f>IF(A583="","",IFERROR(VALUE(SUBSTITUTE(TRIM(Input!H583&amp;""),"%","")),0)/IF(AND(IFERROR(VALUE(SUBSTITUTE(TRIM(Input!H583&amp;""),"%","")),0)&gt;0,IFERROR(VALUE(SUBSTITUTE(TRIM(Input!H583&amp;""),"%","")),0)&lt;1),1,100))</f>
        <v/>
      </c>
      <c r="H583" t="str">
        <f>IF(A583="","",IFERROR(VALUE(SUBSTITUTE(TRIM(Input!I583&amp;""),"%","")),0)/IF(AND(IFERROR(VALUE(SUBSTITUTE(TRIM(Input!I583&amp;""),"%","")),0)&gt;0,IFERROR(VALUE(SUBSTITUTE(TRIM(Input!I583&amp;""),"%","")),0)&lt;1),1,100))</f>
        <v/>
      </c>
    </row>
    <row r="584" spans="1:8">
      <c r="A584" t="str">
        <f>IF(TRIM(Input!B584&amp;"")="","",UPPER(TRIM(Input!B584&amp;"")))</f>
        <v/>
      </c>
      <c r="B584" t="str">
        <f>IF(A584="","",IFERROR(VALUE(RIGHT(TRIM(Input!D584&amp;""),1)),0))</f>
        <v/>
      </c>
      <c r="C584" t="str">
        <f t="shared" si="9"/>
        <v/>
      </c>
      <c r="D584" t="str">
        <f>IF(A584="","",IFERROR(VALUE(SUBSTITUTE(TRIM(Input!E584&amp;""),"%","")),0)/IF(AND(IFERROR(VALUE(SUBSTITUTE(TRIM(Input!E584&amp;""),"%","")),0)&gt;0,IFERROR(VALUE(SUBSTITUTE(TRIM(Input!E584&amp;""),"%","")),0)&lt;1),1,100))</f>
        <v/>
      </c>
      <c r="E584" t="str">
        <f>IF(A584="","",IFERROR(VALUE(SUBSTITUTE(TRIM(Input!F584&amp;""),"%","")),0)/IF(AND(IFERROR(VALUE(SUBSTITUTE(TRIM(Input!F584&amp;""),"%","")),0)&gt;0,IFERROR(VALUE(SUBSTITUTE(TRIM(Input!F584&amp;""),"%","")),0)&lt;1),1,100))</f>
        <v/>
      </c>
      <c r="F584" t="str">
        <f>IF(A584="","",IFERROR(VALUE(SUBSTITUTE(TRIM(Input!G584&amp;""),"%","")),0)/IF(AND(IFERROR(VALUE(SUBSTITUTE(TRIM(Input!G584&amp;""),"%","")),0)&gt;0,IFERROR(VALUE(SUBSTITUTE(TRIM(Input!G584&amp;""),"%","")),0)&lt;1),1,100))</f>
        <v/>
      </c>
      <c r="G584" t="str">
        <f>IF(A584="","",IFERROR(VALUE(SUBSTITUTE(TRIM(Input!H584&amp;""),"%","")),0)/IF(AND(IFERROR(VALUE(SUBSTITUTE(TRIM(Input!H584&amp;""),"%","")),0)&gt;0,IFERROR(VALUE(SUBSTITUTE(TRIM(Input!H584&amp;""),"%","")),0)&lt;1),1,100))</f>
        <v/>
      </c>
      <c r="H584" t="str">
        <f>IF(A584="","",IFERROR(VALUE(SUBSTITUTE(TRIM(Input!I584&amp;""),"%","")),0)/IF(AND(IFERROR(VALUE(SUBSTITUTE(TRIM(Input!I584&amp;""),"%","")),0)&gt;0,IFERROR(VALUE(SUBSTITUTE(TRIM(Input!I584&amp;""),"%","")),0)&lt;1),1,100))</f>
        <v/>
      </c>
    </row>
    <row r="585" spans="1:8">
      <c r="A585" t="str">
        <f>IF(TRIM(Input!B585&amp;"")="","",UPPER(TRIM(Input!B585&amp;"")))</f>
        <v/>
      </c>
      <c r="B585" t="str">
        <f>IF(A585="","",IFERROR(VALUE(RIGHT(TRIM(Input!D585&amp;""),1)),0))</f>
        <v/>
      </c>
      <c r="C585" t="str">
        <f t="shared" si="9"/>
        <v/>
      </c>
      <c r="D585" t="str">
        <f>IF(A585="","",IFERROR(VALUE(SUBSTITUTE(TRIM(Input!E585&amp;""),"%","")),0)/IF(AND(IFERROR(VALUE(SUBSTITUTE(TRIM(Input!E585&amp;""),"%","")),0)&gt;0,IFERROR(VALUE(SUBSTITUTE(TRIM(Input!E585&amp;""),"%","")),0)&lt;1),1,100))</f>
        <v/>
      </c>
      <c r="E585" t="str">
        <f>IF(A585="","",IFERROR(VALUE(SUBSTITUTE(TRIM(Input!F585&amp;""),"%","")),0)/IF(AND(IFERROR(VALUE(SUBSTITUTE(TRIM(Input!F585&amp;""),"%","")),0)&gt;0,IFERROR(VALUE(SUBSTITUTE(TRIM(Input!F585&amp;""),"%","")),0)&lt;1),1,100))</f>
        <v/>
      </c>
      <c r="F585" t="str">
        <f>IF(A585="","",IFERROR(VALUE(SUBSTITUTE(TRIM(Input!G585&amp;""),"%","")),0)/IF(AND(IFERROR(VALUE(SUBSTITUTE(TRIM(Input!G585&amp;""),"%","")),0)&gt;0,IFERROR(VALUE(SUBSTITUTE(TRIM(Input!G585&amp;""),"%","")),0)&lt;1),1,100))</f>
        <v/>
      </c>
      <c r="G585" t="str">
        <f>IF(A585="","",IFERROR(VALUE(SUBSTITUTE(TRIM(Input!H585&amp;""),"%","")),0)/IF(AND(IFERROR(VALUE(SUBSTITUTE(TRIM(Input!H585&amp;""),"%","")),0)&gt;0,IFERROR(VALUE(SUBSTITUTE(TRIM(Input!H585&amp;""),"%","")),0)&lt;1),1,100))</f>
        <v/>
      </c>
      <c r="H585" t="str">
        <f>IF(A585="","",IFERROR(VALUE(SUBSTITUTE(TRIM(Input!I585&amp;""),"%","")),0)/IF(AND(IFERROR(VALUE(SUBSTITUTE(TRIM(Input!I585&amp;""),"%","")),0)&gt;0,IFERROR(VALUE(SUBSTITUTE(TRIM(Input!I585&amp;""),"%","")),0)&lt;1),1,100))</f>
        <v/>
      </c>
    </row>
    <row r="586" spans="1:8">
      <c r="A586" t="str">
        <f>IF(TRIM(Input!B586&amp;"")="","",UPPER(TRIM(Input!B586&amp;"")))</f>
        <v/>
      </c>
      <c r="B586" t="str">
        <f>IF(A586="","",IFERROR(VALUE(RIGHT(TRIM(Input!D586&amp;""),1)),0))</f>
        <v/>
      </c>
      <c r="C586" t="str">
        <f t="shared" si="9"/>
        <v/>
      </c>
      <c r="D586" t="str">
        <f>IF(A586="","",IFERROR(VALUE(SUBSTITUTE(TRIM(Input!E586&amp;""),"%","")),0)/IF(AND(IFERROR(VALUE(SUBSTITUTE(TRIM(Input!E586&amp;""),"%","")),0)&gt;0,IFERROR(VALUE(SUBSTITUTE(TRIM(Input!E586&amp;""),"%","")),0)&lt;1),1,100))</f>
        <v/>
      </c>
      <c r="E586" t="str">
        <f>IF(A586="","",IFERROR(VALUE(SUBSTITUTE(TRIM(Input!F586&amp;""),"%","")),0)/IF(AND(IFERROR(VALUE(SUBSTITUTE(TRIM(Input!F586&amp;""),"%","")),0)&gt;0,IFERROR(VALUE(SUBSTITUTE(TRIM(Input!F586&amp;""),"%","")),0)&lt;1),1,100))</f>
        <v/>
      </c>
      <c r="F586" t="str">
        <f>IF(A586="","",IFERROR(VALUE(SUBSTITUTE(TRIM(Input!G586&amp;""),"%","")),0)/IF(AND(IFERROR(VALUE(SUBSTITUTE(TRIM(Input!G586&amp;""),"%","")),0)&gt;0,IFERROR(VALUE(SUBSTITUTE(TRIM(Input!G586&amp;""),"%","")),0)&lt;1),1,100))</f>
        <v/>
      </c>
      <c r="G586" t="str">
        <f>IF(A586="","",IFERROR(VALUE(SUBSTITUTE(TRIM(Input!H586&amp;""),"%","")),0)/IF(AND(IFERROR(VALUE(SUBSTITUTE(TRIM(Input!H586&amp;""),"%","")),0)&gt;0,IFERROR(VALUE(SUBSTITUTE(TRIM(Input!H586&amp;""),"%","")),0)&lt;1),1,100))</f>
        <v/>
      </c>
      <c r="H586" t="str">
        <f>IF(A586="","",IFERROR(VALUE(SUBSTITUTE(TRIM(Input!I586&amp;""),"%","")),0)/IF(AND(IFERROR(VALUE(SUBSTITUTE(TRIM(Input!I586&amp;""),"%","")),0)&gt;0,IFERROR(VALUE(SUBSTITUTE(TRIM(Input!I586&amp;""),"%","")),0)&lt;1),1,100))</f>
        <v/>
      </c>
    </row>
    <row r="587" spans="1:8">
      <c r="A587" t="str">
        <f>IF(TRIM(Input!B587&amp;"")="","",UPPER(TRIM(Input!B587&amp;"")))</f>
        <v/>
      </c>
      <c r="B587" t="str">
        <f>IF(A587="","",IFERROR(VALUE(RIGHT(TRIM(Input!D587&amp;""),1)),0))</f>
        <v/>
      </c>
      <c r="C587" t="str">
        <f t="shared" si="9"/>
        <v/>
      </c>
      <c r="D587" t="str">
        <f>IF(A587="","",IFERROR(VALUE(SUBSTITUTE(TRIM(Input!E587&amp;""),"%","")),0)/IF(AND(IFERROR(VALUE(SUBSTITUTE(TRIM(Input!E587&amp;""),"%","")),0)&gt;0,IFERROR(VALUE(SUBSTITUTE(TRIM(Input!E587&amp;""),"%","")),0)&lt;1),1,100))</f>
        <v/>
      </c>
      <c r="E587" t="str">
        <f>IF(A587="","",IFERROR(VALUE(SUBSTITUTE(TRIM(Input!F587&amp;""),"%","")),0)/IF(AND(IFERROR(VALUE(SUBSTITUTE(TRIM(Input!F587&amp;""),"%","")),0)&gt;0,IFERROR(VALUE(SUBSTITUTE(TRIM(Input!F587&amp;""),"%","")),0)&lt;1),1,100))</f>
        <v/>
      </c>
      <c r="F587" t="str">
        <f>IF(A587="","",IFERROR(VALUE(SUBSTITUTE(TRIM(Input!G587&amp;""),"%","")),0)/IF(AND(IFERROR(VALUE(SUBSTITUTE(TRIM(Input!G587&amp;""),"%","")),0)&gt;0,IFERROR(VALUE(SUBSTITUTE(TRIM(Input!G587&amp;""),"%","")),0)&lt;1),1,100))</f>
        <v/>
      </c>
      <c r="G587" t="str">
        <f>IF(A587="","",IFERROR(VALUE(SUBSTITUTE(TRIM(Input!H587&amp;""),"%","")),0)/IF(AND(IFERROR(VALUE(SUBSTITUTE(TRIM(Input!H587&amp;""),"%","")),0)&gt;0,IFERROR(VALUE(SUBSTITUTE(TRIM(Input!H587&amp;""),"%","")),0)&lt;1),1,100))</f>
        <v/>
      </c>
      <c r="H587" t="str">
        <f>IF(A587="","",IFERROR(VALUE(SUBSTITUTE(TRIM(Input!I587&amp;""),"%","")),0)/IF(AND(IFERROR(VALUE(SUBSTITUTE(TRIM(Input!I587&amp;""),"%","")),0)&gt;0,IFERROR(VALUE(SUBSTITUTE(TRIM(Input!I587&amp;""),"%","")),0)&lt;1),1,100))</f>
        <v/>
      </c>
    </row>
    <row r="588" spans="1:8">
      <c r="A588" t="str">
        <f>IF(TRIM(Input!B588&amp;"")="","",UPPER(TRIM(Input!B588&amp;"")))</f>
        <v/>
      </c>
      <c r="B588" t="str">
        <f>IF(A588="","",IFERROR(VALUE(RIGHT(TRIM(Input!D588&amp;""),1)),0))</f>
        <v/>
      </c>
      <c r="C588" t="str">
        <f t="shared" si="9"/>
        <v/>
      </c>
      <c r="D588" t="str">
        <f>IF(A588="","",IFERROR(VALUE(SUBSTITUTE(TRIM(Input!E588&amp;""),"%","")),0)/IF(AND(IFERROR(VALUE(SUBSTITUTE(TRIM(Input!E588&amp;""),"%","")),0)&gt;0,IFERROR(VALUE(SUBSTITUTE(TRIM(Input!E588&amp;""),"%","")),0)&lt;1),1,100))</f>
        <v/>
      </c>
      <c r="E588" t="str">
        <f>IF(A588="","",IFERROR(VALUE(SUBSTITUTE(TRIM(Input!F588&amp;""),"%","")),0)/IF(AND(IFERROR(VALUE(SUBSTITUTE(TRIM(Input!F588&amp;""),"%","")),0)&gt;0,IFERROR(VALUE(SUBSTITUTE(TRIM(Input!F588&amp;""),"%","")),0)&lt;1),1,100))</f>
        <v/>
      </c>
      <c r="F588" t="str">
        <f>IF(A588="","",IFERROR(VALUE(SUBSTITUTE(TRIM(Input!G588&amp;""),"%","")),0)/IF(AND(IFERROR(VALUE(SUBSTITUTE(TRIM(Input!G588&amp;""),"%","")),0)&gt;0,IFERROR(VALUE(SUBSTITUTE(TRIM(Input!G588&amp;""),"%","")),0)&lt;1),1,100))</f>
        <v/>
      </c>
      <c r="G588" t="str">
        <f>IF(A588="","",IFERROR(VALUE(SUBSTITUTE(TRIM(Input!H588&amp;""),"%","")),0)/IF(AND(IFERROR(VALUE(SUBSTITUTE(TRIM(Input!H588&amp;""),"%","")),0)&gt;0,IFERROR(VALUE(SUBSTITUTE(TRIM(Input!H588&amp;""),"%","")),0)&lt;1),1,100))</f>
        <v/>
      </c>
      <c r="H588" t="str">
        <f>IF(A588="","",IFERROR(VALUE(SUBSTITUTE(TRIM(Input!I588&amp;""),"%","")),0)/IF(AND(IFERROR(VALUE(SUBSTITUTE(TRIM(Input!I588&amp;""),"%","")),0)&gt;0,IFERROR(VALUE(SUBSTITUTE(TRIM(Input!I588&amp;""),"%","")),0)&lt;1),1,100))</f>
        <v/>
      </c>
    </row>
    <row r="589" spans="1:8">
      <c r="A589" t="str">
        <f>IF(TRIM(Input!B589&amp;"")="","",UPPER(TRIM(Input!B589&amp;"")))</f>
        <v/>
      </c>
      <c r="B589" t="str">
        <f>IF(A589="","",IFERROR(VALUE(RIGHT(TRIM(Input!D589&amp;""),1)),0))</f>
        <v/>
      </c>
      <c r="C589" t="str">
        <f t="shared" si="9"/>
        <v/>
      </c>
      <c r="D589" t="str">
        <f>IF(A589="","",IFERROR(VALUE(SUBSTITUTE(TRIM(Input!E589&amp;""),"%","")),0)/IF(AND(IFERROR(VALUE(SUBSTITUTE(TRIM(Input!E589&amp;""),"%","")),0)&gt;0,IFERROR(VALUE(SUBSTITUTE(TRIM(Input!E589&amp;""),"%","")),0)&lt;1),1,100))</f>
        <v/>
      </c>
      <c r="E589" t="str">
        <f>IF(A589="","",IFERROR(VALUE(SUBSTITUTE(TRIM(Input!F589&amp;""),"%","")),0)/IF(AND(IFERROR(VALUE(SUBSTITUTE(TRIM(Input!F589&amp;""),"%","")),0)&gt;0,IFERROR(VALUE(SUBSTITUTE(TRIM(Input!F589&amp;""),"%","")),0)&lt;1),1,100))</f>
        <v/>
      </c>
      <c r="F589" t="str">
        <f>IF(A589="","",IFERROR(VALUE(SUBSTITUTE(TRIM(Input!G589&amp;""),"%","")),0)/IF(AND(IFERROR(VALUE(SUBSTITUTE(TRIM(Input!G589&amp;""),"%","")),0)&gt;0,IFERROR(VALUE(SUBSTITUTE(TRIM(Input!G589&amp;""),"%","")),0)&lt;1),1,100))</f>
        <v/>
      </c>
      <c r="G589" t="str">
        <f>IF(A589="","",IFERROR(VALUE(SUBSTITUTE(TRIM(Input!H589&amp;""),"%","")),0)/IF(AND(IFERROR(VALUE(SUBSTITUTE(TRIM(Input!H589&amp;""),"%","")),0)&gt;0,IFERROR(VALUE(SUBSTITUTE(TRIM(Input!H589&amp;""),"%","")),0)&lt;1),1,100))</f>
        <v/>
      </c>
      <c r="H589" t="str">
        <f>IF(A589="","",IFERROR(VALUE(SUBSTITUTE(TRIM(Input!I589&amp;""),"%","")),0)/IF(AND(IFERROR(VALUE(SUBSTITUTE(TRIM(Input!I589&amp;""),"%","")),0)&gt;0,IFERROR(VALUE(SUBSTITUTE(TRIM(Input!I589&amp;""),"%","")),0)&lt;1),1,100))</f>
        <v/>
      </c>
    </row>
    <row r="590" spans="1:8">
      <c r="A590" t="str">
        <f>IF(TRIM(Input!B590&amp;"")="","",UPPER(TRIM(Input!B590&amp;"")))</f>
        <v/>
      </c>
      <c r="B590" t="str">
        <f>IF(A590="","",IFERROR(VALUE(RIGHT(TRIM(Input!D590&amp;""),1)),0))</f>
        <v/>
      </c>
      <c r="C590" t="str">
        <f t="shared" si="9"/>
        <v/>
      </c>
      <c r="D590" t="str">
        <f>IF(A590="","",IFERROR(VALUE(SUBSTITUTE(TRIM(Input!E590&amp;""),"%","")),0)/IF(AND(IFERROR(VALUE(SUBSTITUTE(TRIM(Input!E590&amp;""),"%","")),0)&gt;0,IFERROR(VALUE(SUBSTITUTE(TRIM(Input!E590&amp;""),"%","")),0)&lt;1),1,100))</f>
        <v/>
      </c>
      <c r="E590" t="str">
        <f>IF(A590="","",IFERROR(VALUE(SUBSTITUTE(TRIM(Input!F590&amp;""),"%","")),0)/IF(AND(IFERROR(VALUE(SUBSTITUTE(TRIM(Input!F590&amp;""),"%","")),0)&gt;0,IFERROR(VALUE(SUBSTITUTE(TRIM(Input!F590&amp;""),"%","")),0)&lt;1),1,100))</f>
        <v/>
      </c>
      <c r="F590" t="str">
        <f>IF(A590="","",IFERROR(VALUE(SUBSTITUTE(TRIM(Input!G590&amp;""),"%","")),0)/IF(AND(IFERROR(VALUE(SUBSTITUTE(TRIM(Input!G590&amp;""),"%","")),0)&gt;0,IFERROR(VALUE(SUBSTITUTE(TRIM(Input!G590&amp;""),"%","")),0)&lt;1),1,100))</f>
        <v/>
      </c>
      <c r="G590" t="str">
        <f>IF(A590="","",IFERROR(VALUE(SUBSTITUTE(TRIM(Input!H590&amp;""),"%","")),0)/IF(AND(IFERROR(VALUE(SUBSTITUTE(TRIM(Input!H590&amp;""),"%","")),0)&gt;0,IFERROR(VALUE(SUBSTITUTE(TRIM(Input!H590&amp;""),"%","")),0)&lt;1),1,100))</f>
        <v/>
      </c>
      <c r="H590" t="str">
        <f>IF(A590="","",IFERROR(VALUE(SUBSTITUTE(TRIM(Input!I590&amp;""),"%","")),0)/IF(AND(IFERROR(VALUE(SUBSTITUTE(TRIM(Input!I590&amp;""),"%","")),0)&gt;0,IFERROR(VALUE(SUBSTITUTE(TRIM(Input!I590&amp;""),"%","")),0)&lt;1),1,100))</f>
        <v/>
      </c>
    </row>
    <row r="591" spans="1:8">
      <c r="A591" t="str">
        <f>IF(TRIM(Input!B591&amp;"")="","",UPPER(TRIM(Input!B591&amp;"")))</f>
        <v/>
      </c>
      <c r="B591" t="str">
        <f>IF(A591="","",IFERROR(VALUE(RIGHT(TRIM(Input!D591&amp;""),1)),0))</f>
        <v/>
      </c>
      <c r="C591" t="str">
        <f t="shared" si="9"/>
        <v/>
      </c>
      <c r="D591" t="str">
        <f>IF(A591="","",IFERROR(VALUE(SUBSTITUTE(TRIM(Input!E591&amp;""),"%","")),0)/IF(AND(IFERROR(VALUE(SUBSTITUTE(TRIM(Input!E591&amp;""),"%","")),0)&gt;0,IFERROR(VALUE(SUBSTITUTE(TRIM(Input!E591&amp;""),"%","")),0)&lt;1),1,100))</f>
        <v/>
      </c>
      <c r="E591" t="str">
        <f>IF(A591="","",IFERROR(VALUE(SUBSTITUTE(TRIM(Input!F591&amp;""),"%","")),0)/IF(AND(IFERROR(VALUE(SUBSTITUTE(TRIM(Input!F591&amp;""),"%","")),0)&gt;0,IFERROR(VALUE(SUBSTITUTE(TRIM(Input!F591&amp;""),"%","")),0)&lt;1),1,100))</f>
        <v/>
      </c>
      <c r="F591" t="str">
        <f>IF(A591="","",IFERROR(VALUE(SUBSTITUTE(TRIM(Input!G591&amp;""),"%","")),0)/IF(AND(IFERROR(VALUE(SUBSTITUTE(TRIM(Input!G591&amp;""),"%","")),0)&gt;0,IFERROR(VALUE(SUBSTITUTE(TRIM(Input!G591&amp;""),"%","")),0)&lt;1),1,100))</f>
        <v/>
      </c>
      <c r="G591" t="str">
        <f>IF(A591="","",IFERROR(VALUE(SUBSTITUTE(TRIM(Input!H591&amp;""),"%","")),0)/IF(AND(IFERROR(VALUE(SUBSTITUTE(TRIM(Input!H591&amp;""),"%","")),0)&gt;0,IFERROR(VALUE(SUBSTITUTE(TRIM(Input!H591&amp;""),"%","")),0)&lt;1),1,100))</f>
        <v/>
      </c>
      <c r="H591" t="str">
        <f>IF(A591="","",IFERROR(VALUE(SUBSTITUTE(TRIM(Input!I591&amp;""),"%","")),0)/IF(AND(IFERROR(VALUE(SUBSTITUTE(TRIM(Input!I591&amp;""),"%","")),0)&gt;0,IFERROR(VALUE(SUBSTITUTE(TRIM(Input!I591&amp;""),"%","")),0)&lt;1),1,100))</f>
        <v/>
      </c>
    </row>
    <row r="592" spans="1:8">
      <c r="A592" t="str">
        <f>IF(TRIM(Input!B592&amp;"")="","",UPPER(TRIM(Input!B592&amp;"")))</f>
        <v/>
      </c>
      <c r="B592" t="str">
        <f>IF(A592="","",IFERROR(VALUE(RIGHT(TRIM(Input!D592&amp;""),1)),0))</f>
        <v/>
      </c>
      <c r="C592" t="str">
        <f t="shared" si="9"/>
        <v/>
      </c>
      <c r="D592" t="str">
        <f>IF(A592="","",IFERROR(VALUE(SUBSTITUTE(TRIM(Input!E592&amp;""),"%","")),0)/IF(AND(IFERROR(VALUE(SUBSTITUTE(TRIM(Input!E592&amp;""),"%","")),0)&gt;0,IFERROR(VALUE(SUBSTITUTE(TRIM(Input!E592&amp;""),"%","")),0)&lt;1),1,100))</f>
        <v/>
      </c>
      <c r="E592" t="str">
        <f>IF(A592="","",IFERROR(VALUE(SUBSTITUTE(TRIM(Input!F592&amp;""),"%","")),0)/IF(AND(IFERROR(VALUE(SUBSTITUTE(TRIM(Input!F592&amp;""),"%","")),0)&gt;0,IFERROR(VALUE(SUBSTITUTE(TRIM(Input!F592&amp;""),"%","")),0)&lt;1),1,100))</f>
        <v/>
      </c>
      <c r="F592" t="str">
        <f>IF(A592="","",IFERROR(VALUE(SUBSTITUTE(TRIM(Input!G592&amp;""),"%","")),0)/IF(AND(IFERROR(VALUE(SUBSTITUTE(TRIM(Input!G592&amp;""),"%","")),0)&gt;0,IFERROR(VALUE(SUBSTITUTE(TRIM(Input!G592&amp;""),"%","")),0)&lt;1),1,100))</f>
        <v/>
      </c>
      <c r="G592" t="str">
        <f>IF(A592="","",IFERROR(VALUE(SUBSTITUTE(TRIM(Input!H592&amp;""),"%","")),0)/IF(AND(IFERROR(VALUE(SUBSTITUTE(TRIM(Input!H592&amp;""),"%","")),0)&gt;0,IFERROR(VALUE(SUBSTITUTE(TRIM(Input!H592&amp;""),"%","")),0)&lt;1),1,100))</f>
        <v/>
      </c>
      <c r="H592" t="str">
        <f>IF(A592="","",IFERROR(VALUE(SUBSTITUTE(TRIM(Input!I592&amp;""),"%","")),0)/IF(AND(IFERROR(VALUE(SUBSTITUTE(TRIM(Input!I592&amp;""),"%","")),0)&gt;0,IFERROR(VALUE(SUBSTITUTE(TRIM(Input!I592&amp;""),"%","")),0)&lt;1),1,100))</f>
        <v/>
      </c>
    </row>
    <row r="593" spans="1:8">
      <c r="A593" t="str">
        <f>IF(TRIM(Input!B593&amp;"")="","",UPPER(TRIM(Input!B593&amp;"")))</f>
        <v/>
      </c>
      <c r="B593" t="str">
        <f>IF(A593="","",IFERROR(VALUE(RIGHT(TRIM(Input!D593&amp;""),1)),0))</f>
        <v/>
      </c>
      <c r="C593" t="str">
        <f t="shared" si="9"/>
        <v/>
      </c>
      <c r="D593" t="str">
        <f>IF(A593="","",IFERROR(VALUE(SUBSTITUTE(TRIM(Input!E593&amp;""),"%","")),0)/IF(AND(IFERROR(VALUE(SUBSTITUTE(TRIM(Input!E593&amp;""),"%","")),0)&gt;0,IFERROR(VALUE(SUBSTITUTE(TRIM(Input!E593&amp;""),"%","")),0)&lt;1),1,100))</f>
        <v/>
      </c>
      <c r="E593" t="str">
        <f>IF(A593="","",IFERROR(VALUE(SUBSTITUTE(TRIM(Input!F593&amp;""),"%","")),0)/IF(AND(IFERROR(VALUE(SUBSTITUTE(TRIM(Input!F593&amp;""),"%","")),0)&gt;0,IFERROR(VALUE(SUBSTITUTE(TRIM(Input!F593&amp;""),"%","")),0)&lt;1),1,100))</f>
        <v/>
      </c>
      <c r="F593" t="str">
        <f>IF(A593="","",IFERROR(VALUE(SUBSTITUTE(TRIM(Input!G593&amp;""),"%","")),0)/IF(AND(IFERROR(VALUE(SUBSTITUTE(TRIM(Input!G593&amp;""),"%","")),0)&gt;0,IFERROR(VALUE(SUBSTITUTE(TRIM(Input!G593&amp;""),"%","")),0)&lt;1),1,100))</f>
        <v/>
      </c>
      <c r="G593" t="str">
        <f>IF(A593="","",IFERROR(VALUE(SUBSTITUTE(TRIM(Input!H593&amp;""),"%","")),0)/IF(AND(IFERROR(VALUE(SUBSTITUTE(TRIM(Input!H593&amp;""),"%","")),0)&gt;0,IFERROR(VALUE(SUBSTITUTE(TRIM(Input!H593&amp;""),"%","")),0)&lt;1),1,100))</f>
        <v/>
      </c>
      <c r="H593" t="str">
        <f>IF(A593="","",IFERROR(VALUE(SUBSTITUTE(TRIM(Input!I593&amp;""),"%","")),0)/IF(AND(IFERROR(VALUE(SUBSTITUTE(TRIM(Input!I593&amp;""),"%","")),0)&gt;0,IFERROR(VALUE(SUBSTITUTE(TRIM(Input!I593&amp;""),"%","")),0)&lt;1),1,100))</f>
        <v/>
      </c>
    </row>
    <row r="594" spans="1:8">
      <c r="A594" t="str">
        <f>IF(TRIM(Input!B594&amp;"")="","",UPPER(TRIM(Input!B594&amp;"")))</f>
        <v/>
      </c>
      <c r="B594" t="str">
        <f>IF(A594="","",IFERROR(VALUE(RIGHT(TRIM(Input!D594&amp;""),1)),0))</f>
        <v/>
      </c>
      <c r="C594" t="str">
        <f t="shared" si="9"/>
        <v/>
      </c>
      <c r="D594" t="str">
        <f>IF(A594="","",IFERROR(VALUE(SUBSTITUTE(TRIM(Input!E594&amp;""),"%","")),0)/IF(AND(IFERROR(VALUE(SUBSTITUTE(TRIM(Input!E594&amp;""),"%","")),0)&gt;0,IFERROR(VALUE(SUBSTITUTE(TRIM(Input!E594&amp;""),"%","")),0)&lt;1),1,100))</f>
        <v/>
      </c>
      <c r="E594" t="str">
        <f>IF(A594="","",IFERROR(VALUE(SUBSTITUTE(TRIM(Input!F594&amp;""),"%","")),0)/IF(AND(IFERROR(VALUE(SUBSTITUTE(TRIM(Input!F594&amp;""),"%","")),0)&gt;0,IFERROR(VALUE(SUBSTITUTE(TRIM(Input!F594&amp;""),"%","")),0)&lt;1),1,100))</f>
        <v/>
      </c>
      <c r="F594" t="str">
        <f>IF(A594="","",IFERROR(VALUE(SUBSTITUTE(TRIM(Input!G594&amp;""),"%","")),0)/IF(AND(IFERROR(VALUE(SUBSTITUTE(TRIM(Input!G594&amp;""),"%","")),0)&gt;0,IFERROR(VALUE(SUBSTITUTE(TRIM(Input!G594&amp;""),"%","")),0)&lt;1),1,100))</f>
        <v/>
      </c>
      <c r="G594" t="str">
        <f>IF(A594="","",IFERROR(VALUE(SUBSTITUTE(TRIM(Input!H594&amp;""),"%","")),0)/IF(AND(IFERROR(VALUE(SUBSTITUTE(TRIM(Input!H594&amp;""),"%","")),0)&gt;0,IFERROR(VALUE(SUBSTITUTE(TRIM(Input!H594&amp;""),"%","")),0)&lt;1),1,100))</f>
        <v/>
      </c>
      <c r="H594" t="str">
        <f>IF(A594="","",IFERROR(VALUE(SUBSTITUTE(TRIM(Input!I594&amp;""),"%","")),0)/IF(AND(IFERROR(VALUE(SUBSTITUTE(TRIM(Input!I594&amp;""),"%","")),0)&gt;0,IFERROR(VALUE(SUBSTITUTE(TRIM(Input!I594&amp;""),"%","")),0)&lt;1),1,100))</f>
        <v/>
      </c>
    </row>
    <row r="595" spans="1:8">
      <c r="A595" t="str">
        <f>IF(TRIM(Input!B595&amp;"")="","",UPPER(TRIM(Input!B595&amp;"")))</f>
        <v/>
      </c>
      <c r="B595" t="str">
        <f>IF(A595="","",IFERROR(VALUE(RIGHT(TRIM(Input!D595&amp;""),1)),0))</f>
        <v/>
      </c>
      <c r="C595" t="str">
        <f t="shared" si="9"/>
        <v/>
      </c>
      <c r="D595" t="str">
        <f>IF(A595="","",IFERROR(VALUE(SUBSTITUTE(TRIM(Input!E595&amp;""),"%","")),0)/IF(AND(IFERROR(VALUE(SUBSTITUTE(TRIM(Input!E595&amp;""),"%","")),0)&gt;0,IFERROR(VALUE(SUBSTITUTE(TRIM(Input!E595&amp;""),"%","")),0)&lt;1),1,100))</f>
        <v/>
      </c>
      <c r="E595" t="str">
        <f>IF(A595="","",IFERROR(VALUE(SUBSTITUTE(TRIM(Input!F595&amp;""),"%","")),0)/IF(AND(IFERROR(VALUE(SUBSTITUTE(TRIM(Input!F595&amp;""),"%","")),0)&gt;0,IFERROR(VALUE(SUBSTITUTE(TRIM(Input!F595&amp;""),"%","")),0)&lt;1),1,100))</f>
        <v/>
      </c>
      <c r="F595" t="str">
        <f>IF(A595="","",IFERROR(VALUE(SUBSTITUTE(TRIM(Input!G595&amp;""),"%","")),0)/IF(AND(IFERROR(VALUE(SUBSTITUTE(TRIM(Input!G595&amp;""),"%","")),0)&gt;0,IFERROR(VALUE(SUBSTITUTE(TRIM(Input!G595&amp;""),"%","")),0)&lt;1),1,100))</f>
        <v/>
      </c>
      <c r="G595" t="str">
        <f>IF(A595="","",IFERROR(VALUE(SUBSTITUTE(TRIM(Input!H595&amp;""),"%","")),0)/IF(AND(IFERROR(VALUE(SUBSTITUTE(TRIM(Input!H595&amp;""),"%","")),0)&gt;0,IFERROR(VALUE(SUBSTITUTE(TRIM(Input!H595&amp;""),"%","")),0)&lt;1),1,100))</f>
        <v/>
      </c>
      <c r="H595" t="str">
        <f>IF(A595="","",IFERROR(VALUE(SUBSTITUTE(TRIM(Input!I595&amp;""),"%","")),0)/IF(AND(IFERROR(VALUE(SUBSTITUTE(TRIM(Input!I595&amp;""),"%","")),0)&gt;0,IFERROR(VALUE(SUBSTITUTE(TRIM(Input!I595&amp;""),"%","")),0)&lt;1),1,100))</f>
        <v/>
      </c>
    </row>
    <row r="596" spans="1:8">
      <c r="A596" t="str">
        <f>IF(TRIM(Input!B596&amp;"")="","",UPPER(TRIM(Input!B596&amp;"")))</f>
        <v/>
      </c>
      <c r="B596" t="str">
        <f>IF(A596="","",IFERROR(VALUE(RIGHT(TRIM(Input!D596&amp;""),1)),0))</f>
        <v/>
      </c>
      <c r="C596" t="str">
        <f t="shared" si="9"/>
        <v/>
      </c>
      <c r="D596" t="str">
        <f>IF(A596="","",IFERROR(VALUE(SUBSTITUTE(TRIM(Input!E596&amp;""),"%","")),0)/IF(AND(IFERROR(VALUE(SUBSTITUTE(TRIM(Input!E596&amp;""),"%","")),0)&gt;0,IFERROR(VALUE(SUBSTITUTE(TRIM(Input!E596&amp;""),"%","")),0)&lt;1),1,100))</f>
        <v/>
      </c>
      <c r="E596" t="str">
        <f>IF(A596="","",IFERROR(VALUE(SUBSTITUTE(TRIM(Input!F596&amp;""),"%","")),0)/IF(AND(IFERROR(VALUE(SUBSTITUTE(TRIM(Input!F596&amp;""),"%","")),0)&gt;0,IFERROR(VALUE(SUBSTITUTE(TRIM(Input!F596&amp;""),"%","")),0)&lt;1),1,100))</f>
        <v/>
      </c>
      <c r="F596" t="str">
        <f>IF(A596="","",IFERROR(VALUE(SUBSTITUTE(TRIM(Input!G596&amp;""),"%","")),0)/IF(AND(IFERROR(VALUE(SUBSTITUTE(TRIM(Input!G596&amp;""),"%","")),0)&gt;0,IFERROR(VALUE(SUBSTITUTE(TRIM(Input!G596&amp;""),"%","")),0)&lt;1),1,100))</f>
        <v/>
      </c>
      <c r="G596" t="str">
        <f>IF(A596="","",IFERROR(VALUE(SUBSTITUTE(TRIM(Input!H596&amp;""),"%","")),0)/IF(AND(IFERROR(VALUE(SUBSTITUTE(TRIM(Input!H596&amp;""),"%","")),0)&gt;0,IFERROR(VALUE(SUBSTITUTE(TRIM(Input!H596&amp;""),"%","")),0)&lt;1),1,100))</f>
        <v/>
      </c>
      <c r="H596" t="str">
        <f>IF(A596="","",IFERROR(VALUE(SUBSTITUTE(TRIM(Input!I596&amp;""),"%","")),0)/IF(AND(IFERROR(VALUE(SUBSTITUTE(TRIM(Input!I596&amp;""),"%","")),0)&gt;0,IFERROR(VALUE(SUBSTITUTE(TRIM(Input!I596&amp;""),"%","")),0)&lt;1),1,100))</f>
        <v/>
      </c>
    </row>
    <row r="597" spans="1:8">
      <c r="A597" t="str">
        <f>IF(TRIM(Input!B597&amp;"")="","",UPPER(TRIM(Input!B597&amp;"")))</f>
        <v/>
      </c>
      <c r="B597" t="str">
        <f>IF(A597="","",IFERROR(VALUE(RIGHT(TRIM(Input!D597&amp;""),1)),0))</f>
        <v/>
      </c>
      <c r="C597" t="str">
        <f t="shared" si="9"/>
        <v/>
      </c>
      <c r="D597" t="str">
        <f>IF(A597="","",IFERROR(VALUE(SUBSTITUTE(TRIM(Input!E597&amp;""),"%","")),0)/IF(AND(IFERROR(VALUE(SUBSTITUTE(TRIM(Input!E597&amp;""),"%","")),0)&gt;0,IFERROR(VALUE(SUBSTITUTE(TRIM(Input!E597&amp;""),"%","")),0)&lt;1),1,100))</f>
        <v/>
      </c>
      <c r="E597" t="str">
        <f>IF(A597="","",IFERROR(VALUE(SUBSTITUTE(TRIM(Input!F597&amp;""),"%","")),0)/IF(AND(IFERROR(VALUE(SUBSTITUTE(TRIM(Input!F597&amp;""),"%","")),0)&gt;0,IFERROR(VALUE(SUBSTITUTE(TRIM(Input!F597&amp;""),"%","")),0)&lt;1),1,100))</f>
        <v/>
      </c>
      <c r="F597" t="str">
        <f>IF(A597="","",IFERROR(VALUE(SUBSTITUTE(TRIM(Input!G597&amp;""),"%","")),0)/IF(AND(IFERROR(VALUE(SUBSTITUTE(TRIM(Input!G597&amp;""),"%","")),0)&gt;0,IFERROR(VALUE(SUBSTITUTE(TRIM(Input!G597&amp;""),"%","")),0)&lt;1),1,100))</f>
        <v/>
      </c>
      <c r="G597" t="str">
        <f>IF(A597="","",IFERROR(VALUE(SUBSTITUTE(TRIM(Input!H597&amp;""),"%","")),0)/IF(AND(IFERROR(VALUE(SUBSTITUTE(TRIM(Input!H597&amp;""),"%","")),0)&gt;0,IFERROR(VALUE(SUBSTITUTE(TRIM(Input!H597&amp;""),"%","")),0)&lt;1),1,100))</f>
        <v/>
      </c>
      <c r="H597" t="str">
        <f>IF(A597="","",IFERROR(VALUE(SUBSTITUTE(TRIM(Input!I597&amp;""),"%","")),0)/IF(AND(IFERROR(VALUE(SUBSTITUTE(TRIM(Input!I597&amp;""),"%","")),0)&gt;0,IFERROR(VALUE(SUBSTITUTE(TRIM(Input!I597&amp;""),"%","")),0)&lt;1),1,100))</f>
        <v/>
      </c>
    </row>
    <row r="598" spans="1:8">
      <c r="A598" t="str">
        <f>IF(TRIM(Input!B598&amp;"")="","",UPPER(TRIM(Input!B598&amp;"")))</f>
        <v/>
      </c>
      <c r="B598" t="str">
        <f>IF(A598="","",IFERROR(VALUE(RIGHT(TRIM(Input!D598&amp;""),1)),0))</f>
        <v/>
      </c>
      <c r="C598" t="str">
        <f t="shared" si="9"/>
        <v/>
      </c>
      <c r="D598" t="str">
        <f>IF(A598="","",IFERROR(VALUE(SUBSTITUTE(TRIM(Input!E598&amp;""),"%","")),0)/IF(AND(IFERROR(VALUE(SUBSTITUTE(TRIM(Input!E598&amp;""),"%","")),0)&gt;0,IFERROR(VALUE(SUBSTITUTE(TRIM(Input!E598&amp;""),"%","")),0)&lt;1),1,100))</f>
        <v/>
      </c>
      <c r="E598" t="str">
        <f>IF(A598="","",IFERROR(VALUE(SUBSTITUTE(TRIM(Input!F598&amp;""),"%","")),0)/IF(AND(IFERROR(VALUE(SUBSTITUTE(TRIM(Input!F598&amp;""),"%","")),0)&gt;0,IFERROR(VALUE(SUBSTITUTE(TRIM(Input!F598&amp;""),"%","")),0)&lt;1),1,100))</f>
        <v/>
      </c>
      <c r="F598" t="str">
        <f>IF(A598="","",IFERROR(VALUE(SUBSTITUTE(TRIM(Input!G598&amp;""),"%","")),0)/IF(AND(IFERROR(VALUE(SUBSTITUTE(TRIM(Input!G598&amp;""),"%","")),0)&gt;0,IFERROR(VALUE(SUBSTITUTE(TRIM(Input!G598&amp;""),"%","")),0)&lt;1),1,100))</f>
        <v/>
      </c>
      <c r="G598" t="str">
        <f>IF(A598="","",IFERROR(VALUE(SUBSTITUTE(TRIM(Input!H598&amp;""),"%","")),0)/IF(AND(IFERROR(VALUE(SUBSTITUTE(TRIM(Input!H598&amp;""),"%","")),0)&gt;0,IFERROR(VALUE(SUBSTITUTE(TRIM(Input!H598&amp;""),"%","")),0)&lt;1),1,100))</f>
        <v/>
      </c>
      <c r="H598" t="str">
        <f>IF(A598="","",IFERROR(VALUE(SUBSTITUTE(TRIM(Input!I598&amp;""),"%","")),0)/IF(AND(IFERROR(VALUE(SUBSTITUTE(TRIM(Input!I598&amp;""),"%","")),0)&gt;0,IFERROR(VALUE(SUBSTITUTE(TRIM(Input!I598&amp;""),"%","")),0)&lt;1),1,100))</f>
        <v/>
      </c>
    </row>
    <row r="599" spans="1:8">
      <c r="A599" t="str">
        <f>IF(TRIM(Input!B599&amp;"")="","",UPPER(TRIM(Input!B599&amp;"")))</f>
        <v/>
      </c>
      <c r="B599" t="str">
        <f>IF(A599="","",IFERROR(VALUE(RIGHT(TRIM(Input!D599&amp;""),1)),0))</f>
        <v/>
      </c>
      <c r="C599" t="str">
        <f t="shared" si="9"/>
        <v/>
      </c>
      <c r="D599" t="str">
        <f>IF(A599="","",IFERROR(VALUE(SUBSTITUTE(TRIM(Input!E599&amp;""),"%","")),0)/IF(AND(IFERROR(VALUE(SUBSTITUTE(TRIM(Input!E599&amp;""),"%","")),0)&gt;0,IFERROR(VALUE(SUBSTITUTE(TRIM(Input!E599&amp;""),"%","")),0)&lt;1),1,100))</f>
        <v/>
      </c>
      <c r="E599" t="str">
        <f>IF(A599="","",IFERROR(VALUE(SUBSTITUTE(TRIM(Input!F599&amp;""),"%","")),0)/IF(AND(IFERROR(VALUE(SUBSTITUTE(TRIM(Input!F599&amp;""),"%","")),0)&gt;0,IFERROR(VALUE(SUBSTITUTE(TRIM(Input!F599&amp;""),"%","")),0)&lt;1),1,100))</f>
        <v/>
      </c>
      <c r="F599" t="str">
        <f>IF(A599="","",IFERROR(VALUE(SUBSTITUTE(TRIM(Input!G599&amp;""),"%","")),0)/IF(AND(IFERROR(VALUE(SUBSTITUTE(TRIM(Input!G599&amp;""),"%","")),0)&gt;0,IFERROR(VALUE(SUBSTITUTE(TRIM(Input!G599&amp;""),"%","")),0)&lt;1),1,100))</f>
        <v/>
      </c>
      <c r="G599" t="str">
        <f>IF(A599="","",IFERROR(VALUE(SUBSTITUTE(TRIM(Input!H599&amp;""),"%","")),0)/IF(AND(IFERROR(VALUE(SUBSTITUTE(TRIM(Input!H599&amp;""),"%","")),0)&gt;0,IFERROR(VALUE(SUBSTITUTE(TRIM(Input!H599&amp;""),"%","")),0)&lt;1),1,100))</f>
        <v/>
      </c>
      <c r="H599" t="str">
        <f>IF(A599="","",IFERROR(VALUE(SUBSTITUTE(TRIM(Input!I599&amp;""),"%","")),0)/IF(AND(IFERROR(VALUE(SUBSTITUTE(TRIM(Input!I599&amp;""),"%","")),0)&gt;0,IFERROR(VALUE(SUBSTITUTE(TRIM(Input!I599&amp;""),"%","")),0)&lt;1),1,100))</f>
        <v/>
      </c>
    </row>
    <row r="600" spans="1:8">
      <c r="A600" t="str">
        <f>IF(TRIM(Input!B600&amp;"")="","",UPPER(TRIM(Input!B600&amp;"")))</f>
        <v/>
      </c>
      <c r="B600" t="str">
        <f>IF(A600="","",IFERROR(VALUE(RIGHT(TRIM(Input!D600&amp;""),1)),0))</f>
        <v/>
      </c>
      <c r="C600" t="str">
        <f t="shared" si="9"/>
        <v/>
      </c>
      <c r="D600" t="str">
        <f>IF(A600="","",IFERROR(VALUE(SUBSTITUTE(TRIM(Input!E600&amp;""),"%","")),0)/IF(AND(IFERROR(VALUE(SUBSTITUTE(TRIM(Input!E600&amp;""),"%","")),0)&gt;0,IFERROR(VALUE(SUBSTITUTE(TRIM(Input!E600&amp;""),"%","")),0)&lt;1),1,100))</f>
        <v/>
      </c>
      <c r="E600" t="str">
        <f>IF(A600="","",IFERROR(VALUE(SUBSTITUTE(TRIM(Input!F600&amp;""),"%","")),0)/IF(AND(IFERROR(VALUE(SUBSTITUTE(TRIM(Input!F600&amp;""),"%","")),0)&gt;0,IFERROR(VALUE(SUBSTITUTE(TRIM(Input!F600&amp;""),"%","")),0)&lt;1),1,100))</f>
        <v/>
      </c>
      <c r="F600" t="str">
        <f>IF(A600="","",IFERROR(VALUE(SUBSTITUTE(TRIM(Input!G600&amp;""),"%","")),0)/IF(AND(IFERROR(VALUE(SUBSTITUTE(TRIM(Input!G600&amp;""),"%","")),0)&gt;0,IFERROR(VALUE(SUBSTITUTE(TRIM(Input!G600&amp;""),"%","")),0)&lt;1),1,100))</f>
        <v/>
      </c>
      <c r="G600" t="str">
        <f>IF(A600="","",IFERROR(VALUE(SUBSTITUTE(TRIM(Input!H600&amp;""),"%","")),0)/IF(AND(IFERROR(VALUE(SUBSTITUTE(TRIM(Input!H600&amp;""),"%","")),0)&gt;0,IFERROR(VALUE(SUBSTITUTE(TRIM(Input!H600&amp;""),"%","")),0)&lt;1),1,100))</f>
        <v/>
      </c>
      <c r="H600" t="str">
        <f>IF(A600="","",IFERROR(VALUE(SUBSTITUTE(TRIM(Input!I600&amp;""),"%","")),0)/IF(AND(IFERROR(VALUE(SUBSTITUTE(TRIM(Input!I600&amp;""),"%","")),0)&gt;0,IFERROR(VALUE(SUBSTITUTE(TRIM(Input!I600&amp;""),"%","")),0)&lt;1),1,100))</f>
        <v/>
      </c>
    </row>
    <row r="601" spans="1:8">
      <c r="A601" t="str">
        <f>IF(TRIM(Input!B601&amp;"")="","",UPPER(TRIM(Input!B601&amp;"")))</f>
        <v/>
      </c>
      <c r="B601" t="str">
        <f>IF(A601="","",IFERROR(VALUE(RIGHT(TRIM(Input!D601&amp;""),1)),0))</f>
        <v/>
      </c>
      <c r="C601" t="str">
        <f t="shared" si="9"/>
        <v/>
      </c>
      <c r="D601" t="str">
        <f>IF(A601="","",IFERROR(VALUE(SUBSTITUTE(TRIM(Input!E601&amp;""),"%","")),0)/IF(AND(IFERROR(VALUE(SUBSTITUTE(TRIM(Input!E601&amp;""),"%","")),0)&gt;0,IFERROR(VALUE(SUBSTITUTE(TRIM(Input!E601&amp;""),"%","")),0)&lt;1),1,100))</f>
        <v/>
      </c>
      <c r="E601" t="str">
        <f>IF(A601="","",IFERROR(VALUE(SUBSTITUTE(TRIM(Input!F601&amp;""),"%","")),0)/IF(AND(IFERROR(VALUE(SUBSTITUTE(TRIM(Input!F601&amp;""),"%","")),0)&gt;0,IFERROR(VALUE(SUBSTITUTE(TRIM(Input!F601&amp;""),"%","")),0)&lt;1),1,100))</f>
        <v/>
      </c>
      <c r="F601" t="str">
        <f>IF(A601="","",IFERROR(VALUE(SUBSTITUTE(TRIM(Input!G601&amp;""),"%","")),0)/IF(AND(IFERROR(VALUE(SUBSTITUTE(TRIM(Input!G601&amp;""),"%","")),0)&gt;0,IFERROR(VALUE(SUBSTITUTE(TRIM(Input!G601&amp;""),"%","")),0)&lt;1),1,100))</f>
        <v/>
      </c>
      <c r="G601" t="str">
        <f>IF(A601="","",IFERROR(VALUE(SUBSTITUTE(TRIM(Input!H601&amp;""),"%","")),0)/IF(AND(IFERROR(VALUE(SUBSTITUTE(TRIM(Input!H601&amp;""),"%","")),0)&gt;0,IFERROR(VALUE(SUBSTITUTE(TRIM(Input!H601&amp;""),"%","")),0)&lt;1),1,100))</f>
        <v/>
      </c>
      <c r="H601" t="str">
        <f>IF(A601="","",IFERROR(VALUE(SUBSTITUTE(TRIM(Input!I601&amp;""),"%","")),0)/IF(AND(IFERROR(VALUE(SUBSTITUTE(TRIM(Input!I601&amp;""),"%","")),0)&gt;0,IFERROR(VALUE(SUBSTITUTE(TRIM(Input!I601&amp;""),"%","")),0)&lt;1),1,100))</f>
        <v/>
      </c>
    </row>
    <row r="602" spans="1:8">
      <c r="A602" t="str">
        <f>IF(TRIM(Input!B602&amp;"")="","",UPPER(TRIM(Input!B602&amp;"")))</f>
        <v/>
      </c>
      <c r="B602" t="str">
        <f>IF(A602="","",IFERROR(VALUE(RIGHT(TRIM(Input!D602&amp;""),1)),0))</f>
        <v/>
      </c>
      <c r="C602" t="str">
        <f t="shared" si="9"/>
        <v/>
      </c>
      <c r="D602" t="str">
        <f>IF(A602="","",IFERROR(VALUE(SUBSTITUTE(TRIM(Input!E602&amp;""),"%","")),0)/IF(AND(IFERROR(VALUE(SUBSTITUTE(TRIM(Input!E602&amp;""),"%","")),0)&gt;0,IFERROR(VALUE(SUBSTITUTE(TRIM(Input!E602&amp;""),"%","")),0)&lt;1),1,100))</f>
        <v/>
      </c>
      <c r="E602" t="str">
        <f>IF(A602="","",IFERROR(VALUE(SUBSTITUTE(TRIM(Input!F602&amp;""),"%","")),0)/IF(AND(IFERROR(VALUE(SUBSTITUTE(TRIM(Input!F602&amp;""),"%","")),0)&gt;0,IFERROR(VALUE(SUBSTITUTE(TRIM(Input!F602&amp;""),"%","")),0)&lt;1),1,100))</f>
        <v/>
      </c>
      <c r="F602" t="str">
        <f>IF(A602="","",IFERROR(VALUE(SUBSTITUTE(TRIM(Input!G602&amp;""),"%","")),0)/IF(AND(IFERROR(VALUE(SUBSTITUTE(TRIM(Input!G602&amp;""),"%","")),0)&gt;0,IFERROR(VALUE(SUBSTITUTE(TRIM(Input!G602&amp;""),"%","")),0)&lt;1),1,100))</f>
        <v/>
      </c>
      <c r="G602" t="str">
        <f>IF(A602="","",IFERROR(VALUE(SUBSTITUTE(TRIM(Input!H602&amp;""),"%","")),0)/IF(AND(IFERROR(VALUE(SUBSTITUTE(TRIM(Input!H602&amp;""),"%","")),0)&gt;0,IFERROR(VALUE(SUBSTITUTE(TRIM(Input!H602&amp;""),"%","")),0)&lt;1),1,100))</f>
        <v/>
      </c>
      <c r="H602" t="str">
        <f>IF(A602="","",IFERROR(VALUE(SUBSTITUTE(TRIM(Input!I602&amp;""),"%","")),0)/IF(AND(IFERROR(VALUE(SUBSTITUTE(TRIM(Input!I602&amp;""),"%","")),0)&gt;0,IFERROR(VALUE(SUBSTITUTE(TRIM(Input!I602&amp;""),"%","")),0)&lt;1),1,100))</f>
        <v/>
      </c>
    </row>
    <row r="603" spans="1:8">
      <c r="A603" t="str">
        <f>IF(TRIM(Input!B603&amp;"")="","",UPPER(TRIM(Input!B603&amp;"")))</f>
        <v/>
      </c>
      <c r="B603" t="str">
        <f>IF(A603="","",IFERROR(VALUE(RIGHT(TRIM(Input!D603&amp;""),1)),0))</f>
        <v/>
      </c>
      <c r="C603" t="str">
        <f t="shared" si="9"/>
        <v/>
      </c>
      <c r="D603" t="str">
        <f>IF(A603="","",IFERROR(VALUE(SUBSTITUTE(TRIM(Input!E603&amp;""),"%","")),0)/IF(AND(IFERROR(VALUE(SUBSTITUTE(TRIM(Input!E603&amp;""),"%","")),0)&gt;0,IFERROR(VALUE(SUBSTITUTE(TRIM(Input!E603&amp;""),"%","")),0)&lt;1),1,100))</f>
        <v/>
      </c>
      <c r="E603" t="str">
        <f>IF(A603="","",IFERROR(VALUE(SUBSTITUTE(TRIM(Input!F603&amp;""),"%","")),0)/IF(AND(IFERROR(VALUE(SUBSTITUTE(TRIM(Input!F603&amp;""),"%","")),0)&gt;0,IFERROR(VALUE(SUBSTITUTE(TRIM(Input!F603&amp;""),"%","")),0)&lt;1),1,100))</f>
        <v/>
      </c>
      <c r="F603" t="str">
        <f>IF(A603="","",IFERROR(VALUE(SUBSTITUTE(TRIM(Input!G603&amp;""),"%","")),0)/IF(AND(IFERROR(VALUE(SUBSTITUTE(TRIM(Input!G603&amp;""),"%","")),0)&gt;0,IFERROR(VALUE(SUBSTITUTE(TRIM(Input!G603&amp;""),"%","")),0)&lt;1),1,100))</f>
        <v/>
      </c>
      <c r="G603" t="str">
        <f>IF(A603="","",IFERROR(VALUE(SUBSTITUTE(TRIM(Input!H603&amp;""),"%","")),0)/IF(AND(IFERROR(VALUE(SUBSTITUTE(TRIM(Input!H603&amp;""),"%","")),0)&gt;0,IFERROR(VALUE(SUBSTITUTE(TRIM(Input!H603&amp;""),"%","")),0)&lt;1),1,100))</f>
        <v/>
      </c>
      <c r="H603" t="str">
        <f>IF(A603="","",IFERROR(VALUE(SUBSTITUTE(TRIM(Input!I603&amp;""),"%","")),0)/IF(AND(IFERROR(VALUE(SUBSTITUTE(TRIM(Input!I603&amp;""),"%","")),0)&gt;0,IFERROR(VALUE(SUBSTITUTE(TRIM(Input!I603&amp;""),"%","")),0)&lt;1),1,100))</f>
        <v/>
      </c>
    </row>
    <row r="604" spans="1:8">
      <c r="A604" t="str">
        <f>IF(TRIM(Input!B604&amp;"")="","",UPPER(TRIM(Input!B604&amp;"")))</f>
        <v/>
      </c>
      <c r="B604" t="str">
        <f>IF(A604="","",IFERROR(VALUE(RIGHT(TRIM(Input!D604&amp;""),1)),0))</f>
        <v/>
      </c>
      <c r="C604" t="str">
        <f t="shared" si="9"/>
        <v/>
      </c>
      <c r="D604" t="str">
        <f>IF(A604="","",IFERROR(VALUE(SUBSTITUTE(TRIM(Input!E604&amp;""),"%","")),0)/IF(AND(IFERROR(VALUE(SUBSTITUTE(TRIM(Input!E604&amp;""),"%","")),0)&gt;0,IFERROR(VALUE(SUBSTITUTE(TRIM(Input!E604&amp;""),"%","")),0)&lt;1),1,100))</f>
        <v/>
      </c>
      <c r="E604" t="str">
        <f>IF(A604="","",IFERROR(VALUE(SUBSTITUTE(TRIM(Input!F604&amp;""),"%","")),0)/IF(AND(IFERROR(VALUE(SUBSTITUTE(TRIM(Input!F604&amp;""),"%","")),0)&gt;0,IFERROR(VALUE(SUBSTITUTE(TRIM(Input!F604&amp;""),"%","")),0)&lt;1),1,100))</f>
        <v/>
      </c>
      <c r="F604" t="str">
        <f>IF(A604="","",IFERROR(VALUE(SUBSTITUTE(TRIM(Input!G604&amp;""),"%","")),0)/IF(AND(IFERROR(VALUE(SUBSTITUTE(TRIM(Input!G604&amp;""),"%","")),0)&gt;0,IFERROR(VALUE(SUBSTITUTE(TRIM(Input!G604&amp;""),"%","")),0)&lt;1),1,100))</f>
        <v/>
      </c>
      <c r="G604" t="str">
        <f>IF(A604="","",IFERROR(VALUE(SUBSTITUTE(TRIM(Input!H604&amp;""),"%","")),0)/IF(AND(IFERROR(VALUE(SUBSTITUTE(TRIM(Input!H604&amp;""),"%","")),0)&gt;0,IFERROR(VALUE(SUBSTITUTE(TRIM(Input!H604&amp;""),"%","")),0)&lt;1),1,100))</f>
        <v/>
      </c>
      <c r="H604" t="str">
        <f>IF(A604="","",IFERROR(VALUE(SUBSTITUTE(TRIM(Input!I604&amp;""),"%","")),0)/IF(AND(IFERROR(VALUE(SUBSTITUTE(TRIM(Input!I604&amp;""),"%","")),0)&gt;0,IFERROR(VALUE(SUBSTITUTE(TRIM(Input!I604&amp;""),"%","")),0)&lt;1),1,100))</f>
        <v/>
      </c>
    </row>
    <row r="605" spans="1:8">
      <c r="A605" t="str">
        <f>IF(TRIM(Input!B605&amp;"")="","",UPPER(TRIM(Input!B605&amp;"")))</f>
        <v/>
      </c>
      <c r="B605" t="str">
        <f>IF(A605="","",IFERROR(VALUE(RIGHT(TRIM(Input!D605&amp;""),1)),0))</f>
        <v/>
      </c>
      <c r="C605" t="str">
        <f t="shared" si="9"/>
        <v/>
      </c>
      <c r="D605" t="str">
        <f>IF(A605="","",IFERROR(VALUE(SUBSTITUTE(TRIM(Input!E605&amp;""),"%","")),0)/IF(AND(IFERROR(VALUE(SUBSTITUTE(TRIM(Input!E605&amp;""),"%","")),0)&gt;0,IFERROR(VALUE(SUBSTITUTE(TRIM(Input!E605&amp;""),"%","")),0)&lt;1),1,100))</f>
        <v/>
      </c>
      <c r="E605" t="str">
        <f>IF(A605="","",IFERROR(VALUE(SUBSTITUTE(TRIM(Input!F605&amp;""),"%","")),0)/IF(AND(IFERROR(VALUE(SUBSTITUTE(TRIM(Input!F605&amp;""),"%","")),0)&gt;0,IFERROR(VALUE(SUBSTITUTE(TRIM(Input!F605&amp;""),"%","")),0)&lt;1),1,100))</f>
        <v/>
      </c>
      <c r="F605" t="str">
        <f>IF(A605="","",IFERROR(VALUE(SUBSTITUTE(TRIM(Input!G605&amp;""),"%","")),0)/IF(AND(IFERROR(VALUE(SUBSTITUTE(TRIM(Input!G605&amp;""),"%","")),0)&gt;0,IFERROR(VALUE(SUBSTITUTE(TRIM(Input!G605&amp;""),"%","")),0)&lt;1),1,100))</f>
        <v/>
      </c>
      <c r="G605" t="str">
        <f>IF(A605="","",IFERROR(VALUE(SUBSTITUTE(TRIM(Input!H605&amp;""),"%","")),0)/IF(AND(IFERROR(VALUE(SUBSTITUTE(TRIM(Input!H605&amp;""),"%","")),0)&gt;0,IFERROR(VALUE(SUBSTITUTE(TRIM(Input!H605&amp;""),"%","")),0)&lt;1),1,100))</f>
        <v/>
      </c>
      <c r="H605" t="str">
        <f>IF(A605="","",IFERROR(VALUE(SUBSTITUTE(TRIM(Input!I605&amp;""),"%","")),0)/IF(AND(IFERROR(VALUE(SUBSTITUTE(TRIM(Input!I605&amp;""),"%","")),0)&gt;0,IFERROR(VALUE(SUBSTITUTE(TRIM(Input!I605&amp;""),"%","")),0)&lt;1),1,100))</f>
        <v/>
      </c>
    </row>
    <row r="606" spans="1:8">
      <c r="A606" t="str">
        <f>IF(TRIM(Input!B606&amp;"")="","",UPPER(TRIM(Input!B606&amp;"")))</f>
        <v/>
      </c>
      <c r="B606" t="str">
        <f>IF(A606="","",IFERROR(VALUE(RIGHT(TRIM(Input!D606&amp;""),1)),0))</f>
        <v/>
      </c>
      <c r="C606" t="str">
        <f t="shared" si="9"/>
        <v/>
      </c>
      <c r="D606" t="str">
        <f>IF(A606="","",IFERROR(VALUE(SUBSTITUTE(TRIM(Input!E606&amp;""),"%","")),0)/IF(AND(IFERROR(VALUE(SUBSTITUTE(TRIM(Input!E606&amp;""),"%","")),0)&gt;0,IFERROR(VALUE(SUBSTITUTE(TRIM(Input!E606&amp;""),"%","")),0)&lt;1),1,100))</f>
        <v/>
      </c>
      <c r="E606" t="str">
        <f>IF(A606="","",IFERROR(VALUE(SUBSTITUTE(TRIM(Input!F606&amp;""),"%","")),0)/IF(AND(IFERROR(VALUE(SUBSTITUTE(TRIM(Input!F606&amp;""),"%","")),0)&gt;0,IFERROR(VALUE(SUBSTITUTE(TRIM(Input!F606&amp;""),"%","")),0)&lt;1),1,100))</f>
        <v/>
      </c>
      <c r="F606" t="str">
        <f>IF(A606="","",IFERROR(VALUE(SUBSTITUTE(TRIM(Input!G606&amp;""),"%","")),0)/IF(AND(IFERROR(VALUE(SUBSTITUTE(TRIM(Input!G606&amp;""),"%","")),0)&gt;0,IFERROR(VALUE(SUBSTITUTE(TRIM(Input!G606&amp;""),"%","")),0)&lt;1),1,100))</f>
        <v/>
      </c>
      <c r="G606" t="str">
        <f>IF(A606="","",IFERROR(VALUE(SUBSTITUTE(TRIM(Input!H606&amp;""),"%","")),0)/IF(AND(IFERROR(VALUE(SUBSTITUTE(TRIM(Input!H606&amp;""),"%","")),0)&gt;0,IFERROR(VALUE(SUBSTITUTE(TRIM(Input!H606&amp;""),"%","")),0)&lt;1),1,100))</f>
        <v/>
      </c>
      <c r="H606" t="str">
        <f>IF(A606="","",IFERROR(VALUE(SUBSTITUTE(TRIM(Input!I606&amp;""),"%","")),0)/IF(AND(IFERROR(VALUE(SUBSTITUTE(TRIM(Input!I606&amp;""),"%","")),0)&gt;0,IFERROR(VALUE(SUBSTITUTE(TRIM(Input!I606&amp;""),"%","")),0)&lt;1),1,100))</f>
        <v/>
      </c>
    </row>
    <row r="607" spans="1:8">
      <c r="A607" t="str">
        <f>IF(TRIM(Input!B607&amp;"")="","",UPPER(TRIM(Input!B607&amp;"")))</f>
        <v/>
      </c>
      <c r="B607" t="str">
        <f>IF(A607="","",IFERROR(VALUE(RIGHT(TRIM(Input!D607&amp;""),1)),0))</f>
        <v/>
      </c>
      <c r="C607" t="str">
        <f t="shared" si="9"/>
        <v/>
      </c>
      <c r="D607" t="str">
        <f>IF(A607="","",IFERROR(VALUE(SUBSTITUTE(TRIM(Input!E607&amp;""),"%","")),0)/IF(AND(IFERROR(VALUE(SUBSTITUTE(TRIM(Input!E607&amp;""),"%","")),0)&gt;0,IFERROR(VALUE(SUBSTITUTE(TRIM(Input!E607&amp;""),"%","")),0)&lt;1),1,100))</f>
        <v/>
      </c>
      <c r="E607" t="str">
        <f>IF(A607="","",IFERROR(VALUE(SUBSTITUTE(TRIM(Input!F607&amp;""),"%","")),0)/IF(AND(IFERROR(VALUE(SUBSTITUTE(TRIM(Input!F607&amp;""),"%","")),0)&gt;0,IFERROR(VALUE(SUBSTITUTE(TRIM(Input!F607&amp;""),"%","")),0)&lt;1),1,100))</f>
        <v/>
      </c>
      <c r="F607" t="str">
        <f>IF(A607="","",IFERROR(VALUE(SUBSTITUTE(TRIM(Input!G607&amp;""),"%","")),0)/IF(AND(IFERROR(VALUE(SUBSTITUTE(TRIM(Input!G607&amp;""),"%","")),0)&gt;0,IFERROR(VALUE(SUBSTITUTE(TRIM(Input!G607&amp;""),"%","")),0)&lt;1),1,100))</f>
        <v/>
      </c>
      <c r="G607" t="str">
        <f>IF(A607="","",IFERROR(VALUE(SUBSTITUTE(TRIM(Input!H607&amp;""),"%","")),0)/IF(AND(IFERROR(VALUE(SUBSTITUTE(TRIM(Input!H607&amp;""),"%","")),0)&gt;0,IFERROR(VALUE(SUBSTITUTE(TRIM(Input!H607&amp;""),"%","")),0)&lt;1),1,100))</f>
        <v/>
      </c>
      <c r="H607" t="str">
        <f>IF(A607="","",IFERROR(VALUE(SUBSTITUTE(TRIM(Input!I607&amp;""),"%","")),0)/IF(AND(IFERROR(VALUE(SUBSTITUTE(TRIM(Input!I607&amp;""),"%","")),0)&gt;0,IFERROR(VALUE(SUBSTITUTE(TRIM(Input!I607&amp;""),"%","")),0)&lt;1),1,100))</f>
        <v/>
      </c>
    </row>
    <row r="608" spans="1:8">
      <c r="A608" t="str">
        <f>IF(TRIM(Input!B608&amp;"")="","",UPPER(TRIM(Input!B608&amp;"")))</f>
        <v/>
      </c>
      <c r="B608" t="str">
        <f>IF(A608="","",IFERROR(VALUE(RIGHT(TRIM(Input!D608&amp;""),1)),0))</f>
        <v/>
      </c>
      <c r="C608" t="str">
        <f t="shared" si="9"/>
        <v/>
      </c>
      <c r="D608" t="str">
        <f>IF(A608="","",IFERROR(VALUE(SUBSTITUTE(TRIM(Input!E608&amp;""),"%","")),0)/IF(AND(IFERROR(VALUE(SUBSTITUTE(TRIM(Input!E608&amp;""),"%","")),0)&gt;0,IFERROR(VALUE(SUBSTITUTE(TRIM(Input!E608&amp;""),"%","")),0)&lt;1),1,100))</f>
        <v/>
      </c>
      <c r="E608" t="str">
        <f>IF(A608="","",IFERROR(VALUE(SUBSTITUTE(TRIM(Input!F608&amp;""),"%","")),0)/IF(AND(IFERROR(VALUE(SUBSTITUTE(TRIM(Input!F608&amp;""),"%","")),0)&gt;0,IFERROR(VALUE(SUBSTITUTE(TRIM(Input!F608&amp;""),"%","")),0)&lt;1),1,100))</f>
        <v/>
      </c>
      <c r="F608" t="str">
        <f>IF(A608="","",IFERROR(VALUE(SUBSTITUTE(TRIM(Input!G608&amp;""),"%","")),0)/IF(AND(IFERROR(VALUE(SUBSTITUTE(TRIM(Input!G608&amp;""),"%","")),0)&gt;0,IFERROR(VALUE(SUBSTITUTE(TRIM(Input!G608&amp;""),"%","")),0)&lt;1),1,100))</f>
        <v/>
      </c>
      <c r="G608" t="str">
        <f>IF(A608="","",IFERROR(VALUE(SUBSTITUTE(TRIM(Input!H608&amp;""),"%","")),0)/IF(AND(IFERROR(VALUE(SUBSTITUTE(TRIM(Input!H608&amp;""),"%","")),0)&gt;0,IFERROR(VALUE(SUBSTITUTE(TRIM(Input!H608&amp;""),"%","")),0)&lt;1),1,100))</f>
        <v/>
      </c>
      <c r="H608" t="str">
        <f>IF(A608="","",IFERROR(VALUE(SUBSTITUTE(TRIM(Input!I608&amp;""),"%","")),0)/IF(AND(IFERROR(VALUE(SUBSTITUTE(TRIM(Input!I608&amp;""),"%","")),0)&gt;0,IFERROR(VALUE(SUBSTITUTE(TRIM(Input!I608&amp;""),"%","")),0)&lt;1),1,100))</f>
        <v/>
      </c>
    </row>
    <row r="609" spans="1:8">
      <c r="A609" t="str">
        <f>IF(TRIM(Input!B609&amp;"")="","",UPPER(TRIM(Input!B609&amp;"")))</f>
        <v/>
      </c>
      <c r="B609" t="str">
        <f>IF(A609="","",IFERROR(VALUE(RIGHT(TRIM(Input!D609&amp;""),1)),0))</f>
        <v/>
      </c>
      <c r="C609" t="str">
        <f t="shared" si="9"/>
        <v/>
      </c>
      <c r="D609" t="str">
        <f>IF(A609="","",IFERROR(VALUE(SUBSTITUTE(TRIM(Input!E609&amp;""),"%","")),0)/IF(AND(IFERROR(VALUE(SUBSTITUTE(TRIM(Input!E609&amp;""),"%","")),0)&gt;0,IFERROR(VALUE(SUBSTITUTE(TRIM(Input!E609&amp;""),"%","")),0)&lt;1),1,100))</f>
        <v/>
      </c>
      <c r="E609" t="str">
        <f>IF(A609="","",IFERROR(VALUE(SUBSTITUTE(TRIM(Input!F609&amp;""),"%","")),0)/IF(AND(IFERROR(VALUE(SUBSTITUTE(TRIM(Input!F609&amp;""),"%","")),0)&gt;0,IFERROR(VALUE(SUBSTITUTE(TRIM(Input!F609&amp;""),"%","")),0)&lt;1),1,100))</f>
        <v/>
      </c>
      <c r="F609" t="str">
        <f>IF(A609="","",IFERROR(VALUE(SUBSTITUTE(TRIM(Input!G609&amp;""),"%","")),0)/IF(AND(IFERROR(VALUE(SUBSTITUTE(TRIM(Input!G609&amp;""),"%","")),0)&gt;0,IFERROR(VALUE(SUBSTITUTE(TRIM(Input!G609&amp;""),"%","")),0)&lt;1),1,100))</f>
        <v/>
      </c>
      <c r="G609" t="str">
        <f>IF(A609="","",IFERROR(VALUE(SUBSTITUTE(TRIM(Input!H609&amp;""),"%","")),0)/IF(AND(IFERROR(VALUE(SUBSTITUTE(TRIM(Input!H609&amp;""),"%","")),0)&gt;0,IFERROR(VALUE(SUBSTITUTE(TRIM(Input!H609&amp;""),"%","")),0)&lt;1),1,100))</f>
        <v/>
      </c>
      <c r="H609" t="str">
        <f>IF(A609="","",IFERROR(VALUE(SUBSTITUTE(TRIM(Input!I609&amp;""),"%","")),0)/IF(AND(IFERROR(VALUE(SUBSTITUTE(TRIM(Input!I609&amp;""),"%","")),0)&gt;0,IFERROR(VALUE(SUBSTITUTE(TRIM(Input!I609&amp;""),"%","")),0)&lt;1),1,100))</f>
        <v/>
      </c>
    </row>
    <row r="610" spans="1:8">
      <c r="A610" t="str">
        <f>IF(TRIM(Input!B610&amp;"")="","",UPPER(TRIM(Input!B610&amp;"")))</f>
        <v/>
      </c>
      <c r="B610" t="str">
        <f>IF(A610="","",IFERROR(VALUE(RIGHT(TRIM(Input!D610&amp;""),1)),0))</f>
        <v/>
      </c>
      <c r="C610" t="str">
        <f t="shared" si="9"/>
        <v/>
      </c>
      <c r="D610" t="str">
        <f>IF(A610="","",IFERROR(VALUE(SUBSTITUTE(TRIM(Input!E610&amp;""),"%","")),0)/IF(AND(IFERROR(VALUE(SUBSTITUTE(TRIM(Input!E610&amp;""),"%","")),0)&gt;0,IFERROR(VALUE(SUBSTITUTE(TRIM(Input!E610&amp;""),"%","")),0)&lt;1),1,100))</f>
        <v/>
      </c>
      <c r="E610" t="str">
        <f>IF(A610="","",IFERROR(VALUE(SUBSTITUTE(TRIM(Input!F610&amp;""),"%","")),0)/IF(AND(IFERROR(VALUE(SUBSTITUTE(TRIM(Input!F610&amp;""),"%","")),0)&gt;0,IFERROR(VALUE(SUBSTITUTE(TRIM(Input!F610&amp;""),"%","")),0)&lt;1),1,100))</f>
        <v/>
      </c>
      <c r="F610" t="str">
        <f>IF(A610="","",IFERROR(VALUE(SUBSTITUTE(TRIM(Input!G610&amp;""),"%","")),0)/IF(AND(IFERROR(VALUE(SUBSTITUTE(TRIM(Input!G610&amp;""),"%","")),0)&gt;0,IFERROR(VALUE(SUBSTITUTE(TRIM(Input!G610&amp;""),"%","")),0)&lt;1),1,100))</f>
        <v/>
      </c>
      <c r="G610" t="str">
        <f>IF(A610="","",IFERROR(VALUE(SUBSTITUTE(TRIM(Input!H610&amp;""),"%","")),0)/IF(AND(IFERROR(VALUE(SUBSTITUTE(TRIM(Input!H610&amp;""),"%","")),0)&gt;0,IFERROR(VALUE(SUBSTITUTE(TRIM(Input!H610&amp;""),"%","")),0)&lt;1),1,100))</f>
        <v/>
      </c>
      <c r="H610" t="str">
        <f>IF(A610="","",IFERROR(VALUE(SUBSTITUTE(TRIM(Input!I610&amp;""),"%","")),0)/IF(AND(IFERROR(VALUE(SUBSTITUTE(TRIM(Input!I610&amp;""),"%","")),0)&gt;0,IFERROR(VALUE(SUBSTITUTE(TRIM(Input!I610&amp;""),"%","")),0)&lt;1),1,100))</f>
        <v/>
      </c>
    </row>
    <row r="611" spans="1:8">
      <c r="A611" t="str">
        <f>IF(TRIM(Input!B611&amp;"")="","",UPPER(TRIM(Input!B611&amp;"")))</f>
        <v/>
      </c>
      <c r="B611" t="str">
        <f>IF(A611="","",IFERROR(VALUE(RIGHT(TRIM(Input!D611&amp;""),1)),0))</f>
        <v/>
      </c>
      <c r="C611" t="str">
        <f t="shared" si="9"/>
        <v/>
      </c>
      <c r="D611" t="str">
        <f>IF(A611="","",IFERROR(VALUE(SUBSTITUTE(TRIM(Input!E611&amp;""),"%","")),0)/IF(AND(IFERROR(VALUE(SUBSTITUTE(TRIM(Input!E611&amp;""),"%","")),0)&gt;0,IFERROR(VALUE(SUBSTITUTE(TRIM(Input!E611&amp;""),"%","")),0)&lt;1),1,100))</f>
        <v/>
      </c>
      <c r="E611" t="str">
        <f>IF(A611="","",IFERROR(VALUE(SUBSTITUTE(TRIM(Input!F611&amp;""),"%","")),0)/IF(AND(IFERROR(VALUE(SUBSTITUTE(TRIM(Input!F611&amp;""),"%","")),0)&gt;0,IFERROR(VALUE(SUBSTITUTE(TRIM(Input!F611&amp;""),"%","")),0)&lt;1),1,100))</f>
        <v/>
      </c>
      <c r="F611" t="str">
        <f>IF(A611="","",IFERROR(VALUE(SUBSTITUTE(TRIM(Input!G611&amp;""),"%","")),0)/IF(AND(IFERROR(VALUE(SUBSTITUTE(TRIM(Input!G611&amp;""),"%","")),0)&gt;0,IFERROR(VALUE(SUBSTITUTE(TRIM(Input!G611&amp;""),"%","")),0)&lt;1),1,100))</f>
        <v/>
      </c>
      <c r="G611" t="str">
        <f>IF(A611="","",IFERROR(VALUE(SUBSTITUTE(TRIM(Input!H611&amp;""),"%","")),0)/IF(AND(IFERROR(VALUE(SUBSTITUTE(TRIM(Input!H611&amp;""),"%","")),0)&gt;0,IFERROR(VALUE(SUBSTITUTE(TRIM(Input!H611&amp;""),"%","")),0)&lt;1),1,100))</f>
        <v/>
      </c>
      <c r="H611" t="str">
        <f>IF(A611="","",IFERROR(VALUE(SUBSTITUTE(TRIM(Input!I611&amp;""),"%","")),0)/IF(AND(IFERROR(VALUE(SUBSTITUTE(TRIM(Input!I611&amp;""),"%","")),0)&gt;0,IFERROR(VALUE(SUBSTITUTE(TRIM(Input!I611&amp;""),"%","")),0)&lt;1),1,100))</f>
        <v/>
      </c>
    </row>
    <row r="612" spans="1:8">
      <c r="A612" t="str">
        <f>IF(TRIM(Input!B612&amp;"")="","",UPPER(TRIM(Input!B612&amp;"")))</f>
        <v/>
      </c>
      <c r="B612" t="str">
        <f>IF(A612="","",IFERROR(VALUE(RIGHT(TRIM(Input!D612&amp;""),1)),0))</f>
        <v/>
      </c>
      <c r="C612" t="str">
        <f t="shared" si="9"/>
        <v/>
      </c>
      <c r="D612" t="str">
        <f>IF(A612="","",IFERROR(VALUE(SUBSTITUTE(TRIM(Input!E612&amp;""),"%","")),0)/IF(AND(IFERROR(VALUE(SUBSTITUTE(TRIM(Input!E612&amp;""),"%","")),0)&gt;0,IFERROR(VALUE(SUBSTITUTE(TRIM(Input!E612&amp;""),"%","")),0)&lt;1),1,100))</f>
        <v/>
      </c>
      <c r="E612" t="str">
        <f>IF(A612="","",IFERROR(VALUE(SUBSTITUTE(TRIM(Input!F612&amp;""),"%","")),0)/IF(AND(IFERROR(VALUE(SUBSTITUTE(TRIM(Input!F612&amp;""),"%","")),0)&gt;0,IFERROR(VALUE(SUBSTITUTE(TRIM(Input!F612&amp;""),"%","")),0)&lt;1),1,100))</f>
        <v/>
      </c>
      <c r="F612" t="str">
        <f>IF(A612="","",IFERROR(VALUE(SUBSTITUTE(TRIM(Input!G612&amp;""),"%","")),0)/IF(AND(IFERROR(VALUE(SUBSTITUTE(TRIM(Input!G612&amp;""),"%","")),0)&gt;0,IFERROR(VALUE(SUBSTITUTE(TRIM(Input!G612&amp;""),"%","")),0)&lt;1),1,100))</f>
        <v/>
      </c>
      <c r="G612" t="str">
        <f>IF(A612="","",IFERROR(VALUE(SUBSTITUTE(TRIM(Input!H612&amp;""),"%","")),0)/IF(AND(IFERROR(VALUE(SUBSTITUTE(TRIM(Input!H612&amp;""),"%","")),0)&gt;0,IFERROR(VALUE(SUBSTITUTE(TRIM(Input!H612&amp;""),"%","")),0)&lt;1),1,100))</f>
        <v/>
      </c>
      <c r="H612" t="str">
        <f>IF(A612="","",IFERROR(VALUE(SUBSTITUTE(TRIM(Input!I612&amp;""),"%","")),0)/IF(AND(IFERROR(VALUE(SUBSTITUTE(TRIM(Input!I612&amp;""),"%","")),0)&gt;0,IFERROR(VALUE(SUBSTITUTE(TRIM(Input!I612&amp;""),"%","")),0)&lt;1),1,100))</f>
        <v/>
      </c>
    </row>
    <row r="613" spans="1:8">
      <c r="A613" t="str">
        <f>IF(TRIM(Input!B613&amp;"")="","",UPPER(TRIM(Input!B613&amp;"")))</f>
        <v/>
      </c>
      <c r="B613" t="str">
        <f>IF(A613="","",IFERROR(VALUE(RIGHT(TRIM(Input!D613&amp;""),1)),0))</f>
        <v/>
      </c>
      <c r="C613" t="str">
        <f t="shared" si="9"/>
        <v/>
      </c>
      <c r="D613" t="str">
        <f>IF(A613="","",IFERROR(VALUE(SUBSTITUTE(TRIM(Input!E613&amp;""),"%","")),0)/IF(AND(IFERROR(VALUE(SUBSTITUTE(TRIM(Input!E613&amp;""),"%","")),0)&gt;0,IFERROR(VALUE(SUBSTITUTE(TRIM(Input!E613&amp;""),"%","")),0)&lt;1),1,100))</f>
        <v/>
      </c>
      <c r="E613" t="str">
        <f>IF(A613="","",IFERROR(VALUE(SUBSTITUTE(TRIM(Input!F613&amp;""),"%","")),0)/IF(AND(IFERROR(VALUE(SUBSTITUTE(TRIM(Input!F613&amp;""),"%","")),0)&gt;0,IFERROR(VALUE(SUBSTITUTE(TRIM(Input!F613&amp;""),"%","")),0)&lt;1),1,100))</f>
        <v/>
      </c>
      <c r="F613" t="str">
        <f>IF(A613="","",IFERROR(VALUE(SUBSTITUTE(TRIM(Input!G613&amp;""),"%","")),0)/IF(AND(IFERROR(VALUE(SUBSTITUTE(TRIM(Input!G613&amp;""),"%","")),0)&gt;0,IFERROR(VALUE(SUBSTITUTE(TRIM(Input!G613&amp;""),"%","")),0)&lt;1),1,100))</f>
        <v/>
      </c>
      <c r="G613" t="str">
        <f>IF(A613="","",IFERROR(VALUE(SUBSTITUTE(TRIM(Input!H613&amp;""),"%","")),0)/IF(AND(IFERROR(VALUE(SUBSTITUTE(TRIM(Input!H613&amp;""),"%","")),0)&gt;0,IFERROR(VALUE(SUBSTITUTE(TRIM(Input!H613&amp;""),"%","")),0)&lt;1),1,100))</f>
        <v/>
      </c>
      <c r="H613" t="str">
        <f>IF(A613="","",IFERROR(VALUE(SUBSTITUTE(TRIM(Input!I613&amp;""),"%","")),0)/IF(AND(IFERROR(VALUE(SUBSTITUTE(TRIM(Input!I613&amp;""),"%","")),0)&gt;0,IFERROR(VALUE(SUBSTITUTE(TRIM(Input!I613&amp;""),"%","")),0)&lt;1),1,100))</f>
        <v/>
      </c>
    </row>
    <row r="614" spans="1:8">
      <c r="A614" t="str">
        <f>IF(TRIM(Input!B614&amp;"")="","",UPPER(TRIM(Input!B614&amp;"")))</f>
        <v/>
      </c>
      <c r="B614" t="str">
        <f>IF(A614="","",IFERROR(VALUE(RIGHT(TRIM(Input!D614&amp;""),1)),0))</f>
        <v/>
      </c>
      <c r="C614" t="str">
        <f t="shared" si="9"/>
        <v/>
      </c>
      <c r="D614" t="str">
        <f>IF(A614="","",IFERROR(VALUE(SUBSTITUTE(TRIM(Input!E614&amp;""),"%","")),0)/IF(AND(IFERROR(VALUE(SUBSTITUTE(TRIM(Input!E614&amp;""),"%","")),0)&gt;0,IFERROR(VALUE(SUBSTITUTE(TRIM(Input!E614&amp;""),"%","")),0)&lt;1),1,100))</f>
        <v/>
      </c>
      <c r="E614" t="str">
        <f>IF(A614="","",IFERROR(VALUE(SUBSTITUTE(TRIM(Input!F614&amp;""),"%","")),0)/IF(AND(IFERROR(VALUE(SUBSTITUTE(TRIM(Input!F614&amp;""),"%","")),0)&gt;0,IFERROR(VALUE(SUBSTITUTE(TRIM(Input!F614&amp;""),"%","")),0)&lt;1),1,100))</f>
        <v/>
      </c>
      <c r="F614" t="str">
        <f>IF(A614="","",IFERROR(VALUE(SUBSTITUTE(TRIM(Input!G614&amp;""),"%","")),0)/IF(AND(IFERROR(VALUE(SUBSTITUTE(TRIM(Input!G614&amp;""),"%","")),0)&gt;0,IFERROR(VALUE(SUBSTITUTE(TRIM(Input!G614&amp;""),"%","")),0)&lt;1),1,100))</f>
        <v/>
      </c>
      <c r="G614" t="str">
        <f>IF(A614="","",IFERROR(VALUE(SUBSTITUTE(TRIM(Input!H614&amp;""),"%","")),0)/IF(AND(IFERROR(VALUE(SUBSTITUTE(TRIM(Input!H614&amp;""),"%","")),0)&gt;0,IFERROR(VALUE(SUBSTITUTE(TRIM(Input!H614&amp;""),"%","")),0)&lt;1),1,100))</f>
        <v/>
      </c>
      <c r="H614" t="str">
        <f>IF(A614="","",IFERROR(VALUE(SUBSTITUTE(TRIM(Input!I614&amp;""),"%","")),0)/IF(AND(IFERROR(VALUE(SUBSTITUTE(TRIM(Input!I614&amp;""),"%","")),0)&gt;0,IFERROR(VALUE(SUBSTITUTE(TRIM(Input!I614&amp;""),"%","")),0)&lt;1),1,100))</f>
        <v/>
      </c>
    </row>
    <row r="615" spans="1:8">
      <c r="A615" t="str">
        <f>IF(TRIM(Input!B615&amp;"")="","",UPPER(TRIM(Input!B615&amp;"")))</f>
        <v/>
      </c>
      <c r="B615" t="str">
        <f>IF(A615="","",IFERROR(VALUE(RIGHT(TRIM(Input!D615&amp;""),1)),0))</f>
        <v/>
      </c>
      <c r="C615" t="str">
        <f t="shared" si="9"/>
        <v/>
      </c>
      <c r="D615" t="str">
        <f>IF(A615="","",IFERROR(VALUE(SUBSTITUTE(TRIM(Input!E615&amp;""),"%","")),0)/IF(AND(IFERROR(VALUE(SUBSTITUTE(TRIM(Input!E615&amp;""),"%","")),0)&gt;0,IFERROR(VALUE(SUBSTITUTE(TRIM(Input!E615&amp;""),"%","")),0)&lt;1),1,100))</f>
        <v/>
      </c>
      <c r="E615" t="str">
        <f>IF(A615="","",IFERROR(VALUE(SUBSTITUTE(TRIM(Input!F615&amp;""),"%","")),0)/IF(AND(IFERROR(VALUE(SUBSTITUTE(TRIM(Input!F615&amp;""),"%","")),0)&gt;0,IFERROR(VALUE(SUBSTITUTE(TRIM(Input!F615&amp;""),"%","")),0)&lt;1),1,100))</f>
        <v/>
      </c>
      <c r="F615" t="str">
        <f>IF(A615="","",IFERROR(VALUE(SUBSTITUTE(TRIM(Input!G615&amp;""),"%","")),0)/IF(AND(IFERROR(VALUE(SUBSTITUTE(TRIM(Input!G615&amp;""),"%","")),0)&gt;0,IFERROR(VALUE(SUBSTITUTE(TRIM(Input!G615&amp;""),"%","")),0)&lt;1),1,100))</f>
        <v/>
      </c>
      <c r="G615" t="str">
        <f>IF(A615="","",IFERROR(VALUE(SUBSTITUTE(TRIM(Input!H615&amp;""),"%","")),0)/IF(AND(IFERROR(VALUE(SUBSTITUTE(TRIM(Input!H615&amp;""),"%","")),0)&gt;0,IFERROR(VALUE(SUBSTITUTE(TRIM(Input!H615&amp;""),"%","")),0)&lt;1),1,100))</f>
        <v/>
      </c>
      <c r="H615" t="str">
        <f>IF(A615="","",IFERROR(VALUE(SUBSTITUTE(TRIM(Input!I615&amp;""),"%","")),0)/IF(AND(IFERROR(VALUE(SUBSTITUTE(TRIM(Input!I615&amp;""),"%","")),0)&gt;0,IFERROR(VALUE(SUBSTITUTE(TRIM(Input!I615&amp;""),"%","")),0)&lt;1),1,100))</f>
        <v/>
      </c>
    </row>
    <row r="616" spans="1:8">
      <c r="A616" t="str">
        <f>IF(TRIM(Input!B616&amp;"")="","",UPPER(TRIM(Input!B616&amp;"")))</f>
        <v/>
      </c>
      <c r="B616" t="str">
        <f>IF(A616="","",IFERROR(VALUE(RIGHT(TRIM(Input!D616&amp;""),1)),0))</f>
        <v/>
      </c>
      <c r="C616" t="str">
        <f t="shared" si="9"/>
        <v/>
      </c>
      <c r="D616" t="str">
        <f>IF(A616="","",IFERROR(VALUE(SUBSTITUTE(TRIM(Input!E616&amp;""),"%","")),0)/IF(AND(IFERROR(VALUE(SUBSTITUTE(TRIM(Input!E616&amp;""),"%","")),0)&gt;0,IFERROR(VALUE(SUBSTITUTE(TRIM(Input!E616&amp;""),"%","")),0)&lt;1),1,100))</f>
        <v/>
      </c>
      <c r="E616" t="str">
        <f>IF(A616="","",IFERROR(VALUE(SUBSTITUTE(TRIM(Input!F616&amp;""),"%","")),0)/IF(AND(IFERROR(VALUE(SUBSTITUTE(TRIM(Input!F616&amp;""),"%","")),0)&gt;0,IFERROR(VALUE(SUBSTITUTE(TRIM(Input!F616&amp;""),"%","")),0)&lt;1),1,100))</f>
        <v/>
      </c>
      <c r="F616" t="str">
        <f>IF(A616="","",IFERROR(VALUE(SUBSTITUTE(TRIM(Input!G616&amp;""),"%","")),0)/IF(AND(IFERROR(VALUE(SUBSTITUTE(TRIM(Input!G616&amp;""),"%","")),0)&gt;0,IFERROR(VALUE(SUBSTITUTE(TRIM(Input!G616&amp;""),"%","")),0)&lt;1),1,100))</f>
        <v/>
      </c>
      <c r="G616" t="str">
        <f>IF(A616="","",IFERROR(VALUE(SUBSTITUTE(TRIM(Input!H616&amp;""),"%","")),0)/IF(AND(IFERROR(VALUE(SUBSTITUTE(TRIM(Input!H616&amp;""),"%","")),0)&gt;0,IFERROR(VALUE(SUBSTITUTE(TRIM(Input!H616&amp;""),"%","")),0)&lt;1),1,100))</f>
        <v/>
      </c>
      <c r="H616" t="str">
        <f>IF(A616="","",IFERROR(VALUE(SUBSTITUTE(TRIM(Input!I616&amp;""),"%","")),0)/IF(AND(IFERROR(VALUE(SUBSTITUTE(TRIM(Input!I616&amp;""),"%","")),0)&gt;0,IFERROR(VALUE(SUBSTITUTE(TRIM(Input!I616&amp;""),"%","")),0)&lt;1),1,100))</f>
        <v/>
      </c>
    </row>
    <row r="617" spans="1:8">
      <c r="A617" t="str">
        <f>IF(TRIM(Input!B617&amp;"")="","",UPPER(TRIM(Input!B617&amp;"")))</f>
        <v/>
      </c>
      <c r="B617" t="str">
        <f>IF(A617="","",IFERROR(VALUE(RIGHT(TRIM(Input!D617&amp;""),1)),0))</f>
        <v/>
      </c>
      <c r="C617" t="str">
        <f t="shared" si="9"/>
        <v/>
      </c>
      <c r="D617" t="str">
        <f>IF(A617="","",IFERROR(VALUE(SUBSTITUTE(TRIM(Input!E617&amp;""),"%","")),0)/IF(AND(IFERROR(VALUE(SUBSTITUTE(TRIM(Input!E617&amp;""),"%","")),0)&gt;0,IFERROR(VALUE(SUBSTITUTE(TRIM(Input!E617&amp;""),"%","")),0)&lt;1),1,100))</f>
        <v/>
      </c>
      <c r="E617" t="str">
        <f>IF(A617="","",IFERROR(VALUE(SUBSTITUTE(TRIM(Input!F617&amp;""),"%","")),0)/IF(AND(IFERROR(VALUE(SUBSTITUTE(TRIM(Input!F617&amp;""),"%","")),0)&gt;0,IFERROR(VALUE(SUBSTITUTE(TRIM(Input!F617&amp;""),"%","")),0)&lt;1),1,100))</f>
        <v/>
      </c>
      <c r="F617" t="str">
        <f>IF(A617="","",IFERROR(VALUE(SUBSTITUTE(TRIM(Input!G617&amp;""),"%","")),0)/IF(AND(IFERROR(VALUE(SUBSTITUTE(TRIM(Input!G617&amp;""),"%","")),0)&gt;0,IFERROR(VALUE(SUBSTITUTE(TRIM(Input!G617&amp;""),"%","")),0)&lt;1),1,100))</f>
        <v/>
      </c>
      <c r="G617" t="str">
        <f>IF(A617="","",IFERROR(VALUE(SUBSTITUTE(TRIM(Input!H617&amp;""),"%","")),0)/IF(AND(IFERROR(VALUE(SUBSTITUTE(TRIM(Input!H617&amp;""),"%","")),0)&gt;0,IFERROR(VALUE(SUBSTITUTE(TRIM(Input!H617&amp;""),"%","")),0)&lt;1),1,100))</f>
        <v/>
      </c>
      <c r="H617" t="str">
        <f>IF(A617="","",IFERROR(VALUE(SUBSTITUTE(TRIM(Input!I617&amp;""),"%","")),0)/IF(AND(IFERROR(VALUE(SUBSTITUTE(TRIM(Input!I617&amp;""),"%","")),0)&gt;0,IFERROR(VALUE(SUBSTITUTE(TRIM(Input!I617&amp;""),"%","")),0)&lt;1),1,100))</f>
        <v/>
      </c>
    </row>
    <row r="618" spans="1:8">
      <c r="A618" t="str">
        <f>IF(TRIM(Input!B618&amp;"")="","",UPPER(TRIM(Input!B618&amp;"")))</f>
        <v/>
      </c>
      <c r="B618" t="str">
        <f>IF(A618="","",IFERROR(VALUE(RIGHT(TRIM(Input!D618&amp;""),1)),0))</f>
        <v/>
      </c>
      <c r="C618" t="str">
        <f t="shared" si="9"/>
        <v/>
      </c>
      <c r="D618" t="str">
        <f>IF(A618="","",IFERROR(VALUE(SUBSTITUTE(TRIM(Input!E618&amp;""),"%","")),0)/IF(AND(IFERROR(VALUE(SUBSTITUTE(TRIM(Input!E618&amp;""),"%","")),0)&gt;0,IFERROR(VALUE(SUBSTITUTE(TRIM(Input!E618&amp;""),"%","")),0)&lt;1),1,100))</f>
        <v/>
      </c>
      <c r="E618" t="str">
        <f>IF(A618="","",IFERROR(VALUE(SUBSTITUTE(TRIM(Input!F618&amp;""),"%","")),0)/IF(AND(IFERROR(VALUE(SUBSTITUTE(TRIM(Input!F618&amp;""),"%","")),0)&gt;0,IFERROR(VALUE(SUBSTITUTE(TRIM(Input!F618&amp;""),"%","")),0)&lt;1),1,100))</f>
        <v/>
      </c>
      <c r="F618" t="str">
        <f>IF(A618="","",IFERROR(VALUE(SUBSTITUTE(TRIM(Input!G618&amp;""),"%","")),0)/IF(AND(IFERROR(VALUE(SUBSTITUTE(TRIM(Input!G618&amp;""),"%","")),0)&gt;0,IFERROR(VALUE(SUBSTITUTE(TRIM(Input!G618&amp;""),"%","")),0)&lt;1),1,100))</f>
        <v/>
      </c>
      <c r="G618" t="str">
        <f>IF(A618="","",IFERROR(VALUE(SUBSTITUTE(TRIM(Input!H618&amp;""),"%","")),0)/IF(AND(IFERROR(VALUE(SUBSTITUTE(TRIM(Input!H618&amp;""),"%","")),0)&gt;0,IFERROR(VALUE(SUBSTITUTE(TRIM(Input!H618&amp;""),"%","")),0)&lt;1),1,100))</f>
        <v/>
      </c>
      <c r="H618" t="str">
        <f>IF(A618="","",IFERROR(VALUE(SUBSTITUTE(TRIM(Input!I618&amp;""),"%","")),0)/IF(AND(IFERROR(VALUE(SUBSTITUTE(TRIM(Input!I618&amp;""),"%","")),0)&gt;0,IFERROR(VALUE(SUBSTITUTE(TRIM(Input!I618&amp;""),"%","")),0)&lt;1),1,100))</f>
        <v/>
      </c>
    </row>
    <row r="619" spans="1:8">
      <c r="A619" t="str">
        <f>IF(TRIM(Input!B619&amp;"")="","",UPPER(TRIM(Input!B619&amp;"")))</f>
        <v/>
      </c>
      <c r="B619" t="str">
        <f>IF(A619="","",IFERROR(VALUE(RIGHT(TRIM(Input!D619&amp;""),1)),0))</f>
        <v/>
      </c>
      <c r="C619" t="str">
        <f t="shared" si="9"/>
        <v/>
      </c>
      <c r="D619" t="str">
        <f>IF(A619="","",IFERROR(VALUE(SUBSTITUTE(TRIM(Input!E619&amp;""),"%","")),0)/IF(AND(IFERROR(VALUE(SUBSTITUTE(TRIM(Input!E619&amp;""),"%","")),0)&gt;0,IFERROR(VALUE(SUBSTITUTE(TRIM(Input!E619&amp;""),"%","")),0)&lt;1),1,100))</f>
        <v/>
      </c>
      <c r="E619" t="str">
        <f>IF(A619="","",IFERROR(VALUE(SUBSTITUTE(TRIM(Input!F619&amp;""),"%","")),0)/IF(AND(IFERROR(VALUE(SUBSTITUTE(TRIM(Input!F619&amp;""),"%","")),0)&gt;0,IFERROR(VALUE(SUBSTITUTE(TRIM(Input!F619&amp;""),"%","")),0)&lt;1),1,100))</f>
        <v/>
      </c>
      <c r="F619" t="str">
        <f>IF(A619="","",IFERROR(VALUE(SUBSTITUTE(TRIM(Input!G619&amp;""),"%","")),0)/IF(AND(IFERROR(VALUE(SUBSTITUTE(TRIM(Input!G619&amp;""),"%","")),0)&gt;0,IFERROR(VALUE(SUBSTITUTE(TRIM(Input!G619&amp;""),"%","")),0)&lt;1),1,100))</f>
        <v/>
      </c>
      <c r="G619" t="str">
        <f>IF(A619="","",IFERROR(VALUE(SUBSTITUTE(TRIM(Input!H619&amp;""),"%","")),0)/IF(AND(IFERROR(VALUE(SUBSTITUTE(TRIM(Input!H619&amp;""),"%","")),0)&gt;0,IFERROR(VALUE(SUBSTITUTE(TRIM(Input!H619&amp;""),"%","")),0)&lt;1),1,100))</f>
        <v/>
      </c>
      <c r="H619" t="str">
        <f>IF(A619="","",IFERROR(VALUE(SUBSTITUTE(TRIM(Input!I619&amp;""),"%","")),0)/IF(AND(IFERROR(VALUE(SUBSTITUTE(TRIM(Input!I619&amp;""),"%","")),0)&gt;0,IFERROR(VALUE(SUBSTITUTE(TRIM(Input!I619&amp;""),"%","")),0)&lt;1),1,100))</f>
        <v/>
      </c>
    </row>
    <row r="620" spans="1:8">
      <c r="A620" t="str">
        <f>IF(TRIM(Input!B620&amp;"")="","",UPPER(TRIM(Input!B620&amp;"")))</f>
        <v/>
      </c>
      <c r="B620" t="str">
        <f>IF(A620="","",IFERROR(VALUE(RIGHT(TRIM(Input!D620&amp;""),1)),0))</f>
        <v/>
      </c>
      <c r="C620" t="str">
        <f t="shared" si="9"/>
        <v/>
      </c>
      <c r="D620" t="str">
        <f>IF(A620="","",IFERROR(VALUE(SUBSTITUTE(TRIM(Input!E620&amp;""),"%","")),0)/IF(AND(IFERROR(VALUE(SUBSTITUTE(TRIM(Input!E620&amp;""),"%","")),0)&gt;0,IFERROR(VALUE(SUBSTITUTE(TRIM(Input!E620&amp;""),"%","")),0)&lt;1),1,100))</f>
        <v/>
      </c>
      <c r="E620" t="str">
        <f>IF(A620="","",IFERROR(VALUE(SUBSTITUTE(TRIM(Input!F620&amp;""),"%","")),0)/IF(AND(IFERROR(VALUE(SUBSTITUTE(TRIM(Input!F620&amp;""),"%","")),0)&gt;0,IFERROR(VALUE(SUBSTITUTE(TRIM(Input!F620&amp;""),"%","")),0)&lt;1),1,100))</f>
        <v/>
      </c>
      <c r="F620" t="str">
        <f>IF(A620="","",IFERROR(VALUE(SUBSTITUTE(TRIM(Input!G620&amp;""),"%","")),0)/IF(AND(IFERROR(VALUE(SUBSTITUTE(TRIM(Input!G620&amp;""),"%","")),0)&gt;0,IFERROR(VALUE(SUBSTITUTE(TRIM(Input!G620&amp;""),"%","")),0)&lt;1),1,100))</f>
        <v/>
      </c>
      <c r="G620" t="str">
        <f>IF(A620="","",IFERROR(VALUE(SUBSTITUTE(TRIM(Input!H620&amp;""),"%","")),0)/IF(AND(IFERROR(VALUE(SUBSTITUTE(TRIM(Input!H620&amp;""),"%","")),0)&gt;0,IFERROR(VALUE(SUBSTITUTE(TRIM(Input!H620&amp;""),"%","")),0)&lt;1),1,100))</f>
        <v/>
      </c>
      <c r="H620" t="str">
        <f>IF(A620="","",IFERROR(VALUE(SUBSTITUTE(TRIM(Input!I620&amp;""),"%","")),0)/IF(AND(IFERROR(VALUE(SUBSTITUTE(TRIM(Input!I620&amp;""),"%","")),0)&gt;0,IFERROR(VALUE(SUBSTITUTE(TRIM(Input!I620&amp;""),"%","")),0)&lt;1),1,100))</f>
        <v/>
      </c>
    </row>
    <row r="621" spans="1:8">
      <c r="A621" t="str">
        <f>IF(TRIM(Input!B621&amp;"")="","",UPPER(TRIM(Input!B621&amp;"")))</f>
        <v/>
      </c>
      <c r="B621" t="str">
        <f>IF(A621="","",IFERROR(VALUE(RIGHT(TRIM(Input!D621&amp;""),1)),0))</f>
        <v/>
      </c>
      <c r="C621" t="str">
        <f t="shared" si="9"/>
        <v/>
      </c>
      <c r="D621" t="str">
        <f>IF(A621="","",IFERROR(VALUE(SUBSTITUTE(TRIM(Input!E621&amp;""),"%","")),0)/IF(AND(IFERROR(VALUE(SUBSTITUTE(TRIM(Input!E621&amp;""),"%","")),0)&gt;0,IFERROR(VALUE(SUBSTITUTE(TRIM(Input!E621&amp;""),"%","")),0)&lt;1),1,100))</f>
        <v/>
      </c>
      <c r="E621" t="str">
        <f>IF(A621="","",IFERROR(VALUE(SUBSTITUTE(TRIM(Input!F621&amp;""),"%","")),0)/IF(AND(IFERROR(VALUE(SUBSTITUTE(TRIM(Input!F621&amp;""),"%","")),0)&gt;0,IFERROR(VALUE(SUBSTITUTE(TRIM(Input!F621&amp;""),"%","")),0)&lt;1),1,100))</f>
        <v/>
      </c>
      <c r="F621" t="str">
        <f>IF(A621="","",IFERROR(VALUE(SUBSTITUTE(TRIM(Input!G621&amp;""),"%","")),0)/IF(AND(IFERROR(VALUE(SUBSTITUTE(TRIM(Input!G621&amp;""),"%","")),0)&gt;0,IFERROR(VALUE(SUBSTITUTE(TRIM(Input!G621&amp;""),"%","")),0)&lt;1),1,100))</f>
        <v/>
      </c>
      <c r="G621" t="str">
        <f>IF(A621="","",IFERROR(VALUE(SUBSTITUTE(TRIM(Input!H621&amp;""),"%","")),0)/IF(AND(IFERROR(VALUE(SUBSTITUTE(TRIM(Input!H621&amp;""),"%","")),0)&gt;0,IFERROR(VALUE(SUBSTITUTE(TRIM(Input!H621&amp;""),"%","")),0)&lt;1),1,100))</f>
        <v/>
      </c>
      <c r="H621" t="str">
        <f>IF(A621="","",IFERROR(VALUE(SUBSTITUTE(TRIM(Input!I621&amp;""),"%","")),0)/IF(AND(IFERROR(VALUE(SUBSTITUTE(TRIM(Input!I621&amp;""),"%","")),0)&gt;0,IFERROR(VALUE(SUBSTITUTE(TRIM(Input!I621&amp;""),"%","")),0)&lt;1),1,100))</f>
        <v/>
      </c>
    </row>
    <row r="622" spans="1:8">
      <c r="A622" t="str">
        <f>IF(TRIM(Input!B622&amp;"")="","",UPPER(TRIM(Input!B622&amp;"")))</f>
        <v/>
      </c>
      <c r="B622" t="str">
        <f>IF(A622="","",IFERROR(VALUE(RIGHT(TRIM(Input!D622&amp;""),1)),0))</f>
        <v/>
      </c>
      <c r="C622" t="str">
        <f t="shared" si="9"/>
        <v/>
      </c>
      <c r="D622" t="str">
        <f>IF(A622="","",IFERROR(VALUE(SUBSTITUTE(TRIM(Input!E622&amp;""),"%","")),0)/IF(AND(IFERROR(VALUE(SUBSTITUTE(TRIM(Input!E622&amp;""),"%","")),0)&gt;0,IFERROR(VALUE(SUBSTITUTE(TRIM(Input!E622&amp;""),"%","")),0)&lt;1),1,100))</f>
        <v/>
      </c>
      <c r="E622" t="str">
        <f>IF(A622="","",IFERROR(VALUE(SUBSTITUTE(TRIM(Input!F622&amp;""),"%","")),0)/IF(AND(IFERROR(VALUE(SUBSTITUTE(TRIM(Input!F622&amp;""),"%","")),0)&gt;0,IFERROR(VALUE(SUBSTITUTE(TRIM(Input!F622&amp;""),"%","")),0)&lt;1),1,100))</f>
        <v/>
      </c>
      <c r="F622" t="str">
        <f>IF(A622="","",IFERROR(VALUE(SUBSTITUTE(TRIM(Input!G622&amp;""),"%","")),0)/IF(AND(IFERROR(VALUE(SUBSTITUTE(TRIM(Input!G622&amp;""),"%","")),0)&gt;0,IFERROR(VALUE(SUBSTITUTE(TRIM(Input!G622&amp;""),"%","")),0)&lt;1),1,100))</f>
        <v/>
      </c>
      <c r="G622" t="str">
        <f>IF(A622="","",IFERROR(VALUE(SUBSTITUTE(TRIM(Input!H622&amp;""),"%","")),0)/IF(AND(IFERROR(VALUE(SUBSTITUTE(TRIM(Input!H622&amp;""),"%","")),0)&gt;0,IFERROR(VALUE(SUBSTITUTE(TRIM(Input!H622&amp;""),"%","")),0)&lt;1),1,100))</f>
        <v/>
      </c>
      <c r="H622" t="str">
        <f>IF(A622="","",IFERROR(VALUE(SUBSTITUTE(TRIM(Input!I622&amp;""),"%","")),0)/IF(AND(IFERROR(VALUE(SUBSTITUTE(TRIM(Input!I622&amp;""),"%","")),0)&gt;0,IFERROR(VALUE(SUBSTITUTE(TRIM(Input!I622&amp;""),"%","")),0)&lt;1),1,100))</f>
        <v/>
      </c>
    </row>
    <row r="623" spans="1:8">
      <c r="A623" t="str">
        <f>IF(TRIM(Input!B623&amp;"")="","",UPPER(TRIM(Input!B623&amp;"")))</f>
        <v/>
      </c>
      <c r="B623" t="str">
        <f>IF(A623="","",IFERROR(VALUE(RIGHT(TRIM(Input!D623&amp;""),1)),0))</f>
        <v/>
      </c>
      <c r="C623" t="str">
        <f t="shared" si="9"/>
        <v/>
      </c>
      <c r="D623" t="str">
        <f>IF(A623="","",IFERROR(VALUE(SUBSTITUTE(TRIM(Input!E623&amp;""),"%","")),0)/IF(AND(IFERROR(VALUE(SUBSTITUTE(TRIM(Input!E623&amp;""),"%","")),0)&gt;0,IFERROR(VALUE(SUBSTITUTE(TRIM(Input!E623&amp;""),"%","")),0)&lt;1),1,100))</f>
        <v/>
      </c>
      <c r="E623" t="str">
        <f>IF(A623="","",IFERROR(VALUE(SUBSTITUTE(TRIM(Input!F623&amp;""),"%","")),0)/IF(AND(IFERROR(VALUE(SUBSTITUTE(TRIM(Input!F623&amp;""),"%","")),0)&gt;0,IFERROR(VALUE(SUBSTITUTE(TRIM(Input!F623&amp;""),"%","")),0)&lt;1),1,100))</f>
        <v/>
      </c>
      <c r="F623" t="str">
        <f>IF(A623="","",IFERROR(VALUE(SUBSTITUTE(TRIM(Input!G623&amp;""),"%","")),0)/IF(AND(IFERROR(VALUE(SUBSTITUTE(TRIM(Input!G623&amp;""),"%","")),0)&gt;0,IFERROR(VALUE(SUBSTITUTE(TRIM(Input!G623&amp;""),"%","")),0)&lt;1),1,100))</f>
        <v/>
      </c>
      <c r="G623" t="str">
        <f>IF(A623="","",IFERROR(VALUE(SUBSTITUTE(TRIM(Input!H623&amp;""),"%","")),0)/IF(AND(IFERROR(VALUE(SUBSTITUTE(TRIM(Input!H623&amp;""),"%","")),0)&gt;0,IFERROR(VALUE(SUBSTITUTE(TRIM(Input!H623&amp;""),"%","")),0)&lt;1),1,100))</f>
        <v/>
      </c>
      <c r="H623" t="str">
        <f>IF(A623="","",IFERROR(VALUE(SUBSTITUTE(TRIM(Input!I623&amp;""),"%","")),0)/IF(AND(IFERROR(VALUE(SUBSTITUTE(TRIM(Input!I623&amp;""),"%","")),0)&gt;0,IFERROR(VALUE(SUBSTITUTE(TRIM(Input!I623&amp;""),"%","")),0)&lt;1),1,100))</f>
        <v/>
      </c>
    </row>
    <row r="624" spans="1:8">
      <c r="A624" t="str">
        <f>IF(TRIM(Input!B624&amp;"")="","",UPPER(TRIM(Input!B624&amp;"")))</f>
        <v/>
      </c>
      <c r="B624" t="str">
        <f>IF(A624="","",IFERROR(VALUE(RIGHT(TRIM(Input!D624&amp;""),1)),0))</f>
        <v/>
      </c>
      <c r="C624" t="str">
        <f t="shared" si="9"/>
        <v/>
      </c>
      <c r="D624" t="str">
        <f>IF(A624="","",IFERROR(VALUE(SUBSTITUTE(TRIM(Input!E624&amp;""),"%","")),0)/IF(AND(IFERROR(VALUE(SUBSTITUTE(TRIM(Input!E624&amp;""),"%","")),0)&gt;0,IFERROR(VALUE(SUBSTITUTE(TRIM(Input!E624&amp;""),"%","")),0)&lt;1),1,100))</f>
        <v/>
      </c>
      <c r="E624" t="str">
        <f>IF(A624="","",IFERROR(VALUE(SUBSTITUTE(TRIM(Input!F624&amp;""),"%","")),0)/IF(AND(IFERROR(VALUE(SUBSTITUTE(TRIM(Input!F624&amp;""),"%","")),0)&gt;0,IFERROR(VALUE(SUBSTITUTE(TRIM(Input!F624&amp;""),"%","")),0)&lt;1),1,100))</f>
        <v/>
      </c>
      <c r="F624" t="str">
        <f>IF(A624="","",IFERROR(VALUE(SUBSTITUTE(TRIM(Input!G624&amp;""),"%","")),0)/IF(AND(IFERROR(VALUE(SUBSTITUTE(TRIM(Input!G624&amp;""),"%","")),0)&gt;0,IFERROR(VALUE(SUBSTITUTE(TRIM(Input!G624&amp;""),"%","")),0)&lt;1),1,100))</f>
        <v/>
      </c>
      <c r="G624" t="str">
        <f>IF(A624="","",IFERROR(VALUE(SUBSTITUTE(TRIM(Input!H624&amp;""),"%","")),0)/IF(AND(IFERROR(VALUE(SUBSTITUTE(TRIM(Input!H624&amp;""),"%","")),0)&gt;0,IFERROR(VALUE(SUBSTITUTE(TRIM(Input!H624&amp;""),"%","")),0)&lt;1),1,100))</f>
        <v/>
      </c>
      <c r="H624" t="str">
        <f>IF(A624="","",IFERROR(VALUE(SUBSTITUTE(TRIM(Input!I624&amp;""),"%","")),0)/IF(AND(IFERROR(VALUE(SUBSTITUTE(TRIM(Input!I624&amp;""),"%","")),0)&gt;0,IFERROR(VALUE(SUBSTITUTE(TRIM(Input!I624&amp;""),"%","")),0)&lt;1),1,100))</f>
        <v/>
      </c>
    </row>
    <row r="625" spans="1:8">
      <c r="A625" t="str">
        <f>IF(TRIM(Input!B625&amp;"")="","",UPPER(TRIM(Input!B625&amp;"")))</f>
        <v/>
      </c>
      <c r="B625" t="str">
        <f>IF(A625="","",IFERROR(VALUE(RIGHT(TRIM(Input!D625&amp;""),1)),0))</f>
        <v/>
      </c>
      <c r="C625" t="str">
        <f t="shared" si="9"/>
        <v/>
      </c>
      <c r="D625" t="str">
        <f>IF(A625="","",IFERROR(VALUE(SUBSTITUTE(TRIM(Input!E625&amp;""),"%","")),0)/IF(AND(IFERROR(VALUE(SUBSTITUTE(TRIM(Input!E625&amp;""),"%","")),0)&gt;0,IFERROR(VALUE(SUBSTITUTE(TRIM(Input!E625&amp;""),"%","")),0)&lt;1),1,100))</f>
        <v/>
      </c>
      <c r="E625" t="str">
        <f>IF(A625="","",IFERROR(VALUE(SUBSTITUTE(TRIM(Input!F625&amp;""),"%","")),0)/IF(AND(IFERROR(VALUE(SUBSTITUTE(TRIM(Input!F625&amp;""),"%","")),0)&gt;0,IFERROR(VALUE(SUBSTITUTE(TRIM(Input!F625&amp;""),"%","")),0)&lt;1),1,100))</f>
        <v/>
      </c>
      <c r="F625" t="str">
        <f>IF(A625="","",IFERROR(VALUE(SUBSTITUTE(TRIM(Input!G625&amp;""),"%","")),0)/IF(AND(IFERROR(VALUE(SUBSTITUTE(TRIM(Input!G625&amp;""),"%","")),0)&gt;0,IFERROR(VALUE(SUBSTITUTE(TRIM(Input!G625&amp;""),"%","")),0)&lt;1),1,100))</f>
        <v/>
      </c>
      <c r="G625" t="str">
        <f>IF(A625="","",IFERROR(VALUE(SUBSTITUTE(TRIM(Input!H625&amp;""),"%","")),0)/IF(AND(IFERROR(VALUE(SUBSTITUTE(TRIM(Input!H625&amp;""),"%","")),0)&gt;0,IFERROR(VALUE(SUBSTITUTE(TRIM(Input!H625&amp;""),"%","")),0)&lt;1),1,100))</f>
        <v/>
      </c>
      <c r="H625" t="str">
        <f>IF(A625="","",IFERROR(VALUE(SUBSTITUTE(TRIM(Input!I625&amp;""),"%","")),0)/IF(AND(IFERROR(VALUE(SUBSTITUTE(TRIM(Input!I625&amp;""),"%","")),0)&gt;0,IFERROR(VALUE(SUBSTITUTE(TRIM(Input!I625&amp;""),"%","")),0)&lt;1),1,100))</f>
        <v/>
      </c>
    </row>
    <row r="626" spans="1:8">
      <c r="A626" t="str">
        <f>IF(TRIM(Input!B626&amp;"")="","",UPPER(TRIM(Input!B626&amp;"")))</f>
        <v/>
      </c>
      <c r="B626" t="str">
        <f>IF(A626="","",IFERROR(VALUE(RIGHT(TRIM(Input!D626&amp;""),1)),0))</f>
        <v/>
      </c>
      <c r="C626" t="str">
        <f t="shared" si="9"/>
        <v/>
      </c>
      <c r="D626" t="str">
        <f>IF(A626="","",IFERROR(VALUE(SUBSTITUTE(TRIM(Input!E626&amp;""),"%","")),0)/IF(AND(IFERROR(VALUE(SUBSTITUTE(TRIM(Input!E626&amp;""),"%","")),0)&gt;0,IFERROR(VALUE(SUBSTITUTE(TRIM(Input!E626&amp;""),"%","")),0)&lt;1),1,100))</f>
        <v/>
      </c>
      <c r="E626" t="str">
        <f>IF(A626="","",IFERROR(VALUE(SUBSTITUTE(TRIM(Input!F626&amp;""),"%","")),0)/IF(AND(IFERROR(VALUE(SUBSTITUTE(TRIM(Input!F626&amp;""),"%","")),0)&gt;0,IFERROR(VALUE(SUBSTITUTE(TRIM(Input!F626&amp;""),"%","")),0)&lt;1),1,100))</f>
        <v/>
      </c>
      <c r="F626" t="str">
        <f>IF(A626="","",IFERROR(VALUE(SUBSTITUTE(TRIM(Input!G626&amp;""),"%","")),0)/IF(AND(IFERROR(VALUE(SUBSTITUTE(TRIM(Input!G626&amp;""),"%","")),0)&gt;0,IFERROR(VALUE(SUBSTITUTE(TRIM(Input!G626&amp;""),"%","")),0)&lt;1),1,100))</f>
        <v/>
      </c>
      <c r="G626" t="str">
        <f>IF(A626="","",IFERROR(VALUE(SUBSTITUTE(TRIM(Input!H626&amp;""),"%","")),0)/IF(AND(IFERROR(VALUE(SUBSTITUTE(TRIM(Input!H626&amp;""),"%","")),0)&gt;0,IFERROR(VALUE(SUBSTITUTE(TRIM(Input!H626&amp;""),"%","")),0)&lt;1),1,100))</f>
        <v/>
      </c>
      <c r="H626" t="str">
        <f>IF(A626="","",IFERROR(VALUE(SUBSTITUTE(TRIM(Input!I626&amp;""),"%","")),0)/IF(AND(IFERROR(VALUE(SUBSTITUTE(TRIM(Input!I626&amp;""),"%","")),0)&gt;0,IFERROR(VALUE(SUBSTITUTE(TRIM(Input!I626&amp;""),"%","")),0)&lt;1),1,100))</f>
        <v/>
      </c>
    </row>
    <row r="627" spans="1:8">
      <c r="A627" t="str">
        <f>IF(TRIM(Input!B627&amp;"")="","",UPPER(TRIM(Input!B627&amp;"")))</f>
        <v/>
      </c>
      <c r="B627" t="str">
        <f>IF(A627="","",IFERROR(VALUE(RIGHT(TRIM(Input!D627&amp;""),1)),0))</f>
        <v/>
      </c>
      <c r="C627" t="str">
        <f t="shared" si="9"/>
        <v/>
      </c>
      <c r="D627" t="str">
        <f>IF(A627="","",IFERROR(VALUE(SUBSTITUTE(TRIM(Input!E627&amp;""),"%","")),0)/IF(AND(IFERROR(VALUE(SUBSTITUTE(TRIM(Input!E627&amp;""),"%","")),0)&gt;0,IFERROR(VALUE(SUBSTITUTE(TRIM(Input!E627&amp;""),"%","")),0)&lt;1),1,100))</f>
        <v/>
      </c>
      <c r="E627" t="str">
        <f>IF(A627="","",IFERROR(VALUE(SUBSTITUTE(TRIM(Input!F627&amp;""),"%","")),0)/IF(AND(IFERROR(VALUE(SUBSTITUTE(TRIM(Input!F627&amp;""),"%","")),0)&gt;0,IFERROR(VALUE(SUBSTITUTE(TRIM(Input!F627&amp;""),"%","")),0)&lt;1),1,100))</f>
        <v/>
      </c>
      <c r="F627" t="str">
        <f>IF(A627="","",IFERROR(VALUE(SUBSTITUTE(TRIM(Input!G627&amp;""),"%","")),0)/IF(AND(IFERROR(VALUE(SUBSTITUTE(TRIM(Input!G627&amp;""),"%","")),0)&gt;0,IFERROR(VALUE(SUBSTITUTE(TRIM(Input!G627&amp;""),"%","")),0)&lt;1),1,100))</f>
        <v/>
      </c>
      <c r="G627" t="str">
        <f>IF(A627="","",IFERROR(VALUE(SUBSTITUTE(TRIM(Input!H627&amp;""),"%","")),0)/IF(AND(IFERROR(VALUE(SUBSTITUTE(TRIM(Input!H627&amp;""),"%","")),0)&gt;0,IFERROR(VALUE(SUBSTITUTE(TRIM(Input!H627&amp;""),"%","")),0)&lt;1),1,100))</f>
        <v/>
      </c>
      <c r="H627" t="str">
        <f>IF(A627="","",IFERROR(VALUE(SUBSTITUTE(TRIM(Input!I627&amp;""),"%","")),0)/IF(AND(IFERROR(VALUE(SUBSTITUTE(TRIM(Input!I627&amp;""),"%","")),0)&gt;0,IFERROR(VALUE(SUBSTITUTE(TRIM(Input!I627&amp;""),"%","")),0)&lt;1),1,100))</f>
        <v/>
      </c>
    </row>
    <row r="628" spans="1:8">
      <c r="A628" t="str">
        <f>IF(TRIM(Input!B628&amp;"")="","",UPPER(TRIM(Input!B628&amp;"")))</f>
        <v/>
      </c>
      <c r="B628" t="str">
        <f>IF(A628="","",IFERROR(VALUE(RIGHT(TRIM(Input!D628&amp;""),1)),0))</f>
        <v/>
      </c>
      <c r="C628" t="str">
        <f t="shared" si="9"/>
        <v/>
      </c>
      <c r="D628" t="str">
        <f>IF(A628="","",IFERROR(VALUE(SUBSTITUTE(TRIM(Input!E628&amp;""),"%","")),0)/IF(AND(IFERROR(VALUE(SUBSTITUTE(TRIM(Input!E628&amp;""),"%","")),0)&gt;0,IFERROR(VALUE(SUBSTITUTE(TRIM(Input!E628&amp;""),"%","")),0)&lt;1),1,100))</f>
        <v/>
      </c>
      <c r="E628" t="str">
        <f>IF(A628="","",IFERROR(VALUE(SUBSTITUTE(TRIM(Input!F628&amp;""),"%","")),0)/IF(AND(IFERROR(VALUE(SUBSTITUTE(TRIM(Input!F628&amp;""),"%","")),0)&gt;0,IFERROR(VALUE(SUBSTITUTE(TRIM(Input!F628&amp;""),"%","")),0)&lt;1),1,100))</f>
        <v/>
      </c>
      <c r="F628" t="str">
        <f>IF(A628="","",IFERROR(VALUE(SUBSTITUTE(TRIM(Input!G628&amp;""),"%","")),0)/IF(AND(IFERROR(VALUE(SUBSTITUTE(TRIM(Input!G628&amp;""),"%","")),0)&gt;0,IFERROR(VALUE(SUBSTITUTE(TRIM(Input!G628&amp;""),"%","")),0)&lt;1),1,100))</f>
        <v/>
      </c>
      <c r="G628" t="str">
        <f>IF(A628="","",IFERROR(VALUE(SUBSTITUTE(TRIM(Input!H628&amp;""),"%","")),0)/IF(AND(IFERROR(VALUE(SUBSTITUTE(TRIM(Input!H628&amp;""),"%","")),0)&gt;0,IFERROR(VALUE(SUBSTITUTE(TRIM(Input!H628&amp;""),"%","")),0)&lt;1),1,100))</f>
        <v/>
      </c>
      <c r="H628" t="str">
        <f>IF(A628="","",IFERROR(VALUE(SUBSTITUTE(TRIM(Input!I628&amp;""),"%","")),0)/IF(AND(IFERROR(VALUE(SUBSTITUTE(TRIM(Input!I628&amp;""),"%","")),0)&gt;0,IFERROR(VALUE(SUBSTITUTE(TRIM(Input!I628&amp;""),"%","")),0)&lt;1),1,100))</f>
        <v/>
      </c>
    </row>
    <row r="629" spans="1:8">
      <c r="A629" t="str">
        <f>IF(TRIM(Input!B629&amp;"")="","",UPPER(TRIM(Input!B629&amp;"")))</f>
        <v/>
      </c>
      <c r="B629" t="str">
        <f>IF(A629="","",IFERROR(VALUE(RIGHT(TRIM(Input!D629&amp;""),1)),0))</f>
        <v/>
      </c>
      <c r="C629" t="str">
        <f t="shared" si="9"/>
        <v/>
      </c>
      <c r="D629" t="str">
        <f>IF(A629="","",IFERROR(VALUE(SUBSTITUTE(TRIM(Input!E629&amp;""),"%","")),0)/IF(AND(IFERROR(VALUE(SUBSTITUTE(TRIM(Input!E629&amp;""),"%","")),0)&gt;0,IFERROR(VALUE(SUBSTITUTE(TRIM(Input!E629&amp;""),"%","")),0)&lt;1),1,100))</f>
        <v/>
      </c>
      <c r="E629" t="str">
        <f>IF(A629="","",IFERROR(VALUE(SUBSTITUTE(TRIM(Input!F629&amp;""),"%","")),0)/IF(AND(IFERROR(VALUE(SUBSTITUTE(TRIM(Input!F629&amp;""),"%","")),0)&gt;0,IFERROR(VALUE(SUBSTITUTE(TRIM(Input!F629&amp;""),"%","")),0)&lt;1),1,100))</f>
        <v/>
      </c>
      <c r="F629" t="str">
        <f>IF(A629="","",IFERROR(VALUE(SUBSTITUTE(TRIM(Input!G629&amp;""),"%","")),0)/IF(AND(IFERROR(VALUE(SUBSTITUTE(TRIM(Input!G629&amp;""),"%","")),0)&gt;0,IFERROR(VALUE(SUBSTITUTE(TRIM(Input!G629&amp;""),"%","")),0)&lt;1),1,100))</f>
        <v/>
      </c>
      <c r="G629" t="str">
        <f>IF(A629="","",IFERROR(VALUE(SUBSTITUTE(TRIM(Input!H629&amp;""),"%","")),0)/IF(AND(IFERROR(VALUE(SUBSTITUTE(TRIM(Input!H629&amp;""),"%","")),0)&gt;0,IFERROR(VALUE(SUBSTITUTE(TRIM(Input!H629&amp;""),"%","")),0)&lt;1),1,100))</f>
        <v/>
      </c>
      <c r="H629" t="str">
        <f>IF(A629="","",IFERROR(VALUE(SUBSTITUTE(TRIM(Input!I629&amp;""),"%","")),0)/IF(AND(IFERROR(VALUE(SUBSTITUTE(TRIM(Input!I629&amp;""),"%","")),0)&gt;0,IFERROR(VALUE(SUBSTITUTE(TRIM(Input!I629&amp;""),"%","")),0)&lt;1),1,100))</f>
        <v/>
      </c>
    </row>
    <row r="630" spans="1:8">
      <c r="A630" t="str">
        <f>IF(TRIM(Input!B630&amp;"")="","",UPPER(TRIM(Input!B630&amp;"")))</f>
        <v/>
      </c>
      <c r="B630" t="str">
        <f>IF(A630="","",IFERROR(VALUE(RIGHT(TRIM(Input!D630&amp;""),1)),0))</f>
        <v/>
      </c>
      <c r="C630" t="str">
        <f t="shared" si="9"/>
        <v/>
      </c>
      <c r="D630" t="str">
        <f>IF(A630="","",IFERROR(VALUE(SUBSTITUTE(TRIM(Input!E630&amp;""),"%","")),0)/IF(AND(IFERROR(VALUE(SUBSTITUTE(TRIM(Input!E630&amp;""),"%","")),0)&gt;0,IFERROR(VALUE(SUBSTITUTE(TRIM(Input!E630&amp;""),"%","")),0)&lt;1),1,100))</f>
        <v/>
      </c>
      <c r="E630" t="str">
        <f>IF(A630="","",IFERROR(VALUE(SUBSTITUTE(TRIM(Input!F630&amp;""),"%","")),0)/IF(AND(IFERROR(VALUE(SUBSTITUTE(TRIM(Input!F630&amp;""),"%","")),0)&gt;0,IFERROR(VALUE(SUBSTITUTE(TRIM(Input!F630&amp;""),"%","")),0)&lt;1),1,100))</f>
        <v/>
      </c>
      <c r="F630" t="str">
        <f>IF(A630="","",IFERROR(VALUE(SUBSTITUTE(TRIM(Input!G630&amp;""),"%","")),0)/IF(AND(IFERROR(VALUE(SUBSTITUTE(TRIM(Input!G630&amp;""),"%","")),0)&gt;0,IFERROR(VALUE(SUBSTITUTE(TRIM(Input!G630&amp;""),"%","")),0)&lt;1),1,100))</f>
        <v/>
      </c>
      <c r="G630" t="str">
        <f>IF(A630="","",IFERROR(VALUE(SUBSTITUTE(TRIM(Input!H630&amp;""),"%","")),0)/IF(AND(IFERROR(VALUE(SUBSTITUTE(TRIM(Input!H630&amp;""),"%","")),0)&gt;0,IFERROR(VALUE(SUBSTITUTE(TRIM(Input!H630&amp;""),"%","")),0)&lt;1),1,100))</f>
        <v/>
      </c>
      <c r="H630" t="str">
        <f>IF(A630="","",IFERROR(VALUE(SUBSTITUTE(TRIM(Input!I630&amp;""),"%","")),0)/IF(AND(IFERROR(VALUE(SUBSTITUTE(TRIM(Input!I630&amp;""),"%","")),0)&gt;0,IFERROR(VALUE(SUBSTITUTE(TRIM(Input!I630&amp;""),"%","")),0)&lt;1),1,100))</f>
        <v/>
      </c>
    </row>
    <row r="631" spans="1:8">
      <c r="A631" t="str">
        <f>IF(TRIM(Input!B631&amp;"")="","",UPPER(TRIM(Input!B631&amp;"")))</f>
        <v/>
      </c>
      <c r="B631" t="str">
        <f>IF(A631="","",IFERROR(VALUE(RIGHT(TRIM(Input!D631&amp;""),1)),0))</f>
        <v/>
      </c>
      <c r="C631" t="str">
        <f t="shared" si="9"/>
        <v/>
      </c>
      <c r="D631" t="str">
        <f>IF(A631="","",IFERROR(VALUE(SUBSTITUTE(TRIM(Input!E631&amp;""),"%","")),0)/IF(AND(IFERROR(VALUE(SUBSTITUTE(TRIM(Input!E631&amp;""),"%","")),0)&gt;0,IFERROR(VALUE(SUBSTITUTE(TRIM(Input!E631&amp;""),"%","")),0)&lt;1),1,100))</f>
        <v/>
      </c>
      <c r="E631" t="str">
        <f>IF(A631="","",IFERROR(VALUE(SUBSTITUTE(TRIM(Input!F631&amp;""),"%","")),0)/IF(AND(IFERROR(VALUE(SUBSTITUTE(TRIM(Input!F631&amp;""),"%","")),0)&gt;0,IFERROR(VALUE(SUBSTITUTE(TRIM(Input!F631&amp;""),"%","")),0)&lt;1),1,100))</f>
        <v/>
      </c>
      <c r="F631" t="str">
        <f>IF(A631="","",IFERROR(VALUE(SUBSTITUTE(TRIM(Input!G631&amp;""),"%","")),0)/IF(AND(IFERROR(VALUE(SUBSTITUTE(TRIM(Input!G631&amp;""),"%","")),0)&gt;0,IFERROR(VALUE(SUBSTITUTE(TRIM(Input!G631&amp;""),"%","")),0)&lt;1),1,100))</f>
        <v/>
      </c>
      <c r="G631" t="str">
        <f>IF(A631="","",IFERROR(VALUE(SUBSTITUTE(TRIM(Input!H631&amp;""),"%","")),0)/IF(AND(IFERROR(VALUE(SUBSTITUTE(TRIM(Input!H631&amp;""),"%","")),0)&gt;0,IFERROR(VALUE(SUBSTITUTE(TRIM(Input!H631&amp;""),"%","")),0)&lt;1),1,100))</f>
        <v/>
      </c>
      <c r="H631" t="str">
        <f>IF(A631="","",IFERROR(VALUE(SUBSTITUTE(TRIM(Input!I631&amp;""),"%","")),0)/IF(AND(IFERROR(VALUE(SUBSTITUTE(TRIM(Input!I631&amp;""),"%","")),0)&gt;0,IFERROR(VALUE(SUBSTITUTE(TRIM(Input!I631&amp;""),"%","")),0)&lt;1),1,100))</f>
        <v/>
      </c>
    </row>
    <row r="632" spans="1:8">
      <c r="A632" t="str">
        <f>IF(TRIM(Input!B632&amp;"")="","",UPPER(TRIM(Input!B632&amp;"")))</f>
        <v/>
      </c>
      <c r="B632" t="str">
        <f>IF(A632="","",IFERROR(VALUE(RIGHT(TRIM(Input!D632&amp;""),1)),0))</f>
        <v/>
      </c>
      <c r="C632" t="str">
        <f t="shared" si="9"/>
        <v/>
      </c>
      <c r="D632" t="str">
        <f>IF(A632="","",IFERROR(VALUE(SUBSTITUTE(TRIM(Input!E632&amp;""),"%","")),0)/IF(AND(IFERROR(VALUE(SUBSTITUTE(TRIM(Input!E632&amp;""),"%","")),0)&gt;0,IFERROR(VALUE(SUBSTITUTE(TRIM(Input!E632&amp;""),"%","")),0)&lt;1),1,100))</f>
        <v/>
      </c>
      <c r="E632" t="str">
        <f>IF(A632="","",IFERROR(VALUE(SUBSTITUTE(TRIM(Input!F632&amp;""),"%","")),0)/IF(AND(IFERROR(VALUE(SUBSTITUTE(TRIM(Input!F632&amp;""),"%","")),0)&gt;0,IFERROR(VALUE(SUBSTITUTE(TRIM(Input!F632&amp;""),"%","")),0)&lt;1),1,100))</f>
        <v/>
      </c>
      <c r="F632" t="str">
        <f>IF(A632="","",IFERROR(VALUE(SUBSTITUTE(TRIM(Input!G632&amp;""),"%","")),0)/IF(AND(IFERROR(VALUE(SUBSTITUTE(TRIM(Input!G632&amp;""),"%","")),0)&gt;0,IFERROR(VALUE(SUBSTITUTE(TRIM(Input!G632&amp;""),"%","")),0)&lt;1),1,100))</f>
        <v/>
      </c>
      <c r="G632" t="str">
        <f>IF(A632="","",IFERROR(VALUE(SUBSTITUTE(TRIM(Input!H632&amp;""),"%","")),0)/IF(AND(IFERROR(VALUE(SUBSTITUTE(TRIM(Input!H632&amp;""),"%","")),0)&gt;0,IFERROR(VALUE(SUBSTITUTE(TRIM(Input!H632&amp;""),"%","")),0)&lt;1),1,100))</f>
        <v/>
      </c>
      <c r="H632" t="str">
        <f>IF(A632="","",IFERROR(VALUE(SUBSTITUTE(TRIM(Input!I632&amp;""),"%","")),0)/IF(AND(IFERROR(VALUE(SUBSTITUTE(TRIM(Input!I632&amp;""),"%","")),0)&gt;0,IFERROR(VALUE(SUBSTITUTE(TRIM(Input!I632&amp;""),"%","")),0)&lt;1),1,100))</f>
        <v/>
      </c>
    </row>
    <row r="633" spans="1:8">
      <c r="A633" t="str">
        <f>IF(TRIM(Input!B633&amp;"")="","",UPPER(TRIM(Input!B633&amp;"")))</f>
        <v/>
      </c>
      <c r="B633" t="str">
        <f>IF(A633="","",IFERROR(VALUE(RIGHT(TRIM(Input!D633&amp;""),1)),0))</f>
        <v/>
      </c>
      <c r="C633" t="str">
        <f t="shared" si="9"/>
        <v/>
      </c>
      <c r="D633" t="str">
        <f>IF(A633="","",IFERROR(VALUE(SUBSTITUTE(TRIM(Input!E633&amp;""),"%","")),0)/IF(AND(IFERROR(VALUE(SUBSTITUTE(TRIM(Input!E633&amp;""),"%","")),0)&gt;0,IFERROR(VALUE(SUBSTITUTE(TRIM(Input!E633&amp;""),"%","")),0)&lt;1),1,100))</f>
        <v/>
      </c>
      <c r="E633" t="str">
        <f>IF(A633="","",IFERROR(VALUE(SUBSTITUTE(TRIM(Input!F633&amp;""),"%","")),0)/IF(AND(IFERROR(VALUE(SUBSTITUTE(TRIM(Input!F633&amp;""),"%","")),0)&gt;0,IFERROR(VALUE(SUBSTITUTE(TRIM(Input!F633&amp;""),"%","")),0)&lt;1),1,100))</f>
        <v/>
      </c>
      <c r="F633" t="str">
        <f>IF(A633="","",IFERROR(VALUE(SUBSTITUTE(TRIM(Input!G633&amp;""),"%","")),0)/IF(AND(IFERROR(VALUE(SUBSTITUTE(TRIM(Input!G633&amp;""),"%","")),0)&gt;0,IFERROR(VALUE(SUBSTITUTE(TRIM(Input!G633&amp;""),"%","")),0)&lt;1),1,100))</f>
        <v/>
      </c>
      <c r="G633" t="str">
        <f>IF(A633="","",IFERROR(VALUE(SUBSTITUTE(TRIM(Input!H633&amp;""),"%","")),0)/IF(AND(IFERROR(VALUE(SUBSTITUTE(TRIM(Input!H633&amp;""),"%","")),0)&gt;0,IFERROR(VALUE(SUBSTITUTE(TRIM(Input!H633&amp;""),"%","")),0)&lt;1),1,100))</f>
        <v/>
      </c>
      <c r="H633" t="str">
        <f>IF(A633="","",IFERROR(VALUE(SUBSTITUTE(TRIM(Input!I633&amp;""),"%","")),0)/IF(AND(IFERROR(VALUE(SUBSTITUTE(TRIM(Input!I633&amp;""),"%","")),0)&gt;0,IFERROR(VALUE(SUBSTITUTE(TRIM(Input!I633&amp;""),"%","")),0)&lt;1),1,100))</f>
        <v/>
      </c>
    </row>
    <row r="634" spans="1:8">
      <c r="A634" t="str">
        <f>IF(TRIM(Input!B634&amp;"")="","",UPPER(TRIM(Input!B634&amp;"")))</f>
        <v/>
      </c>
      <c r="B634" t="str">
        <f>IF(A634="","",IFERROR(VALUE(RIGHT(TRIM(Input!D634&amp;""),1)),0))</f>
        <v/>
      </c>
      <c r="C634" t="str">
        <f t="shared" si="9"/>
        <v/>
      </c>
      <c r="D634" t="str">
        <f>IF(A634="","",IFERROR(VALUE(SUBSTITUTE(TRIM(Input!E634&amp;""),"%","")),0)/IF(AND(IFERROR(VALUE(SUBSTITUTE(TRIM(Input!E634&amp;""),"%","")),0)&gt;0,IFERROR(VALUE(SUBSTITUTE(TRIM(Input!E634&amp;""),"%","")),0)&lt;1),1,100))</f>
        <v/>
      </c>
      <c r="E634" t="str">
        <f>IF(A634="","",IFERROR(VALUE(SUBSTITUTE(TRIM(Input!F634&amp;""),"%","")),0)/IF(AND(IFERROR(VALUE(SUBSTITUTE(TRIM(Input!F634&amp;""),"%","")),0)&gt;0,IFERROR(VALUE(SUBSTITUTE(TRIM(Input!F634&amp;""),"%","")),0)&lt;1),1,100))</f>
        <v/>
      </c>
      <c r="F634" t="str">
        <f>IF(A634="","",IFERROR(VALUE(SUBSTITUTE(TRIM(Input!G634&amp;""),"%","")),0)/IF(AND(IFERROR(VALUE(SUBSTITUTE(TRIM(Input!G634&amp;""),"%","")),0)&gt;0,IFERROR(VALUE(SUBSTITUTE(TRIM(Input!G634&amp;""),"%","")),0)&lt;1),1,100))</f>
        <v/>
      </c>
      <c r="G634" t="str">
        <f>IF(A634="","",IFERROR(VALUE(SUBSTITUTE(TRIM(Input!H634&amp;""),"%","")),0)/IF(AND(IFERROR(VALUE(SUBSTITUTE(TRIM(Input!H634&amp;""),"%","")),0)&gt;0,IFERROR(VALUE(SUBSTITUTE(TRIM(Input!H634&amp;""),"%","")),0)&lt;1),1,100))</f>
        <v/>
      </c>
      <c r="H634" t="str">
        <f>IF(A634="","",IFERROR(VALUE(SUBSTITUTE(TRIM(Input!I634&amp;""),"%","")),0)/IF(AND(IFERROR(VALUE(SUBSTITUTE(TRIM(Input!I634&amp;""),"%","")),0)&gt;0,IFERROR(VALUE(SUBSTITUTE(TRIM(Input!I634&amp;""),"%","")),0)&lt;1),1,100))</f>
        <v/>
      </c>
    </row>
    <row r="635" spans="1:8">
      <c r="A635" t="str">
        <f>IF(TRIM(Input!B635&amp;"")="","",UPPER(TRIM(Input!B635&amp;"")))</f>
        <v/>
      </c>
      <c r="B635" t="str">
        <f>IF(A635="","",IFERROR(VALUE(RIGHT(TRIM(Input!D635&amp;""),1)),0))</f>
        <v/>
      </c>
      <c r="C635" t="str">
        <f t="shared" si="9"/>
        <v/>
      </c>
      <c r="D635" t="str">
        <f>IF(A635="","",IFERROR(VALUE(SUBSTITUTE(TRIM(Input!E635&amp;""),"%","")),0)/IF(AND(IFERROR(VALUE(SUBSTITUTE(TRIM(Input!E635&amp;""),"%","")),0)&gt;0,IFERROR(VALUE(SUBSTITUTE(TRIM(Input!E635&amp;""),"%","")),0)&lt;1),1,100))</f>
        <v/>
      </c>
      <c r="E635" t="str">
        <f>IF(A635="","",IFERROR(VALUE(SUBSTITUTE(TRIM(Input!F635&amp;""),"%","")),0)/IF(AND(IFERROR(VALUE(SUBSTITUTE(TRIM(Input!F635&amp;""),"%","")),0)&gt;0,IFERROR(VALUE(SUBSTITUTE(TRIM(Input!F635&amp;""),"%","")),0)&lt;1),1,100))</f>
        <v/>
      </c>
      <c r="F635" t="str">
        <f>IF(A635="","",IFERROR(VALUE(SUBSTITUTE(TRIM(Input!G635&amp;""),"%","")),0)/IF(AND(IFERROR(VALUE(SUBSTITUTE(TRIM(Input!G635&amp;""),"%","")),0)&gt;0,IFERROR(VALUE(SUBSTITUTE(TRIM(Input!G635&amp;""),"%","")),0)&lt;1),1,100))</f>
        <v/>
      </c>
      <c r="G635" t="str">
        <f>IF(A635="","",IFERROR(VALUE(SUBSTITUTE(TRIM(Input!H635&amp;""),"%","")),0)/IF(AND(IFERROR(VALUE(SUBSTITUTE(TRIM(Input!H635&amp;""),"%","")),0)&gt;0,IFERROR(VALUE(SUBSTITUTE(TRIM(Input!H635&amp;""),"%","")),0)&lt;1),1,100))</f>
        <v/>
      </c>
      <c r="H635" t="str">
        <f>IF(A635="","",IFERROR(VALUE(SUBSTITUTE(TRIM(Input!I635&amp;""),"%","")),0)/IF(AND(IFERROR(VALUE(SUBSTITUTE(TRIM(Input!I635&amp;""),"%","")),0)&gt;0,IFERROR(VALUE(SUBSTITUTE(TRIM(Input!I635&amp;""),"%","")),0)&lt;1),1,100))</f>
        <v/>
      </c>
    </row>
    <row r="636" spans="1:8">
      <c r="A636" t="str">
        <f>IF(TRIM(Input!B636&amp;"")="","",UPPER(TRIM(Input!B636&amp;"")))</f>
        <v/>
      </c>
      <c r="B636" t="str">
        <f>IF(A636="","",IFERROR(VALUE(RIGHT(TRIM(Input!D636&amp;""),1)),0))</f>
        <v/>
      </c>
      <c r="C636" t="str">
        <f t="shared" si="9"/>
        <v/>
      </c>
      <c r="D636" t="str">
        <f>IF(A636="","",IFERROR(VALUE(SUBSTITUTE(TRIM(Input!E636&amp;""),"%","")),0)/IF(AND(IFERROR(VALUE(SUBSTITUTE(TRIM(Input!E636&amp;""),"%","")),0)&gt;0,IFERROR(VALUE(SUBSTITUTE(TRIM(Input!E636&amp;""),"%","")),0)&lt;1),1,100))</f>
        <v/>
      </c>
      <c r="E636" t="str">
        <f>IF(A636="","",IFERROR(VALUE(SUBSTITUTE(TRIM(Input!F636&amp;""),"%","")),0)/IF(AND(IFERROR(VALUE(SUBSTITUTE(TRIM(Input!F636&amp;""),"%","")),0)&gt;0,IFERROR(VALUE(SUBSTITUTE(TRIM(Input!F636&amp;""),"%","")),0)&lt;1),1,100))</f>
        <v/>
      </c>
      <c r="F636" t="str">
        <f>IF(A636="","",IFERROR(VALUE(SUBSTITUTE(TRIM(Input!G636&amp;""),"%","")),0)/IF(AND(IFERROR(VALUE(SUBSTITUTE(TRIM(Input!G636&amp;""),"%","")),0)&gt;0,IFERROR(VALUE(SUBSTITUTE(TRIM(Input!G636&amp;""),"%","")),0)&lt;1),1,100))</f>
        <v/>
      </c>
      <c r="G636" t="str">
        <f>IF(A636="","",IFERROR(VALUE(SUBSTITUTE(TRIM(Input!H636&amp;""),"%","")),0)/IF(AND(IFERROR(VALUE(SUBSTITUTE(TRIM(Input!H636&amp;""),"%","")),0)&gt;0,IFERROR(VALUE(SUBSTITUTE(TRIM(Input!H636&amp;""),"%","")),0)&lt;1),1,100))</f>
        <v/>
      </c>
      <c r="H636" t="str">
        <f>IF(A636="","",IFERROR(VALUE(SUBSTITUTE(TRIM(Input!I636&amp;""),"%","")),0)/IF(AND(IFERROR(VALUE(SUBSTITUTE(TRIM(Input!I636&amp;""),"%","")),0)&gt;0,IFERROR(VALUE(SUBSTITUTE(TRIM(Input!I636&amp;""),"%","")),0)&lt;1),1,100))</f>
        <v/>
      </c>
    </row>
    <row r="637" spans="1:8">
      <c r="A637" t="str">
        <f>IF(TRIM(Input!B637&amp;"")="","",UPPER(TRIM(Input!B637&amp;"")))</f>
        <v/>
      </c>
      <c r="B637" t="str">
        <f>IF(A637="","",IFERROR(VALUE(RIGHT(TRIM(Input!D637&amp;""),1)),0))</f>
        <v/>
      </c>
      <c r="C637" t="str">
        <f t="shared" si="9"/>
        <v/>
      </c>
      <c r="D637" t="str">
        <f>IF(A637="","",IFERROR(VALUE(SUBSTITUTE(TRIM(Input!E637&amp;""),"%","")),0)/IF(AND(IFERROR(VALUE(SUBSTITUTE(TRIM(Input!E637&amp;""),"%","")),0)&gt;0,IFERROR(VALUE(SUBSTITUTE(TRIM(Input!E637&amp;""),"%","")),0)&lt;1),1,100))</f>
        <v/>
      </c>
      <c r="E637" t="str">
        <f>IF(A637="","",IFERROR(VALUE(SUBSTITUTE(TRIM(Input!F637&amp;""),"%","")),0)/IF(AND(IFERROR(VALUE(SUBSTITUTE(TRIM(Input!F637&amp;""),"%","")),0)&gt;0,IFERROR(VALUE(SUBSTITUTE(TRIM(Input!F637&amp;""),"%","")),0)&lt;1),1,100))</f>
        <v/>
      </c>
      <c r="F637" t="str">
        <f>IF(A637="","",IFERROR(VALUE(SUBSTITUTE(TRIM(Input!G637&amp;""),"%","")),0)/IF(AND(IFERROR(VALUE(SUBSTITUTE(TRIM(Input!G637&amp;""),"%","")),0)&gt;0,IFERROR(VALUE(SUBSTITUTE(TRIM(Input!G637&amp;""),"%","")),0)&lt;1),1,100))</f>
        <v/>
      </c>
      <c r="G637" t="str">
        <f>IF(A637="","",IFERROR(VALUE(SUBSTITUTE(TRIM(Input!H637&amp;""),"%","")),0)/IF(AND(IFERROR(VALUE(SUBSTITUTE(TRIM(Input!H637&amp;""),"%","")),0)&gt;0,IFERROR(VALUE(SUBSTITUTE(TRIM(Input!H637&amp;""),"%","")),0)&lt;1),1,100))</f>
        <v/>
      </c>
      <c r="H637" t="str">
        <f>IF(A637="","",IFERROR(VALUE(SUBSTITUTE(TRIM(Input!I637&amp;""),"%","")),0)/IF(AND(IFERROR(VALUE(SUBSTITUTE(TRIM(Input!I637&amp;""),"%","")),0)&gt;0,IFERROR(VALUE(SUBSTITUTE(TRIM(Input!I637&amp;""),"%","")),0)&lt;1),1,100))</f>
        <v/>
      </c>
    </row>
    <row r="638" spans="1:8">
      <c r="A638" t="str">
        <f>IF(TRIM(Input!B638&amp;"")="","",UPPER(TRIM(Input!B638&amp;"")))</f>
        <v/>
      </c>
      <c r="B638" t="str">
        <f>IF(A638="","",IFERROR(VALUE(RIGHT(TRIM(Input!D638&amp;""),1)),0))</f>
        <v/>
      </c>
      <c r="C638" t="str">
        <f t="shared" si="9"/>
        <v/>
      </c>
      <c r="D638" t="str">
        <f>IF(A638="","",IFERROR(VALUE(SUBSTITUTE(TRIM(Input!E638&amp;""),"%","")),0)/IF(AND(IFERROR(VALUE(SUBSTITUTE(TRIM(Input!E638&amp;""),"%","")),0)&gt;0,IFERROR(VALUE(SUBSTITUTE(TRIM(Input!E638&amp;""),"%","")),0)&lt;1),1,100))</f>
        <v/>
      </c>
      <c r="E638" t="str">
        <f>IF(A638="","",IFERROR(VALUE(SUBSTITUTE(TRIM(Input!F638&amp;""),"%","")),0)/IF(AND(IFERROR(VALUE(SUBSTITUTE(TRIM(Input!F638&amp;""),"%","")),0)&gt;0,IFERROR(VALUE(SUBSTITUTE(TRIM(Input!F638&amp;""),"%","")),0)&lt;1),1,100))</f>
        <v/>
      </c>
      <c r="F638" t="str">
        <f>IF(A638="","",IFERROR(VALUE(SUBSTITUTE(TRIM(Input!G638&amp;""),"%","")),0)/IF(AND(IFERROR(VALUE(SUBSTITUTE(TRIM(Input!G638&amp;""),"%","")),0)&gt;0,IFERROR(VALUE(SUBSTITUTE(TRIM(Input!G638&amp;""),"%","")),0)&lt;1),1,100))</f>
        <v/>
      </c>
      <c r="G638" t="str">
        <f>IF(A638="","",IFERROR(VALUE(SUBSTITUTE(TRIM(Input!H638&amp;""),"%","")),0)/IF(AND(IFERROR(VALUE(SUBSTITUTE(TRIM(Input!H638&amp;""),"%","")),0)&gt;0,IFERROR(VALUE(SUBSTITUTE(TRIM(Input!H638&amp;""),"%","")),0)&lt;1),1,100))</f>
        <v/>
      </c>
      <c r="H638" t="str">
        <f>IF(A638="","",IFERROR(VALUE(SUBSTITUTE(TRIM(Input!I638&amp;""),"%","")),0)/IF(AND(IFERROR(VALUE(SUBSTITUTE(TRIM(Input!I638&amp;""),"%","")),0)&gt;0,IFERROR(VALUE(SUBSTITUTE(TRIM(Input!I638&amp;""),"%","")),0)&lt;1),1,100))</f>
        <v/>
      </c>
    </row>
    <row r="639" spans="1:8">
      <c r="A639" t="str">
        <f>IF(TRIM(Input!B639&amp;"")="","",UPPER(TRIM(Input!B639&amp;"")))</f>
        <v/>
      </c>
      <c r="B639" t="str">
        <f>IF(A639="","",IFERROR(VALUE(RIGHT(TRIM(Input!D639&amp;""),1)),0))</f>
        <v/>
      </c>
      <c r="C639" t="str">
        <f t="shared" si="9"/>
        <v/>
      </c>
      <c r="D639" t="str">
        <f>IF(A639="","",IFERROR(VALUE(SUBSTITUTE(TRIM(Input!E639&amp;""),"%","")),0)/IF(AND(IFERROR(VALUE(SUBSTITUTE(TRIM(Input!E639&amp;""),"%","")),0)&gt;0,IFERROR(VALUE(SUBSTITUTE(TRIM(Input!E639&amp;""),"%","")),0)&lt;1),1,100))</f>
        <v/>
      </c>
      <c r="E639" t="str">
        <f>IF(A639="","",IFERROR(VALUE(SUBSTITUTE(TRIM(Input!F639&amp;""),"%","")),0)/IF(AND(IFERROR(VALUE(SUBSTITUTE(TRIM(Input!F639&amp;""),"%","")),0)&gt;0,IFERROR(VALUE(SUBSTITUTE(TRIM(Input!F639&amp;""),"%","")),0)&lt;1),1,100))</f>
        <v/>
      </c>
      <c r="F639" t="str">
        <f>IF(A639="","",IFERROR(VALUE(SUBSTITUTE(TRIM(Input!G639&amp;""),"%","")),0)/IF(AND(IFERROR(VALUE(SUBSTITUTE(TRIM(Input!G639&amp;""),"%","")),0)&gt;0,IFERROR(VALUE(SUBSTITUTE(TRIM(Input!G639&amp;""),"%","")),0)&lt;1),1,100))</f>
        <v/>
      </c>
      <c r="G639" t="str">
        <f>IF(A639="","",IFERROR(VALUE(SUBSTITUTE(TRIM(Input!H639&amp;""),"%","")),0)/IF(AND(IFERROR(VALUE(SUBSTITUTE(TRIM(Input!H639&amp;""),"%","")),0)&gt;0,IFERROR(VALUE(SUBSTITUTE(TRIM(Input!H639&amp;""),"%","")),0)&lt;1),1,100))</f>
        <v/>
      </c>
      <c r="H639" t="str">
        <f>IF(A639="","",IFERROR(VALUE(SUBSTITUTE(TRIM(Input!I639&amp;""),"%","")),0)/IF(AND(IFERROR(VALUE(SUBSTITUTE(TRIM(Input!I639&amp;""),"%","")),0)&gt;0,IFERROR(VALUE(SUBSTITUTE(TRIM(Input!I639&amp;""),"%","")),0)&lt;1),1,100))</f>
        <v/>
      </c>
    </row>
    <row r="640" spans="1:8">
      <c r="A640" t="str">
        <f>IF(TRIM(Input!B640&amp;"")="","",UPPER(TRIM(Input!B640&amp;"")))</f>
        <v/>
      </c>
      <c r="B640" t="str">
        <f>IF(A640="","",IFERROR(VALUE(RIGHT(TRIM(Input!D640&amp;""),1)),0))</f>
        <v/>
      </c>
      <c r="C640" t="str">
        <f t="shared" si="9"/>
        <v/>
      </c>
      <c r="D640" t="str">
        <f>IF(A640="","",IFERROR(VALUE(SUBSTITUTE(TRIM(Input!E640&amp;""),"%","")),0)/IF(AND(IFERROR(VALUE(SUBSTITUTE(TRIM(Input!E640&amp;""),"%","")),0)&gt;0,IFERROR(VALUE(SUBSTITUTE(TRIM(Input!E640&amp;""),"%","")),0)&lt;1),1,100))</f>
        <v/>
      </c>
      <c r="E640" t="str">
        <f>IF(A640="","",IFERROR(VALUE(SUBSTITUTE(TRIM(Input!F640&amp;""),"%","")),0)/IF(AND(IFERROR(VALUE(SUBSTITUTE(TRIM(Input!F640&amp;""),"%","")),0)&gt;0,IFERROR(VALUE(SUBSTITUTE(TRIM(Input!F640&amp;""),"%","")),0)&lt;1),1,100))</f>
        <v/>
      </c>
      <c r="F640" t="str">
        <f>IF(A640="","",IFERROR(VALUE(SUBSTITUTE(TRIM(Input!G640&amp;""),"%","")),0)/IF(AND(IFERROR(VALUE(SUBSTITUTE(TRIM(Input!G640&amp;""),"%","")),0)&gt;0,IFERROR(VALUE(SUBSTITUTE(TRIM(Input!G640&amp;""),"%","")),0)&lt;1),1,100))</f>
        <v/>
      </c>
      <c r="G640" t="str">
        <f>IF(A640="","",IFERROR(VALUE(SUBSTITUTE(TRIM(Input!H640&amp;""),"%","")),0)/IF(AND(IFERROR(VALUE(SUBSTITUTE(TRIM(Input!H640&amp;""),"%","")),0)&gt;0,IFERROR(VALUE(SUBSTITUTE(TRIM(Input!H640&amp;""),"%","")),0)&lt;1),1,100))</f>
        <v/>
      </c>
      <c r="H640" t="str">
        <f>IF(A640="","",IFERROR(VALUE(SUBSTITUTE(TRIM(Input!I640&amp;""),"%","")),0)/IF(AND(IFERROR(VALUE(SUBSTITUTE(TRIM(Input!I640&amp;""),"%","")),0)&gt;0,IFERROR(VALUE(SUBSTITUTE(TRIM(Input!I640&amp;""),"%","")),0)&lt;1),1,100))</f>
        <v/>
      </c>
    </row>
    <row r="641" spans="1:8">
      <c r="A641" t="str">
        <f>IF(TRIM(Input!B641&amp;"")="","",UPPER(TRIM(Input!B641&amp;"")))</f>
        <v/>
      </c>
      <c r="B641" t="str">
        <f>IF(A641="","",IFERROR(VALUE(RIGHT(TRIM(Input!D641&amp;""),1)),0))</f>
        <v/>
      </c>
      <c r="C641" t="str">
        <f t="shared" si="9"/>
        <v/>
      </c>
      <c r="D641" t="str">
        <f>IF(A641="","",IFERROR(VALUE(SUBSTITUTE(TRIM(Input!E641&amp;""),"%","")),0)/IF(AND(IFERROR(VALUE(SUBSTITUTE(TRIM(Input!E641&amp;""),"%","")),0)&gt;0,IFERROR(VALUE(SUBSTITUTE(TRIM(Input!E641&amp;""),"%","")),0)&lt;1),1,100))</f>
        <v/>
      </c>
      <c r="E641" t="str">
        <f>IF(A641="","",IFERROR(VALUE(SUBSTITUTE(TRIM(Input!F641&amp;""),"%","")),0)/IF(AND(IFERROR(VALUE(SUBSTITUTE(TRIM(Input!F641&amp;""),"%","")),0)&gt;0,IFERROR(VALUE(SUBSTITUTE(TRIM(Input!F641&amp;""),"%","")),0)&lt;1),1,100))</f>
        <v/>
      </c>
      <c r="F641" t="str">
        <f>IF(A641="","",IFERROR(VALUE(SUBSTITUTE(TRIM(Input!G641&amp;""),"%","")),0)/IF(AND(IFERROR(VALUE(SUBSTITUTE(TRIM(Input!G641&amp;""),"%","")),0)&gt;0,IFERROR(VALUE(SUBSTITUTE(TRIM(Input!G641&amp;""),"%","")),0)&lt;1),1,100))</f>
        <v/>
      </c>
      <c r="G641" t="str">
        <f>IF(A641="","",IFERROR(VALUE(SUBSTITUTE(TRIM(Input!H641&amp;""),"%","")),0)/IF(AND(IFERROR(VALUE(SUBSTITUTE(TRIM(Input!H641&amp;""),"%","")),0)&gt;0,IFERROR(VALUE(SUBSTITUTE(TRIM(Input!H641&amp;""),"%","")),0)&lt;1),1,100))</f>
        <v/>
      </c>
      <c r="H641" t="str">
        <f>IF(A641="","",IFERROR(VALUE(SUBSTITUTE(TRIM(Input!I641&amp;""),"%","")),0)/IF(AND(IFERROR(VALUE(SUBSTITUTE(TRIM(Input!I641&amp;""),"%","")),0)&gt;0,IFERROR(VALUE(SUBSTITUTE(TRIM(Input!I641&amp;""),"%","")),0)&lt;1),1,100))</f>
        <v/>
      </c>
    </row>
    <row r="642" spans="1:8">
      <c r="A642" t="str">
        <f>IF(TRIM(Input!B642&amp;"")="","",UPPER(TRIM(Input!B642&amp;"")))</f>
        <v/>
      </c>
      <c r="B642" t="str">
        <f>IF(A642="","",IFERROR(VALUE(RIGHT(TRIM(Input!D642&amp;""),1)),0))</f>
        <v/>
      </c>
      <c r="C642" t="str">
        <f t="shared" ref="C642:C705" si="10">IF(A642="","",A642&amp;"|"&amp;B642)</f>
        <v/>
      </c>
      <c r="D642" t="str">
        <f>IF(A642="","",IFERROR(VALUE(SUBSTITUTE(TRIM(Input!E642&amp;""),"%","")),0)/IF(AND(IFERROR(VALUE(SUBSTITUTE(TRIM(Input!E642&amp;""),"%","")),0)&gt;0,IFERROR(VALUE(SUBSTITUTE(TRIM(Input!E642&amp;""),"%","")),0)&lt;1),1,100))</f>
        <v/>
      </c>
      <c r="E642" t="str">
        <f>IF(A642="","",IFERROR(VALUE(SUBSTITUTE(TRIM(Input!F642&amp;""),"%","")),0)/IF(AND(IFERROR(VALUE(SUBSTITUTE(TRIM(Input!F642&amp;""),"%","")),0)&gt;0,IFERROR(VALUE(SUBSTITUTE(TRIM(Input!F642&amp;""),"%","")),0)&lt;1),1,100))</f>
        <v/>
      </c>
      <c r="F642" t="str">
        <f>IF(A642="","",IFERROR(VALUE(SUBSTITUTE(TRIM(Input!G642&amp;""),"%","")),0)/IF(AND(IFERROR(VALUE(SUBSTITUTE(TRIM(Input!G642&amp;""),"%","")),0)&gt;0,IFERROR(VALUE(SUBSTITUTE(TRIM(Input!G642&amp;""),"%","")),0)&lt;1),1,100))</f>
        <v/>
      </c>
      <c r="G642" t="str">
        <f>IF(A642="","",IFERROR(VALUE(SUBSTITUTE(TRIM(Input!H642&amp;""),"%","")),0)/IF(AND(IFERROR(VALUE(SUBSTITUTE(TRIM(Input!H642&amp;""),"%","")),0)&gt;0,IFERROR(VALUE(SUBSTITUTE(TRIM(Input!H642&amp;""),"%","")),0)&lt;1),1,100))</f>
        <v/>
      </c>
      <c r="H642" t="str">
        <f>IF(A642="","",IFERROR(VALUE(SUBSTITUTE(TRIM(Input!I642&amp;""),"%","")),0)/IF(AND(IFERROR(VALUE(SUBSTITUTE(TRIM(Input!I642&amp;""),"%","")),0)&gt;0,IFERROR(VALUE(SUBSTITUTE(TRIM(Input!I642&amp;""),"%","")),0)&lt;1),1,100))</f>
        <v/>
      </c>
    </row>
    <row r="643" spans="1:8">
      <c r="A643" t="str">
        <f>IF(TRIM(Input!B643&amp;"")="","",UPPER(TRIM(Input!B643&amp;"")))</f>
        <v/>
      </c>
      <c r="B643" t="str">
        <f>IF(A643="","",IFERROR(VALUE(RIGHT(TRIM(Input!D643&amp;""),1)),0))</f>
        <v/>
      </c>
      <c r="C643" t="str">
        <f t="shared" si="10"/>
        <v/>
      </c>
      <c r="D643" t="str">
        <f>IF(A643="","",IFERROR(VALUE(SUBSTITUTE(TRIM(Input!E643&amp;""),"%","")),0)/IF(AND(IFERROR(VALUE(SUBSTITUTE(TRIM(Input!E643&amp;""),"%","")),0)&gt;0,IFERROR(VALUE(SUBSTITUTE(TRIM(Input!E643&amp;""),"%","")),0)&lt;1),1,100))</f>
        <v/>
      </c>
      <c r="E643" t="str">
        <f>IF(A643="","",IFERROR(VALUE(SUBSTITUTE(TRIM(Input!F643&amp;""),"%","")),0)/IF(AND(IFERROR(VALUE(SUBSTITUTE(TRIM(Input!F643&amp;""),"%","")),0)&gt;0,IFERROR(VALUE(SUBSTITUTE(TRIM(Input!F643&amp;""),"%","")),0)&lt;1),1,100))</f>
        <v/>
      </c>
      <c r="F643" t="str">
        <f>IF(A643="","",IFERROR(VALUE(SUBSTITUTE(TRIM(Input!G643&amp;""),"%","")),0)/IF(AND(IFERROR(VALUE(SUBSTITUTE(TRIM(Input!G643&amp;""),"%","")),0)&gt;0,IFERROR(VALUE(SUBSTITUTE(TRIM(Input!G643&amp;""),"%","")),0)&lt;1),1,100))</f>
        <v/>
      </c>
      <c r="G643" t="str">
        <f>IF(A643="","",IFERROR(VALUE(SUBSTITUTE(TRIM(Input!H643&amp;""),"%","")),0)/IF(AND(IFERROR(VALUE(SUBSTITUTE(TRIM(Input!H643&amp;""),"%","")),0)&gt;0,IFERROR(VALUE(SUBSTITUTE(TRIM(Input!H643&amp;""),"%","")),0)&lt;1),1,100))</f>
        <v/>
      </c>
      <c r="H643" t="str">
        <f>IF(A643="","",IFERROR(VALUE(SUBSTITUTE(TRIM(Input!I643&amp;""),"%","")),0)/IF(AND(IFERROR(VALUE(SUBSTITUTE(TRIM(Input!I643&amp;""),"%","")),0)&gt;0,IFERROR(VALUE(SUBSTITUTE(TRIM(Input!I643&amp;""),"%","")),0)&lt;1),1,100))</f>
        <v/>
      </c>
    </row>
    <row r="644" spans="1:8">
      <c r="A644" t="str">
        <f>IF(TRIM(Input!B644&amp;"")="","",UPPER(TRIM(Input!B644&amp;"")))</f>
        <v/>
      </c>
      <c r="B644" t="str">
        <f>IF(A644="","",IFERROR(VALUE(RIGHT(TRIM(Input!D644&amp;""),1)),0))</f>
        <v/>
      </c>
      <c r="C644" t="str">
        <f t="shared" si="10"/>
        <v/>
      </c>
      <c r="D644" t="str">
        <f>IF(A644="","",IFERROR(VALUE(SUBSTITUTE(TRIM(Input!E644&amp;""),"%","")),0)/IF(AND(IFERROR(VALUE(SUBSTITUTE(TRIM(Input!E644&amp;""),"%","")),0)&gt;0,IFERROR(VALUE(SUBSTITUTE(TRIM(Input!E644&amp;""),"%","")),0)&lt;1),1,100))</f>
        <v/>
      </c>
      <c r="E644" t="str">
        <f>IF(A644="","",IFERROR(VALUE(SUBSTITUTE(TRIM(Input!F644&amp;""),"%","")),0)/IF(AND(IFERROR(VALUE(SUBSTITUTE(TRIM(Input!F644&amp;""),"%","")),0)&gt;0,IFERROR(VALUE(SUBSTITUTE(TRIM(Input!F644&amp;""),"%","")),0)&lt;1),1,100))</f>
        <v/>
      </c>
      <c r="F644" t="str">
        <f>IF(A644="","",IFERROR(VALUE(SUBSTITUTE(TRIM(Input!G644&amp;""),"%","")),0)/IF(AND(IFERROR(VALUE(SUBSTITUTE(TRIM(Input!G644&amp;""),"%","")),0)&gt;0,IFERROR(VALUE(SUBSTITUTE(TRIM(Input!G644&amp;""),"%","")),0)&lt;1),1,100))</f>
        <v/>
      </c>
      <c r="G644" t="str">
        <f>IF(A644="","",IFERROR(VALUE(SUBSTITUTE(TRIM(Input!H644&amp;""),"%","")),0)/IF(AND(IFERROR(VALUE(SUBSTITUTE(TRIM(Input!H644&amp;""),"%","")),0)&gt;0,IFERROR(VALUE(SUBSTITUTE(TRIM(Input!H644&amp;""),"%","")),0)&lt;1),1,100))</f>
        <v/>
      </c>
      <c r="H644" t="str">
        <f>IF(A644="","",IFERROR(VALUE(SUBSTITUTE(TRIM(Input!I644&amp;""),"%","")),0)/IF(AND(IFERROR(VALUE(SUBSTITUTE(TRIM(Input!I644&amp;""),"%","")),0)&gt;0,IFERROR(VALUE(SUBSTITUTE(TRIM(Input!I644&amp;""),"%","")),0)&lt;1),1,100))</f>
        <v/>
      </c>
    </row>
    <row r="645" spans="1:8">
      <c r="A645" t="str">
        <f>IF(TRIM(Input!B645&amp;"")="","",UPPER(TRIM(Input!B645&amp;"")))</f>
        <v/>
      </c>
      <c r="B645" t="str">
        <f>IF(A645="","",IFERROR(VALUE(RIGHT(TRIM(Input!D645&amp;""),1)),0))</f>
        <v/>
      </c>
      <c r="C645" t="str">
        <f t="shared" si="10"/>
        <v/>
      </c>
      <c r="D645" t="str">
        <f>IF(A645="","",IFERROR(VALUE(SUBSTITUTE(TRIM(Input!E645&amp;""),"%","")),0)/IF(AND(IFERROR(VALUE(SUBSTITUTE(TRIM(Input!E645&amp;""),"%","")),0)&gt;0,IFERROR(VALUE(SUBSTITUTE(TRIM(Input!E645&amp;""),"%","")),0)&lt;1),1,100))</f>
        <v/>
      </c>
      <c r="E645" t="str">
        <f>IF(A645="","",IFERROR(VALUE(SUBSTITUTE(TRIM(Input!F645&amp;""),"%","")),0)/IF(AND(IFERROR(VALUE(SUBSTITUTE(TRIM(Input!F645&amp;""),"%","")),0)&gt;0,IFERROR(VALUE(SUBSTITUTE(TRIM(Input!F645&amp;""),"%","")),0)&lt;1),1,100))</f>
        <v/>
      </c>
      <c r="F645" t="str">
        <f>IF(A645="","",IFERROR(VALUE(SUBSTITUTE(TRIM(Input!G645&amp;""),"%","")),0)/IF(AND(IFERROR(VALUE(SUBSTITUTE(TRIM(Input!G645&amp;""),"%","")),0)&gt;0,IFERROR(VALUE(SUBSTITUTE(TRIM(Input!G645&amp;""),"%","")),0)&lt;1),1,100))</f>
        <v/>
      </c>
      <c r="G645" t="str">
        <f>IF(A645="","",IFERROR(VALUE(SUBSTITUTE(TRIM(Input!H645&amp;""),"%","")),0)/IF(AND(IFERROR(VALUE(SUBSTITUTE(TRIM(Input!H645&amp;""),"%","")),0)&gt;0,IFERROR(VALUE(SUBSTITUTE(TRIM(Input!H645&amp;""),"%","")),0)&lt;1),1,100))</f>
        <v/>
      </c>
      <c r="H645" t="str">
        <f>IF(A645="","",IFERROR(VALUE(SUBSTITUTE(TRIM(Input!I645&amp;""),"%","")),0)/IF(AND(IFERROR(VALUE(SUBSTITUTE(TRIM(Input!I645&amp;""),"%","")),0)&gt;0,IFERROR(VALUE(SUBSTITUTE(TRIM(Input!I645&amp;""),"%","")),0)&lt;1),1,100))</f>
        <v/>
      </c>
    </row>
    <row r="646" spans="1:8">
      <c r="A646" t="str">
        <f>IF(TRIM(Input!B646&amp;"")="","",UPPER(TRIM(Input!B646&amp;"")))</f>
        <v/>
      </c>
      <c r="B646" t="str">
        <f>IF(A646="","",IFERROR(VALUE(RIGHT(TRIM(Input!D646&amp;""),1)),0))</f>
        <v/>
      </c>
      <c r="C646" t="str">
        <f t="shared" si="10"/>
        <v/>
      </c>
      <c r="D646" t="str">
        <f>IF(A646="","",IFERROR(VALUE(SUBSTITUTE(TRIM(Input!E646&amp;""),"%","")),0)/IF(AND(IFERROR(VALUE(SUBSTITUTE(TRIM(Input!E646&amp;""),"%","")),0)&gt;0,IFERROR(VALUE(SUBSTITUTE(TRIM(Input!E646&amp;""),"%","")),0)&lt;1),1,100))</f>
        <v/>
      </c>
      <c r="E646" t="str">
        <f>IF(A646="","",IFERROR(VALUE(SUBSTITUTE(TRIM(Input!F646&amp;""),"%","")),0)/IF(AND(IFERROR(VALUE(SUBSTITUTE(TRIM(Input!F646&amp;""),"%","")),0)&gt;0,IFERROR(VALUE(SUBSTITUTE(TRIM(Input!F646&amp;""),"%","")),0)&lt;1),1,100))</f>
        <v/>
      </c>
      <c r="F646" t="str">
        <f>IF(A646="","",IFERROR(VALUE(SUBSTITUTE(TRIM(Input!G646&amp;""),"%","")),0)/IF(AND(IFERROR(VALUE(SUBSTITUTE(TRIM(Input!G646&amp;""),"%","")),0)&gt;0,IFERROR(VALUE(SUBSTITUTE(TRIM(Input!G646&amp;""),"%","")),0)&lt;1),1,100))</f>
        <v/>
      </c>
      <c r="G646" t="str">
        <f>IF(A646="","",IFERROR(VALUE(SUBSTITUTE(TRIM(Input!H646&amp;""),"%","")),0)/IF(AND(IFERROR(VALUE(SUBSTITUTE(TRIM(Input!H646&amp;""),"%","")),0)&gt;0,IFERROR(VALUE(SUBSTITUTE(TRIM(Input!H646&amp;""),"%","")),0)&lt;1),1,100))</f>
        <v/>
      </c>
      <c r="H646" t="str">
        <f>IF(A646="","",IFERROR(VALUE(SUBSTITUTE(TRIM(Input!I646&amp;""),"%","")),0)/IF(AND(IFERROR(VALUE(SUBSTITUTE(TRIM(Input!I646&amp;""),"%","")),0)&gt;0,IFERROR(VALUE(SUBSTITUTE(TRIM(Input!I646&amp;""),"%","")),0)&lt;1),1,100))</f>
        <v/>
      </c>
    </row>
    <row r="647" spans="1:8">
      <c r="A647" t="str">
        <f>IF(TRIM(Input!B647&amp;"")="","",UPPER(TRIM(Input!B647&amp;"")))</f>
        <v/>
      </c>
      <c r="B647" t="str">
        <f>IF(A647="","",IFERROR(VALUE(RIGHT(TRIM(Input!D647&amp;""),1)),0))</f>
        <v/>
      </c>
      <c r="C647" t="str">
        <f t="shared" si="10"/>
        <v/>
      </c>
      <c r="D647" t="str">
        <f>IF(A647="","",IFERROR(VALUE(SUBSTITUTE(TRIM(Input!E647&amp;""),"%","")),0)/IF(AND(IFERROR(VALUE(SUBSTITUTE(TRIM(Input!E647&amp;""),"%","")),0)&gt;0,IFERROR(VALUE(SUBSTITUTE(TRIM(Input!E647&amp;""),"%","")),0)&lt;1),1,100))</f>
        <v/>
      </c>
      <c r="E647" t="str">
        <f>IF(A647="","",IFERROR(VALUE(SUBSTITUTE(TRIM(Input!F647&amp;""),"%","")),0)/IF(AND(IFERROR(VALUE(SUBSTITUTE(TRIM(Input!F647&amp;""),"%","")),0)&gt;0,IFERROR(VALUE(SUBSTITUTE(TRIM(Input!F647&amp;""),"%","")),0)&lt;1),1,100))</f>
        <v/>
      </c>
      <c r="F647" t="str">
        <f>IF(A647="","",IFERROR(VALUE(SUBSTITUTE(TRIM(Input!G647&amp;""),"%","")),0)/IF(AND(IFERROR(VALUE(SUBSTITUTE(TRIM(Input!G647&amp;""),"%","")),0)&gt;0,IFERROR(VALUE(SUBSTITUTE(TRIM(Input!G647&amp;""),"%","")),0)&lt;1),1,100))</f>
        <v/>
      </c>
      <c r="G647" t="str">
        <f>IF(A647="","",IFERROR(VALUE(SUBSTITUTE(TRIM(Input!H647&amp;""),"%","")),0)/IF(AND(IFERROR(VALUE(SUBSTITUTE(TRIM(Input!H647&amp;""),"%","")),0)&gt;0,IFERROR(VALUE(SUBSTITUTE(TRIM(Input!H647&amp;""),"%","")),0)&lt;1),1,100))</f>
        <v/>
      </c>
      <c r="H647" t="str">
        <f>IF(A647="","",IFERROR(VALUE(SUBSTITUTE(TRIM(Input!I647&amp;""),"%","")),0)/IF(AND(IFERROR(VALUE(SUBSTITUTE(TRIM(Input!I647&amp;""),"%","")),0)&gt;0,IFERROR(VALUE(SUBSTITUTE(TRIM(Input!I647&amp;""),"%","")),0)&lt;1),1,100))</f>
        <v/>
      </c>
    </row>
    <row r="648" spans="1:8">
      <c r="A648" t="str">
        <f>IF(TRIM(Input!B648&amp;"")="","",UPPER(TRIM(Input!B648&amp;"")))</f>
        <v/>
      </c>
      <c r="B648" t="str">
        <f>IF(A648="","",IFERROR(VALUE(RIGHT(TRIM(Input!D648&amp;""),1)),0))</f>
        <v/>
      </c>
      <c r="C648" t="str">
        <f t="shared" si="10"/>
        <v/>
      </c>
      <c r="D648" t="str">
        <f>IF(A648="","",IFERROR(VALUE(SUBSTITUTE(TRIM(Input!E648&amp;""),"%","")),0)/IF(AND(IFERROR(VALUE(SUBSTITUTE(TRIM(Input!E648&amp;""),"%","")),0)&gt;0,IFERROR(VALUE(SUBSTITUTE(TRIM(Input!E648&amp;""),"%","")),0)&lt;1),1,100))</f>
        <v/>
      </c>
      <c r="E648" t="str">
        <f>IF(A648="","",IFERROR(VALUE(SUBSTITUTE(TRIM(Input!F648&amp;""),"%","")),0)/IF(AND(IFERROR(VALUE(SUBSTITUTE(TRIM(Input!F648&amp;""),"%","")),0)&gt;0,IFERROR(VALUE(SUBSTITUTE(TRIM(Input!F648&amp;""),"%","")),0)&lt;1),1,100))</f>
        <v/>
      </c>
      <c r="F648" t="str">
        <f>IF(A648="","",IFERROR(VALUE(SUBSTITUTE(TRIM(Input!G648&amp;""),"%","")),0)/IF(AND(IFERROR(VALUE(SUBSTITUTE(TRIM(Input!G648&amp;""),"%","")),0)&gt;0,IFERROR(VALUE(SUBSTITUTE(TRIM(Input!G648&amp;""),"%","")),0)&lt;1),1,100))</f>
        <v/>
      </c>
      <c r="G648" t="str">
        <f>IF(A648="","",IFERROR(VALUE(SUBSTITUTE(TRIM(Input!H648&amp;""),"%","")),0)/IF(AND(IFERROR(VALUE(SUBSTITUTE(TRIM(Input!H648&amp;""),"%","")),0)&gt;0,IFERROR(VALUE(SUBSTITUTE(TRIM(Input!H648&amp;""),"%","")),0)&lt;1),1,100))</f>
        <v/>
      </c>
      <c r="H648" t="str">
        <f>IF(A648="","",IFERROR(VALUE(SUBSTITUTE(TRIM(Input!I648&amp;""),"%","")),0)/IF(AND(IFERROR(VALUE(SUBSTITUTE(TRIM(Input!I648&amp;""),"%","")),0)&gt;0,IFERROR(VALUE(SUBSTITUTE(TRIM(Input!I648&amp;""),"%","")),0)&lt;1),1,100))</f>
        <v/>
      </c>
    </row>
    <row r="649" spans="1:8">
      <c r="A649" t="str">
        <f>IF(TRIM(Input!B649&amp;"")="","",UPPER(TRIM(Input!B649&amp;"")))</f>
        <v/>
      </c>
      <c r="B649" t="str">
        <f>IF(A649="","",IFERROR(VALUE(RIGHT(TRIM(Input!D649&amp;""),1)),0))</f>
        <v/>
      </c>
      <c r="C649" t="str">
        <f t="shared" si="10"/>
        <v/>
      </c>
      <c r="D649" t="str">
        <f>IF(A649="","",IFERROR(VALUE(SUBSTITUTE(TRIM(Input!E649&amp;""),"%","")),0)/IF(AND(IFERROR(VALUE(SUBSTITUTE(TRIM(Input!E649&amp;""),"%","")),0)&gt;0,IFERROR(VALUE(SUBSTITUTE(TRIM(Input!E649&amp;""),"%","")),0)&lt;1),1,100))</f>
        <v/>
      </c>
      <c r="E649" t="str">
        <f>IF(A649="","",IFERROR(VALUE(SUBSTITUTE(TRIM(Input!F649&amp;""),"%","")),0)/IF(AND(IFERROR(VALUE(SUBSTITUTE(TRIM(Input!F649&amp;""),"%","")),0)&gt;0,IFERROR(VALUE(SUBSTITUTE(TRIM(Input!F649&amp;""),"%","")),0)&lt;1),1,100))</f>
        <v/>
      </c>
      <c r="F649" t="str">
        <f>IF(A649="","",IFERROR(VALUE(SUBSTITUTE(TRIM(Input!G649&amp;""),"%","")),0)/IF(AND(IFERROR(VALUE(SUBSTITUTE(TRIM(Input!G649&amp;""),"%","")),0)&gt;0,IFERROR(VALUE(SUBSTITUTE(TRIM(Input!G649&amp;""),"%","")),0)&lt;1),1,100))</f>
        <v/>
      </c>
      <c r="G649" t="str">
        <f>IF(A649="","",IFERROR(VALUE(SUBSTITUTE(TRIM(Input!H649&amp;""),"%","")),0)/IF(AND(IFERROR(VALUE(SUBSTITUTE(TRIM(Input!H649&amp;""),"%","")),0)&gt;0,IFERROR(VALUE(SUBSTITUTE(TRIM(Input!H649&amp;""),"%","")),0)&lt;1),1,100))</f>
        <v/>
      </c>
      <c r="H649" t="str">
        <f>IF(A649="","",IFERROR(VALUE(SUBSTITUTE(TRIM(Input!I649&amp;""),"%","")),0)/IF(AND(IFERROR(VALUE(SUBSTITUTE(TRIM(Input!I649&amp;""),"%","")),0)&gt;0,IFERROR(VALUE(SUBSTITUTE(TRIM(Input!I649&amp;""),"%","")),0)&lt;1),1,100))</f>
        <v/>
      </c>
    </row>
    <row r="650" spans="1:8">
      <c r="A650" t="str">
        <f>IF(TRIM(Input!B650&amp;"")="","",UPPER(TRIM(Input!B650&amp;"")))</f>
        <v/>
      </c>
      <c r="B650" t="str">
        <f>IF(A650="","",IFERROR(VALUE(RIGHT(TRIM(Input!D650&amp;""),1)),0))</f>
        <v/>
      </c>
      <c r="C650" t="str">
        <f t="shared" si="10"/>
        <v/>
      </c>
      <c r="D650" t="str">
        <f>IF(A650="","",IFERROR(VALUE(SUBSTITUTE(TRIM(Input!E650&amp;""),"%","")),0)/IF(AND(IFERROR(VALUE(SUBSTITUTE(TRIM(Input!E650&amp;""),"%","")),0)&gt;0,IFERROR(VALUE(SUBSTITUTE(TRIM(Input!E650&amp;""),"%","")),0)&lt;1),1,100))</f>
        <v/>
      </c>
      <c r="E650" t="str">
        <f>IF(A650="","",IFERROR(VALUE(SUBSTITUTE(TRIM(Input!F650&amp;""),"%","")),0)/IF(AND(IFERROR(VALUE(SUBSTITUTE(TRIM(Input!F650&amp;""),"%","")),0)&gt;0,IFERROR(VALUE(SUBSTITUTE(TRIM(Input!F650&amp;""),"%","")),0)&lt;1),1,100))</f>
        <v/>
      </c>
      <c r="F650" t="str">
        <f>IF(A650="","",IFERROR(VALUE(SUBSTITUTE(TRIM(Input!G650&amp;""),"%","")),0)/IF(AND(IFERROR(VALUE(SUBSTITUTE(TRIM(Input!G650&amp;""),"%","")),0)&gt;0,IFERROR(VALUE(SUBSTITUTE(TRIM(Input!G650&amp;""),"%","")),0)&lt;1),1,100))</f>
        <v/>
      </c>
      <c r="G650" t="str">
        <f>IF(A650="","",IFERROR(VALUE(SUBSTITUTE(TRIM(Input!H650&amp;""),"%","")),0)/IF(AND(IFERROR(VALUE(SUBSTITUTE(TRIM(Input!H650&amp;""),"%","")),0)&gt;0,IFERROR(VALUE(SUBSTITUTE(TRIM(Input!H650&amp;""),"%","")),0)&lt;1),1,100))</f>
        <v/>
      </c>
      <c r="H650" t="str">
        <f>IF(A650="","",IFERROR(VALUE(SUBSTITUTE(TRIM(Input!I650&amp;""),"%","")),0)/IF(AND(IFERROR(VALUE(SUBSTITUTE(TRIM(Input!I650&amp;""),"%","")),0)&gt;0,IFERROR(VALUE(SUBSTITUTE(TRIM(Input!I650&amp;""),"%","")),0)&lt;1),1,100))</f>
        <v/>
      </c>
    </row>
    <row r="651" spans="1:8">
      <c r="A651" t="str">
        <f>IF(TRIM(Input!B651&amp;"")="","",UPPER(TRIM(Input!B651&amp;"")))</f>
        <v/>
      </c>
      <c r="B651" t="str">
        <f>IF(A651="","",IFERROR(VALUE(RIGHT(TRIM(Input!D651&amp;""),1)),0))</f>
        <v/>
      </c>
      <c r="C651" t="str">
        <f t="shared" si="10"/>
        <v/>
      </c>
      <c r="D651" t="str">
        <f>IF(A651="","",IFERROR(VALUE(SUBSTITUTE(TRIM(Input!E651&amp;""),"%","")),0)/IF(AND(IFERROR(VALUE(SUBSTITUTE(TRIM(Input!E651&amp;""),"%","")),0)&gt;0,IFERROR(VALUE(SUBSTITUTE(TRIM(Input!E651&amp;""),"%","")),0)&lt;1),1,100))</f>
        <v/>
      </c>
      <c r="E651" t="str">
        <f>IF(A651="","",IFERROR(VALUE(SUBSTITUTE(TRIM(Input!F651&amp;""),"%","")),0)/IF(AND(IFERROR(VALUE(SUBSTITUTE(TRIM(Input!F651&amp;""),"%","")),0)&gt;0,IFERROR(VALUE(SUBSTITUTE(TRIM(Input!F651&amp;""),"%","")),0)&lt;1),1,100))</f>
        <v/>
      </c>
      <c r="F651" t="str">
        <f>IF(A651="","",IFERROR(VALUE(SUBSTITUTE(TRIM(Input!G651&amp;""),"%","")),0)/IF(AND(IFERROR(VALUE(SUBSTITUTE(TRIM(Input!G651&amp;""),"%","")),0)&gt;0,IFERROR(VALUE(SUBSTITUTE(TRIM(Input!G651&amp;""),"%","")),0)&lt;1),1,100))</f>
        <v/>
      </c>
      <c r="G651" t="str">
        <f>IF(A651="","",IFERROR(VALUE(SUBSTITUTE(TRIM(Input!H651&amp;""),"%","")),0)/IF(AND(IFERROR(VALUE(SUBSTITUTE(TRIM(Input!H651&amp;""),"%","")),0)&gt;0,IFERROR(VALUE(SUBSTITUTE(TRIM(Input!H651&amp;""),"%","")),0)&lt;1),1,100))</f>
        <v/>
      </c>
      <c r="H651" t="str">
        <f>IF(A651="","",IFERROR(VALUE(SUBSTITUTE(TRIM(Input!I651&amp;""),"%","")),0)/IF(AND(IFERROR(VALUE(SUBSTITUTE(TRIM(Input!I651&amp;""),"%","")),0)&gt;0,IFERROR(VALUE(SUBSTITUTE(TRIM(Input!I651&amp;""),"%","")),0)&lt;1),1,100))</f>
        <v/>
      </c>
    </row>
    <row r="652" spans="1:8">
      <c r="A652" t="str">
        <f>IF(TRIM(Input!B652&amp;"")="","",UPPER(TRIM(Input!B652&amp;"")))</f>
        <v/>
      </c>
      <c r="B652" t="str">
        <f>IF(A652="","",IFERROR(VALUE(RIGHT(TRIM(Input!D652&amp;""),1)),0))</f>
        <v/>
      </c>
      <c r="C652" t="str">
        <f t="shared" si="10"/>
        <v/>
      </c>
      <c r="D652" t="str">
        <f>IF(A652="","",IFERROR(VALUE(SUBSTITUTE(TRIM(Input!E652&amp;""),"%","")),0)/IF(AND(IFERROR(VALUE(SUBSTITUTE(TRIM(Input!E652&amp;""),"%","")),0)&gt;0,IFERROR(VALUE(SUBSTITUTE(TRIM(Input!E652&amp;""),"%","")),0)&lt;1),1,100))</f>
        <v/>
      </c>
      <c r="E652" t="str">
        <f>IF(A652="","",IFERROR(VALUE(SUBSTITUTE(TRIM(Input!F652&amp;""),"%","")),0)/IF(AND(IFERROR(VALUE(SUBSTITUTE(TRIM(Input!F652&amp;""),"%","")),0)&gt;0,IFERROR(VALUE(SUBSTITUTE(TRIM(Input!F652&amp;""),"%","")),0)&lt;1),1,100))</f>
        <v/>
      </c>
      <c r="F652" t="str">
        <f>IF(A652="","",IFERROR(VALUE(SUBSTITUTE(TRIM(Input!G652&amp;""),"%","")),0)/IF(AND(IFERROR(VALUE(SUBSTITUTE(TRIM(Input!G652&amp;""),"%","")),0)&gt;0,IFERROR(VALUE(SUBSTITUTE(TRIM(Input!G652&amp;""),"%","")),0)&lt;1),1,100))</f>
        <v/>
      </c>
      <c r="G652" t="str">
        <f>IF(A652="","",IFERROR(VALUE(SUBSTITUTE(TRIM(Input!H652&amp;""),"%","")),0)/IF(AND(IFERROR(VALUE(SUBSTITUTE(TRIM(Input!H652&amp;""),"%","")),0)&gt;0,IFERROR(VALUE(SUBSTITUTE(TRIM(Input!H652&amp;""),"%","")),0)&lt;1),1,100))</f>
        <v/>
      </c>
      <c r="H652" t="str">
        <f>IF(A652="","",IFERROR(VALUE(SUBSTITUTE(TRIM(Input!I652&amp;""),"%","")),0)/IF(AND(IFERROR(VALUE(SUBSTITUTE(TRIM(Input!I652&amp;""),"%","")),0)&gt;0,IFERROR(VALUE(SUBSTITUTE(TRIM(Input!I652&amp;""),"%","")),0)&lt;1),1,100))</f>
        <v/>
      </c>
    </row>
    <row r="653" spans="1:8">
      <c r="A653" t="str">
        <f>IF(TRIM(Input!B653&amp;"")="","",UPPER(TRIM(Input!B653&amp;"")))</f>
        <v/>
      </c>
      <c r="B653" t="str">
        <f>IF(A653="","",IFERROR(VALUE(RIGHT(TRIM(Input!D653&amp;""),1)),0))</f>
        <v/>
      </c>
      <c r="C653" t="str">
        <f t="shared" si="10"/>
        <v/>
      </c>
      <c r="D653" t="str">
        <f>IF(A653="","",IFERROR(VALUE(SUBSTITUTE(TRIM(Input!E653&amp;""),"%","")),0)/IF(AND(IFERROR(VALUE(SUBSTITUTE(TRIM(Input!E653&amp;""),"%","")),0)&gt;0,IFERROR(VALUE(SUBSTITUTE(TRIM(Input!E653&amp;""),"%","")),0)&lt;1),1,100))</f>
        <v/>
      </c>
      <c r="E653" t="str">
        <f>IF(A653="","",IFERROR(VALUE(SUBSTITUTE(TRIM(Input!F653&amp;""),"%","")),0)/IF(AND(IFERROR(VALUE(SUBSTITUTE(TRIM(Input!F653&amp;""),"%","")),0)&gt;0,IFERROR(VALUE(SUBSTITUTE(TRIM(Input!F653&amp;""),"%","")),0)&lt;1),1,100))</f>
        <v/>
      </c>
      <c r="F653" t="str">
        <f>IF(A653="","",IFERROR(VALUE(SUBSTITUTE(TRIM(Input!G653&amp;""),"%","")),0)/IF(AND(IFERROR(VALUE(SUBSTITUTE(TRIM(Input!G653&amp;""),"%","")),0)&gt;0,IFERROR(VALUE(SUBSTITUTE(TRIM(Input!G653&amp;""),"%","")),0)&lt;1),1,100))</f>
        <v/>
      </c>
      <c r="G653" t="str">
        <f>IF(A653="","",IFERROR(VALUE(SUBSTITUTE(TRIM(Input!H653&amp;""),"%","")),0)/IF(AND(IFERROR(VALUE(SUBSTITUTE(TRIM(Input!H653&amp;""),"%","")),0)&gt;0,IFERROR(VALUE(SUBSTITUTE(TRIM(Input!H653&amp;""),"%","")),0)&lt;1),1,100))</f>
        <v/>
      </c>
      <c r="H653" t="str">
        <f>IF(A653="","",IFERROR(VALUE(SUBSTITUTE(TRIM(Input!I653&amp;""),"%","")),0)/IF(AND(IFERROR(VALUE(SUBSTITUTE(TRIM(Input!I653&amp;""),"%","")),0)&gt;0,IFERROR(VALUE(SUBSTITUTE(TRIM(Input!I653&amp;""),"%","")),0)&lt;1),1,100))</f>
        <v/>
      </c>
    </row>
    <row r="654" spans="1:8">
      <c r="A654" t="str">
        <f>IF(TRIM(Input!B654&amp;"")="","",UPPER(TRIM(Input!B654&amp;"")))</f>
        <v/>
      </c>
      <c r="B654" t="str">
        <f>IF(A654="","",IFERROR(VALUE(RIGHT(TRIM(Input!D654&amp;""),1)),0))</f>
        <v/>
      </c>
      <c r="C654" t="str">
        <f t="shared" si="10"/>
        <v/>
      </c>
      <c r="D654" t="str">
        <f>IF(A654="","",IFERROR(VALUE(SUBSTITUTE(TRIM(Input!E654&amp;""),"%","")),0)/IF(AND(IFERROR(VALUE(SUBSTITUTE(TRIM(Input!E654&amp;""),"%","")),0)&gt;0,IFERROR(VALUE(SUBSTITUTE(TRIM(Input!E654&amp;""),"%","")),0)&lt;1),1,100))</f>
        <v/>
      </c>
      <c r="E654" t="str">
        <f>IF(A654="","",IFERROR(VALUE(SUBSTITUTE(TRIM(Input!F654&amp;""),"%","")),0)/IF(AND(IFERROR(VALUE(SUBSTITUTE(TRIM(Input!F654&amp;""),"%","")),0)&gt;0,IFERROR(VALUE(SUBSTITUTE(TRIM(Input!F654&amp;""),"%","")),0)&lt;1),1,100))</f>
        <v/>
      </c>
      <c r="F654" t="str">
        <f>IF(A654="","",IFERROR(VALUE(SUBSTITUTE(TRIM(Input!G654&amp;""),"%","")),0)/IF(AND(IFERROR(VALUE(SUBSTITUTE(TRIM(Input!G654&amp;""),"%","")),0)&gt;0,IFERROR(VALUE(SUBSTITUTE(TRIM(Input!G654&amp;""),"%","")),0)&lt;1),1,100))</f>
        <v/>
      </c>
      <c r="G654" t="str">
        <f>IF(A654="","",IFERROR(VALUE(SUBSTITUTE(TRIM(Input!H654&amp;""),"%","")),0)/IF(AND(IFERROR(VALUE(SUBSTITUTE(TRIM(Input!H654&amp;""),"%","")),0)&gt;0,IFERROR(VALUE(SUBSTITUTE(TRIM(Input!H654&amp;""),"%","")),0)&lt;1),1,100))</f>
        <v/>
      </c>
      <c r="H654" t="str">
        <f>IF(A654="","",IFERROR(VALUE(SUBSTITUTE(TRIM(Input!I654&amp;""),"%","")),0)/IF(AND(IFERROR(VALUE(SUBSTITUTE(TRIM(Input!I654&amp;""),"%","")),0)&gt;0,IFERROR(VALUE(SUBSTITUTE(TRIM(Input!I654&amp;""),"%","")),0)&lt;1),1,100))</f>
        <v/>
      </c>
    </row>
    <row r="655" spans="1:8">
      <c r="A655" t="str">
        <f>IF(TRIM(Input!B655&amp;"")="","",UPPER(TRIM(Input!B655&amp;"")))</f>
        <v/>
      </c>
      <c r="B655" t="str">
        <f>IF(A655="","",IFERROR(VALUE(RIGHT(TRIM(Input!D655&amp;""),1)),0))</f>
        <v/>
      </c>
      <c r="C655" t="str">
        <f t="shared" si="10"/>
        <v/>
      </c>
      <c r="D655" t="str">
        <f>IF(A655="","",IFERROR(VALUE(SUBSTITUTE(TRIM(Input!E655&amp;""),"%","")),0)/IF(AND(IFERROR(VALUE(SUBSTITUTE(TRIM(Input!E655&amp;""),"%","")),0)&gt;0,IFERROR(VALUE(SUBSTITUTE(TRIM(Input!E655&amp;""),"%","")),0)&lt;1),1,100))</f>
        <v/>
      </c>
      <c r="E655" t="str">
        <f>IF(A655="","",IFERROR(VALUE(SUBSTITUTE(TRIM(Input!F655&amp;""),"%","")),0)/IF(AND(IFERROR(VALUE(SUBSTITUTE(TRIM(Input!F655&amp;""),"%","")),0)&gt;0,IFERROR(VALUE(SUBSTITUTE(TRIM(Input!F655&amp;""),"%","")),0)&lt;1),1,100))</f>
        <v/>
      </c>
      <c r="F655" t="str">
        <f>IF(A655="","",IFERROR(VALUE(SUBSTITUTE(TRIM(Input!G655&amp;""),"%","")),0)/IF(AND(IFERROR(VALUE(SUBSTITUTE(TRIM(Input!G655&amp;""),"%","")),0)&gt;0,IFERROR(VALUE(SUBSTITUTE(TRIM(Input!G655&amp;""),"%","")),0)&lt;1),1,100))</f>
        <v/>
      </c>
      <c r="G655" t="str">
        <f>IF(A655="","",IFERROR(VALUE(SUBSTITUTE(TRIM(Input!H655&amp;""),"%","")),0)/IF(AND(IFERROR(VALUE(SUBSTITUTE(TRIM(Input!H655&amp;""),"%","")),0)&gt;0,IFERROR(VALUE(SUBSTITUTE(TRIM(Input!H655&amp;""),"%","")),0)&lt;1),1,100))</f>
        <v/>
      </c>
      <c r="H655" t="str">
        <f>IF(A655="","",IFERROR(VALUE(SUBSTITUTE(TRIM(Input!I655&amp;""),"%","")),0)/IF(AND(IFERROR(VALUE(SUBSTITUTE(TRIM(Input!I655&amp;""),"%","")),0)&gt;0,IFERROR(VALUE(SUBSTITUTE(TRIM(Input!I655&amp;""),"%","")),0)&lt;1),1,100))</f>
        <v/>
      </c>
    </row>
    <row r="656" spans="1:8">
      <c r="A656" t="str">
        <f>IF(TRIM(Input!B656&amp;"")="","",UPPER(TRIM(Input!B656&amp;"")))</f>
        <v/>
      </c>
      <c r="B656" t="str">
        <f>IF(A656="","",IFERROR(VALUE(RIGHT(TRIM(Input!D656&amp;""),1)),0))</f>
        <v/>
      </c>
      <c r="C656" t="str">
        <f t="shared" si="10"/>
        <v/>
      </c>
      <c r="D656" t="str">
        <f>IF(A656="","",IFERROR(VALUE(SUBSTITUTE(TRIM(Input!E656&amp;""),"%","")),0)/IF(AND(IFERROR(VALUE(SUBSTITUTE(TRIM(Input!E656&amp;""),"%","")),0)&gt;0,IFERROR(VALUE(SUBSTITUTE(TRIM(Input!E656&amp;""),"%","")),0)&lt;1),1,100))</f>
        <v/>
      </c>
      <c r="E656" t="str">
        <f>IF(A656="","",IFERROR(VALUE(SUBSTITUTE(TRIM(Input!F656&amp;""),"%","")),0)/IF(AND(IFERROR(VALUE(SUBSTITUTE(TRIM(Input!F656&amp;""),"%","")),0)&gt;0,IFERROR(VALUE(SUBSTITUTE(TRIM(Input!F656&amp;""),"%","")),0)&lt;1),1,100))</f>
        <v/>
      </c>
      <c r="F656" t="str">
        <f>IF(A656="","",IFERROR(VALUE(SUBSTITUTE(TRIM(Input!G656&amp;""),"%","")),0)/IF(AND(IFERROR(VALUE(SUBSTITUTE(TRIM(Input!G656&amp;""),"%","")),0)&gt;0,IFERROR(VALUE(SUBSTITUTE(TRIM(Input!G656&amp;""),"%","")),0)&lt;1),1,100))</f>
        <v/>
      </c>
      <c r="G656" t="str">
        <f>IF(A656="","",IFERROR(VALUE(SUBSTITUTE(TRIM(Input!H656&amp;""),"%","")),0)/IF(AND(IFERROR(VALUE(SUBSTITUTE(TRIM(Input!H656&amp;""),"%","")),0)&gt;0,IFERROR(VALUE(SUBSTITUTE(TRIM(Input!H656&amp;""),"%","")),0)&lt;1),1,100))</f>
        <v/>
      </c>
      <c r="H656" t="str">
        <f>IF(A656="","",IFERROR(VALUE(SUBSTITUTE(TRIM(Input!I656&amp;""),"%","")),0)/IF(AND(IFERROR(VALUE(SUBSTITUTE(TRIM(Input!I656&amp;""),"%","")),0)&gt;0,IFERROR(VALUE(SUBSTITUTE(TRIM(Input!I656&amp;""),"%","")),0)&lt;1),1,100))</f>
        <v/>
      </c>
    </row>
    <row r="657" spans="1:8">
      <c r="A657" t="str">
        <f>IF(TRIM(Input!B657&amp;"")="","",UPPER(TRIM(Input!B657&amp;"")))</f>
        <v/>
      </c>
      <c r="B657" t="str">
        <f>IF(A657="","",IFERROR(VALUE(RIGHT(TRIM(Input!D657&amp;""),1)),0))</f>
        <v/>
      </c>
      <c r="C657" t="str">
        <f t="shared" si="10"/>
        <v/>
      </c>
      <c r="D657" t="str">
        <f>IF(A657="","",IFERROR(VALUE(SUBSTITUTE(TRIM(Input!E657&amp;""),"%","")),0)/IF(AND(IFERROR(VALUE(SUBSTITUTE(TRIM(Input!E657&amp;""),"%","")),0)&gt;0,IFERROR(VALUE(SUBSTITUTE(TRIM(Input!E657&amp;""),"%","")),0)&lt;1),1,100))</f>
        <v/>
      </c>
      <c r="E657" t="str">
        <f>IF(A657="","",IFERROR(VALUE(SUBSTITUTE(TRIM(Input!F657&amp;""),"%","")),0)/IF(AND(IFERROR(VALUE(SUBSTITUTE(TRIM(Input!F657&amp;""),"%","")),0)&gt;0,IFERROR(VALUE(SUBSTITUTE(TRIM(Input!F657&amp;""),"%","")),0)&lt;1),1,100))</f>
        <v/>
      </c>
      <c r="F657" t="str">
        <f>IF(A657="","",IFERROR(VALUE(SUBSTITUTE(TRIM(Input!G657&amp;""),"%","")),0)/IF(AND(IFERROR(VALUE(SUBSTITUTE(TRIM(Input!G657&amp;""),"%","")),0)&gt;0,IFERROR(VALUE(SUBSTITUTE(TRIM(Input!G657&amp;""),"%","")),0)&lt;1),1,100))</f>
        <v/>
      </c>
      <c r="G657" t="str">
        <f>IF(A657="","",IFERROR(VALUE(SUBSTITUTE(TRIM(Input!H657&amp;""),"%","")),0)/IF(AND(IFERROR(VALUE(SUBSTITUTE(TRIM(Input!H657&amp;""),"%","")),0)&gt;0,IFERROR(VALUE(SUBSTITUTE(TRIM(Input!H657&amp;""),"%","")),0)&lt;1),1,100))</f>
        <v/>
      </c>
      <c r="H657" t="str">
        <f>IF(A657="","",IFERROR(VALUE(SUBSTITUTE(TRIM(Input!I657&amp;""),"%","")),0)/IF(AND(IFERROR(VALUE(SUBSTITUTE(TRIM(Input!I657&amp;""),"%","")),0)&gt;0,IFERROR(VALUE(SUBSTITUTE(TRIM(Input!I657&amp;""),"%","")),0)&lt;1),1,100))</f>
        <v/>
      </c>
    </row>
    <row r="658" spans="1:8">
      <c r="A658" t="str">
        <f>IF(TRIM(Input!B658&amp;"")="","",UPPER(TRIM(Input!B658&amp;"")))</f>
        <v/>
      </c>
      <c r="B658" t="str">
        <f>IF(A658="","",IFERROR(VALUE(RIGHT(TRIM(Input!D658&amp;""),1)),0))</f>
        <v/>
      </c>
      <c r="C658" t="str">
        <f t="shared" si="10"/>
        <v/>
      </c>
      <c r="D658" t="str">
        <f>IF(A658="","",IFERROR(VALUE(SUBSTITUTE(TRIM(Input!E658&amp;""),"%","")),0)/IF(AND(IFERROR(VALUE(SUBSTITUTE(TRIM(Input!E658&amp;""),"%","")),0)&gt;0,IFERROR(VALUE(SUBSTITUTE(TRIM(Input!E658&amp;""),"%","")),0)&lt;1),1,100))</f>
        <v/>
      </c>
      <c r="E658" t="str">
        <f>IF(A658="","",IFERROR(VALUE(SUBSTITUTE(TRIM(Input!F658&amp;""),"%","")),0)/IF(AND(IFERROR(VALUE(SUBSTITUTE(TRIM(Input!F658&amp;""),"%","")),0)&gt;0,IFERROR(VALUE(SUBSTITUTE(TRIM(Input!F658&amp;""),"%","")),0)&lt;1),1,100))</f>
        <v/>
      </c>
      <c r="F658" t="str">
        <f>IF(A658="","",IFERROR(VALUE(SUBSTITUTE(TRIM(Input!G658&amp;""),"%","")),0)/IF(AND(IFERROR(VALUE(SUBSTITUTE(TRIM(Input!G658&amp;""),"%","")),0)&gt;0,IFERROR(VALUE(SUBSTITUTE(TRIM(Input!G658&amp;""),"%","")),0)&lt;1),1,100))</f>
        <v/>
      </c>
      <c r="G658" t="str">
        <f>IF(A658="","",IFERROR(VALUE(SUBSTITUTE(TRIM(Input!H658&amp;""),"%","")),0)/IF(AND(IFERROR(VALUE(SUBSTITUTE(TRIM(Input!H658&amp;""),"%","")),0)&gt;0,IFERROR(VALUE(SUBSTITUTE(TRIM(Input!H658&amp;""),"%","")),0)&lt;1),1,100))</f>
        <v/>
      </c>
      <c r="H658" t="str">
        <f>IF(A658="","",IFERROR(VALUE(SUBSTITUTE(TRIM(Input!I658&amp;""),"%","")),0)/IF(AND(IFERROR(VALUE(SUBSTITUTE(TRIM(Input!I658&amp;""),"%","")),0)&gt;0,IFERROR(VALUE(SUBSTITUTE(TRIM(Input!I658&amp;""),"%","")),0)&lt;1),1,100))</f>
        <v/>
      </c>
    </row>
    <row r="659" spans="1:8">
      <c r="A659" t="str">
        <f>IF(TRIM(Input!B659&amp;"")="","",UPPER(TRIM(Input!B659&amp;"")))</f>
        <v/>
      </c>
      <c r="B659" t="str">
        <f>IF(A659="","",IFERROR(VALUE(RIGHT(TRIM(Input!D659&amp;""),1)),0))</f>
        <v/>
      </c>
      <c r="C659" t="str">
        <f t="shared" si="10"/>
        <v/>
      </c>
      <c r="D659" t="str">
        <f>IF(A659="","",IFERROR(VALUE(SUBSTITUTE(TRIM(Input!E659&amp;""),"%","")),0)/IF(AND(IFERROR(VALUE(SUBSTITUTE(TRIM(Input!E659&amp;""),"%","")),0)&gt;0,IFERROR(VALUE(SUBSTITUTE(TRIM(Input!E659&amp;""),"%","")),0)&lt;1),1,100))</f>
        <v/>
      </c>
      <c r="E659" t="str">
        <f>IF(A659="","",IFERROR(VALUE(SUBSTITUTE(TRIM(Input!F659&amp;""),"%","")),0)/IF(AND(IFERROR(VALUE(SUBSTITUTE(TRIM(Input!F659&amp;""),"%","")),0)&gt;0,IFERROR(VALUE(SUBSTITUTE(TRIM(Input!F659&amp;""),"%","")),0)&lt;1),1,100))</f>
        <v/>
      </c>
      <c r="F659" t="str">
        <f>IF(A659="","",IFERROR(VALUE(SUBSTITUTE(TRIM(Input!G659&amp;""),"%","")),0)/IF(AND(IFERROR(VALUE(SUBSTITUTE(TRIM(Input!G659&amp;""),"%","")),0)&gt;0,IFERROR(VALUE(SUBSTITUTE(TRIM(Input!G659&amp;""),"%","")),0)&lt;1),1,100))</f>
        <v/>
      </c>
      <c r="G659" t="str">
        <f>IF(A659="","",IFERROR(VALUE(SUBSTITUTE(TRIM(Input!H659&amp;""),"%","")),0)/IF(AND(IFERROR(VALUE(SUBSTITUTE(TRIM(Input!H659&amp;""),"%","")),0)&gt;0,IFERROR(VALUE(SUBSTITUTE(TRIM(Input!H659&amp;""),"%","")),0)&lt;1),1,100))</f>
        <v/>
      </c>
      <c r="H659" t="str">
        <f>IF(A659="","",IFERROR(VALUE(SUBSTITUTE(TRIM(Input!I659&amp;""),"%","")),0)/IF(AND(IFERROR(VALUE(SUBSTITUTE(TRIM(Input!I659&amp;""),"%","")),0)&gt;0,IFERROR(VALUE(SUBSTITUTE(TRIM(Input!I659&amp;""),"%","")),0)&lt;1),1,100))</f>
        <v/>
      </c>
    </row>
    <row r="660" spans="1:8">
      <c r="A660" t="str">
        <f>IF(TRIM(Input!B660&amp;"")="","",UPPER(TRIM(Input!B660&amp;"")))</f>
        <v/>
      </c>
      <c r="B660" t="str">
        <f>IF(A660="","",IFERROR(VALUE(RIGHT(TRIM(Input!D660&amp;""),1)),0))</f>
        <v/>
      </c>
      <c r="C660" t="str">
        <f t="shared" si="10"/>
        <v/>
      </c>
      <c r="D660" t="str">
        <f>IF(A660="","",IFERROR(VALUE(SUBSTITUTE(TRIM(Input!E660&amp;""),"%","")),0)/IF(AND(IFERROR(VALUE(SUBSTITUTE(TRIM(Input!E660&amp;""),"%","")),0)&gt;0,IFERROR(VALUE(SUBSTITUTE(TRIM(Input!E660&amp;""),"%","")),0)&lt;1),1,100))</f>
        <v/>
      </c>
      <c r="E660" t="str">
        <f>IF(A660="","",IFERROR(VALUE(SUBSTITUTE(TRIM(Input!F660&amp;""),"%","")),0)/IF(AND(IFERROR(VALUE(SUBSTITUTE(TRIM(Input!F660&amp;""),"%","")),0)&gt;0,IFERROR(VALUE(SUBSTITUTE(TRIM(Input!F660&amp;""),"%","")),0)&lt;1),1,100))</f>
        <v/>
      </c>
      <c r="F660" t="str">
        <f>IF(A660="","",IFERROR(VALUE(SUBSTITUTE(TRIM(Input!G660&amp;""),"%","")),0)/IF(AND(IFERROR(VALUE(SUBSTITUTE(TRIM(Input!G660&amp;""),"%","")),0)&gt;0,IFERROR(VALUE(SUBSTITUTE(TRIM(Input!G660&amp;""),"%","")),0)&lt;1),1,100))</f>
        <v/>
      </c>
      <c r="G660" t="str">
        <f>IF(A660="","",IFERROR(VALUE(SUBSTITUTE(TRIM(Input!H660&amp;""),"%","")),0)/IF(AND(IFERROR(VALUE(SUBSTITUTE(TRIM(Input!H660&amp;""),"%","")),0)&gt;0,IFERROR(VALUE(SUBSTITUTE(TRIM(Input!H660&amp;""),"%","")),0)&lt;1),1,100))</f>
        <v/>
      </c>
      <c r="H660" t="str">
        <f>IF(A660="","",IFERROR(VALUE(SUBSTITUTE(TRIM(Input!I660&amp;""),"%","")),0)/IF(AND(IFERROR(VALUE(SUBSTITUTE(TRIM(Input!I660&amp;""),"%","")),0)&gt;0,IFERROR(VALUE(SUBSTITUTE(TRIM(Input!I660&amp;""),"%","")),0)&lt;1),1,100))</f>
        <v/>
      </c>
    </row>
    <row r="661" spans="1:8">
      <c r="A661" t="str">
        <f>IF(TRIM(Input!B661&amp;"")="","",UPPER(TRIM(Input!B661&amp;"")))</f>
        <v/>
      </c>
      <c r="B661" t="str">
        <f>IF(A661="","",IFERROR(VALUE(RIGHT(TRIM(Input!D661&amp;""),1)),0))</f>
        <v/>
      </c>
      <c r="C661" t="str">
        <f t="shared" si="10"/>
        <v/>
      </c>
      <c r="D661" t="str">
        <f>IF(A661="","",IFERROR(VALUE(SUBSTITUTE(TRIM(Input!E661&amp;""),"%","")),0)/IF(AND(IFERROR(VALUE(SUBSTITUTE(TRIM(Input!E661&amp;""),"%","")),0)&gt;0,IFERROR(VALUE(SUBSTITUTE(TRIM(Input!E661&amp;""),"%","")),0)&lt;1),1,100))</f>
        <v/>
      </c>
      <c r="E661" t="str">
        <f>IF(A661="","",IFERROR(VALUE(SUBSTITUTE(TRIM(Input!F661&amp;""),"%","")),0)/IF(AND(IFERROR(VALUE(SUBSTITUTE(TRIM(Input!F661&amp;""),"%","")),0)&gt;0,IFERROR(VALUE(SUBSTITUTE(TRIM(Input!F661&amp;""),"%","")),0)&lt;1),1,100))</f>
        <v/>
      </c>
      <c r="F661" t="str">
        <f>IF(A661="","",IFERROR(VALUE(SUBSTITUTE(TRIM(Input!G661&amp;""),"%","")),0)/IF(AND(IFERROR(VALUE(SUBSTITUTE(TRIM(Input!G661&amp;""),"%","")),0)&gt;0,IFERROR(VALUE(SUBSTITUTE(TRIM(Input!G661&amp;""),"%","")),0)&lt;1),1,100))</f>
        <v/>
      </c>
      <c r="G661" t="str">
        <f>IF(A661="","",IFERROR(VALUE(SUBSTITUTE(TRIM(Input!H661&amp;""),"%","")),0)/IF(AND(IFERROR(VALUE(SUBSTITUTE(TRIM(Input!H661&amp;""),"%","")),0)&gt;0,IFERROR(VALUE(SUBSTITUTE(TRIM(Input!H661&amp;""),"%","")),0)&lt;1),1,100))</f>
        <v/>
      </c>
      <c r="H661" t="str">
        <f>IF(A661="","",IFERROR(VALUE(SUBSTITUTE(TRIM(Input!I661&amp;""),"%","")),0)/IF(AND(IFERROR(VALUE(SUBSTITUTE(TRIM(Input!I661&amp;""),"%","")),0)&gt;0,IFERROR(VALUE(SUBSTITUTE(TRIM(Input!I661&amp;""),"%","")),0)&lt;1),1,100))</f>
        <v/>
      </c>
    </row>
    <row r="662" spans="1:8">
      <c r="A662" t="str">
        <f>IF(TRIM(Input!B662&amp;"")="","",UPPER(TRIM(Input!B662&amp;"")))</f>
        <v/>
      </c>
      <c r="B662" t="str">
        <f>IF(A662="","",IFERROR(VALUE(RIGHT(TRIM(Input!D662&amp;""),1)),0))</f>
        <v/>
      </c>
      <c r="C662" t="str">
        <f t="shared" si="10"/>
        <v/>
      </c>
      <c r="D662" t="str">
        <f>IF(A662="","",IFERROR(VALUE(SUBSTITUTE(TRIM(Input!E662&amp;""),"%","")),0)/IF(AND(IFERROR(VALUE(SUBSTITUTE(TRIM(Input!E662&amp;""),"%","")),0)&gt;0,IFERROR(VALUE(SUBSTITUTE(TRIM(Input!E662&amp;""),"%","")),0)&lt;1),1,100))</f>
        <v/>
      </c>
      <c r="E662" t="str">
        <f>IF(A662="","",IFERROR(VALUE(SUBSTITUTE(TRIM(Input!F662&amp;""),"%","")),0)/IF(AND(IFERROR(VALUE(SUBSTITUTE(TRIM(Input!F662&amp;""),"%","")),0)&gt;0,IFERROR(VALUE(SUBSTITUTE(TRIM(Input!F662&amp;""),"%","")),0)&lt;1),1,100))</f>
        <v/>
      </c>
      <c r="F662" t="str">
        <f>IF(A662="","",IFERROR(VALUE(SUBSTITUTE(TRIM(Input!G662&amp;""),"%","")),0)/IF(AND(IFERROR(VALUE(SUBSTITUTE(TRIM(Input!G662&amp;""),"%","")),0)&gt;0,IFERROR(VALUE(SUBSTITUTE(TRIM(Input!G662&amp;""),"%","")),0)&lt;1),1,100))</f>
        <v/>
      </c>
      <c r="G662" t="str">
        <f>IF(A662="","",IFERROR(VALUE(SUBSTITUTE(TRIM(Input!H662&amp;""),"%","")),0)/IF(AND(IFERROR(VALUE(SUBSTITUTE(TRIM(Input!H662&amp;""),"%","")),0)&gt;0,IFERROR(VALUE(SUBSTITUTE(TRIM(Input!H662&amp;""),"%","")),0)&lt;1),1,100))</f>
        <v/>
      </c>
      <c r="H662" t="str">
        <f>IF(A662="","",IFERROR(VALUE(SUBSTITUTE(TRIM(Input!I662&amp;""),"%","")),0)/IF(AND(IFERROR(VALUE(SUBSTITUTE(TRIM(Input!I662&amp;""),"%","")),0)&gt;0,IFERROR(VALUE(SUBSTITUTE(TRIM(Input!I662&amp;""),"%","")),0)&lt;1),1,100))</f>
        <v/>
      </c>
    </row>
    <row r="663" spans="1:8">
      <c r="A663" t="str">
        <f>IF(TRIM(Input!B663&amp;"")="","",UPPER(TRIM(Input!B663&amp;"")))</f>
        <v/>
      </c>
      <c r="B663" t="str">
        <f>IF(A663="","",IFERROR(VALUE(RIGHT(TRIM(Input!D663&amp;""),1)),0))</f>
        <v/>
      </c>
      <c r="C663" t="str">
        <f t="shared" si="10"/>
        <v/>
      </c>
      <c r="D663" t="str">
        <f>IF(A663="","",IFERROR(VALUE(SUBSTITUTE(TRIM(Input!E663&amp;""),"%","")),0)/IF(AND(IFERROR(VALUE(SUBSTITUTE(TRIM(Input!E663&amp;""),"%","")),0)&gt;0,IFERROR(VALUE(SUBSTITUTE(TRIM(Input!E663&amp;""),"%","")),0)&lt;1),1,100))</f>
        <v/>
      </c>
      <c r="E663" t="str">
        <f>IF(A663="","",IFERROR(VALUE(SUBSTITUTE(TRIM(Input!F663&amp;""),"%","")),0)/IF(AND(IFERROR(VALUE(SUBSTITUTE(TRIM(Input!F663&amp;""),"%","")),0)&gt;0,IFERROR(VALUE(SUBSTITUTE(TRIM(Input!F663&amp;""),"%","")),0)&lt;1),1,100))</f>
        <v/>
      </c>
      <c r="F663" t="str">
        <f>IF(A663="","",IFERROR(VALUE(SUBSTITUTE(TRIM(Input!G663&amp;""),"%","")),0)/IF(AND(IFERROR(VALUE(SUBSTITUTE(TRIM(Input!G663&amp;""),"%","")),0)&gt;0,IFERROR(VALUE(SUBSTITUTE(TRIM(Input!G663&amp;""),"%","")),0)&lt;1),1,100))</f>
        <v/>
      </c>
      <c r="G663" t="str">
        <f>IF(A663="","",IFERROR(VALUE(SUBSTITUTE(TRIM(Input!H663&amp;""),"%","")),0)/IF(AND(IFERROR(VALUE(SUBSTITUTE(TRIM(Input!H663&amp;""),"%","")),0)&gt;0,IFERROR(VALUE(SUBSTITUTE(TRIM(Input!H663&amp;""),"%","")),0)&lt;1),1,100))</f>
        <v/>
      </c>
      <c r="H663" t="str">
        <f>IF(A663="","",IFERROR(VALUE(SUBSTITUTE(TRIM(Input!I663&amp;""),"%","")),0)/IF(AND(IFERROR(VALUE(SUBSTITUTE(TRIM(Input!I663&amp;""),"%","")),0)&gt;0,IFERROR(VALUE(SUBSTITUTE(TRIM(Input!I663&amp;""),"%","")),0)&lt;1),1,100))</f>
        <v/>
      </c>
    </row>
    <row r="664" spans="1:8">
      <c r="A664" t="str">
        <f>IF(TRIM(Input!B664&amp;"")="","",UPPER(TRIM(Input!B664&amp;"")))</f>
        <v/>
      </c>
      <c r="B664" t="str">
        <f>IF(A664="","",IFERROR(VALUE(RIGHT(TRIM(Input!D664&amp;""),1)),0))</f>
        <v/>
      </c>
      <c r="C664" t="str">
        <f t="shared" si="10"/>
        <v/>
      </c>
      <c r="D664" t="str">
        <f>IF(A664="","",IFERROR(VALUE(SUBSTITUTE(TRIM(Input!E664&amp;""),"%","")),0)/IF(AND(IFERROR(VALUE(SUBSTITUTE(TRIM(Input!E664&amp;""),"%","")),0)&gt;0,IFERROR(VALUE(SUBSTITUTE(TRIM(Input!E664&amp;""),"%","")),0)&lt;1),1,100))</f>
        <v/>
      </c>
      <c r="E664" t="str">
        <f>IF(A664="","",IFERROR(VALUE(SUBSTITUTE(TRIM(Input!F664&amp;""),"%","")),0)/IF(AND(IFERROR(VALUE(SUBSTITUTE(TRIM(Input!F664&amp;""),"%","")),0)&gt;0,IFERROR(VALUE(SUBSTITUTE(TRIM(Input!F664&amp;""),"%","")),0)&lt;1),1,100))</f>
        <v/>
      </c>
      <c r="F664" t="str">
        <f>IF(A664="","",IFERROR(VALUE(SUBSTITUTE(TRIM(Input!G664&amp;""),"%","")),0)/IF(AND(IFERROR(VALUE(SUBSTITUTE(TRIM(Input!G664&amp;""),"%","")),0)&gt;0,IFERROR(VALUE(SUBSTITUTE(TRIM(Input!G664&amp;""),"%","")),0)&lt;1),1,100))</f>
        <v/>
      </c>
      <c r="G664" t="str">
        <f>IF(A664="","",IFERROR(VALUE(SUBSTITUTE(TRIM(Input!H664&amp;""),"%","")),0)/IF(AND(IFERROR(VALUE(SUBSTITUTE(TRIM(Input!H664&amp;""),"%","")),0)&gt;0,IFERROR(VALUE(SUBSTITUTE(TRIM(Input!H664&amp;""),"%","")),0)&lt;1),1,100))</f>
        <v/>
      </c>
      <c r="H664" t="str">
        <f>IF(A664="","",IFERROR(VALUE(SUBSTITUTE(TRIM(Input!I664&amp;""),"%","")),0)/IF(AND(IFERROR(VALUE(SUBSTITUTE(TRIM(Input!I664&amp;""),"%","")),0)&gt;0,IFERROR(VALUE(SUBSTITUTE(TRIM(Input!I664&amp;""),"%","")),0)&lt;1),1,100))</f>
        <v/>
      </c>
    </row>
    <row r="665" spans="1:8">
      <c r="A665" t="str">
        <f>IF(TRIM(Input!B665&amp;"")="","",UPPER(TRIM(Input!B665&amp;"")))</f>
        <v/>
      </c>
      <c r="B665" t="str">
        <f>IF(A665="","",IFERROR(VALUE(RIGHT(TRIM(Input!D665&amp;""),1)),0))</f>
        <v/>
      </c>
      <c r="C665" t="str">
        <f t="shared" si="10"/>
        <v/>
      </c>
      <c r="D665" t="str">
        <f>IF(A665="","",IFERROR(VALUE(SUBSTITUTE(TRIM(Input!E665&amp;""),"%","")),0)/IF(AND(IFERROR(VALUE(SUBSTITUTE(TRIM(Input!E665&amp;""),"%","")),0)&gt;0,IFERROR(VALUE(SUBSTITUTE(TRIM(Input!E665&amp;""),"%","")),0)&lt;1),1,100))</f>
        <v/>
      </c>
      <c r="E665" t="str">
        <f>IF(A665="","",IFERROR(VALUE(SUBSTITUTE(TRIM(Input!F665&amp;""),"%","")),0)/IF(AND(IFERROR(VALUE(SUBSTITUTE(TRIM(Input!F665&amp;""),"%","")),0)&gt;0,IFERROR(VALUE(SUBSTITUTE(TRIM(Input!F665&amp;""),"%","")),0)&lt;1),1,100))</f>
        <v/>
      </c>
      <c r="F665" t="str">
        <f>IF(A665="","",IFERROR(VALUE(SUBSTITUTE(TRIM(Input!G665&amp;""),"%","")),0)/IF(AND(IFERROR(VALUE(SUBSTITUTE(TRIM(Input!G665&amp;""),"%","")),0)&gt;0,IFERROR(VALUE(SUBSTITUTE(TRIM(Input!G665&amp;""),"%","")),0)&lt;1),1,100))</f>
        <v/>
      </c>
      <c r="G665" t="str">
        <f>IF(A665="","",IFERROR(VALUE(SUBSTITUTE(TRIM(Input!H665&amp;""),"%","")),0)/IF(AND(IFERROR(VALUE(SUBSTITUTE(TRIM(Input!H665&amp;""),"%","")),0)&gt;0,IFERROR(VALUE(SUBSTITUTE(TRIM(Input!H665&amp;""),"%","")),0)&lt;1),1,100))</f>
        <v/>
      </c>
      <c r="H665" t="str">
        <f>IF(A665="","",IFERROR(VALUE(SUBSTITUTE(TRIM(Input!I665&amp;""),"%","")),0)/IF(AND(IFERROR(VALUE(SUBSTITUTE(TRIM(Input!I665&amp;""),"%","")),0)&gt;0,IFERROR(VALUE(SUBSTITUTE(TRIM(Input!I665&amp;""),"%","")),0)&lt;1),1,100))</f>
        <v/>
      </c>
    </row>
    <row r="666" spans="1:8">
      <c r="A666" t="str">
        <f>IF(TRIM(Input!B666&amp;"")="","",UPPER(TRIM(Input!B666&amp;"")))</f>
        <v/>
      </c>
      <c r="B666" t="str">
        <f>IF(A666="","",IFERROR(VALUE(RIGHT(TRIM(Input!D666&amp;""),1)),0))</f>
        <v/>
      </c>
      <c r="C666" t="str">
        <f t="shared" si="10"/>
        <v/>
      </c>
      <c r="D666" t="str">
        <f>IF(A666="","",IFERROR(VALUE(SUBSTITUTE(TRIM(Input!E666&amp;""),"%","")),0)/IF(AND(IFERROR(VALUE(SUBSTITUTE(TRIM(Input!E666&amp;""),"%","")),0)&gt;0,IFERROR(VALUE(SUBSTITUTE(TRIM(Input!E666&amp;""),"%","")),0)&lt;1),1,100))</f>
        <v/>
      </c>
      <c r="E666" t="str">
        <f>IF(A666="","",IFERROR(VALUE(SUBSTITUTE(TRIM(Input!F666&amp;""),"%","")),0)/IF(AND(IFERROR(VALUE(SUBSTITUTE(TRIM(Input!F666&amp;""),"%","")),0)&gt;0,IFERROR(VALUE(SUBSTITUTE(TRIM(Input!F666&amp;""),"%","")),0)&lt;1),1,100))</f>
        <v/>
      </c>
      <c r="F666" t="str">
        <f>IF(A666="","",IFERROR(VALUE(SUBSTITUTE(TRIM(Input!G666&amp;""),"%","")),0)/IF(AND(IFERROR(VALUE(SUBSTITUTE(TRIM(Input!G666&amp;""),"%","")),0)&gt;0,IFERROR(VALUE(SUBSTITUTE(TRIM(Input!G666&amp;""),"%","")),0)&lt;1),1,100))</f>
        <v/>
      </c>
      <c r="G666" t="str">
        <f>IF(A666="","",IFERROR(VALUE(SUBSTITUTE(TRIM(Input!H666&amp;""),"%","")),0)/IF(AND(IFERROR(VALUE(SUBSTITUTE(TRIM(Input!H666&amp;""),"%","")),0)&gt;0,IFERROR(VALUE(SUBSTITUTE(TRIM(Input!H666&amp;""),"%","")),0)&lt;1),1,100))</f>
        <v/>
      </c>
      <c r="H666" t="str">
        <f>IF(A666="","",IFERROR(VALUE(SUBSTITUTE(TRIM(Input!I666&amp;""),"%","")),0)/IF(AND(IFERROR(VALUE(SUBSTITUTE(TRIM(Input!I666&amp;""),"%","")),0)&gt;0,IFERROR(VALUE(SUBSTITUTE(TRIM(Input!I666&amp;""),"%","")),0)&lt;1),1,100))</f>
        <v/>
      </c>
    </row>
    <row r="667" spans="1:8">
      <c r="A667" t="str">
        <f>IF(TRIM(Input!B667&amp;"")="","",UPPER(TRIM(Input!B667&amp;"")))</f>
        <v/>
      </c>
      <c r="B667" t="str">
        <f>IF(A667="","",IFERROR(VALUE(RIGHT(TRIM(Input!D667&amp;""),1)),0))</f>
        <v/>
      </c>
      <c r="C667" t="str">
        <f t="shared" si="10"/>
        <v/>
      </c>
      <c r="D667" t="str">
        <f>IF(A667="","",IFERROR(VALUE(SUBSTITUTE(TRIM(Input!E667&amp;""),"%","")),0)/IF(AND(IFERROR(VALUE(SUBSTITUTE(TRIM(Input!E667&amp;""),"%","")),0)&gt;0,IFERROR(VALUE(SUBSTITUTE(TRIM(Input!E667&amp;""),"%","")),0)&lt;1),1,100))</f>
        <v/>
      </c>
      <c r="E667" t="str">
        <f>IF(A667="","",IFERROR(VALUE(SUBSTITUTE(TRIM(Input!F667&amp;""),"%","")),0)/IF(AND(IFERROR(VALUE(SUBSTITUTE(TRIM(Input!F667&amp;""),"%","")),0)&gt;0,IFERROR(VALUE(SUBSTITUTE(TRIM(Input!F667&amp;""),"%","")),0)&lt;1),1,100))</f>
        <v/>
      </c>
      <c r="F667" t="str">
        <f>IF(A667="","",IFERROR(VALUE(SUBSTITUTE(TRIM(Input!G667&amp;""),"%","")),0)/IF(AND(IFERROR(VALUE(SUBSTITUTE(TRIM(Input!G667&amp;""),"%","")),0)&gt;0,IFERROR(VALUE(SUBSTITUTE(TRIM(Input!G667&amp;""),"%","")),0)&lt;1),1,100))</f>
        <v/>
      </c>
      <c r="G667" t="str">
        <f>IF(A667="","",IFERROR(VALUE(SUBSTITUTE(TRIM(Input!H667&amp;""),"%","")),0)/IF(AND(IFERROR(VALUE(SUBSTITUTE(TRIM(Input!H667&amp;""),"%","")),0)&gt;0,IFERROR(VALUE(SUBSTITUTE(TRIM(Input!H667&amp;""),"%","")),0)&lt;1),1,100))</f>
        <v/>
      </c>
      <c r="H667" t="str">
        <f>IF(A667="","",IFERROR(VALUE(SUBSTITUTE(TRIM(Input!I667&amp;""),"%","")),0)/IF(AND(IFERROR(VALUE(SUBSTITUTE(TRIM(Input!I667&amp;""),"%","")),0)&gt;0,IFERROR(VALUE(SUBSTITUTE(TRIM(Input!I667&amp;""),"%","")),0)&lt;1),1,100))</f>
        <v/>
      </c>
    </row>
    <row r="668" spans="1:8">
      <c r="A668" t="str">
        <f>IF(TRIM(Input!B668&amp;"")="","",UPPER(TRIM(Input!B668&amp;"")))</f>
        <v/>
      </c>
      <c r="B668" t="str">
        <f>IF(A668="","",IFERROR(VALUE(RIGHT(TRIM(Input!D668&amp;""),1)),0))</f>
        <v/>
      </c>
      <c r="C668" t="str">
        <f t="shared" si="10"/>
        <v/>
      </c>
      <c r="D668" t="str">
        <f>IF(A668="","",IFERROR(VALUE(SUBSTITUTE(TRIM(Input!E668&amp;""),"%","")),0)/IF(AND(IFERROR(VALUE(SUBSTITUTE(TRIM(Input!E668&amp;""),"%","")),0)&gt;0,IFERROR(VALUE(SUBSTITUTE(TRIM(Input!E668&amp;""),"%","")),0)&lt;1),1,100))</f>
        <v/>
      </c>
      <c r="E668" t="str">
        <f>IF(A668="","",IFERROR(VALUE(SUBSTITUTE(TRIM(Input!F668&amp;""),"%","")),0)/IF(AND(IFERROR(VALUE(SUBSTITUTE(TRIM(Input!F668&amp;""),"%","")),0)&gt;0,IFERROR(VALUE(SUBSTITUTE(TRIM(Input!F668&amp;""),"%","")),0)&lt;1),1,100))</f>
        <v/>
      </c>
      <c r="F668" t="str">
        <f>IF(A668="","",IFERROR(VALUE(SUBSTITUTE(TRIM(Input!G668&amp;""),"%","")),0)/IF(AND(IFERROR(VALUE(SUBSTITUTE(TRIM(Input!G668&amp;""),"%","")),0)&gt;0,IFERROR(VALUE(SUBSTITUTE(TRIM(Input!G668&amp;""),"%","")),0)&lt;1),1,100))</f>
        <v/>
      </c>
      <c r="G668" t="str">
        <f>IF(A668="","",IFERROR(VALUE(SUBSTITUTE(TRIM(Input!H668&amp;""),"%","")),0)/IF(AND(IFERROR(VALUE(SUBSTITUTE(TRIM(Input!H668&amp;""),"%","")),0)&gt;0,IFERROR(VALUE(SUBSTITUTE(TRIM(Input!H668&amp;""),"%","")),0)&lt;1),1,100))</f>
        <v/>
      </c>
      <c r="H668" t="str">
        <f>IF(A668="","",IFERROR(VALUE(SUBSTITUTE(TRIM(Input!I668&amp;""),"%","")),0)/IF(AND(IFERROR(VALUE(SUBSTITUTE(TRIM(Input!I668&amp;""),"%","")),0)&gt;0,IFERROR(VALUE(SUBSTITUTE(TRIM(Input!I668&amp;""),"%","")),0)&lt;1),1,100))</f>
        <v/>
      </c>
    </row>
    <row r="669" spans="1:8">
      <c r="A669" t="str">
        <f>IF(TRIM(Input!B669&amp;"")="","",UPPER(TRIM(Input!B669&amp;"")))</f>
        <v/>
      </c>
      <c r="B669" t="str">
        <f>IF(A669="","",IFERROR(VALUE(RIGHT(TRIM(Input!D669&amp;""),1)),0))</f>
        <v/>
      </c>
      <c r="C669" t="str">
        <f t="shared" si="10"/>
        <v/>
      </c>
      <c r="D669" t="str">
        <f>IF(A669="","",IFERROR(VALUE(SUBSTITUTE(TRIM(Input!E669&amp;""),"%","")),0)/IF(AND(IFERROR(VALUE(SUBSTITUTE(TRIM(Input!E669&amp;""),"%","")),0)&gt;0,IFERROR(VALUE(SUBSTITUTE(TRIM(Input!E669&amp;""),"%","")),0)&lt;1),1,100))</f>
        <v/>
      </c>
      <c r="E669" t="str">
        <f>IF(A669="","",IFERROR(VALUE(SUBSTITUTE(TRIM(Input!F669&amp;""),"%","")),0)/IF(AND(IFERROR(VALUE(SUBSTITUTE(TRIM(Input!F669&amp;""),"%","")),0)&gt;0,IFERROR(VALUE(SUBSTITUTE(TRIM(Input!F669&amp;""),"%","")),0)&lt;1),1,100))</f>
        <v/>
      </c>
      <c r="F669" t="str">
        <f>IF(A669="","",IFERROR(VALUE(SUBSTITUTE(TRIM(Input!G669&amp;""),"%","")),0)/IF(AND(IFERROR(VALUE(SUBSTITUTE(TRIM(Input!G669&amp;""),"%","")),0)&gt;0,IFERROR(VALUE(SUBSTITUTE(TRIM(Input!G669&amp;""),"%","")),0)&lt;1),1,100))</f>
        <v/>
      </c>
      <c r="G669" t="str">
        <f>IF(A669="","",IFERROR(VALUE(SUBSTITUTE(TRIM(Input!H669&amp;""),"%","")),0)/IF(AND(IFERROR(VALUE(SUBSTITUTE(TRIM(Input!H669&amp;""),"%","")),0)&gt;0,IFERROR(VALUE(SUBSTITUTE(TRIM(Input!H669&amp;""),"%","")),0)&lt;1),1,100))</f>
        <v/>
      </c>
      <c r="H669" t="str">
        <f>IF(A669="","",IFERROR(VALUE(SUBSTITUTE(TRIM(Input!I669&amp;""),"%","")),0)/IF(AND(IFERROR(VALUE(SUBSTITUTE(TRIM(Input!I669&amp;""),"%","")),0)&gt;0,IFERROR(VALUE(SUBSTITUTE(TRIM(Input!I669&amp;""),"%","")),0)&lt;1),1,100))</f>
        <v/>
      </c>
    </row>
    <row r="670" spans="1:8">
      <c r="A670" t="str">
        <f>IF(TRIM(Input!B670&amp;"")="","",UPPER(TRIM(Input!B670&amp;"")))</f>
        <v/>
      </c>
      <c r="B670" t="str">
        <f>IF(A670="","",IFERROR(VALUE(RIGHT(TRIM(Input!D670&amp;""),1)),0))</f>
        <v/>
      </c>
      <c r="C670" t="str">
        <f t="shared" si="10"/>
        <v/>
      </c>
      <c r="D670" t="str">
        <f>IF(A670="","",IFERROR(VALUE(SUBSTITUTE(TRIM(Input!E670&amp;""),"%","")),0)/IF(AND(IFERROR(VALUE(SUBSTITUTE(TRIM(Input!E670&amp;""),"%","")),0)&gt;0,IFERROR(VALUE(SUBSTITUTE(TRIM(Input!E670&amp;""),"%","")),0)&lt;1),1,100))</f>
        <v/>
      </c>
      <c r="E670" t="str">
        <f>IF(A670="","",IFERROR(VALUE(SUBSTITUTE(TRIM(Input!F670&amp;""),"%","")),0)/IF(AND(IFERROR(VALUE(SUBSTITUTE(TRIM(Input!F670&amp;""),"%","")),0)&gt;0,IFERROR(VALUE(SUBSTITUTE(TRIM(Input!F670&amp;""),"%","")),0)&lt;1),1,100))</f>
        <v/>
      </c>
      <c r="F670" t="str">
        <f>IF(A670="","",IFERROR(VALUE(SUBSTITUTE(TRIM(Input!G670&amp;""),"%","")),0)/IF(AND(IFERROR(VALUE(SUBSTITUTE(TRIM(Input!G670&amp;""),"%","")),0)&gt;0,IFERROR(VALUE(SUBSTITUTE(TRIM(Input!G670&amp;""),"%","")),0)&lt;1),1,100))</f>
        <v/>
      </c>
      <c r="G670" t="str">
        <f>IF(A670="","",IFERROR(VALUE(SUBSTITUTE(TRIM(Input!H670&amp;""),"%","")),0)/IF(AND(IFERROR(VALUE(SUBSTITUTE(TRIM(Input!H670&amp;""),"%","")),0)&gt;0,IFERROR(VALUE(SUBSTITUTE(TRIM(Input!H670&amp;""),"%","")),0)&lt;1),1,100))</f>
        <v/>
      </c>
      <c r="H670" t="str">
        <f>IF(A670="","",IFERROR(VALUE(SUBSTITUTE(TRIM(Input!I670&amp;""),"%","")),0)/IF(AND(IFERROR(VALUE(SUBSTITUTE(TRIM(Input!I670&amp;""),"%","")),0)&gt;0,IFERROR(VALUE(SUBSTITUTE(TRIM(Input!I670&amp;""),"%","")),0)&lt;1),1,100))</f>
        <v/>
      </c>
    </row>
    <row r="671" spans="1:8">
      <c r="A671" t="str">
        <f>IF(TRIM(Input!B671&amp;"")="","",UPPER(TRIM(Input!B671&amp;"")))</f>
        <v/>
      </c>
      <c r="B671" t="str">
        <f>IF(A671="","",IFERROR(VALUE(RIGHT(TRIM(Input!D671&amp;""),1)),0))</f>
        <v/>
      </c>
      <c r="C671" t="str">
        <f t="shared" si="10"/>
        <v/>
      </c>
      <c r="D671" t="str">
        <f>IF(A671="","",IFERROR(VALUE(SUBSTITUTE(TRIM(Input!E671&amp;""),"%","")),0)/IF(AND(IFERROR(VALUE(SUBSTITUTE(TRIM(Input!E671&amp;""),"%","")),0)&gt;0,IFERROR(VALUE(SUBSTITUTE(TRIM(Input!E671&amp;""),"%","")),0)&lt;1),1,100))</f>
        <v/>
      </c>
      <c r="E671" t="str">
        <f>IF(A671="","",IFERROR(VALUE(SUBSTITUTE(TRIM(Input!F671&amp;""),"%","")),0)/IF(AND(IFERROR(VALUE(SUBSTITUTE(TRIM(Input!F671&amp;""),"%","")),0)&gt;0,IFERROR(VALUE(SUBSTITUTE(TRIM(Input!F671&amp;""),"%","")),0)&lt;1),1,100))</f>
        <v/>
      </c>
      <c r="F671" t="str">
        <f>IF(A671="","",IFERROR(VALUE(SUBSTITUTE(TRIM(Input!G671&amp;""),"%","")),0)/IF(AND(IFERROR(VALUE(SUBSTITUTE(TRIM(Input!G671&amp;""),"%","")),0)&gt;0,IFERROR(VALUE(SUBSTITUTE(TRIM(Input!G671&amp;""),"%","")),0)&lt;1),1,100))</f>
        <v/>
      </c>
      <c r="G671" t="str">
        <f>IF(A671="","",IFERROR(VALUE(SUBSTITUTE(TRIM(Input!H671&amp;""),"%","")),0)/IF(AND(IFERROR(VALUE(SUBSTITUTE(TRIM(Input!H671&amp;""),"%","")),0)&gt;0,IFERROR(VALUE(SUBSTITUTE(TRIM(Input!H671&amp;""),"%","")),0)&lt;1),1,100))</f>
        <v/>
      </c>
      <c r="H671" t="str">
        <f>IF(A671="","",IFERROR(VALUE(SUBSTITUTE(TRIM(Input!I671&amp;""),"%","")),0)/IF(AND(IFERROR(VALUE(SUBSTITUTE(TRIM(Input!I671&amp;""),"%","")),0)&gt;0,IFERROR(VALUE(SUBSTITUTE(TRIM(Input!I671&amp;""),"%","")),0)&lt;1),1,100))</f>
        <v/>
      </c>
    </row>
    <row r="672" spans="1:8">
      <c r="A672" t="str">
        <f>IF(TRIM(Input!B672&amp;"")="","",UPPER(TRIM(Input!B672&amp;"")))</f>
        <v/>
      </c>
      <c r="B672" t="str">
        <f>IF(A672="","",IFERROR(VALUE(RIGHT(TRIM(Input!D672&amp;""),1)),0))</f>
        <v/>
      </c>
      <c r="C672" t="str">
        <f t="shared" si="10"/>
        <v/>
      </c>
      <c r="D672" t="str">
        <f>IF(A672="","",IFERROR(VALUE(SUBSTITUTE(TRIM(Input!E672&amp;""),"%","")),0)/IF(AND(IFERROR(VALUE(SUBSTITUTE(TRIM(Input!E672&amp;""),"%","")),0)&gt;0,IFERROR(VALUE(SUBSTITUTE(TRIM(Input!E672&amp;""),"%","")),0)&lt;1),1,100))</f>
        <v/>
      </c>
      <c r="E672" t="str">
        <f>IF(A672="","",IFERROR(VALUE(SUBSTITUTE(TRIM(Input!F672&amp;""),"%","")),0)/IF(AND(IFERROR(VALUE(SUBSTITUTE(TRIM(Input!F672&amp;""),"%","")),0)&gt;0,IFERROR(VALUE(SUBSTITUTE(TRIM(Input!F672&amp;""),"%","")),0)&lt;1),1,100))</f>
        <v/>
      </c>
      <c r="F672" t="str">
        <f>IF(A672="","",IFERROR(VALUE(SUBSTITUTE(TRIM(Input!G672&amp;""),"%","")),0)/IF(AND(IFERROR(VALUE(SUBSTITUTE(TRIM(Input!G672&amp;""),"%","")),0)&gt;0,IFERROR(VALUE(SUBSTITUTE(TRIM(Input!G672&amp;""),"%","")),0)&lt;1),1,100))</f>
        <v/>
      </c>
      <c r="G672" t="str">
        <f>IF(A672="","",IFERROR(VALUE(SUBSTITUTE(TRIM(Input!H672&amp;""),"%","")),0)/IF(AND(IFERROR(VALUE(SUBSTITUTE(TRIM(Input!H672&amp;""),"%","")),0)&gt;0,IFERROR(VALUE(SUBSTITUTE(TRIM(Input!H672&amp;""),"%","")),0)&lt;1),1,100))</f>
        <v/>
      </c>
      <c r="H672" t="str">
        <f>IF(A672="","",IFERROR(VALUE(SUBSTITUTE(TRIM(Input!I672&amp;""),"%","")),0)/IF(AND(IFERROR(VALUE(SUBSTITUTE(TRIM(Input!I672&amp;""),"%","")),0)&gt;0,IFERROR(VALUE(SUBSTITUTE(TRIM(Input!I672&amp;""),"%","")),0)&lt;1),1,100))</f>
        <v/>
      </c>
    </row>
    <row r="673" spans="1:8">
      <c r="A673" t="str">
        <f>IF(TRIM(Input!B673&amp;"")="","",UPPER(TRIM(Input!B673&amp;"")))</f>
        <v/>
      </c>
      <c r="B673" t="str">
        <f>IF(A673="","",IFERROR(VALUE(RIGHT(TRIM(Input!D673&amp;""),1)),0))</f>
        <v/>
      </c>
      <c r="C673" t="str">
        <f t="shared" si="10"/>
        <v/>
      </c>
      <c r="D673" t="str">
        <f>IF(A673="","",IFERROR(VALUE(SUBSTITUTE(TRIM(Input!E673&amp;""),"%","")),0)/IF(AND(IFERROR(VALUE(SUBSTITUTE(TRIM(Input!E673&amp;""),"%","")),0)&gt;0,IFERROR(VALUE(SUBSTITUTE(TRIM(Input!E673&amp;""),"%","")),0)&lt;1),1,100))</f>
        <v/>
      </c>
      <c r="E673" t="str">
        <f>IF(A673="","",IFERROR(VALUE(SUBSTITUTE(TRIM(Input!F673&amp;""),"%","")),0)/IF(AND(IFERROR(VALUE(SUBSTITUTE(TRIM(Input!F673&amp;""),"%","")),0)&gt;0,IFERROR(VALUE(SUBSTITUTE(TRIM(Input!F673&amp;""),"%","")),0)&lt;1),1,100))</f>
        <v/>
      </c>
      <c r="F673" t="str">
        <f>IF(A673="","",IFERROR(VALUE(SUBSTITUTE(TRIM(Input!G673&amp;""),"%","")),0)/IF(AND(IFERROR(VALUE(SUBSTITUTE(TRIM(Input!G673&amp;""),"%","")),0)&gt;0,IFERROR(VALUE(SUBSTITUTE(TRIM(Input!G673&amp;""),"%","")),0)&lt;1),1,100))</f>
        <v/>
      </c>
      <c r="G673" t="str">
        <f>IF(A673="","",IFERROR(VALUE(SUBSTITUTE(TRIM(Input!H673&amp;""),"%","")),0)/IF(AND(IFERROR(VALUE(SUBSTITUTE(TRIM(Input!H673&amp;""),"%","")),0)&gt;0,IFERROR(VALUE(SUBSTITUTE(TRIM(Input!H673&amp;""),"%","")),0)&lt;1),1,100))</f>
        <v/>
      </c>
      <c r="H673" t="str">
        <f>IF(A673="","",IFERROR(VALUE(SUBSTITUTE(TRIM(Input!I673&amp;""),"%","")),0)/IF(AND(IFERROR(VALUE(SUBSTITUTE(TRIM(Input!I673&amp;""),"%","")),0)&gt;0,IFERROR(VALUE(SUBSTITUTE(TRIM(Input!I673&amp;""),"%","")),0)&lt;1),1,100))</f>
        <v/>
      </c>
    </row>
    <row r="674" spans="1:8">
      <c r="A674" t="str">
        <f>IF(TRIM(Input!B674&amp;"")="","",UPPER(TRIM(Input!B674&amp;"")))</f>
        <v/>
      </c>
      <c r="B674" t="str">
        <f>IF(A674="","",IFERROR(VALUE(RIGHT(TRIM(Input!D674&amp;""),1)),0))</f>
        <v/>
      </c>
      <c r="C674" t="str">
        <f t="shared" si="10"/>
        <v/>
      </c>
      <c r="D674" t="str">
        <f>IF(A674="","",IFERROR(VALUE(SUBSTITUTE(TRIM(Input!E674&amp;""),"%","")),0)/IF(AND(IFERROR(VALUE(SUBSTITUTE(TRIM(Input!E674&amp;""),"%","")),0)&gt;0,IFERROR(VALUE(SUBSTITUTE(TRIM(Input!E674&amp;""),"%","")),0)&lt;1),1,100))</f>
        <v/>
      </c>
      <c r="E674" t="str">
        <f>IF(A674="","",IFERROR(VALUE(SUBSTITUTE(TRIM(Input!F674&amp;""),"%","")),0)/IF(AND(IFERROR(VALUE(SUBSTITUTE(TRIM(Input!F674&amp;""),"%","")),0)&gt;0,IFERROR(VALUE(SUBSTITUTE(TRIM(Input!F674&amp;""),"%","")),0)&lt;1),1,100))</f>
        <v/>
      </c>
      <c r="F674" t="str">
        <f>IF(A674="","",IFERROR(VALUE(SUBSTITUTE(TRIM(Input!G674&amp;""),"%","")),0)/IF(AND(IFERROR(VALUE(SUBSTITUTE(TRIM(Input!G674&amp;""),"%","")),0)&gt;0,IFERROR(VALUE(SUBSTITUTE(TRIM(Input!G674&amp;""),"%","")),0)&lt;1),1,100))</f>
        <v/>
      </c>
      <c r="G674" t="str">
        <f>IF(A674="","",IFERROR(VALUE(SUBSTITUTE(TRIM(Input!H674&amp;""),"%","")),0)/IF(AND(IFERROR(VALUE(SUBSTITUTE(TRIM(Input!H674&amp;""),"%","")),0)&gt;0,IFERROR(VALUE(SUBSTITUTE(TRIM(Input!H674&amp;""),"%","")),0)&lt;1),1,100))</f>
        <v/>
      </c>
      <c r="H674" t="str">
        <f>IF(A674="","",IFERROR(VALUE(SUBSTITUTE(TRIM(Input!I674&amp;""),"%","")),0)/IF(AND(IFERROR(VALUE(SUBSTITUTE(TRIM(Input!I674&amp;""),"%","")),0)&gt;0,IFERROR(VALUE(SUBSTITUTE(TRIM(Input!I674&amp;""),"%","")),0)&lt;1),1,100))</f>
        <v/>
      </c>
    </row>
    <row r="675" spans="1:8">
      <c r="A675" t="str">
        <f>IF(TRIM(Input!B675&amp;"")="","",UPPER(TRIM(Input!B675&amp;"")))</f>
        <v/>
      </c>
      <c r="B675" t="str">
        <f>IF(A675="","",IFERROR(VALUE(RIGHT(TRIM(Input!D675&amp;""),1)),0))</f>
        <v/>
      </c>
      <c r="C675" t="str">
        <f t="shared" si="10"/>
        <v/>
      </c>
      <c r="D675" t="str">
        <f>IF(A675="","",IFERROR(VALUE(SUBSTITUTE(TRIM(Input!E675&amp;""),"%","")),0)/IF(AND(IFERROR(VALUE(SUBSTITUTE(TRIM(Input!E675&amp;""),"%","")),0)&gt;0,IFERROR(VALUE(SUBSTITUTE(TRIM(Input!E675&amp;""),"%","")),0)&lt;1),1,100))</f>
        <v/>
      </c>
      <c r="E675" t="str">
        <f>IF(A675="","",IFERROR(VALUE(SUBSTITUTE(TRIM(Input!F675&amp;""),"%","")),0)/IF(AND(IFERROR(VALUE(SUBSTITUTE(TRIM(Input!F675&amp;""),"%","")),0)&gt;0,IFERROR(VALUE(SUBSTITUTE(TRIM(Input!F675&amp;""),"%","")),0)&lt;1),1,100))</f>
        <v/>
      </c>
      <c r="F675" t="str">
        <f>IF(A675="","",IFERROR(VALUE(SUBSTITUTE(TRIM(Input!G675&amp;""),"%","")),0)/IF(AND(IFERROR(VALUE(SUBSTITUTE(TRIM(Input!G675&amp;""),"%","")),0)&gt;0,IFERROR(VALUE(SUBSTITUTE(TRIM(Input!G675&amp;""),"%","")),0)&lt;1),1,100))</f>
        <v/>
      </c>
      <c r="G675" t="str">
        <f>IF(A675="","",IFERROR(VALUE(SUBSTITUTE(TRIM(Input!H675&amp;""),"%","")),0)/IF(AND(IFERROR(VALUE(SUBSTITUTE(TRIM(Input!H675&amp;""),"%","")),0)&gt;0,IFERROR(VALUE(SUBSTITUTE(TRIM(Input!H675&amp;""),"%","")),0)&lt;1),1,100))</f>
        <v/>
      </c>
      <c r="H675" t="str">
        <f>IF(A675="","",IFERROR(VALUE(SUBSTITUTE(TRIM(Input!I675&amp;""),"%","")),0)/IF(AND(IFERROR(VALUE(SUBSTITUTE(TRIM(Input!I675&amp;""),"%","")),0)&gt;0,IFERROR(VALUE(SUBSTITUTE(TRIM(Input!I675&amp;""),"%","")),0)&lt;1),1,100))</f>
        <v/>
      </c>
    </row>
    <row r="676" spans="1:8">
      <c r="A676" t="str">
        <f>IF(TRIM(Input!B676&amp;"")="","",UPPER(TRIM(Input!B676&amp;"")))</f>
        <v/>
      </c>
      <c r="B676" t="str">
        <f>IF(A676="","",IFERROR(VALUE(RIGHT(TRIM(Input!D676&amp;""),1)),0))</f>
        <v/>
      </c>
      <c r="C676" t="str">
        <f t="shared" si="10"/>
        <v/>
      </c>
      <c r="D676" t="str">
        <f>IF(A676="","",IFERROR(VALUE(SUBSTITUTE(TRIM(Input!E676&amp;""),"%","")),0)/IF(AND(IFERROR(VALUE(SUBSTITUTE(TRIM(Input!E676&amp;""),"%","")),0)&gt;0,IFERROR(VALUE(SUBSTITUTE(TRIM(Input!E676&amp;""),"%","")),0)&lt;1),1,100))</f>
        <v/>
      </c>
      <c r="E676" t="str">
        <f>IF(A676="","",IFERROR(VALUE(SUBSTITUTE(TRIM(Input!F676&amp;""),"%","")),0)/IF(AND(IFERROR(VALUE(SUBSTITUTE(TRIM(Input!F676&amp;""),"%","")),0)&gt;0,IFERROR(VALUE(SUBSTITUTE(TRIM(Input!F676&amp;""),"%","")),0)&lt;1),1,100))</f>
        <v/>
      </c>
      <c r="F676" t="str">
        <f>IF(A676="","",IFERROR(VALUE(SUBSTITUTE(TRIM(Input!G676&amp;""),"%","")),0)/IF(AND(IFERROR(VALUE(SUBSTITUTE(TRIM(Input!G676&amp;""),"%","")),0)&gt;0,IFERROR(VALUE(SUBSTITUTE(TRIM(Input!G676&amp;""),"%","")),0)&lt;1),1,100))</f>
        <v/>
      </c>
      <c r="G676" t="str">
        <f>IF(A676="","",IFERROR(VALUE(SUBSTITUTE(TRIM(Input!H676&amp;""),"%","")),0)/IF(AND(IFERROR(VALUE(SUBSTITUTE(TRIM(Input!H676&amp;""),"%","")),0)&gt;0,IFERROR(VALUE(SUBSTITUTE(TRIM(Input!H676&amp;""),"%","")),0)&lt;1),1,100))</f>
        <v/>
      </c>
      <c r="H676" t="str">
        <f>IF(A676="","",IFERROR(VALUE(SUBSTITUTE(TRIM(Input!I676&amp;""),"%","")),0)/IF(AND(IFERROR(VALUE(SUBSTITUTE(TRIM(Input!I676&amp;""),"%","")),0)&gt;0,IFERROR(VALUE(SUBSTITUTE(TRIM(Input!I676&amp;""),"%","")),0)&lt;1),1,100))</f>
        <v/>
      </c>
    </row>
    <row r="677" spans="1:8">
      <c r="A677" t="str">
        <f>IF(TRIM(Input!B677&amp;"")="","",UPPER(TRIM(Input!B677&amp;"")))</f>
        <v/>
      </c>
      <c r="B677" t="str">
        <f>IF(A677="","",IFERROR(VALUE(RIGHT(TRIM(Input!D677&amp;""),1)),0))</f>
        <v/>
      </c>
      <c r="C677" t="str">
        <f t="shared" si="10"/>
        <v/>
      </c>
      <c r="D677" t="str">
        <f>IF(A677="","",IFERROR(VALUE(SUBSTITUTE(TRIM(Input!E677&amp;""),"%","")),0)/IF(AND(IFERROR(VALUE(SUBSTITUTE(TRIM(Input!E677&amp;""),"%","")),0)&gt;0,IFERROR(VALUE(SUBSTITUTE(TRIM(Input!E677&amp;""),"%","")),0)&lt;1),1,100))</f>
        <v/>
      </c>
      <c r="E677" t="str">
        <f>IF(A677="","",IFERROR(VALUE(SUBSTITUTE(TRIM(Input!F677&amp;""),"%","")),0)/IF(AND(IFERROR(VALUE(SUBSTITUTE(TRIM(Input!F677&amp;""),"%","")),0)&gt;0,IFERROR(VALUE(SUBSTITUTE(TRIM(Input!F677&amp;""),"%","")),0)&lt;1),1,100))</f>
        <v/>
      </c>
      <c r="F677" t="str">
        <f>IF(A677="","",IFERROR(VALUE(SUBSTITUTE(TRIM(Input!G677&amp;""),"%","")),0)/IF(AND(IFERROR(VALUE(SUBSTITUTE(TRIM(Input!G677&amp;""),"%","")),0)&gt;0,IFERROR(VALUE(SUBSTITUTE(TRIM(Input!G677&amp;""),"%","")),0)&lt;1),1,100))</f>
        <v/>
      </c>
      <c r="G677" t="str">
        <f>IF(A677="","",IFERROR(VALUE(SUBSTITUTE(TRIM(Input!H677&amp;""),"%","")),0)/IF(AND(IFERROR(VALUE(SUBSTITUTE(TRIM(Input!H677&amp;""),"%","")),0)&gt;0,IFERROR(VALUE(SUBSTITUTE(TRIM(Input!H677&amp;""),"%","")),0)&lt;1),1,100))</f>
        <v/>
      </c>
      <c r="H677" t="str">
        <f>IF(A677="","",IFERROR(VALUE(SUBSTITUTE(TRIM(Input!I677&amp;""),"%","")),0)/IF(AND(IFERROR(VALUE(SUBSTITUTE(TRIM(Input!I677&amp;""),"%","")),0)&gt;0,IFERROR(VALUE(SUBSTITUTE(TRIM(Input!I677&amp;""),"%","")),0)&lt;1),1,100))</f>
        <v/>
      </c>
    </row>
    <row r="678" spans="1:8">
      <c r="A678" t="str">
        <f>IF(TRIM(Input!B678&amp;"")="","",UPPER(TRIM(Input!B678&amp;"")))</f>
        <v/>
      </c>
      <c r="B678" t="str">
        <f>IF(A678="","",IFERROR(VALUE(RIGHT(TRIM(Input!D678&amp;""),1)),0))</f>
        <v/>
      </c>
      <c r="C678" t="str">
        <f t="shared" si="10"/>
        <v/>
      </c>
      <c r="D678" t="str">
        <f>IF(A678="","",IFERROR(VALUE(SUBSTITUTE(TRIM(Input!E678&amp;""),"%","")),0)/IF(AND(IFERROR(VALUE(SUBSTITUTE(TRIM(Input!E678&amp;""),"%","")),0)&gt;0,IFERROR(VALUE(SUBSTITUTE(TRIM(Input!E678&amp;""),"%","")),0)&lt;1),1,100))</f>
        <v/>
      </c>
      <c r="E678" t="str">
        <f>IF(A678="","",IFERROR(VALUE(SUBSTITUTE(TRIM(Input!F678&amp;""),"%","")),0)/IF(AND(IFERROR(VALUE(SUBSTITUTE(TRIM(Input!F678&amp;""),"%","")),0)&gt;0,IFERROR(VALUE(SUBSTITUTE(TRIM(Input!F678&amp;""),"%","")),0)&lt;1),1,100))</f>
        <v/>
      </c>
      <c r="F678" t="str">
        <f>IF(A678="","",IFERROR(VALUE(SUBSTITUTE(TRIM(Input!G678&amp;""),"%","")),0)/IF(AND(IFERROR(VALUE(SUBSTITUTE(TRIM(Input!G678&amp;""),"%","")),0)&gt;0,IFERROR(VALUE(SUBSTITUTE(TRIM(Input!G678&amp;""),"%","")),0)&lt;1),1,100))</f>
        <v/>
      </c>
      <c r="G678" t="str">
        <f>IF(A678="","",IFERROR(VALUE(SUBSTITUTE(TRIM(Input!H678&amp;""),"%","")),0)/IF(AND(IFERROR(VALUE(SUBSTITUTE(TRIM(Input!H678&amp;""),"%","")),0)&gt;0,IFERROR(VALUE(SUBSTITUTE(TRIM(Input!H678&amp;""),"%","")),0)&lt;1),1,100))</f>
        <v/>
      </c>
      <c r="H678" t="str">
        <f>IF(A678="","",IFERROR(VALUE(SUBSTITUTE(TRIM(Input!I678&amp;""),"%","")),0)/IF(AND(IFERROR(VALUE(SUBSTITUTE(TRIM(Input!I678&amp;""),"%","")),0)&gt;0,IFERROR(VALUE(SUBSTITUTE(TRIM(Input!I678&amp;""),"%","")),0)&lt;1),1,100))</f>
        <v/>
      </c>
    </row>
    <row r="679" spans="1:8">
      <c r="A679" t="str">
        <f>IF(TRIM(Input!B679&amp;"")="","",UPPER(TRIM(Input!B679&amp;"")))</f>
        <v/>
      </c>
      <c r="B679" t="str">
        <f>IF(A679="","",IFERROR(VALUE(RIGHT(TRIM(Input!D679&amp;""),1)),0))</f>
        <v/>
      </c>
      <c r="C679" t="str">
        <f t="shared" si="10"/>
        <v/>
      </c>
      <c r="D679" t="str">
        <f>IF(A679="","",IFERROR(VALUE(SUBSTITUTE(TRIM(Input!E679&amp;""),"%","")),0)/IF(AND(IFERROR(VALUE(SUBSTITUTE(TRIM(Input!E679&amp;""),"%","")),0)&gt;0,IFERROR(VALUE(SUBSTITUTE(TRIM(Input!E679&amp;""),"%","")),0)&lt;1),1,100))</f>
        <v/>
      </c>
      <c r="E679" t="str">
        <f>IF(A679="","",IFERROR(VALUE(SUBSTITUTE(TRIM(Input!F679&amp;""),"%","")),0)/IF(AND(IFERROR(VALUE(SUBSTITUTE(TRIM(Input!F679&amp;""),"%","")),0)&gt;0,IFERROR(VALUE(SUBSTITUTE(TRIM(Input!F679&amp;""),"%","")),0)&lt;1),1,100))</f>
        <v/>
      </c>
      <c r="F679" t="str">
        <f>IF(A679="","",IFERROR(VALUE(SUBSTITUTE(TRIM(Input!G679&amp;""),"%","")),0)/IF(AND(IFERROR(VALUE(SUBSTITUTE(TRIM(Input!G679&amp;""),"%","")),0)&gt;0,IFERROR(VALUE(SUBSTITUTE(TRIM(Input!G679&amp;""),"%","")),0)&lt;1),1,100))</f>
        <v/>
      </c>
      <c r="G679" t="str">
        <f>IF(A679="","",IFERROR(VALUE(SUBSTITUTE(TRIM(Input!H679&amp;""),"%","")),0)/IF(AND(IFERROR(VALUE(SUBSTITUTE(TRIM(Input!H679&amp;""),"%","")),0)&gt;0,IFERROR(VALUE(SUBSTITUTE(TRIM(Input!H679&amp;""),"%","")),0)&lt;1),1,100))</f>
        <v/>
      </c>
      <c r="H679" t="str">
        <f>IF(A679="","",IFERROR(VALUE(SUBSTITUTE(TRIM(Input!I679&amp;""),"%","")),0)/IF(AND(IFERROR(VALUE(SUBSTITUTE(TRIM(Input!I679&amp;""),"%","")),0)&gt;0,IFERROR(VALUE(SUBSTITUTE(TRIM(Input!I679&amp;""),"%","")),0)&lt;1),1,100))</f>
        <v/>
      </c>
    </row>
    <row r="680" spans="1:8">
      <c r="A680" t="str">
        <f>IF(TRIM(Input!B680&amp;"")="","",UPPER(TRIM(Input!B680&amp;"")))</f>
        <v/>
      </c>
      <c r="B680" t="str">
        <f>IF(A680="","",IFERROR(VALUE(RIGHT(TRIM(Input!D680&amp;""),1)),0))</f>
        <v/>
      </c>
      <c r="C680" t="str">
        <f t="shared" si="10"/>
        <v/>
      </c>
      <c r="D680" t="str">
        <f>IF(A680="","",IFERROR(VALUE(SUBSTITUTE(TRIM(Input!E680&amp;""),"%","")),0)/IF(AND(IFERROR(VALUE(SUBSTITUTE(TRIM(Input!E680&amp;""),"%","")),0)&gt;0,IFERROR(VALUE(SUBSTITUTE(TRIM(Input!E680&amp;""),"%","")),0)&lt;1),1,100))</f>
        <v/>
      </c>
      <c r="E680" t="str">
        <f>IF(A680="","",IFERROR(VALUE(SUBSTITUTE(TRIM(Input!F680&amp;""),"%","")),0)/IF(AND(IFERROR(VALUE(SUBSTITUTE(TRIM(Input!F680&amp;""),"%","")),0)&gt;0,IFERROR(VALUE(SUBSTITUTE(TRIM(Input!F680&amp;""),"%","")),0)&lt;1),1,100))</f>
        <v/>
      </c>
      <c r="F680" t="str">
        <f>IF(A680="","",IFERROR(VALUE(SUBSTITUTE(TRIM(Input!G680&amp;""),"%","")),0)/IF(AND(IFERROR(VALUE(SUBSTITUTE(TRIM(Input!G680&amp;""),"%","")),0)&gt;0,IFERROR(VALUE(SUBSTITUTE(TRIM(Input!G680&amp;""),"%","")),0)&lt;1),1,100))</f>
        <v/>
      </c>
      <c r="G680" t="str">
        <f>IF(A680="","",IFERROR(VALUE(SUBSTITUTE(TRIM(Input!H680&amp;""),"%","")),0)/IF(AND(IFERROR(VALUE(SUBSTITUTE(TRIM(Input!H680&amp;""),"%","")),0)&gt;0,IFERROR(VALUE(SUBSTITUTE(TRIM(Input!H680&amp;""),"%","")),0)&lt;1),1,100))</f>
        <v/>
      </c>
      <c r="H680" t="str">
        <f>IF(A680="","",IFERROR(VALUE(SUBSTITUTE(TRIM(Input!I680&amp;""),"%","")),0)/IF(AND(IFERROR(VALUE(SUBSTITUTE(TRIM(Input!I680&amp;""),"%","")),0)&gt;0,IFERROR(VALUE(SUBSTITUTE(TRIM(Input!I680&amp;""),"%","")),0)&lt;1),1,100))</f>
        <v/>
      </c>
    </row>
    <row r="681" spans="1:8">
      <c r="A681" t="str">
        <f>IF(TRIM(Input!B681&amp;"")="","",UPPER(TRIM(Input!B681&amp;"")))</f>
        <v/>
      </c>
      <c r="B681" t="str">
        <f>IF(A681="","",IFERROR(VALUE(RIGHT(TRIM(Input!D681&amp;""),1)),0))</f>
        <v/>
      </c>
      <c r="C681" t="str">
        <f t="shared" si="10"/>
        <v/>
      </c>
      <c r="D681" t="str">
        <f>IF(A681="","",IFERROR(VALUE(SUBSTITUTE(TRIM(Input!E681&amp;""),"%","")),0)/IF(AND(IFERROR(VALUE(SUBSTITUTE(TRIM(Input!E681&amp;""),"%","")),0)&gt;0,IFERROR(VALUE(SUBSTITUTE(TRIM(Input!E681&amp;""),"%","")),0)&lt;1),1,100))</f>
        <v/>
      </c>
      <c r="E681" t="str">
        <f>IF(A681="","",IFERROR(VALUE(SUBSTITUTE(TRIM(Input!F681&amp;""),"%","")),0)/IF(AND(IFERROR(VALUE(SUBSTITUTE(TRIM(Input!F681&amp;""),"%","")),0)&gt;0,IFERROR(VALUE(SUBSTITUTE(TRIM(Input!F681&amp;""),"%","")),0)&lt;1),1,100))</f>
        <v/>
      </c>
      <c r="F681" t="str">
        <f>IF(A681="","",IFERROR(VALUE(SUBSTITUTE(TRIM(Input!G681&amp;""),"%","")),0)/IF(AND(IFERROR(VALUE(SUBSTITUTE(TRIM(Input!G681&amp;""),"%","")),0)&gt;0,IFERROR(VALUE(SUBSTITUTE(TRIM(Input!G681&amp;""),"%","")),0)&lt;1),1,100))</f>
        <v/>
      </c>
      <c r="G681" t="str">
        <f>IF(A681="","",IFERROR(VALUE(SUBSTITUTE(TRIM(Input!H681&amp;""),"%","")),0)/IF(AND(IFERROR(VALUE(SUBSTITUTE(TRIM(Input!H681&amp;""),"%","")),0)&gt;0,IFERROR(VALUE(SUBSTITUTE(TRIM(Input!H681&amp;""),"%","")),0)&lt;1),1,100))</f>
        <v/>
      </c>
      <c r="H681" t="str">
        <f>IF(A681="","",IFERROR(VALUE(SUBSTITUTE(TRIM(Input!I681&amp;""),"%","")),0)/IF(AND(IFERROR(VALUE(SUBSTITUTE(TRIM(Input!I681&amp;""),"%","")),0)&gt;0,IFERROR(VALUE(SUBSTITUTE(TRIM(Input!I681&amp;""),"%","")),0)&lt;1),1,100))</f>
        <v/>
      </c>
    </row>
    <row r="682" spans="1:8">
      <c r="A682" t="str">
        <f>IF(TRIM(Input!B682&amp;"")="","",UPPER(TRIM(Input!B682&amp;"")))</f>
        <v/>
      </c>
      <c r="B682" t="str">
        <f>IF(A682="","",IFERROR(VALUE(RIGHT(TRIM(Input!D682&amp;""),1)),0))</f>
        <v/>
      </c>
      <c r="C682" t="str">
        <f t="shared" si="10"/>
        <v/>
      </c>
      <c r="D682" t="str">
        <f>IF(A682="","",IFERROR(VALUE(SUBSTITUTE(TRIM(Input!E682&amp;""),"%","")),0)/IF(AND(IFERROR(VALUE(SUBSTITUTE(TRIM(Input!E682&amp;""),"%","")),0)&gt;0,IFERROR(VALUE(SUBSTITUTE(TRIM(Input!E682&amp;""),"%","")),0)&lt;1),1,100))</f>
        <v/>
      </c>
      <c r="E682" t="str">
        <f>IF(A682="","",IFERROR(VALUE(SUBSTITUTE(TRIM(Input!F682&amp;""),"%","")),0)/IF(AND(IFERROR(VALUE(SUBSTITUTE(TRIM(Input!F682&amp;""),"%","")),0)&gt;0,IFERROR(VALUE(SUBSTITUTE(TRIM(Input!F682&amp;""),"%","")),0)&lt;1),1,100))</f>
        <v/>
      </c>
      <c r="F682" t="str">
        <f>IF(A682="","",IFERROR(VALUE(SUBSTITUTE(TRIM(Input!G682&amp;""),"%","")),0)/IF(AND(IFERROR(VALUE(SUBSTITUTE(TRIM(Input!G682&amp;""),"%","")),0)&gt;0,IFERROR(VALUE(SUBSTITUTE(TRIM(Input!G682&amp;""),"%","")),0)&lt;1),1,100))</f>
        <v/>
      </c>
      <c r="G682" t="str">
        <f>IF(A682="","",IFERROR(VALUE(SUBSTITUTE(TRIM(Input!H682&amp;""),"%","")),0)/IF(AND(IFERROR(VALUE(SUBSTITUTE(TRIM(Input!H682&amp;""),"%","")),0)&gt;0,IFERROR(VALUE(SUBSTITUTE(TRIM(Input!H682&amp;""),"%","")),0)&lt;1),1,100))</f>
        <v/>
      </c>
      <c r="H682" t="str">
        <f>IF(A682="","",IFERROR(VALUE(SUBSTITUTE(TRIM(Input!I682&amp;""),"%","")),0)/IF(AND(IFERROR(VALUE(SUBSTITUTE(TRIM(Input!I682&amp;""),"%","")),0)&gt;0,IFERROR(VALUE(SUBSTITUTE(TRIM(Input!I682&amp;""),"%","")),0)&lt;1),1,100))</f>
        <v/>
      </c>
    </row>
    <row r="683" spans="1:8">
      <c r="A683" t="str">
        <f>IF(TRIM(Input!B683&amp;"")="","",UPPER(TRIM(Input!B683&amp;"")))</f>
        <v/>
      </c>
      <c r="B683" t="str">
        <f>IF(A683="","",IFERROR(VALUE(RIGHT(TRIM(Input!D683&amp;""),1)),0))</f>
        <v/>
      </c>
      <c r="C683" t="str">
        <f t="shared" si="10"/>
        <v/>
      </c>
      <c r="D683" t="str">
        <f>IF(A683="","",IFERROR(VALUE(SUBSTITUTE(TRIM(Input!E683&amp;""),"%","")),0)/IF(AND(IFERROR(VALUE(SUBSTITUTE(TRIM(Input!E683&amp;""),"%","")),0)&gt;0,IFERROR(VALUE(SUBSTITUTE(TRIM(Input!E683&amp;""),"%","")),0)&lt;1),1,100))</f>
        <v/>
      </c>
      <c r="E683" t="str">
        <f>IF(A683="","",IFERROR(VALUE(SUBSTITUTE(TRIM(Input!F683&amp;""),"%","")),0)/IF(AND(IFERROR(VALUE(SUBSTITUTE(TRIM(Input!F683&amp;""),"%","")),0)&gt;0,IFERROR(VALUE(SUBSTITUTE(TRIM(Input!F683&amp;""),"%","")),0)&lt;1),1,100))</f>
        <v/>
      </c>
      <c r="F683" t="str">
        <f>IF(A683="","",IFERROR(VALUE(SUBSTITUTE(TRIM(Input!G683&amp;""),"%","")),0)/IF(AND(IFERROR(VALUE(SUBSTITUTE(TRIM(Input!G683&amp;""),"%","")),0)&gt;0,IFERROR(VALUE(SUBSTITUTE(TRIM(Input!G683&amp;""),"%","")),0)&lt;1),1,100))</f>
        <v/>
      </c>
      <c r="G683" t="str">
        <f>IF(A683="","",IFERROR(VALUE(SUBSTITUTE(TRIM(Input!H683&amp;""),"%","")),0)/IF(AND(IFERROR(VALUE(SUBSTITUTE(TRIM(Input!H683&amp;""),"%","")),0)&gt;0,IFERROR(VALUE(SUBSTITUTE(TRIM(Input!H683&amp;""),"%","")),0)&lt;1),1,100))</f>
        <v/>
      </c>
      <c r="H683" t="str">
        <f>IF(A683="","",IFERROR(VALUE(SUBSTITUTE(TRIM(Input!I683&amp;""),"%","")),0)/IF(AND(IFERROR(VALUE(SUBSTITUTE(TRIM(Input!I683&amp;""),"%","")),0)&gt;0,IFERROR(VALUE(SUBSTITUTE(TRIM(Input!I683&amp;""),"%","")),0)&lt;1),1,100))</f>
        <v/>
      </c>
    </row>
    <row r="684" spans="1:8">
      <c r="A684" t="str">
        <f>IF(TRIM(Input!B684&amp;"")="","",UPPER(TRIM(Input!B684&amp;"")))</f>
        <v/>
      </c>
      <c r="B684" t="str">
        <f>IF(A684="","",IFERROR(VALUE(RIGHT(TRIM(Input!D684&amp;""),1)),0))</f>
        <v/>
      </c>
      <c r="C684" t="str">
        <f t="shared" si="10"/>
        <v/>
      </c>
      <c r="D684" t="str">
        <f>IF(A684="","",IFERROR(VALUE(SUBSTITUTE(TRIM(Input!E684&amp;""),"%","")),0)/IF(AND(IFERROR(VALUE(SUBSTITUTE(TRIM(Input!E684&amp;""),"%","")),0)&gt;0,IFERROR(VALUE(SUBSTITUTE(TRIM(Input!E684&amp;""),"%","")),0)&lt;1),1,100))</f>
        <v/>
      </c>
      <c r="E684" t="str">
        <f>IF(A684="","",IFERROR(VALUE(SUBSTITUTE(TRIM(Input!F684&amp;""),"%","")),0)/IF(AND(IFERROR(VALUE(SUBSTITUTE(TRIM(Input!F684&amp;""),"%","")),0)&gt;0,IFERROR(VALUE(SUBSTITUTE(TRIM(Input!F684&amp;""),"%","")),0)&lt;1),1,100))</f>
        <v/>
      </c>
      <c r="F684" t="str">
        <f>IF(A684="","",IFERROR(VALUE(SUBSTITUTE(TRIM(Input!G684&amp;""),"%","")),0)/IF(AND(IFERROR(VALUE(SUBSTITUTE(TRIM(Input!G684&amp;""),"%","")),0)&gt;0,IFERROR(VALUE(SUBSTITUTE(TRIM(Input!G684&amp;""),"%","")),0)&lt;1),1,100))</f>
        <v/>
      </c>
      <c r="G684" t="str">
        <f>IF(A684="","",IFERROR(VALUE(SUBSTITUTE(TRIM(Input!H684&amp;""),"%","")),0)/IF(AND(IFERROR(VALUE(SUBSTITUTE(TRIM(Input!H684&amp;""),"%","")),0)&gt;0,IFERROR(VALUE(SUBSTITUTE(TRIM(Input!H684&amp;""),"%","")),0)&lt;1),1,100))</f>
        <v/>
      </c>
      <c r="H684" t="str">
        <f>IF(A684="","",IFERROR(VALUE(SUBSTITUTE(TRIM(Input!I684&amp;""),"%","")),0)/IF(AND(IFERROR(VALUE(SUBSTITUTE(TRIM(Input!I684&amp;""),"%","")),0)&gt;0,IFERROR(VALUE(SUBSTITUTE(TRIM(Input!I684&amp;""),"%","")),0)&lt;1),1,100))</f>
        <v/>
      </c>
    </row>
    <row r="685" spans="1:8">
      <c r="A685" t="str">
        <f>IF(TRIM(Input!B685&amp;"")="","",UPPER(TRIM(Input!B685&amp;"")))</f>
        <v/>
      </c>
      <c r="B685" t="str">
        <f>IF(A685="","",IFERROR(VALUE(RIGHT(TRIM(Input!D685&amp;""),1)),0))</f>
        <v/>
      </c>
      <c r="C685" t="str">
        <f t="shared" si="10"/>
        <v/>
      </c>
      <c r="D685" t="str">
        <f>IF(A685="","",IFERROR(VALUE(SUBSTITUTE(TRIM(Input!E685&amp;""),"%","")),0)/IF(AND(IFERROR(VALUE(SUBSTITUTE(TRIM(Input!E685&amp;""),"%","")),0)&gt;0,IFERROR(VALUE(SUBSTITUTE(TRIM(Input!E685&amp;""),"%","")),0)&lt;1),1,100))</f>
        <v/>
      </c>
      <c r="E685" t="str">
        <f>IF(A685="","",IFERROR(VALUE(SUBSTITUTE(TRIM(Input!F685&amp;""),"%","")),0)/IF(AND(IFERROR(VALUE(SUBSTITUTE(TRIM(Input!F685&amp;""),"%","")),0)&gt;0,IFERROR(VALUE(SUBSTITUTE(TRIM(Input!F685&amp;""),"%","")),0)&lt;1),1,100))</f>
        <v/>
      </c>
      <c r="F685" t="str">
        <f>IF(A685="","",IFERROR(VALUE(SUBSTITUTE(TRIM(Input!G685&amp;""),"%","")),0)/IF(AND(IFERROR(VALUE(SUBSTITUTE(TRIM(Input!G685&amp;""),"%","")),0)&gt;0,IFERROR(VALUE(SUBSTITUTE(TRIM(Input!G685&amp;""),"%","")),0)&lt;1),1,100))</f>
        <v/>
      </c>
      <c r="G685" t="str">
        <f>IF(A685="","",IFERROR(VALUE(SUBSTITUTE(TRIM(Input!H685&amp;""),"%","")),0)/IF(AND(IFERROR(VALUE(SUBSTITUTE(TRIM(Input!H685&amp;""),"%","")),0)&gt;0,IFERROR(VALUE(SUBSTITUTE(TRIM(Input!H685&amp;""),"%","")),0)&lt;1),1,100))</f>
        <v/>
      </c>
      <c r="H685" t="str">
        <f>IF(A685="","",IFERROR(VALUE(SUBSTITUTE(TRIM(Input!I685&amp;""),"%","")),0)/IF(AND(IFERROR(VALUE(SUBSTITUTE(TRIM(Input!I685&amp;""),"%","")),0)&gt;0,IFERROR(VALUE(SUBSTITUTE(TRIM(Input!I685&amp;""),"%","")),0)&lt;1),1,100))</f>
        <v/>
      </c>
    </row>
    <row r="686" spans="1:8">
      <c r="A686" t="str">
        <f>IF(TRIM(Input!B686&amp;"")="","",UPPER(TRIM(Input!B686&amp;"")))</f>
        <v/>
      </c>
      <c r="B686" t="str">
        <f>IF(A686="","",IFERROR(VALUE(RIGHT(TRIM(Input!D686&amp;""),1)),0))</f>
        <v/>
      </c>
      <c r="C686" t="str">
        <f t="shared" si="10"/>
        <v/>
      </c>
      <c r="D686" t="str">
        <f>IF(A686="","",IFERROR(VALUE(SUBSTITUTE(TRIM(Input!E686&amp;""),"%","")),0)/IF(AND(IFERROR(VALUE(SUBSTITUTE(TRIM(Input!E686&amp;""),"%","")),0)&gt;0,IFERROR(VALUE(SUBSTITUTE(TRIM(Input!E686&amp;""),"%","")),0)&lt;1),1,100))</f>
        <v/>
      </c>
      <c r="E686" t="str">
        <f>IF(A686="","",IFERROR(VALUE(SUBSTITUTE(TRIM(Input!F686&amp;""),"%","")),0)/IF(AND(IFERROR(VALUE(SUBSTITUTE(TRIM(Input!F686&amp;""),"%","")),0)&gt;0,IFERROR(VALUE(SUBSTITUTE(TRIM(Input!F686&amp;""),"%","")),0)&lt;1),1,100))</f>
        <v/>
      </c>
      <c r="F686" t="str">
        <f>IF(A686="","",IFERROR(VALUE(SUBSTITUTE(TRIM(Input!G686&amp;""),"%","")),0)/IF(AND(IFERROR(VALUE(SUBSTITUTE(TRIM(Input!G686&amp;""),"%","")),0)&gt;0,IFERROR(VALUE(SUBSTITUTE(TRIM(Input!G686&amp;""),"%","")),0)&lt;1),1,100))</f>
        <v/>
      </c>
      <c r="G686" t="str">
        <f>IF(A686="","",IFERROR(VALUE(SUBSTITUTE(TRIM(Input!H686&amp;""),"%","")),0)/IF(AND(IFERROR(VALUE(SUBSTITUTE(TRIM(Input!H686&amp;""),"%","")),0)&gt;0,IFERROR(VALUE(SUBSTITUTE(TRIM(Input!H686&amp;""),"%","")),0)&lt;1),1,100))</f>
        <v/>
      </c>
      <c r="H686" t="str">
        <f>IF(A686="","",IFERROR(VALUE(SUBSTITUTE(TRIM(Input!I686&amp;""),"%","")),0)/IF(AND(IFERROR(VALUE(SUBSTITUTE(TRIM(Input!I686&amp;""),"%","")),0)&gt;0,IFERROR(VALUE(SUBSTITUTE(TRIM(Input!I686&amp;""),"%","")),0)&lt;1),1,100))</f>
        <v/>
      </c>
    </row>
    <row r="687" spans="1:8">
      <c r="A687" t="str">
        <f>IF(TRIM(Input!B687&amp;"")="","",UPPER(TRIM(Input!B687&amp;"")))</f>
        <v/>
      </c>
      <c r="B687" t="str">
        <f>IF(A687="","",IFERROR(VALUE(RIGHT(TRIM(Input!D687&amp;""),1)),0))</f>
        <v/>
      </c>
      <c r="C687" t="str">
        <f t="shared" si="10"/>
        <v/>
      </c>
      <c r="D687" t="str">
        <f>IF(A687="","",IFERROR(VALUE(SUBSTITUTE(TRIM(Input!E687&amp;""),"%","")),0)/IF(AND(IFERROR(VALUE(SUBSTITUTE(TRIM(Input!E687&amp;""),"%","")),0)&gt;0,IFERROR(VALUE(SUBSTITUTE(TRIM(Input!E687&amp;""),"%","")),0)&lt;1),1,100))</f>
        <v/>
      </c>
      <c r="E687" t="str">
        <f>IF(A687="","",IFERROR(VALUE(SUBSTITUTE(TRIM(Input!F687&amp;""),"%","")),0)/IF(AND(IFERROR(VALUE(SUBSTITUTE(TRIM(Input!F687&amp;""),"%","")),0)&gt;0,IFERROR(VALUE(SUBSTITUTE(TRIM(Input!F687&amp;""),"%","")),0)&lt;1),1,100))</f>
        <v/>
      </c>
      <c r="F687" t="str">
        <f>IF(A687="","",IFERROR(VALUE(SUBSTITUTE(TRIM(Input!G687&amp;""),"%","")),0)/IF(AND(IFERROR(VALUE(SUBSTITUTE(TRIM(Input!G687&amp;""),"%","")),0)&gt;0,IFERROR(VALUE(SUBSTITUTE(TRIM(Input!G687&amp;""),"%","")),0)&lt;1),1,100))</f>
        <v/>
      </c>
      <c r="G687" t="str">
        <f>IF(A687="","",IFERROR(VALUE(SUBSTITUTE(TRIM(Input!H687&amp;""),"%","")),0)/IF(AND(IFERROR(VALUE(SUBSTITUTE(TRIM(Input!H687&amp;""),"%","")),0)&gt;0,IFERROR(VALUE(SUBSTITUTE(TRIM(Input!H687&amp;""),"%","")),0)&lt;1),1,100))</f>
        <v/>
      </c>
      <c r="H687" t="str">
        <f>IF(A687="","",IFERROR(VALUE(SUBSTITUTE(TRIM(Input!I687&amp;""),"%","")),0)/IF(AND(IFERROR(VALUE(SUBSTITUTE(TRIM(Input!I687&amp;""),"%","")),0)&gt;0,IFERROR(VALUE(SUBSTITUTE(TRIM(Input!I687&amp;""),"%","")),0)&lt;1),1,100))</f>
        <v/>
      </c>
    </row>
    <row r="688" spans="1:8">
      <c r="A688" t="str">
        <f>IF(TRIM(Input!B688&amp;"")="","",UPPER(TRIM(Input!B688&amp;"")))</f>
        <v/>
      </c>
      <c r="B688" t="str">
        <f>IF(A688="","",IFERROR(VALUE(RIGHT(TRIM(Input!D688&amp;""),1)),0))</f>
        <v/>
      </c>
      <c r="C688" t="str">
        <f t="shared" si="10"/>
        <v/>
      </c>
      <c r="D688" t="str">
        <f>IF(A688="","",IFERROR(VALUE(SUBSTITUTE(TRIM(Input!E688&amp;""),"%","")),0)/IF(AND(IFERROR(VALUE(SUBSTITUTE(TRIM(Input!E688&amp;""),"%","")),0)&gt;0,IFERROR(VALUE(SUBSTITUTE(TRIM(Input!E688&amp;""),"%","")),0)&lt;1),1,100))</f>
        <v/>
      </c>
      <c r="E688" t="str">
        <f>IF(A688="","",IFERROR(VALUE(SUBSTITUTE(TRIM(Input!F688&amp;""),"%","")),0)/IF(AND(IFERROR(VALUE(SUBSTITUTE(TRIM(Input!F688&amp;""),"%","")),0)&gt;0,IFERROR(VALUE(SUBSTITUTE(TRIM(Input!F688&amp;""),"%","")),0)&lt;1),1,100))</f>
        <v/>
      </c>
      <c r="F688" t="str">
        <f>IF(A688="","",IFERROR(VALUE(SUBSTITUTE(TRIM(Input!G688&amp;""),"%","")),0)/IF(AND(IFERROR(VALUE(SUBSTITUTE(TRIM(Input!G688&amp;""),"%","")),0)&gt;0,IFERROR(VALUE(SUBSTITUTE(TRIM(Input!G688&amp;""),"%","")),0)&lt;1),1,100))</f>
        <v/>
      </c>
      <c r="G688" t="str">
        <f>IF(A688="","",IFERROR(VALUE(SUBSTITUTE(TRIM(Input!H688&amp;""),"%","")),0)/IF(AND(IFERROR(VALUE(SUBSTITUTE(TRIM(Input!H688&amp;""),"%","")),0)&gt;0,IFERROR(VALUE(SUBSTITUTE(TRIM(Input!H688&amp;""),"%","")),0)&lt;1),1,100))</f>
        <v/>
      </c>
      <c r="H688" t="str">
        <f>IF(A688="","",IFERROR(VALUE(SUBSTITUTE(TRIM(Input!I688&amp;""),"%","")),0)/IF(AND(IFERROR(VALUE(SUBSTITUTE(TRIM(Input!I688&amp;""),"%","")),0)&gt;0,IFERROR(VALUE(SUBSTITUTE(TRIM(Input!I688&amp;""),"%","")),0)&lt;1),1,100))</f>
        <v/>
      </c>
    </row>
    <row r="689" spans="1:8">
      <c r="A689" t="str">
        <f>IF(TRIM(Input!B689&amp;"")="","",UPPER(TRIM(Input!B689&amp;"")))</f>
        <v/>
      </c>
      <c r="B689" t="str">
        <f>IF(A689="","",IFERROR(VALUE(RIGHT(TRIM(Input!D689&amp;""),1)),0))</f>
        <v/>
      </c>
      <c r="C689" t="str">
        <f t="shared" si="10"/>
        <v/>
      </c>
      <c r="D689" t="str">
        <f>IF(A689="","",IFERROR(VALUE(SUBSTITUTE(TRIM(Input!E689&amp;""),"%","")),0)/IF(AND(IFERROR(VALUE(SUBSTITUTE(TRIM(Input!E689&amp;""),"%","")),0)&gt;0,IFERROR(VALUE(SUBSTITUTE(TRIM(Input!E689&amp;""),"%","")),0)&lt;1),1,100))</f>
        <v/>
      </c>
      <c r="E689" t="str">
        <f>IF(A689="","",IFERROR(VALUE(SUBSTITUTE(TRIM(Input!F689&amp;""),"%","")),0)/IF(AND(IFERROR(VALUE(SUBSTITUTE(TRIM(Input!F689&amp;""),"%","")),0)&gt;0,IFERROR(VALUE(SUBSTITUTE(TRIM(Input!F689&amp;""),"%","")),0)&lt;1),1,100))</f>
        <v/>
      </c>
      <c r="F689" t="str">
        <f>IF(A689="","",IFERROR(VALUE(SUBSTITUTE(TRIM(Input!G689&amp;""),"%","")),0)/IF(AND(IFERROR(VALUE(SUBSTITUTE(TRIM(Input!G689&amp;""),"%","")),0)&gt;0,IFERROR(VALUE(SUBSTITUTE(TRIM(Input!G689&amp;""),"%","")),0)&lt;1),1,100))</f>
        <v/>
      </c>
      <c r="G689" t="str">
        <f>IF(A689="","",IFERROR(VALUE(SUBSTITUTE(TRIM(Input!H689&amp;""),"%","")),0)/IF(AND(IFERROR(VALUE(SUBSTITUTE(TRIM(Input!H689&amp;""),"%","")),0)&gt;0,IFERROR(VALUE(SUBSTITUTE(TRIM(Input!H689&amp;""),"%","")),0)&lt;1),1,100))</f>
        <v/>
      </c>
      <c r="H689" t="str">
        <f>IF(A689="","",IFERROR(VALUE(SUBSTITUTE(TRIM(Input!I689&amp;""),"%","")),0)/IF(AND(IFERROR(VALUE(SUBSTITUTE(TRIM(Input!I689&amp;""),"%","")),0)&gt;0,IFERROR(VALUE(SUBSTITUTE(TRIM(Input!I689&amp;""),"%","")),0)&lt;1),1,100))</f>
        <v/>
      </c>
    </row>
    <row r="690" spans="1:8">
      <c r="A690" t="str">
        <f>IF(TRIM(Input!B690&amp;"")="","",UPPER(TRIM(Input!B690&amp;"")))</f>
        <v/>
      </c>
      <c r="B690" t="str">
        <f>IF(A690="","",IFERROR(VALUE(RIGHT(TRIM(Input!D690&amp;""),1)),0))</f>
        <v/>
      </c>
      <c r="C690" t="str">
        <f t="shared" si="10"/>
        <v/>
      </c>
      <c r="D690" t="str">
        <f>IF(A690="","",IFERROR(VALUE(SUBSTITUTE(TRIM(Input!E690&amp;""),"%","")),0)/IF(AND(IFERROR(VALUE(SUBSTITUTE(TRIM(Input!E690&amp;""),"%","")),0)&gt;0,IFERROR(VALUE(SUBSTITUTE(TRIM(Input!E690&amp;""),"%","")),0)&lt;1),1,100))</f>
        <v/>
      </c>
      <c r="E690" t="str">
        <f>IF(A690="","",IFERROR(VALUE(SUBSTITUTE(TRIM(Input!F690&amp;""),"%","")),0)/IF(AND(IFERROR(VALUE(SUBSTITUTE(TRIM(Input!F690&amp;""),"%","")),0)&gt;0,IFERROR(VALUE(SUBSTITUTE(TRIM(Input!F690&amp;""),"%","")),0)&lt;1),1,100))</f>
        <v/>
      </c>
      <c r="F690" t="str">
        <f>IF(A690="","",IFERROR(VALUE(SUBSTITUTE(TRIM(Input!G690&amp;""),"%","")),0)/IF(AND(IFERROR(VALUE(SUBSTITUTE(TRIM(Input!G690&amp;""),"%","")),0)&gt;0,IFERROR(VALUE(SUBSTITUTE(TRIM(Input!G690&amp;""),"%","")),0)&lt;1),1,100))</f>
        <v/>
      </c>
      <c r="G690" t="str">
        <f>IF(A690="","",IFERROR(VALUE(SUBSTITUTE(TRIM(Input!H690&amp;""),"%","")),0)/IF(AND(IFERROR(VALUE(SUBSTITUTE(TRIM(Input!H690&amp;""),"%","")),0)&gt;0,IFERROR(VALUE(SUBSTITUTE(TRIM(Input!H690&amp;""),"%","")),0)&lt;1),1,100))</f>
        <v/>
      </c>
      <c r="H690" t="str">
        <f>IF(A690="","",IFERROR(VALUE(SUBSTITUTE(TRIM(Input!I690&amp;""),"%","")),0)/IF(AND(IFERROR(VALUE(SUBSTITUTE(TRIM(Input!I690&amp;""),"%","")),0)&gt;0,IFERROR(VALUE(SUBSTITUTE(TRIM(Input!I690&amp;""),"%","")),0)&lt;1),1,100))</f>
        <v/>
      </c>
    </row>
    <row r="691" spans="1:8">
      <c r="A691" t="str">
        <f>IF(TRIM(Input!B691&amp;"")="","",UPPER(TRIM(Input!B691&amp;"")))</f>
        <v/>
      </c>
      <c r="B691" t="str">
        <f>IF(A691="","",IFERROR(VALUE(RIGHT(TRIM(Input!D691&amp;""),1)),0))</f>
        <v/>
      </c>
      <c r="C691" t="str">
        <f t="shared" si="10"/>
        <v/>
      </c>
      <c r="D691" t="str">
        <f>IF(A691="","",IFERROR(VALUE(SUBSTITUTE(TRIM(Input!E691&amp;""),"%","")),0)/IF(AND(IFERROR(VALUE(SUBSTITUTE(TRIM(Input!E691&amp;""),"%","")),0)&gt;0,IFERROR(VALUE(SUBSTITUTE(TRIM(Input!E691&amp;""),"%","")),0)&lt;1),1,100))</f>
        <v/>
      </c>
      <c r="E691" t="str">
        <f>IF(A691="","",IFERROR(VALUE(SUBSTITUTE(TRIM(Input!F691&amp;""),"%","")),0)/IF(AND(IFERROR(VALUE(SUBSTITUTE(TRIM(Input!F691&amp;""),"%","")),0)&gt;0,IFERROR(VALUE(SUBSTITUTE(TRIM(Input!F691&amp;""),"%","")),0)&lt;1),1,100))</f>
        <v/>
      </c>
      <c r="F691" t="str">
        <f>IF(A691="","",IFERROR(VALUE(SUBSTITUTE(TRIM(Input!G691&amp;""),"%","")),0)/IF(AND(IFERROR(VALUE(SUBSTITUTE(TRIM(Input!G691&amp;""),"%","")),0)&gt;0,IFERROR(VALUE(SUBSTITUTE(TRIM(Input!G691&amp;""),"%","")),0)&lt;1),1,100))</f>
        <v/>
      </c>
      <c r="G691" t="str">
        <f>IF(A691="","",IFERROR(VALUE(SUBSTITUTE(TRIM(Input!H691&amp;""),"%","")),0)/IF(AND(IFERROR(VALUE(SUBSTITUTE(TRIM(Input!H691&amp;""),"%","")),0)&gt;0,IFERROR(VALUE(SUBSTITUTE(TRIM(Input!H691&amp;""),"%","")),0)&lt;1),1,100))</f>
        <v/>
      </c>
      <c r="H691" t="str">
        <f>IF(A691="","",IFERROR(VALUE(SUBSTITUTE(TRIM(Input!I691&amp;""),"%","")),0)/IF(AND(IFERROR(VALUE(SUBSTITUTE(TRIM(Input!I691&amp;""),"%","")),0)&gt;0,IFERROR(VALUE(SUBSTITUTE(TRIM(Input!I691&amp;""),"%","")),0)&lt;1),1,100))</f>
        <v/>
      </c>
    </row>
    <row r="692" spans="1:8">
      <c r="A692" t="str">
        <f>IF(TRIM(Input!B692&amp;"")="","",UPPER(TRIM(Input!B692&amp;"")))</f>
        <v/>
      </c>
      <c r="B692" t="str">
        <f>IF(A692="","",IFERROR(VALUE(RIGHT(TRIM(Input!D692&amp;""),1)),0))</f>
        <v/>
      </c>
      <c r="C692" t="str">
        <f t="shared" si="10"/>
        <v/>
      </c>
      <c r="D692" t="str">
        <f>IF(A692="","",IFERROR(VALUE(SUBSTITUTE(TRIM(Input!E692&amp;""),"%","")),0)/IF(AND(IFERROR(VALUE(SUBSTITUTE(TRIM(Input!E692&amp;""),"%","")),0)&gt;0,IFERROR(VALUE(SUBSTITUTE(TRIM(Input!E692&amp;""),"%","")),0)&lt;1),1,100))</f>
        <v/>
      </c>
      <c r="E692" t="str">
        <f>IF(A692="","",IFERROR(VALUE(SUBSTITUTE(TRIM(Input!F692&amp;""),"%","")),0)/IF(AND(IFERROR(VALUE(SUBSTITUTE(TRIM(Input!F692&amp;""),"%","")),0)&gt;0,IFERROR(VALUE(SUBSTITUTE(TRIM(Input!F692&amp;""),"%","")),0)&lt;1),1,100))</f>
        <v/>
      </c>
      <c r="F692" t="str">
        <f>IF(A692="","",IFERROR(VALUE(SUBSTITUTE(TRIM(Input!G692&amp;""),"%","")),0)/IF(AND(IFERROR(VALUE(SUBSTITUTE(TRIM(Input!G692&amp;""),"%","")),0)&gt;0,IFERROR(VALUE(SUBSTITUTE(TRIM(Input!G692&amp;""),"%","")),0)&lt;1),1,100))</f>
        <v/>
      </c>
      <c r="G692" t="str">
        <f>IF(A692="","",IFERROR(VALUE(SUBSTITUTE(TRIM(Input!H692&amp;""),"%","")),0)/IF(AND(IFERROR(VALUE(SUBSTITUTE(TRIM(Input!H692&amp;""),"%","")),0)&gt;0,IFERROR(VALUE(SUBSTITUTE(TRIM(Input!H692&amp;""),"%","")),0)&lt;1),1,100))</f>
        <v/>
      </c>
      <c r="H692" t="str">
        <f>IF(A692="","",IFERROR(VALUE(SUBSTITUTE(TRIM(Input!I692&amp;""),"%","")),0)/IF(AND(IFERROR(VALUE(SUBSTITUTE(TRIM(Input!I692&amp;""),"%","")),0)&gt;0,IFERROR(VALUE(SUBSTITUTE(TRIM(Input!I692&amp;""),"%","")),0)&lt;1),1,100))</f>
        <v/>
      </c>
    </row>
    <row r="693" spans="1:8">
      <c r="A693" t="str">
        <f>IF(TRIM(Input!B693&amp;"")="","",UPPER(TRIM(Input!B693&amp;"")))</f>
        <v/>
      </c>
      <c r="B693" t="str">
        <f>IF(A693="","",IFERROR(VALUE(RIGHT(TRIM(Input!D693&amp;""),1)),0))</f>
        <v/>
      </c>
      <c r="C693" t="str">
        <f t="shared" si="10"/>
        <v/>
      </c>
      <c r="D693" t="str">
        <f>IF(A693="","",IFERROR(VALUE(SUBSTITUTE(TRIM(Input!E693&amp;""),"%","")),0)/IF(AND(IFERROR(VALUE(SUBSTITUTE(TRIM(Input!E693&amp;""),"%","")),0)&gt;0,IFERROR(VALUE(SUBSTITUTE(TRIM(Input!E693&amp;""),"%","")),0)&lt;1),1,100))</f>
        <v/>
      </c>
      <c r="E693" t="str">
        <f>IF(A693="","",IFERROR(VALUE(SUBSTITUTE(TRIM(Input!F693&amp;""),"%","")),0)/IF(AND(IFERROR(VALUE(SUBSTITUTE(TRIM(Input!F693&amp;""),"%","")),0)&gt;0,IFERROR(VALUE(SUBSTITUTE(TRIM(Input!F693&amp;""),"%","")),0)&lt;1),1,100))</f>
        <v/>
      </c>
      <c r="F693" t="str">
        <f>IF(A693="","",IFERROR(VALUE(SUBSTITUTE(TRIM(Input!G693&amp;""),"%","")),0)/IF(AND(IFERROR(VALUE(SUBSTITUTE(TRIM(Input!G693&amp;""),"%","")),0)&gt;0,IFERROR(VALUE(SUBSTITUTE(TRIM(Input!G693&amp;""),"%","")),0)&lt;1),1,100))</f>
        <v/>
      </c>
      <c r="G693" t="str">
        <f>IF(A693="","",IFERROR(VALUE(SUBSTITUTE(TRIM(Input!H693&amp;""),"%","")),0)/IF(AND(IFERROR(VALUE(SUBSTITUTE(TRIM(Input!H693&amp;""),"%","")),0)&gt;0,IFERROR(VALUE(SUBSTITUTE(TRIM(Input!H693&amp;""),"%","")),0)&lt;1),1,100))</f>
        <v/>
      </c>
      <c r="H693" t="str">
        <f>IF(A693="","",IFERROR(VALUE(SUBSTITUTE(TRIM(Input!I693&amp;""),"%","")),0)/IF(AND(IFERROR(VALUE(SUBSTITUTE(TRIM(Input!I693&amp;""),"%","")),0)&gt;0,IFERROR(VALUE(SUBSTITUTE(TRIM(Input!I693&amp;""),"%","")),0)&lt;1),1,100))</f>
        <v/>
      </c>
    </row>
    <row r="694" spans="1:8">
      <c r="A694" t="str">
        <f>IF(TRIM(Input!B694&amp;"")="","",UPPER(TRIM(Input!B694&amp;"")))</f>
        <v/>
      </c>
      <c r="B694" t="str">
        <f>IF(A694="","",IFERROR(VALUE(RIGHT(TRIM(Input!D694&amp;""),1)),0))</f>
        <v/>
      </c>
      <c r="C694" t="str">
        <f t="shared" si="10"/>
        <v/>
      </c>
      <c r="D694" t="str">
        <f>IF(A694="","",IFERROR(VALUE(SUBSTITUTE(TRIM(Input!E694&amp;""),"%","")),0)/IF(AND(IFERROR(VALUE(SUBSTITUTE(TRIM(Input!E694&amp;""),"%","")),0)&gt;0,IFERROR(VALUE(SUBSTITUTE(TRIM(Input!E694&amp;""),"%","")),0)&lt;1),1,100))</f>
        <v/>
      </c>
      <c r="E694" t="str">
        <f>IF(A694="","",IFERROR(VALUE(SUBSTITUTE(TRIM(Input!F694&amp;""),"%","")),0)/IF(AND(IFERROR(VALUE(SUBSTITUTE(TRIM(Input!F694&amp;""),"%","")),0)&gt;0,IFERROR(VALUE(SUBSTITUTE(TRIM(Input!F694&amp;""),"%","")),0)&lt;1),1,100))</f>
        <v/>
      </c>
      <c r="F694" t="str">
        <f>IF(A694="","",IFERROR(VALUE(SUBSTITUTE(TRIM(Input!G694&amp;""),"%","")),0)/IF(AND(IFERROR(VALUE(SUBSTITUTE(TRIM(Input!G694&amp;""),"%","")),0)&gt;0,IFERROR(VALUE(SUBSTITUTE(TRIM(Input!G694&amp;""),"%","")),0)&lt;1),1,100))</f>
        <v/>
      </c>
      <c r="G694" t="str">
        <f>IF(A694="","",IFERROR(VALUE(SUBSTITUTE(TRIM(Input!H694&amp;""),"%","")),0)/IF(AND(IFERROR(VALUE(SUBSTITUTE(TRIM(Input!H694&amp;""),"%","")),0)&gt;0,IFERROR(VALUE(SUBSTITUTE(TRIM(Input!H694&amp;""),"%","")),0)&lt;1),1,100))</f>
        <v/>
      </c>
      <c r="H694" t="str">
        <f>IF(A694="","",IFERROR(VALUE(SUBSTITUTE(TRIM(Input!I694&amp;""),"%","")),0)/IF(AND(IFERROR(VALUE(SUBSTITUTE(TRIM(Input!I694&amp;""),"%","")),0)&gt;0,IFERROR(VALUE(SUBSTITUTE(TRIM(Input!I694&amp;""),"%","")),0)&lt;1),1,100))</f>
        <v/>
      </c>
    </row>
    <row r="695" spans="1:8">
      <c r="A695" t="str">
        <f>IF(TRIM(Input!B695&amp;"")="","",UPPER(TRIM(Input!B695&amp;"")))</f>
        <v/>
      </c>
      <c r="B695" t="str">
        <f>IF(A695="","",IFERROR(VALUE(RIGHT(TRIM(Input!D695&amp;""),1)),0))</f>
        <v/>
      </c>
      <c r="C695" t="str">
        <f t="shared" si="10"/>
        <v/>
      </c>
      <c r="D695" t="str">
        <f>IF(A695="","",IFERROR(VALUE(SUBSTITUTE(TRIM(Input!E695&amp;""),"%","")),0)/IF(AND(IFERROR(VALUE(SUBSTITUTE(TRIM(Input!E695&amp;""),"%","")),0)&gt;0,IFERROR(VALUE(SUBSTITUTE(TRIM(Input!E695&amp;""),"%","")),0)&lt;1),1,100))</f>
        <v/>
      </c>
      <c r="E695" t="str">
        <f>IF(A695="","",IFERROR(VALUE(SUBSTITUTE(TRIM(Input!F695&amp;""),"%","")),0)/IF(AND(IFERROR(VALUE(SUBSTITUTE(TRIM(Input!F695&amp;""),"%","")),0)&gt;0,IFERROR(VALUE(SUBSTITUTE(TRIM(Input!F695&amp;""),"%","")),0)&lt;1),1,100))</f>
        <v/>
      </c>
      <c r="F695" t="str">
        <f>IF(A695="","",IFERROR(VALUE(SUBSTITUTE(TRIM(Input!G695&amp;""),"%","")),0)/IF(AND(IFERROR(VALUE(SUBSTITUTE(TRIM(Input!G695&amp;""),"%","")),0)&gt;0,IFERROR(VALUE(SUBSTITUTE(TRIM(Input!G695&amp;""),"%","")),0)&lt;1),1,100))</f>
        <v/>
      </c>
      <c r="G695" t="str">
        <f>IF(A695="","",IFERROR(VALUE(SUBSTITUTE(TRIM(Input!H695&amp;""),"%","")),0)/IF(AND(IFERROR(VALUE(SUBSTITUTE(TRIM(Input!H695&amp;""),"%","")),0)&gt;0,IFERROR(VALUE(SUBSTITUTE(TRIM(Input!H695&amp;""),"%","")),0)&lt;1),1,100))</f>
        <v/>
      </c>
      <c r="H695" t="str">
        <f>IF(A695="","",IFERROR(VALUE(SUBSTITUTE(TRIM(Input!I695&amp;""),"%","")),0)/IF(AND(IFERROR(VALUE(SUBSTITUTE(TRIM(Input!I695&amp;""),"%","")),0)&gt;0,IFERROR(VALUE(SUBSTITUTE(TRIM(Input!I695&amp;""),"%","")),0)&lt;1),1,100))</f>
        <v/>
      </c>
    </row>
    <row r="696" spans="1:8">
      <c r="A696" t="str">
        <f>IF(TRIM(Input!B696&amp;"")="","",UPPER(TRIM(Input!B696&amp;"")))</f>
        <v/>
      </c>
      <c r="B696" t="str">
        <f>IF(A696="","",IFERROR(VALUE(RIGHT(TRIM(Input!D696&amp;""),1)),0))</f>
        <v/>
      </c>
      <c r="C696" t="str">
        <f t="shared" si="10"/>
        <v/>
      </c>
      <c r="D696" t="str">
        <f>IF(A696="","",IFERROR(VALUE(SUBSTITUTE(TRIM(Input!E696&amp;""),"%","")),0)/IF(AND(IFERROR(VALUE(SUBSTITUTE(TRIM(Input!E696&amp;""),"%","")),0)&gt;0,IFERROR(VALUE(SUBSTITUTE(TRIM(Input!E696&amp;""),"%","")),0)&lt;1),1,100))</f>
        <v/>
      </c>
      <c r="E696" t="str">
        <f>IF(A696="","",IFERROR(VALUE(SUBSTITUTE(TRIM(Input!F696&amp;""),"%","")),0)/IF(AND(IFERROR(VALUE(SUBSTITUTE(TRIM(Input!F696&amp;""),"%","")),0)&gt;0,IFERROR(VALUE(SUBSTITUTE(TRIM(Input!F696&amp;""),"%","")),0)&lt;1),1,100))</f>
        <v/>
      </c>
      <c r="F696" t="str">
        <f>IF(A696="","",IFERROR(VALUE(SUBSTITUTE(TRIM(Input!G696&amp;""),"%","")),0)/IF(AND(IFERROR(VALUE(SUBSTITUTE(TRIM(Input!G696&amp;""),"%","")),0)&gt;0,IFERROR(VALUE(SUBSTITUTE(TRIM(Input!G696&amp;""),"%","")),0)&lt;1),1,100))</f>
        <v/>
      </c>
      <c r="G696" t="str">
        <f>IF(A696="","",IFERROR(VALUE(SUBSTITUTE(TRIM(Input!H696&amp;""),"%","")),0)/IF(AND(IFERROR(VALUE(SUBSTITUTE(TRIM(Input!H696&amp;""),"%","")),0)&gt;0,IFERROR(VALUE(SUBSTITUTE(TRIM(Input!H696&amp;""),"%","")),0)&lt;1),1,100))</f>
        <v/>
      </c>
      <c r="H696" t="str">
        <f>IF(A696="","",IFERROR(VALUE(SUBSTITUTE(TRIM(Input!I696&amp;""),"%","")),0)/IF(AND(IFERROR(VALUE(SUBSTITUTE(TRIM(Input!I696&amp;""),"%","")),0)&gt;0,IFERROR(VALUE(SUBSTITUTE(TRIM(Input!I696&amp;""),"%","")),0)&lt;1),1,100))</f>
        <v/>
      </c>
    </row>
    <row r="697" spans="1:8">
      <c r="A697" t="str">
        <f>IF(TRIM(Input!B697&amp;"")="","",UPPER(TRIM(Input!B697&amp;"")))</f>
        <v/>
      </c>
      <c r="B697" t="str">
        <f>IF(A697="","",IFERROR(VALUE(RIGHT(TRIM(Input!D697&amp;""),1)),0))</f>
        <v/>
      </c>
      <c r="C697" t="str">
        <f t="shared" si="10"/>
        <v/>
      </c>
      <c r="D697" t="str">
        <f>IF(A697="","",IFERROR(VALUE(SUBSTITUTE(TRIM(Input!E697&amp;""),"%","")),0)/IF(AND(IFERROR(VALUE(SUBSTITUTE(TRIM(Input!E697&amp;""),"%","")),0)&gt;0,IFERROR(VALUE(SUBSTITUTE(TRIM(Input!E697&amp;""),"%","")),0)&lt;1),1,100))</f>
        <v/>
      </c>
      <c r="E697" t="str">
        <f>IF(A697="","",IFERROR(VALUE(SUBSTITUTE(TRIM(Input!F697&amp;""),"%","")),0)/IF(AND(IFERROR(VALUE(SUBSTITUTE(TRIM(Input!F697&amp;""),"%","")),0)&gt;0,IFERROR(VALUE(SUBSTITUTE(TRIM(Input!F697&amp;""),"%","")),0)&lt;1),1,100))</f>
        <v/>
      </c>
      <c r="F697" t="str">
        <f>IF(A697="","",IFERROR(VALUE(SUBSTITUTE(TRIM(Input!G697&amp;""),"%","")),0)/IF(AND(IFERROR(VALUE(SUBSTITUTE(TRIM(Input!G697&amp;""),"%","")),0)&gt;0,IFERROR(VALUE(SUBSTITUTE(TRIM(Input!G697&amp;""),"%","")),0)&lt;1),1,100))</f>
        <v/>
      </c>
      <c r="G697" t="str">
        <f>IF(A697="","",IFERROR(VALUE(SUBSTITUTE(TRIM(Input!H697&amp;""),"%","")),0)/IF(AND(IFERROR(VALUE(SUBSTITUTE(TRIM(Input!H697&amp;""),"%","")),0)&gt;0,IFERROR(VALUE(SUBSTITUTE(TRIM(Input!H697&amp;""),"%","")),0)&lt;1),1,100))</f>
        <v/>
      </c>
      <c r="H697" t="str">
        <f>IF(A697="","",IFERROR(VALUE(SUBSTITUTE(TRIM(Input!I697&amp;""),"%","")),0)/IF(AND(IFERROR(VALUE(SUBSTITUTE(TRIM(Input!I697&amp;""),"%","")),0)&gt;0,IFERROR(VALUE(SUBSTITUTE(TRIM(Input!I697&amp;""),"%","")),0)&lt;1),1,100))</f>
        <v/>
      </c>
    </row>
    <row r="698" spans="1:8">
      <c r="A698" t="str">
        <f>IF(TRIM(Input!B698&amp;"")="","",UPPER(TRIM(Input!B698&amp;"")))</f>
        <v/>
      </c>
      <c r="B698" t="str">
        <f>IF(A698="","",IFERROR(VALUE(RIGHT(TRIM(Input!D698&amp;""),1)),0))</f>
        <v/>
      </c>
      <c r="C698" t="str">
        <f t="shared" si="10"/>
        <v/>
      </c>
      <c r="D698" t="str">
        <f>IF(A698="","",IFERROR(VALUE(SUBSTITUTE(TRIM(Input!E698&amp;""),"%","")),0)/IF(AND(IFERROR(VALUE(SUBSTITUTE(TRIM(Input!E698&amp;""),"%","")),0)&gt;0,IFERROR(VALUE(SUBSTITUTE(TRIM(Input!E698&amp;""),"%","")),0)&lt;1),1,100))</f>
        <v/>
      </c>
      <c r="E698" t="str">
        <f>IF(A698="","",IFERROR(VALUE(SUBSTITUTE(TRIM(Input!F698&amp;""),"%","")),0)/IF(AND(IFERROR(VALUE(SUBSTITUTE(TRIM(Input!F698&amp;""),"%","")),0)&gt;0,IFERROR(VALUE(SUBSTITUTE(TRIM(Input!F698&amp;""),"%","")),0)&lt;1),1,100))</f>
        <v/>
      </c>
      <c r="F698" t="str">
        <f>IF(A698="","",IFERROR(VALUE(SUBSTITUTE(TRIM(Input!G698&amp;""),"%","")),0)/IF(AND(IFERROR(VALUE(SUBSTITUTE(TRIM(Input!G698&amp;""),"%","")),0)&gt;0,IFERROR(VALUE(SUBSTITUTE(TRIM(Input!G698&amp;""),"%","")),0)&lt;1),1,100))</f>
        <v/>
      </c>
      <c r="G698" t="str">
        <f>IF(A698="","",IFERROR(VALUE(SUBSTITUTE(TRIM(Input!H698&amp;""),"%","")),0)/IF(AND(IFERROR(VALUE(SUBSTITUTE(TRIM(Input!H698&amp;""),"%","")),0)&gt;0,IFERROR(VALUE(SUBSTITUTE(TRIM(Input!H698&amp;""),"%","")),0)&lt;1),1,100))</f>
        <v/>
      </c>
      <c r="H698" t="str">
        <f>IF(A698="","",IFERROR(VALUE(SUBSTITUTE(TRIM(Input!I698&amp;""),"%","")),0)/IF(AND(IFERROR(VALUE(SUBSTITUTE(TRIM(Input!I698&amp;""),"%","")),0)&gt;0,IFERROR(VALUE(SUBSTITUTE(TRIM(Input!I698&amp;""),"%","")),0)&lt;1),1,100))</f>
        <v/>
      </c>
    </row>
    <row r="699" spans="1:8">
      <c r="A699" t="str">
        <f>IF(TRIM(Input!B699&amp;"")="","",UPPER(TRIM(Input!B699&amp;"")))</f>
        <v/>
      </c>
      <c r="B699" t="str">
        <f>IF(A699="","",IFERROR(VALUE(RIGHT(TRIM(Input!D699&amp;""),1)),0))</f>
        <v/>
      </c>
      <c r="C699" t="str">
        <f t="shared" si="10"/>
        <v/>
      </c>
      <c r="D699" t="str">
        <f>IF(A699="","",IFERROR(VALUE(SUBSTITUTE(TRIM(Input!E699&amp;""),"%","")),0)/IF(AND(IFERROR(VALUE(SUBSTITUTE(TRIM(Input!E699&amp;""),"%","")),0)&gt;0,IFERROR(VALUE(SUBSTITUTE(TRIM(Input!E699&amp;""),"%","")),0)&lt;1),1,100))</f>
        <v/>
      </c>
      <c r="E699" t="str">
        <f>IF(A699="","",IFERROR(VALUE(SUBSTITUTE(TRIM(Input!F699&amp;""),"%","")),0)/IF(AND(IFERROR(VALUE(SUBSTITUTE(TRIM(Input!F699&amp;""),"%","")),0)&gt;0,IFERROR(VALUE(SUBSTITUTE(TRIM(Input!F699&amp;""),"%","")),0)&lt;1),1,100))</f>
        <v/>
      </c>
      <c r="F699" t="str">
        <f>IF(A699="","",IFERROR(VALUE(SUBSTITUTE(TRIM(Input!G699&amp;""),"%","")),0)/IF(AND(IFERROR(VALUE(SUBSTITUTE(TRIM(Input!G699&amp;""),"%","")),0)&gt;0,IFERROR(VALUE(SUBSTITUTE(TRIM(Input!G699&amp;""),"%","")),0)&lt;1),1,100))</f>
        <v/>
      </c>
      <c r="G699" t="str">
        <f>IF(A699="","",IFERROR(VALUE(SUBSTITUTE(TRIM(Input!H699&amp;""),"%","")),0)/IF(AND(IFERROR(VALUE(SUBSTITUTE(TRIM(Input!H699&amp;""),"%","")),0)&gt;0,IFERROR(VALUE(SUBSTITUTE(TRIM(Input!H699&amp;""),"%","")),0)&lt;1),1,100))</f>
        <v/>
      </c>
      <c r="H699" t="str">
        <f>IF(A699="","",IFERROR(VALUE(SUBSTITUTE(TRIM(Input!I699&amp;""),"%","")),0)/IF(AND(IFERROR(VALUE(SUBSTITUTE(TRIM(Input!I699&amp;""),"%","")),0)&gt;0,IFERROR(VALUE(SUBSTITUTE(TRIM(Input!I699&amp;""),"%","")),0)&lt;1),1,100))</f>
        <v/>
      </c>
    </row>
    <row r="700" spans="1:8">
      <c r="A700" t="str">
        <f>IF(TRIM(Input!B700&amp;"")="","",UPPER(TRIM(Input!B700&amp;"")))</f>
        <v/>
      </c>
      <c r="B700" t="str">
        <f>IF(A700="","",IFERROR(VALUE(RIGHT(TRIM(Input!D700&amp;""),1)),0))</f>
        <v/>
      </c>
      <c r="C700" t="str">
        <f t="shared" si="10"/>
        <v/>
      </c>
      <c r="D700" t="str">
        <f>IF(A700="","",IFERROR(VALUE(SUBSTITUTE(TRIM(Input!E700&amp;""),"%","")),0)/IF(AND(IFERROR(VALUE(SUBSTITUTE(TRIM(Input!E700&amp;""),"%","")),0)&gt;0,IFERROR(VALUE(SUBSTITUTE(TRIM(Input!E700&amp;""),"%","")),0)&lt;1),1,100))</f>
        <v/>
      </c>
      <c r="E700" t="str">
        <f>IF(A700="","",IFERROR(VALUE(SUBSTITUTE(TRIM(Input!F700&amp;""),"%","")),0)/IF(AND(IFERROR(VALUE(SUBSTITUTE(TRIM(Input!F700&amp;""),"%","")),0)&gt;0,IFERROR(VALUE(SUBSTITUTE(TRIM(Input!F700&amp;""),"%","")),0)&lt;1),1,100))</f>
        <v/>
      </c>
      <c r="F700" t="str">
        <f>IF(A700="","",IFERROR(VALUE(SUBSTITUTE(TRIM(Input!G700&amp;""),"%","")),0)/IF(AND(IFERROR(VALUE(SUBSTITUTE(TRIM(Input!G700&amp;""),"%","")),0)&gt;0,IFERROR(VALUE(SUBSTITUTE(TRIM(Input!G700&amp;""),"%","")),0)&lt;1),1,100))</f>
        <v/>
      </c>
      <c r="G700" t="str">
        <f>IF(A700="","",IFERROR(VALUE(SUBSTITUTE(TRIM(Input!H700&amp;""),"%","")),0)/IF(AND(IFERROR(VALUE(SUBSTITUTE(TRIM(Input!H700&amp;""),"%","")),0)&gt;0,IFERROR(VALUE(SUBSTITUTE(TRIM(Input!H700&amp;""),"%","")),0)&lt;1),1,100))</f>
        <v/>
      </c>
      <c r="H700" t="str">
        <f>IF(A700="","",IFERROR(VALUE(SUBSTITUTE(TRIM(Input!I700&amp;""),"%","")),0)/IF(AND(IFERROR(VALUE(SUBSTITUTE(TRIM(Input!I700&amp;""),"%","")),0)&gt;0,IFERROR(VALUE(SUBSTITUTE(TRIM(Input!I700&amp;""),"%","")),0)&lt;1),1,100))</f>
        <v/>
      </c>
    </row>
    <row r="701" spans="1:8">
      <c r="A701" t="str">
        <f>IF(TRIM(Input!B701&amp;"")="","",UPPER(TRIM(Input!B701&amp;"")))</f>
        <v/>
      </c>
      <c r="B701" t="str">
        <f>IF(A701="","",IFERROR(VALUE(RIGHT(TRIM(Input!D701&amp;""),1)),0))</f>
        <v/>
      </c>
      <c r="C701" t="str">
        <f t="shared" si="10"/>
        <v/>
      </c>
      <c r="D701" t="str">
        <f>IF(A701="","",IFERROR(VALUE(SUBSTITUTE(TRIM(Input!E701&amp;""),"%","")),0)/IF(AND(IFERROR(VALUE(SUBSTITUTE(TRIM(Input!E701&amp;""),"%","")),0)&gt;0,IFERROR(VALUE(SUBSTITUTE(TRIM(Input!E701&amp;""),"%","")),0)&lt;1),1,100))</f>
        <v/>
      </c>
      <c r="E701" t="str">
        <f>IF(A701="","",IFERROR(VALUE(SUBSTITUTE(TRIM(Input!F701&amp;""),"%","")),0)/IF(AND(IFERROR(VALUE(SUBSTITUTE(TRIM(Input!F701&amp;""),"%","")),0)&gt;0,IFERROR(VALUE(SUBSTITUTE(TRIM(Input!F701&amp;""),"%","")),0)&lt;1),1,100))</f>
        <v/>
      </c>
      <c r="F701" t="str">
        <f>IF(A701="","",IFERROR(VALUE(SUBSTITUTE(TRIM(Input!G701&amp;""),"%","")),0)/IF(AND(IFERROR(VALUE(SUBSTITUTE(TRIM(Input!G701&amp;""),"%","")),0)&gt;0,IFERROR(VALUE(SUBSTITUTE(TRIM(Input!G701&amp;""),"%","")),0)&lt;1),1,100))</f>
        <v/>
      </c>
      <c r="G701" t="str">
        <f>IF(A701="","",IFERROR(VALUE(SUBSTITUTE(TRIM(Input!H701&amp;""),"%","")),0)/IF(AND(IFERROR(VALUE(SUBSTITUTE(TRIM(Input!H701&amp;""),"%","")),0)&gt;0,IFERROR(VALUE(SUBSTITUTE(TRIM(Input!H701&amp;""),"%","")),0)&lt;1),1,100))</f>
        <v/>
      </c>
      <c r="H701" t="str">
        <f>IF(A701="","",IFERROR(VALUE(SUBSTITUTE(TRIM(Input!I701&amp;""),"%","")),0)/IF(AND(IFERROR(VALUE(SUBSTITUTE(TRIM(Input!I701&amp;""),"%","")),0)&gt;0,IFERROR(VALUE(SUBSTITUTE(TRIM(Input!I701&amp;""),"%","")),0)&lt;1),1,100))</f>
        <v/>
      </c>
    </row>
    <row r="702" spans="1:8">
      <c r="A702" t="str">
        <f>IF(TRIM(Input!B702&amp;"")="","",UPPER(TRIM(Input!B702&amp;"")))</f>
        <v/>
      </c>
      <c r="B702" t="str">
        <f>IF(A702="","",IFERROR(VALUE(RIGHT(TRIM(Input!D702&amp;""),1)),0))</f>
        <v/>
      </c>
      <c r="C702" t="str">
        <f t="shared" si="10"/>
        <v/>
      </c>
      <c r="D702" t="str">
        <f>IF(A702="","",IFERROR(VALUE(SUBSTITUTE(TRIM(Input!E702&amp;""),"%","")),0)/IF(AND(IFERROR(VALUE(SUBSTITUTE(TRIM(Input!E702&amp;""),"%","")),0)&gt;0,IFERROR(VALUE(SUBSTITUTE(TRIM(Input!E702&amp;""),"%","")),0)&lt;1),1,100))</f>
        <v/>
      </c>
      <c r="E702" t="str">
        <f>IF(A702="","",IFERROR(VALUE(SUBSTITUTE(TRIM(Input!F702&amp;""),"%","")),0)/IF(AND(IFERROR(VALUE(SUBSTITUTE(TRIM(Input!F702&amp;""),"%","")),0)&gt;0,IFERROR(VALUE(SUBSTITUTE(TRIM(Input!F702&amp;""),"%","")),0)&lt;1),1,100))</f>
        <v/>
      </c>
      <c r="F702" t="str">
        <f>IF(A702="","",IFERROR(VALUE(SUBSTITUTE(TRIM(Input!G702&amp;""),"%","")),0)/IF(AND(IFERROR(VALUE(SUBSTITUTE(TRIM(Input!G702&amp;""),"%","")),0)&gt;0,IFERROR(VALUE(SUBSTITUTE(TRIM(Input!G702&amp;""),"%","")),0)&lt;1),1,100))</f>
        <v/>
      </c>
      <c r="G702" t="str">
        <f>IF(A702="","",IFERROR(VALUE(SUBSTITUTE(TRIM(Input!H702&amp;""),"%","")),0)/IF(AND(IFERROR(VALUE(SUBSTITUTE(TRIM(Input!H702&amp;""),"%","")),0)&gt;0,IFERROR(VALUE(SUBSTITUTE(TRIM(Input!H702&amp;""),"%","")),0)&lt;1),1,100))</f>
        <v/>
      </c>
      <c r="H702" t="str">
        <f>IF(A702="","",IFERROR(VALUE(SUBSTITUTE(TRIM(Input!I702&amp;""),"%","")),0)/IF(AND(IFERROR(VALUE(SUBSTITUTE(TRIM(Input!I702&amp;""),"%","")),0)&gt;0,IFERROR(VALUE(SUBSTITUTE(TRIM(Input!I702&amp;""),"%","")),0)&lt;1),1,100))</f>
        <v/>
      </c>
    </row>
    <row r="703" spans="1:8">
      <c r="A703" t="str">
        <f>IF(TRIM(Input!B703&amp;"")="","",UPPER(TRIM(Input!B703&amp;"")))</f>
        <v/>
      </c>
      <c r="B703" t="str">
        <f>IF(A703="","",IFERROR(VALUE(RIGHT(TRIM(Input!D703&amp;""),1)),0))</f>
        <v/>
      </c>
      <c r="C703" t="str">
        <f t="shared" si="10"/>
        <v/>
      </c>
      <c r="D703" t="str">
        <f>IF(A703="","",IFERROR(VALUE(SUBSTITUTE(TRIM(Input!E703&amp;""),"%","")),0)/IF(AND(IFERROR(VALUE(SUBSTITUTE(TRIM(Input!E703&amp;""),"%","")),0)&gt;0,IFERROR(VALUE(SUBSTITUTE(TRIM(Input!E703&amp;""),"%","")),0)&lt;1),1,100))</f>
        <v/>
      </c>
      <c r="E703" t="str">
        <f>IF(A703="","",IFERROR(VALUE(SUBSTITUTE(TRIM(Input!F703&amp;""),"%","")),0)/IF(AND(IFERROR(VALUE(SUBSTITUTE(TRIM(Input!F703&amp;""),"%","")),0)&gt;0,IFERROR(VALUE(SUBSTITUTE(TRIM(Input!F703&amp;""),"%","")),0)&lt;1),1,100))</f>
        <v/>
      </c>
      <c r="F703" t="str">
        <f>IF(A703="","",IFERROR(VALUE(SUBSTITUTE(TRIM(Input!G703&amp;""),"%","")),0)/IF(AND(IFERROR(VALUE(SUBSTITUTE(TRIM(Input!G703&amp;""),"%","")),0)&gt;0,IFERROR(VALUE(SUBSTITUTE(TRIM(Input!G703&amp;""),"%","")),0)&lt;1),1,100))</f>
        <v/>
      </c>
      <c r="G703" t="str">
        <f>IF(A703="","",IFERROR(VALUE(SUBSTITUTE(TRIM(Input!H703&amp;""),"%","")),0)/IF(AND(IFERROR(VALUE(SUBSTITUTE(TRIM(Input!H703&amp;""),"%","")),0)&gt;0,IFERROR(VALUE(SUBSTITUTE(TRIM(Input!H703&amp;""),"%","")),0)&lt;1),1,100))</f>
        <v/>
      </c>
      <c r="H703" t="str">
        <f>IF(A703="","",IFERROR(VALUE(SUBSTITUTE(TRIM(Input!I703&amp;""),"%","")),0)/IF(AND(IFERROR(VALUE(SUBSTITUTE(TRIM(Input!I703&amp;""),"%","")),0)&gt;0,IFERROR(VALUE(SUBSTITUTE(TRIM(Input!I703&amp;""),"%","")),0)&lt;1),1,100))</f>
        <v/>
      </c>
    </row>
    <row r="704" spans="1:8">
      <c r="A704" t="str">
        <f>IF(TRIM(Input!B704&amp;"")="","",UPPER(TRIM(Input!B704&amp;"")))</f>
        <v/>
      </c>
      <c r="B704" t="str">
        <f>IF(A704="","",IFERROR(VALUE(RIGHT(TRIM(Input!D704&amp;""),1)),0))</f>
        <v/>
      </c>
      <c r="C704" t="str">
        <f t="shared" si="10"/>
        <v/>
      </c>
      <c r="D704" t="str">
        <f>IF(A704="","",IFERROR(VALUE(SUBSTITUTE(TRIM(Input!E704&amp;""),"%","")),0)/IF(AND(IFERROR(VALUE(SUBSTITUTE(TRIM(Input!E704&amp;""),"%","")),0)&gt;0,IFERROR(VALUE(SUBSTITUTE(TRIM(Input!E704&amp;""),"%","")),0)&lt;1),1,100))</f>
        <v/>
      </c>
      <c r="E704" t="str">
        <f>IF(A704="","",IFERROR(VALUE(SUBSTITUTE(TRIM(Input!F704&amp;""),"%","")),0)/IF(AND(IFERROR(VALUE(SUBSTITUTE(TRIM(Input!F704&amp;""),"%","")),0)&gt;0,IFERROR(VALUE(SUBSTITUTE(TRIM(Input!F704&amp;""),"%","")),0)&lt;1),1,100))</f>
        <v/>
      </c>
      <c r="F704" t="str">
        <f>IF(A704="","",IFERROR(VALUE(SUBSTITUTE(TRIM(Input!G704&amp;""),"%","")),0)/IF(AND(IFERROR(VALUE(SUBSTITUTE(TRIM(Input!G704&amp;""),"%","")),0)&gt;0,IFERROR(VALUE(SUBSTITUTE(TRIM(Input!G704&amp;""),"%","")),0)&lt;1),1,100))</f>
        <v/>
      </c>
      <c r="G704" t="str">
        <f>IF(A704="","",IFERROR(VALUE(SUBSTITUTE(TRIM(Input!H704&amp;""),"%","")),0)/IF(AND(IFERROR(VALUE(SUBSTITUTE(TRIM(Input!H704&amp;""),"%","")),0)&gt;0,IFERROR(VALUE(SUBSTITUTE(TRIM(Input!H704&amp;""),"%","")),0)&lt;1),1,100))</f>
        <v/>
      </c>
      <c r="H704" t="str">
        <f>IF(A704="","",IFERROR(VALUE(SUBSTITUTE(TRIM(Input!I704&amp;""),"%","")),0)/IF(AND(IFERROR(VALUE(SUBSTITUTE(TRIM(Input!I704&amp;""),"%","")),0)&gt;0,IFERROR(VALUE(SUBSTITUTE(TRIM(Input!I704&amp;""),"%","")),0)&lt;1),1,100))</f>
        <v/>
      </c>
    </row>
    <row r="705" spans="1:8">
      <c r="A705" t="str">
        <f>IF(TRIM(Input!B705&amp;"")="","",UPPER(TRIM(Input!B705&amp;"")))</f>
        <v/>
      </c>
      <c r="B705" t="str">
        <f>IF(A705="","",IFERROR(VALUE(RIGHT(TRIM(Input!D705&amp;""),1)),0))</f>
        <v/>
      </c>
      <c r="C705" t="str">
        <f t="shared" si="10"/>
        <v/>
      </c>
      <c r="D705" t="str">
        <f>IF(A705="","",IFERROR(VALUE(SUBSTITUTE(TRIM(Input!E705&amp;""),"%","")),0)/IF(AND(IFERROR(VALUE(SUBSTITUTE(TRIM(Input!E705&amp;""),"%","")),0)&gt;0,IFERROR(VALUE(SUBSTITUTE(TRIM(Input!E705&amp;""),"%","")),0)&lt;1),1,100))</f>
        <v/>
      </c>
      <c r="E705" t="str">
        <f>IF(A705="","",IFERROR(VALUE(SUBSTITUTE(TRIM(Input!F705&amp;""),"%","")),0)/IF(AND(IFERROR(VALUE(SUBSTITUTE(TRIM(Input!F705&amp;""),"%","")),0)&gt;0,IFERROR(VALUE(SUBSTITUTE(TRIM(Input!F705&amp;""),"%","")),0)&lt;1),1,100))</f>
        <v/>
      </c>
      <c r="F705" t="str">
        <f>IF(A705="","",IFERROR(VALUE(SUBSTITUTE(TRIM(Input!G705&amp;""),"%","")),0)/IF(AND(IFERROR(VALUE(SUBSTITUTE(TRIM(Input!G705&amp;""),"%","")),0)&gt;0,IFERROR(VALUE(SUBSTITUTE(TRIM(Input!G705&amp;""),"%","")),0)&lt;1),1,100))</f>
        <v/>
      </c>
      <c r="G705" t="str">
        <f>IF(A705="","",IFERROR(VALUE(SUBSTITUTE(TRIM(Input!H705&amp;""),"%","")),0)/IF(AND(IFERROR(VALUE(SUBSTITUTE(TRIM(Input!H705&amp;""),"%","")),0)&gt;0,IFERROR(VALUE(SUBSTITUTE(TRIM(Input!H705&amp;""),"%","")),0)&lt;1),1,100))</f>
        <v/>
      </c>
      <c r="H705" t="str">
        <f>IF(A705="","",IFERROR(VALUE(SUBSTITUTE(TRIM(Input!I705&amp;""),"%","")),0)/IF(AND(IFERROR(VALUE(SUBSTITUTE(TRIM(Input!I705&amp;""),"%","")),0)&gt;0,IFERROR(VALUE(SUBSTITUTE(TRIM(Input!I705&amp;""),"%","")),0)&lt;1),1,100))</f>
        <v/>
      </c>
    </row>
    <row r="706" spans="1:8">
      <c r="A706" t="str">
        <f>IF(TRIM(Input!B706&amp;"")="","",UPPER(TRIM(Input!B706&amp;"")))</f>
        <v/>
      </c>
      <c r="B706" t="str">
        <f>IF(A706="","",IFERROR(VALUE(RIGHT(TRIM(Input!D706&amp;""),1)),0))</f>
        <v/>
      </c>
      <c r="C706" t="str">
        <f t="shared" ref="C706:C769" si="11">IF(A706="","",A706&amp;"|"&amp;B706)</f>
        <v/>
      </c>
      <c r="D706" t="str">
        <f>IF(A706="","",IFERROR(VALUE(SUBSTITUTE(TRIM(Input!E706&amp;""),"%","")),0)/IF(AND(IFERROR(VALUE(SUBSTITUTE(TRIM(Input!E706&amp;""),"%","")),0)&gt;0,IFERROR(VALUE(SUBSTITUTE(TRIM(Input!E706&amp;""),"%","")),0)&lt;1),1,100))</f>
        <v/>
      </c>
      <c r="E706" t="str">
        <f>IF(A706="","",IFERROR(VALUE(SUBSTITUTE(TRIM(Input!F706&amp;""),"%","")),0)/IF(AND(IFERROR(VALUE(SUBSTITUTE(TRIM(Input!F706&amp;""),"%","")),0)&gt;0,IFERROR(VALUE(SUBSTITUTE(TRIM(Input!F706&amp;""),"%","")),0)&lt;1),1,100))</f>
        <v/>
      </c>
      <c r="F706" t="str">
        <f>IF(A706="","",IFERROR(VALUE(SUBSTITUTE(TRIM(Input!G706&amp;""),"%","")),0)/IF(AND(IFERROR(VALUE(SUBSTITUTE(TRIM(Input!G706&amp;""),"%","")),0)&gt;0,IFERROR(VALUE(SUBSTITUTE(TRIM(Input!G706&amp;""),"%","")),0)&lt;1),1,100))</f>
        <v/>
      </c>
      <c r="G706" t="str">
        <f>IF(A706="","",IFERROR(VALUE(SUBSTITUTE(TRIM(Input!H706&amp;""),"%","")),0)/IF(AND(IFERROR(VALUE(SUBSTITUTE(TRIM(Input!H706&amp;""),"%","")),0)&gt;0,IFERROR(VALUE(SUBSTITUTE(TRIM(Input!H706&amp;""),"%","")),0)&lt;1),1,100))</f>
        <v/>
      </c>
      <c r="H706" t="str">
        <f>IF(A706="","",IFERROR(VALUE(SUBSTITUTE(TRIM(Input!I706&amp;""),"%","")),0)/IF(AND(IFERROR(VALUE(SUBSTITUTE(TRIM(Input!I706&amp;""),"%","")),0)&gt;0,IFERROR(VALUE(SUBSTITUTE(TRIM(Input!I706&amp;""),"%","")),0)&lt;1),1,100))</f>
        <v/>
      </c>
    </row>
    <row r="707" spans="1:8">
      <c r="A707" t="str">
        <f>IF(TRIM(Input!B707&amp;"")="","",UPPER(TRIM(Input!B707&amp;"")))</f>
        <v/>
      </c>
      <c r="B707" t="str">
        <f>IF(A707="","",IFERROR(VALUE(RIGHT(TRIM(Input!D707&amp;""),1)),0))</f>
        <v/>
      </c>
      <c r="C707" t="str">
        <f t="shared" si="11"/>
        <v/>
      </c>
      <c r="D707" t="str">
        <f>IF(A707="","",IFERROR(VALUE(SUBSTITUTE(TRIM(Input!E707&amp;""),"%","")),0)/IF(AND(IFERROR(VALUE(SUBSTITUTE(TRIM(Input!E707&amp;""),"%","")),0)&gt;0,IFERROR(VALUE(SUBSTITUTE(TRIM(Input!E707&amp;""),"%","")),0)&lt;1),1,100))</f>
        <v/>
      </c>
      <c r="E707" t="str">
        <f>IF(A707="","",IFERROR(VALUE(SUBSTITUTE(TRIM(Input!F707&amp;""),"%","")),0)/IF(AND(IFERROR(VALUE(SUBSTITUTE(TRIM(Input!F707&amp;""),"%","")),0)&gt;0,IFERROR(VALUE(SUBSTITUTE(TRIM(Input!F707&amp;""),"%","")),0)&lt;1),1,100))</f>
        <v/>
      </c>
      <c r="F707" t="str">
        <f>IF(A707="","",IFERROR(VALUE(SUBSTITUTE(TRIM(Input!G707&amp;""),"%","")),0)/IF(AND(IFERROR(VALUE(SUBSTITUTE(TRIM(Input!G707&amp;""),"%","")),0)&gt;0,IFERROR(VALUE(SUBSTITUTE(TRIM(Input!G707&amp;""),"%","")),0)&lt;1),1,100))</f>
        <v/>
      </c>
      <c r="G707" t="str">
        <f>IF(A707="","",IFERROR(VALUE(SUBSTITUTE(TRIM(Input!H707&amp;""),"%","")),0)/IF(AND(IFERROR(VALUE(SUBSTITUTE(TRIM(Input!H707&amp;""),"%","")),0)&gt;0,IFERROR(VALUE(SUBSTITUTE(TRIM(Input!H707&amp;""),"%","")),0)&lt;1),1,100))</f>
        <v/>
      </c>
      <c r="H707" t="str">
        <f>IF(A707="","",IFERROR(VALUE(SUBSTITUTE(TRIM(Input!I707&amp;""),"%","")),0)/IF(AND(IFERROR(VALUE(SUBSTITUTE(TRIM(Input!I707&amp;""),"%","")),0)&gt;0,IFERROR(VALUE(SUBSTITUTE(TRIM(Input!I707&amp;""),"%","")),0)&lt;1),1,100))</f>
        <v/>
      </c>
    </row>
    <row r="708" spans="1:8">
      <c r="A708" t="str">
        <f>IF(TRIM(Input!B708&amp;"")="","",UPPER(TRIM(Input!B708&amp;"")))</f>
        <v/>
      </c>
      <c r="B708" t="str">
        <f>IF(A708="","",IFERROR(VALUE(RIGHT(TRIM(Input!D708&amp;""),1)),0))</f>
        <v/>
      </c>
      <c r="C708" t="str">
        <f t="shared" si="11"/>
        <v/>
      </c>
      <c r="D708" t="str">
        <f>IF(A708="","",IFERROR(VALUE(SUBSTITUTE(TRIM(Input!E708&amp;""),"%","")),0)/IF(AND(IFERROR(VALUE(SUBSTITUTE(TRIM(Input!E708&amp;""),"%","")),0)&gt;0,IFERROR(VALUE(SUBSTITUTE(TRIM(Input!E708&amp;""),"%","")),0)&lt;1),1,100))</f>
        <v/>
      </c>
      <c r="E708" t="str">
        <f>IF(A708="","",IFERROR(VALUE(SUBSTITUTE(TRIM(Input!F708&amp;""),"%","")),0)/IF(AND(IFERROR(VALUE(SUBSTITUTE(TRIM(Input!F708&amp;""),"%","")),0)&gt;0,IFERROR(VALUE(SUBSTITUTE(TRIM(Input!F708&amp;""),"%","")),0)&lt;1),1,100))</f>
        <v/>
      </c>
      <c r="F708" t="str">
        <f>IF(A708="","",IFERROR(VALUE(SUBSTITUTE(TRIM(Input!G708&amp;""),"%","")),0)/IF(AND(IFERROR(VALUE(SUBSTITUTE(TRIM(Input!G708&amp;""),"%","")),0)&gt;0,IFERROR(VALUE(SUBSTITUTE(TRIM(Input!G708&amp;""),"%","")),0)&lt;1),1,100))</f>
        <v/>
      </c>
      <c r="G708" t="str">
        <f>IF(A708="","",IFERROR(VALUE(SUBSTITUTE(TRIM(Input!H708&amp;""),"%","")),0)/IF(AND(IFERROR(VALUE(SUBSTITUTE(TRIM(Input!H708&amp;""),"%","")),0)&gt;0,IFERROR(VALUE(SUBSTITUTE(TRIM(Input!H708&amp;""),"%","")),0)&lt;1),1,100))</f>
        <v/>
      </c>
      <c r="H708" t="str">
        <f>IF(A708="","",IFERROR(VALUE(SUBSTITUTE(TRIM(Input!I708&amp;""),"%","")),0)/IF(AND(IFERROR(VALUE(SUBSTITUTE(TRIM(Input!I708&amp;""),"%","")),0)&gt;0,IFERROR(VALUE(SUBSTITUTE(TRIM(Input!I708&amp;""),"%","")),0)&lt;1),1,100))</f>
        <v/>
      </c>
    </row>
    <row r="709" spans="1:8">
      <c r="A709" t="str">
        <f>IF(TRIM(Input!B709&amp;"")="","",UPPER(TRIM(Input!B709&amp;"")))</f>
        <v/>
      </c>
      <c r="B709" t="str">
        <f>IF(A709="","",IFERROR(VALUE(RIGHT(TRIM(Input!D709&amp;""),1)),0))</f>
        <v/>
      </c>
      <c r="C709" t="str">
        <f t="shared" si="11"/>
        <v/>
      </c>
      <c r="D709" t="str">
        <f>IF(A709="","",IFERROR(VALUE(SUBSTITUTE(TRIM(Input!E709&amp;""),"%","")),0)/IF(AND(IFERROR(VALUE(SUBSTITUTE(TRIM(Input!E709&amp;""),"%","")),0)&gt;0,IFERROR(VALUE(SUBSTITUTE(TRIM(Input!E709&amp;""),"%","")),0)&lt;1),1,100))</f>
        <v/>
      </c>
      <c r="E709" t="str">
        <f>IF(A709="","",IFERROR(VALUE(SUBSTITUTE(TRIM(Input!F709&amp;""),"%","")),0)/IF(AND(IFERROR(VALUE(SUBSTITUTE(TRIM(Input!F709&amp;""),"%","")),0)&gt;0,IFERROR(VALUE(SUBSTITUTE(TRIM(Input!F709&amp;""),"%","")),0)&lt;1),1,100))</f>
        <v/>
      </c>
      <c r="F709" t="str">
        <f>IF(A709="","",IFERROR(VALUE(SUBSTITUTE(TRIM(Input!G709&amp;""),"%","")),0)/IF(AND(IFERROR(VALUE(SUBSTITUTE(TRIM(Input!G709&amp;""),"%","")),0)&gt;0,IFERROR(VALUE(SUBSTITUTE(TRIM(Input!G709&amp;""),"%","")),0)&lt;1),1,100))</f>
        <v/>
      </c>
      <c r="G709" t="str">
        <f>IF(A709="","",IFERROR(VALUE(SUBSTITUTE(TRIM(Input!H709&amp;""),"%","")),0)/IF(AND(IFERROR(VALUE(SUBSTITUTE(TRIM(Input!H709&amp;""),"%","")),0)&gt;0,IFERROR(VALUE(SUBSTITUTE(TRIM(Input!H709&amp;""),"%","")),0)&lt;1),1,100))</f>
        <v/>
      </c>
      <c r="H709" t="str">
        <f>IF(A709="","",IFERROR(VALUE(SUBSTITUTE(TRIM(Input!I709&amp;""),"%","")),0)/IF(AND(IFERROR(VALUE(SUBSTITUTE(TRIM(Input!I709&amp;""),"%","")),0)&gt;0,IFERROR(VALUE(SUBSTITUTE(TRIM(Input!I709&amp;""),"%","")),0)&lt;1),1,100))</f>
        <v/>
      </c>
    </row>
    <row r="710" spans="1:8">
      <c r="A710" t="str">
        <f>IF(TRIM(Input!B710&amp;"")="","",UPPER(TRIM(Input!B710&amp;"")))</f>
        <v/>
      </c>
      <c r="B710" t="str">
        <f>IF(A710="","",IFERROR(VALUE(RIGHT(TRIM(Input!D710&amp;""),1)),0))</f>
        <v/>
      </c>
      <c r="C710" t="str">
        <f t="shared" si="11"/>
        <v/>
      </c>
      <c r="D710" t="str">
        <f>IF(A710="","",IFERROR(VALUE(SUBSTITUTE(TRIM(Input!E710&amp;""),"%","")),0)/IF(AND(IFERROR(VALUE(SUBSTITUTE(TRIM(Input!E710&amp;""),"%","")),0)&gt;0,IFERROR(VALUE(SUBSTITUTE(TRIM(Input!E710&amp;""),"%","")),0)&lt;1),1,100))</f>
        <v/>
      </c>
      <c r="E710" t="str">
        <f>IF(A710="","",IFERROR(VALUE(SUBSTITUTE(TRIM(Input!F710&amp;""),"%","")),0)/IF(AND(IFERROR(VALUE(SUBSTITUTE(TRIM(Input!F710&amp;""),"%","")),0)&gt;0,IFERROR(VALUE(SUBSTITUTE(TRIM(Input!F710&amp;""),"%","")),0)&lt;1),1,100))</f>
        <v/>
      </c>
      <c r="F710" t="str">
        <f>IF(A710="","",IFERROR(VALUE(SUBSTITUTE(TRIM(Input!G710&amp;""),"%","")),0)/IF(AND(IFERROR(VALUE(SUBSTITUTE(TRIM(Input!G710&amp;""),"%","")),0)&gt;0,IFERROR(VALUE(SUBSTITUTE(TRIM(Input!G710&amp;""),"%","")),0)&lt;1),1,100))</f>
        <v/>
      </c>
      <c r="G710" t="str">
        <f>IF(A710="","",IFERROR(VALUE(SUBSTITUTE(TRIM(Input!H710&amp;""),"%","")),0)/IF(AND(IFERROR(VALUE(SUBSTITUTE(TRIM(Input!H710&amp;""),"%","")),0)&gt;0,IFERROR(VALUE(SUBSTITUTE(TRIM(Input!H710&amp;""),"%","")),0)&lt;1),1,100))</f>
        <v/>
      </c>
      <c r="H710" t="str">
        <f>IF(A710="","",IFERROR(VALUE(SUBSTITUTE(TRIM(Input!I710&amp;""),"%","")),0)/IF(AND(IFERROR(VALUE(SUBSTITUTE(TRIM(Input!I710&amp;""),"%","")),0)&gt;0,IFERROR(VALUE(SUBSTITUTE(TRIM(Input!I710&amp;""),"%","")),0)&lt;1),1,100))</f>
        <v/>
      </c>
    </row>
    <row r="711" spans="1:8">
      <c r="A711" t="str">
        <f>IF(TRIM(Input!B711&amp;"")="","",UPPER(TRIM(Input!B711&amp;"")))</f>
        <v/>
      </c>
      <c r="B711" t="str">
        <f>IF(A711="","",IFERROR(VALUE(RIGHT(TRIM(Input!D711&amp;""),1)),0))</f>
        <v/>
      </c>
      <c r="C711" t="str">
        <f t="shared" si="11"/>
        <v/>
      </c>
      <c r="D711" t="str">
        <f>IF(A711="","",IFERROR(VALUE(SUBSTITUTE(TRIM(Input!E711&amp;""),"%","")),0)/IF(AND(IFERROR(VALUE(SUBSTITUTE(TRIM(Input!E711&amp;""),"%","")),0)&gt;0,IFERROR(VALUE(SUBSTITUTE(TRIM(Input!E711&amp;""),"%","")),0)&lt;1),1,100))</f>
        <v/>
      </c>
      <c r="E711" t="str">
        <f>IF(A711="","",IFERROR(VALUE(SUBSTITUTE(TRIM(Input!F711&amp;""),"%","")),0)/IF(AND(IFERROR(VALUE(SUBSTITUTE(TRIM(Input!F711&amp;""),"%","")),0)&gt;0,IFERROR(VALUE(SUBSTITUTE(TRIM(Input!F711&amp;""),"%","")),0)&lt;1),1,100))</f>
        <v/>
      </c>
      <c r="F711" t="str">
        <f>IF(A711="","",IFERROR(VALUE(SUBSTITUTE(TRIM(Input!G711&amp;""),"%","")),0)/IF(AND(IFERROR(VALUE(SUBSTITUTE(TRIM(Input!G711&amp;""),"%","")),0)&gt;0,IFERROR(VALUE(SUBSTITUTE(TRIM(Input!G711&amp;""),"%","")),0)&lt;1),1,100))</f>
        <v/>
      </c>
      <c r="G711" t="str">
        <f>IF(A711="","",IFERROR(VALUE(SUBSTITUTE(TRIM(Input!H711&amp;""),"%","")),0)/IF(AND(IFERROR(VALUE(SUBSTITUTE(TRIM(Input!H711&amp;""),"%","")),0)&gt;0,IFERROR(VALUE(SUBSTITUTE(TRIM(Input!H711&amp;""),"%","")),0)&lt;1),1,100))</f>
        <v/>
      </c>
      <c r="H711" t="str">
        <f>IF(A711="","",IFERROR(VALUE(SUBSTITUTE(TRIM(Input!I711&amp;""),"%","")),0)/IF(AND(IFERROR(VALUE(SUBSTITUTE(TRIM(Input!I711&amp;""),"%","")),0)&gt;0,IFERROR(VALUE(SUBSTITUTE(TRIM(Input!I711&amp;""),"%","")),0)&lt;1),1,100))</f>
        <v/>
      </c>
    </row>
    <row r="712" spans="1:8">
      <c r="A712" t="str">
        <f>IF(TRIM(Input!B712&amp;"")="","",UPPER(TRIM(Input!B712&amp;"")))</f>
        <v/>
      </c>
      <c r="B712" t="str">
        <f>IF(A712="","",IFERROR(VALUE(RIGHT(TRIM(Input!D712&amp;""),1)),0))</f>
        <v/>
      </c>
      <c r="C712" t="str">
        <f t="shared" si="11"/>
        <v/>
      </c>
      <c r="D712" t="str">
        <f>IF(A712="","",IFERROR(VALUE(SUBSTITUTE(TRIM(Input!E712&amp;""),"%","")),0)/IF(AND(IFERROR(VALUE(SUBSTITUTE(TRIM(Input!E712&amp;""),"%","")),0)&gt;0,IFERROR(VALUE(SUBSTITUTE(TRIM(Input!E712&amp;""),"%","")),0)&lt;1),1,100))</f>
        <v/>
      </c>
      <c r="E712" t="str">
        <f>IF(A712="","",IFERROR(VALUE(SUBSTITUTE(TRIM(Input!F712&amp;""),"%","")),0)/IF(AND(IFERROR(VALUE(SUBSTITUTE(TRIM(Input!F712&amp;""),"%","")),0)&gt;0,IFERROR(VALUE(SUBSTITUTE(TRIM(Input!F712&amp;""),"%","")),0)&lt;1),1,100))</f>
        <v/>
      </c>
      <c r="F712" t="str">
        <f>IF(A712="","",IFERROR(VALUE(SUBSTITUTE(TRIM(Input!G712&amp;""),"%","")),0)/IF(AND(IFERROR(VALUE(SUBSTITUTE(TRIM(Input!G712&amp;""),"%","")),0)&gt;0,IFERROR(VALUE(SUBSTITUTE(TRIM(Input!G712&amp;""),"%","")),0)&lt;1),1,100))</f>
        <v/>
      </c>
      <c r="G712" t="str">
        <f>IF(A712="","",IFERROR(VALUE(SUBSTITUTE(TRIM(Input!H712&amp;""),"%","")),0)/IF(AND(IFERROR(VALUE(SUBSTITUTE(TRIM(Input!H712&amp;""),"%","")),0)&gt;0,IFERROR(VALUE(SUBSTITUTE(TRIM(Input!H712&amp;""),"%","")),0)&lt;1),1,100))</f>
        <v/>
      </c>
      <c r="H712" t="str">
        <f>IF(A712="","",IFERROR(VALUE(SUBSTITUTE(TRIM(Input!I712&amp;""),"%","")),0)/IF(AND(IFERROR(VALUE(SUBSTITUTE(TRIM(Input!I712&amp;""),"%","")),0)&gt;0,IFERROR(VALUE(SUBSTITUTE(TRIM(Input!I712&amp;""),"%","")),0)&lt;1),1,100))</f>
        <v/>
      </c>
    </row>
    <row r="713" spans="1:8">
      <c r="A713" t="str">
        <f>IF(TRIM(Input!B713&amp;"")="","",UPPER(TRIM(Input!B713&amp;"")))</f>
        <v/>
      </c>
      <c r="B713" t="str">
        <f>IF(A713="","",IFERROR(VALUE(RIGHT(TRIM(Input!D713&amp;""),1)),0))</f>
        <v/>
      </c>
      <c r="C713" t="str">
        <f t="shared" si="11"/>
        <v/>
      </c>
      <c r="D713" t="str">
        <f>IF(A713="","",IFERROR(VALUE(SUBSTITUTE(TRIM(Input!E713&amp;""),"%","")),0)/IF(AND(IFERROR(VALUE(SUBSTITUTE(TRIM(Input!E713&amp;""),"%","")),0)&gt;0,IFERROR(VALUE(SUBSTITUTE(TRIM(Input!E713&amp;""),"%","")),0)&lt;1),1,100))</f>
        <v/>
      </c>
      <c r="E713" t="str">
        <f>IF(A713="","",IFERROR(VALUE(SUBSTITUTE(TRIM(Input!F713&amp;""),"%","")),0)/IF(AND(IFERROR(VALUE(SUBSTITUTE(TRIM(Input!F713&amp;""),"%","")),0)&gt;0,IFERROR(VALUE(SUBSTITUTE(TRIM(Input!F713&amp;""),"%","")),0)&lt;1),1,100))</f>
        <v/>
      </c>
      <c r="F713" t="str">
        <f>IF(A713="","",IFERROR(VALUE(SUBSTITUTE(TRIM(Input!G713&amp;""),"%","")),0)/IF(AND(IFERROR(VALUE(SUBSTITUTE(TRIM(Input!G713&amp;""),"%","")),0)&gt;0,IFERROR(VALUE(SUBSTITUTE(TRIM(Input!G713&amp;""),"%","")),0)&lt;1),1,100))</f>
        <v/>
      </c>
      <c r="G713" t="str">
        <f>IF(A713="","",IFERROR(VALUE(SUBSTITUTE(TRIM(Input!H713&amp;""),"%","")),0)/IF(AND(IFERROR(VALUE(SUBSTITUTE(TRIM(Input!H713&amp;""),"%","")),0)&gt;0,IFERROR(VALUE(SUBSTITUTE(TRIM(Input!H713&amp;""),"%","")),0)&lt;1),1,100))</f>
        <v/>
      </c>
      <c r="H713" t="str">
        <f>IF(A713="","",IFERROR(VALUE(SUBSTITUTE(TRIM(Input!I713&amp;""),"%","")),0)/IF(AND(IFERROR(VALUE(SUBSTITUTE(TRIM(Input!I713&amp;""),"%","")),0)&gt;0,IFERROR(VALUE(SUBSTITUTE(TRIM(Input!I713&amp;""),"%","")),0)&lt;1),1,100))</f>
        <v/>
      </c>
    </row>
    <row r="714" spans="1:8">
      <c r="A714" t="str">
        <f>IF(TRIM(Input!B714&amp;"")="","",UPPER(TRIM(Input!B714&amp;"")))</f>
        <v/>
      </c>
      <c r="B714" t="str">
        <f>IF(A714="","",IFERROR(VALUE(RIGHT(TRIM(Input!D714&amp;""),1)),0))</f>
        <v/>
      </c>
      <c r="C714" t="str">
        <f t="shared" si="11"/>
        <v/>
      </c>
      <c r="D714" t="str">
        <f>IF(A714="","",IFERROR(VALUE(SUBSTITUTE(TRIM(Input!E714&amp;""),"%","")),0)/IF(AND(IFERROR(VALUE(SUBSTITUTE(TRIM(Input!E714&amp;""),"%","")),0)&gt;0,IFERROR(VALUE(SUBSTITUTE(TRIM(Input!E714&amp;""),"%","")),0)&lt;1),1,100))</f>
        <v/>
      </c>
      <c r="E714" t="str">
        <f>IF(A714="","",IFERROR(VALUE(SUBSTITUTE(TRIM(Input!F714&amp;""),"%","")),0)/IF(AND(IFERROR(VALUE(SUBSTITUTE(TRIM(Input!F714&amp;""),"%","")),0)&gt;0,IFERROR(VALUE(SUBSTITUTE(TRIM(Input!F714&amp;""),"%","")),0)&lt;1),1,100))</f>
        <v/>
      </c>
      <c r="F714" t="str">
        <f>IF(A714="","",IFERROR(VALUE(SUBSTITUTE(TRIM(Input!G714&amp;""),"%","")),0)/IF(AND(IFERROR(VALUE(SUBSTITUTE(TRIM(Input!G714&amp;""),"%","")),0)&gt;0,IFERROR(VALUE(SUBSTITUTE(TRIM(Input!G714&amp;""),"%","")),0)&lt;1),1,100))</f>
        <v/>
      </c>
      <c r="G714" t="str">
        <f>IF(A714="","",IFERROR(VALUE(SUBSTITUTE(TRIM(Input!H714&amp;""),"%","")),0)/IF(AND(IFERROR(VALUE(SUBSTITUTE(TRIM(Input!H714&amp;""),"%","")),0)&gt;0,IFERROR(VALUE(SUBSTITUTE(TRIM(Input!H714&amp;""),"%","")),0)&lt;1),1,100))</f>
        <v/>
      </c>
      <c r="H714" t="str">
        <f>IF(A714="","",IFERROR(VALUE(SUBSTITUTE(TRIM(Input!I714&amp;""),"%","")),0)/IF(AND(IFERROR(VALUE(SUBSTITUTE(TRIM(Input!I714&amp;""),"%","")),0)&gt;0,IFERROR(VALUE(SUBSTITUTE(TRIM(Input!I714&amp;""),"%","")),0)&lt;1),1,100))</f>
        <v/>
      </c>
    </row>
    <row r="715" spans="1:8">
      <c r="A715" t="str">
        <f>IF(TRIM(Input!B715&amp;"")="","",UPPER(TRIM(Input!B715&amp;"")))</f>
        <v/>
      </c>
      <c r="B715" t="str">
        <f>IF(A715="","",IFERROR(VALUE(RIGHT(TRIM(Input!D715&amp;""),1)),0))</f>
        <v/>
      </c>
      <c r="C715" t="str">
        <f t="shared" si="11"/>
        <v/>
      </c>
      <c r="D715" t="str">
        <f>IF(A715="","",IFERROR(VALUE(SUBSTITUTE(TRIM(Input!E715&amp;""),"%","")),0)/IF(AND(IFERROR(VALUE(SUBSTITUTE(TRIM(Input!E715&amp;""),"%","")),0)&gt;0,IFERROR(VALUE(SUBSTITUTE(TRIM(Input!E715&amp;""),"%","")),0)&lt;1),1,100))</f>
        <v/>
      </c>
      <c r="E715" t="str">
        <f>IF(A715="","",IFERROR(VALUE(SUBSTITUTE(TRIM(Input!F715&amp;""),"%","")),0)/IF(AND(IFERROR(VALUE(SUBSTITUTE(TRIM(Input!F715&amp;""),"%","")),0)&gt;0,IFERROR(VALUE(SUBSTITUTE(TRIM(Input!F715&amp;""),"%","")),0)&lt;1),1,100))</f>
        <v/>
      </c>
      <c r="F715" t="str">
        <f>IF(A715="","",IFERROR(VALUE(SUBSTITUTE(TRIM(Input!G715&amp;""),"%","")),0)/IF(AND(IFERROR(VALUE(SUBSTITUTE(TRIM(Input!G715&amp;""),"%","")),0)&gt;0,IFERROR(VALUE(SUBSTITUTE(TRIM(Input!G715&amp;""),"%","")),0)&lt;1),1,100))</f>
        <v/>
      </c>
      <c r="G715" t="str">
        <f>IF(A715="","",IFERROR(VALUE(SUBSTITUTE(TRIM(Input!H715&amp;""),"%","")),0)/IF(AND(IFERROR(VALUE(SUBSTITUTE(TRIM(Input!H715&amp;""),"%","")),0)&gt;0,IFERROR(VALUE(SUBSTITUTE(TRIM(Input!H715&amp;""),"%","")),0)&lt;1),1,100))</f>
        <v/>
      </c>
      <c r="H715" t="str">
        <f>IF(A715="","",IFERROR(VALUE(SUBSTITUTE(TRIM(Input!I715&amp;""),"%","")),0)/IF(AND(IFERROR(VALUE(SUBSTITUTE(TRIM(Input!I715&amp;""),"%","")),0)&gt;0,IFERROR(VALUE(SUBSTITUTE(TRIM(Input!I715&amp;""),"%","")),0)&lt;1),1,100))</f>
        <v/>
      </c>
    </row>
    <row r="716" spans="1:8">
      <c r="A716" t="str">
        <f>IF(TRIM(Input!B716&amp;"")="","",UPPER(TRIM(Input!B716&amp;"")))</f>
        <v/>
      </c>
      <c r="B716" t="str">
        <f>IF(A716="","",IFERROR(VALUE(RIGHT(TRIM(Input!D716&amp;""),1)),0))</f>
        <v/>
      </c>
      <c r="C716" t="str">
        <f t="shared" si="11"/>
        <v/>
      </c>
      <c r="D716" t="str">
        <f>IF(A716="","",IFERROR(VALUE(SUBSTITUTE(TRIM(Input!E716&amp;""),"%","")),0)/IF(AND(IFERROR(VALUE(SUBSTITUTE(TRIM(Input!E716&amp;""),"%","")),0)&gt;0,IFERROR(VALUE(SUBSTITUTE(TRIM(Input!E716&amp;""),"%","")),0)&lt;1),1,100))</f>
        <v/>
      </c>
      <c r="E716" t="str">
        <f>IF(A716="","",IFERROR(VALUE(SUBSTITUTE(TRIM(Input!F716&amp;""),"%","")),0)/IF(AND(IFERROR(VALUE(SUBSTITUTE(TRIM(Input!F716&amp;""),"%","")),0)&gt;0,IFERROR(VALUE(SUBSTITUTE(TRIM(Input!F716&amp;""),"%","")),0)&lt;1),1,100))</f>
        <v/>
      </c>
      <c r="F716" t="str">
        <f>IF(A716="","",IFERROR(VALUE(SUBSTITUTE(TRIM(Input!G716&amp;""),"%","")),0)/IF(AND(IFERROR(VALUE(SUBSTITUTE(TRIM(Input!G716&amp;""),"%","")),0)&gt;0,IFERROR(VALUE(SUBSTITUTE(TRIM(Input!G716&amp;""),"%","")),0)&lt;1),1,100))</f>
        <v/>
      </c>
      <c r="G716" t="str">
        <f>IF(A716="","",IFERROR(VALUE(SUBSTITUTE(TRIM(Input!H716&amp;""),"%","")),0)/IF(AND(IFERROR(VALUE(SUBSTITUTE(TRIM(Input!H716&amp;""),"%","")),0)&gt;0,IFERROR(VALUE(SUBSTITUTE(TRIM(Input!H716&amp;""),"%","")),0)&lt;1),1,100))</f>
        <v/>
      </c>
      <c r="H716" t="str">
        <f>IF(A716="","",IFERROR(VALUE(SUBSTITUTE(TRIM(Input!I716&amp;""),"%","")),0)/IF(AND(IFERROR(VALUE(SUBSTITUTE(TRIM(Input!I716&amp;""),"%","")),0)&gt;0,IFERROR(VALUE(SUBSTITUTE(TRIM(Input!I716&amp;""),"%","")),0)&lt;1),1,100))</f>
        <v/>
      </c>
    </row>
    <row r="717" spans="1:8">
      <c r="A717" t="str">
        <f>IF(TRIM(Input!B717&amp;"")="","",UPPER(TRIM(Input!B717&amp;"")))</f>
        <v/>
      </c>
      <c r="B717" t="str">
        <f>IF(A717="","",IFERROR(VALUE(RIGHT(TRIM(Input!D717&amp;""),1)),0))</f>
        <v/>
      </c>
      <c r="C717" t="str">
        <f t="shared" si="11"/>
        <v/>
      </c>
      <c r="D717" t="str">
        <f>IF(A717="","",IFERROR(VALUE(SUBSTITUTE(TRIM(Input!E717&amp;""),"%","")),0)/IF(AND(IFERROR(VALUE(SUBSTITUTE(TRIM(Input!E717&amp;""),"%","")),0)&gt;0,IFERROR(VALUE(SUBSTITUTE(TRIM(Input!E717&amp;""),"%","")),0)&lt;1),1,100))</f>
        <v/>
      </c>
      <c r="E717" t="str">
        <f>IF(A717="","",IFERROR(VALUE(SUBSTITUTE(TRIM(Input!F717&amp;""),"%","")),0)/IF(AND(IFERROR(VALUE(SUBSTITUTE(TRIM(Input!F717&amp;""),"%","")),0)&gt;0,IFERROR(VALUE(SUBSTITUTE(TRIM(Input!F717&amp;""),"%","")),0)&lt;1),1,100))</f>
        <v/>
      </c>
      <c r="F717" t="str">
        <f>IF(A717="","",IFERROR(VALUE(SUBSTITUTE(TRIM(Input!G717&amp;""),"%","")),0)/IF(AND(IFERROR(VALUE(SUBSTITUTE(TRIM(Input!G717&amp;""),"%","")),0)&gt;0,IFERROR(VALUE(SUBSTITUTE(TRIM(Input!G717&amp;""),"%","")),0)&lt;1),1,100))</f>
        <v/>
      </c>
      <c r="G717" t="str">
        <f>IF(A717="","",IFERROR(VALUE(SUBSTITUTE(TRIM(Input!H717&amp;""),"%","")),0)/IF(AND(IFERROR(VALUE(SUBSTITUTE(TRIM(Input!H717&amp;""),"%","")),0)&gt;0,IFERROR(VALUE(SUBSTITUTE(TRIM(Input!H717&amp;""),"%","")),0)&lt;1),1,100))</f>
        <v/>
      </c>
      <c r="H717" t="str">
        <f>IF(A717="","",IFERROR(VALUE(SUBSTITUTE(TRIM(Input!I717&amp;""),"%","")),0)/IF(AND(IFERROR(VALUE(SUBSTITUTE(TRIM(Input!I717&amp;""),"%","")),0)&gt;0,IFERROR(VALUE(SUBSTITUTE(TRIM(Input!I717&amp;""),"%","")),0)&lt;1),1,100))</f>
        <v/>
      </c>
    </row>
    <row r="718" spans="1:8">
      <c r="A718" t="str">
        <f>IF(TRIM(Input!B718&amp;"")="","",UPPER(TRIM(Input!B718&amp;"")))</f>
        <v/>
      </c>
      <c r="B718" t="str">
        <f>IF(A718="","",IFERROR(VALUE(RIGHT(TRIM(Input!D718&amp;""),1)),0))</f>
        <v/>
      </c>
      <c r="C718" t="str">
        <f t="shared" si="11"/>
        <v/>
      </c>
      <c r="D718" t="str">
        <f>IF(A718="","",IFERROR(VALUE(SUBSTITUTE(TRIM(Input!E718&amp;""),"%","")),0)/IF(AND(IFERROR(VALUE(SUBSTITUTE(TRIM(Input!E718&amp;""),"%","")),0)&gt;0,IFERROR(VALUE(SUBSTITUTE(TRIM(Input!E718&amp;""),"%","")),0)&lt;1),1,100))</f>
        <v/>
      </c>
      <c r="E718" t="str">
        <f>IF(A718="","",IFERROR(VALUE(SUBSTITUTE(TRIM(Input!F718&amp;""),"%","")),0)/IF(AND(IFERROR(VALUE(SUBSTITUTE(TRIM(Input!F718&amp;""),"%","")),0)&gt;0,IFERROR(VALUE(SUBSTITUTE(TRIM(Input!F718&amp;""),"%","")),0)&lt;1),1,100))</f>
        <v/>
      </c>
      <c r="F718" t="str">
        <f>IF(A718="","",IFERROR(VALUE(SUBSTITUTE(TRIM(Input!G718&amp;""),"%","")),0)/IF(AND(IFERROR(VALUE(SUBSTITUTE(TRIM(Input!G718&amp;""),"%","")),0)&gt;0,IFERROR(VALUE(SUBSTITUTE(TRIM(Input!G718&amp;""),"%","")),0)&lt;1),1,100))</f>
        <v/>
      </c>
      <c r="G718" t="str">
        <f>IF(A718="","",IFERROR(VALUE(SUBSTITUTE(TRIM(Input!H718&amp;""),"%","")),0)/IF(AND(IFERROR(VALUE(SUBSTITUTE(TRIM(Input!H718&amp;""),"%","")),0)&gt;0,IFERROR(VALUE(SUBSTITUTE(TRIM(Input!H718&amp;""),"%","")),0)&lt;1),1,100))</f>
        <v/>
      </c>
      <c r="H718" t="str">
        <f>IF(A718="","",IFERROR(VALUE(SUBSTITUTE(TRIM(Input!I718&amp;""),"%","")),0)/IF(AND(IFERROR(VALUE(SUBSTITUTE(TRIM(Input!I718&amp;""),"%","")),0)&gt;0,IFERROR(VALUE(SUBSTITUTE(TRIM(Input!I718&amp;""),"%","")),0)&lt;1),1,100))</f>
        <v/>
      </c>
    </row>
    <row r="719" spans="1:8">
      <c r="A719" t="str">
        <f>IF(TRIM(Input!B719&amp;"")="","",UPPER(TRIM(Input!B719&amp;"")))</f>
        <v/>
      </c>
      <c r="B719" t="str">
        <f>IF(A719="","",IFERROR(VALUE(RIGHT(TRIM(Input!D719&amp;""),1)),0))</f>
        <v/>
      </c>
      <c r="C719" t="str">
        <f t="shared" si="11"/>
        <v/>
      </c>
      <c r="D719" t="str">
        <f>IF(A719="","",IFERROR(VALUE(SUBSTITUTE(TRIM(Input!E719&amp;""),"%","")),0)/IF(AND(IFERROR(VALUE(SUBSTITUTE(TRIM(Input!E719&amp;""),"%","")),0)&gt;0,IFERROR(VALUE(SUBSTITUTE(TRIM(Input!E719&amp;""),"%","")),0)&lt;1),1,100))</f>
        <v/>
      </c>
      <c r="E719" t="str">
        <f>IF(A719="","",IFERROR(VALUE(SUBSTITUTE(TRIM(Input!F719&amp;""),"%","")),0)/IF(AND(IFERROR(VALUE(SUBSTITUTE(TRIM(Input!F719&amp;""),"%","")),0)&gt;0,IFERROR(VALUE(SUBSTITUTE(TRIM(Input!F719&amp;""),"%","")),0)&lt;1),1,100))</f>
        <v/>
      </c>
      <c r="F719" t="str">
        <f>IF(A719="","",IFERROR(VALUE(SUBSTITUTE(TRIM(Input!G719&amp;""),"%","")),0)/IF(AND(IFERROR(VALUE(SUBSTITUTE(TRIM(Input!G719&amp;""),"%","")),0)&gt;0,IFERROR(VALUE(SUBSTITUTE(TRIM(Input!G719&amp;""),"%","")),0)&lt;1),1,100))</f>
        <v/>
      </c>
      <c r="G719" t="str">
        <f>IF(A719="","",IFERROR(VALUE(SUBSTITUTE(TRIM(Input!H719&amp;""),"%","")),0)/IF(AND(IFERROR(VALUE(SUBSTITUTE(TRIM(Input!H719&amp;""),"%","")),0)&gt;0,IFERROR(VALUE(SUBSTITUTE(TRIM(Input!H719&amp;""),"%","")),0)&lt;1),1,100))</f>
        <v/>
      </c>
      <c r="H719" t="str">
        <f>IF(A719="","",IFERROR(VALUE(SUBSTITUTE(TRIM(Input!I719&amp;""),"%","")),0)/IF(AND(IFERROR(VALUE(SUBSTITUTE(TRIM(Input!I719&amp;""),"%","")),0)&gt;0,IFERROR(VALUE(SUBSTITUTE(TRIM(Input!I719&amp;""),"%","")),0)&lt;1),1,100))</f>
        <v/>
      </c>
    </row>
    <row r="720" spans="1:8">
      <c r="A720" t="str">
        <f>IF(TRIM(Input!B720&amp;"")="","",UPPER(TRIM(Input!B720&amp;"")))</f>
        <v/>
      </c>
      <c r="B720" t="str">
        <f>IF(A720="","",IFERROR(VALUE(RIGHT(TRIM(Input!D720&amp;""),1)),0))</f>
        <v/>
      </c>
      <c r="C720" t="str">
        <f t="shared" si="11"/>
        <v/>
      </c>
      <c r="D720" t="str">
        <f>IF(A720="","",IFERROR(VALUE(SUBSTITUTE(TRIM(Input!E720&amp;""),"%","")),0)/IF(AND(IFERROR(VALUE(SUBSTITUTE(TRIM(Input!E720&amp;""),"%","")),0)&gt;0,IFERROR(VALUE(SUBSTITUTE(TRIM(Input!E720&amp;""),"%","")),0)&lt;1),1,100))</f>
        <v/>
      </c>
      <c r="E720" t="str">
        <f>IF(A720="","",IFERROR(VALUE(SUBSTITUTE(TRIM(Input!F720&amp;""),"%","")),0)/IF(AND(IFERROR(VALUE(SUBSTITUTE(TRIM(Input!F720&amp;""),"%","")),0)&gt;0,IFERROR(VALUE(SUBSTITUTE(TRIM(Input!F720&amp;""),"%","")),0)&lt;1),1,100))</f>
        <v/>
      </c>
      <c r="F720" t="str">
        <f>IF(A720="","",IFERROR(VALUE(SUBSTITUTE(TRIM(Input!G720&amp;""),"%","")),0)/IF(AND(IFERROR(VALUE(SUBSTITUTE(TRIM(Input!G720&amp;""),"%","")),0)&gt;0,IFERROR(VALUE(SUBSTITUTE(TRIM(Input!G720&amp;""),"%","")),0)&lt;1),1,100))</f>
        <v/>
      </c>
      <c r="G720" t="str">
        <f>IF(A720="","",IFERROR(VALUE(SUBSTITUTE(TRIM(Input!H720&amp;""),"%","")),0)/IF(AND(IFERROR(VALUE(SUBSTITUTE(TRIM(Input!H720&amp;""),"%","")),0)&gt;0,IFERROR(VALUE(SUBSTITUTE(TRIM(Input!H720&amp;""),"%","")),0)&lt;1),1,100))</f>
        <v/>
      </c>
      <c r="H720" t="str">
        <f>IF(A720="","",IFERROR(VALUE(SUBSTITUTE(TRIM(Input!I720&amp;""),"%","")),0)/IF(AND(IFERROR(VALUE(SUBSTITUTE(TRIM(Input!I720&amp;""),"%","")),0)&gt;0,IFERROR(VALUE(SUBSTITUTE(TRIM(Input!I720&amp;""),"%","")),0)&lt;1),1,100))</f>
        <v/>
      </c>
    </row>
    <row r="721" spans="1:8">
      <c r="A721" t="str">
        <f>IF(TRIM(Input!B721&amp;"")="","",UPPER(TRIM(Input!B721&amp;"")))</f>
        <v/>
      </c>
      <c r="B721" t="str">
        <f>IF(A721="","",IFERROR(VALUE(RIGHT(TRIM(Input!D721&amp;""),1)),0))</f>
        <v/>
      </c>
      <c r="C721" t="str">
        <f t="shared" si="11"/>
        <v/>
      </c>
      <c r="D721" t="str">
        <f>IF(A721="","",IFERROR(VALUE(SUBSTITUTE(TRIM(Input!E721&amp;""),"%","")),0)/IF(AND(IFERROR(VALUE(SUBSTITUTE(TRIM(Input!E721&amp;""),"%","")),0)&gt;0,IFERROR(VALUE(SUBSTITUTE(TRIM(Input!E721&amp;""),"%","")),0)&lt;1),1,100))</f>
        <v/>
      </c>
      <c r="E721" t="str">
        <f>IF(A721="","",IFERROR(VALUE(SUBSTITUTE(TRIM(Input!F721&amp;""),"%","")),0)/IF(AND(IFERROR(VALUE(SUBSTITUTE(TRIM(Input!F721&amp;""),"%","")),0)&gt;0,IFERROR(VALUE(SUBSTITUTE(TRIM(Input!F721&amp;""),"%","")),0)&lt;1),1,100))</f>
        <v/>
      </c>
      <c r="F721" t="str">
        <f>IF(A721="","",IFERROR(VALUE(SUBSTITUTE(TRIM(Input!G721&amp;""),"%","")),0)/IF(AND(IFERROR(VALUE(SUBSTITUTE(TRIM(Input!G721&amp;""),"%","")),0)&gt;0,IFERROR(VALUE(SUBSTITUTE(TRIM(Input!G721&amp;""),"%","")),0)&lt;1),1,100))</f>
        <v/>
      </c>
      <c r="G721" t="str">
        <f>IF(A721="","",IFERROR(VALUE(SUBSTITUTE(TRIM(Input!H721&amp;""),"%","")),0)/IF(AND(IFERROR(VALUE(SUBSTITUTE(TRIM(Input!H721&amp;""),"%","")),0)&gt;0,IFERROR(VALUE(SUBSTITUTE(TRIM(Input!H721&amp;""),"%","")),0)&lt;1),1,100))</f>
        <v/>
      </c>
      <c r="H721" t="str">
        <f>IF(A721="","",IFERROR(VALUE(SUBSTITUTE(TRIM(Input!I721&amp;""),"%","")),0)/IF(AND(IFERROR(VALUE(SUBSTITUTE(TRIM(Input!I721&amp;""),"%","")),0)&gt;0,IFERROR(VALUE(SUBSTITUTE(TRIM(Input!I721&amp;""),"%","")),0)&lt;1),1,100))</f>
        <v/>
      </c>
    </row>
    <row r="722" spans="1:8">
      <c r="A722" t="str">
        <f>IF(TRIM(Input!B722&amp;"")="","",UPPER(TRIM(Input!B722&amp;"")))</f>
        <v/>
      </c>
      <c r="B722" t="str">
        <f>IF(A722="","",IFERROR(VALUE(RIGHT(TRIM(Input!D722&amp;""),1)),0))</f>
        <v/>
      </c>
      <c r="C722" t="str">
        <f t="shared" si="11"/>
        <v/>
      </c>
      <c r="D722" t="str">
        <f>IF(A722="","",IFERROR(VALUE(SUBSTITUTE(TRIM(Input!E722&amp;""),"%","")),0)/IF(AND(IFERROR(VALUE(SUBSTITUTE(TRIM(Input!E722&amp;""),"%","")),0)&gt;0,IFERROR(VALUE(SUBSTITUTE(TRIM(Input!E722&amp;""),"%","")),0)&lt;1),1,100))</f>
        <v/>
      </c>
      <c r="E722" t="str">
        <f>IF(A722="","",IFERROR(VALUE(SUBSTITUTE(TRIM(Input!F722&amp;""),"%","")),0)/IF(AND(IFERROR(VALUE(SUBSTITUTE(TRIM(Input!F722&amp;""),"%","")),0)&gt;0,IFERROR(VALUE(SUBSTITUTE(TRIM(Input!F722&amp;""),"%","")),0)&lt;1),1,100))</f>
        <v/>
      </c>
      <c r="F722" t="str">
        <f>IF(A722="","",IFERROR(VALUE(SUBSTITUTE(TRIM(Input!G722&amp;""),"%","")),0)/IF(AND(IFERROR(VALUE(SUBSTITUTE(TRIM(Input!G722&amp;""),"%","")),0)&gt;0,IFERROR(VALUE(SUBSTITUTE(TRIM(Input!G722&amp;""),"%","")),0)&lt;1),1,100))</f>
        <v/>
      </c>
      <c r="G722" t="str">
        <f>IF(A722="","",IFERROR(VALUE(SUBSTITUTE(TRIM(Input!H722&amp;""),"%","")),0)/IF(AND(IFERROR(VALUE(SUBSTITUTE(TRIM(Input!H722&amp;""),"%","")),0)&gt;0,IFERROR(VALUE(SUBSTITUTE(TRIM(Input!H722&amp;""),"%","")),0)&lt;1),1,100))</f>
        <v/>
      </c>
      <c r="H722" t="str">
        <f>IF(A722="","",IFERROR(VALUE(SUBSTITUTE(TRIM(Input!I722&amp;""),"%","")),0)/IF(AND(IFERROR(VALUE(SUBSTITUTE(TRIM(Input!I722&amp;""),"%","")),0)&gt;0,IFERROR(VALUE(SUBSTITUTE(TRIM(Input!I722&amp;""),"%","")),0)&lt;1),1,100))</f>
        <v/>
      </c>
    </row>
    <row r="723" spans="1:8">
      <c r="A723" t="str">
        <f>IF(TRIM(Input!B723&amp;"")="","",UPPER(TRIM(Input!B723&amp;"")))</f>
        <v/>
      </c>
      <c r="B723" t="str">
        <f>IF(A723="","",IFERROR(VALUE(RIGHT(TRIM(Input!D723&amp;""),1)),0))</f>
        <v/>
      </c>
      <c r="C723" t="str">
        <f t="shared" si="11"/>
        <v/>
      </c>
      <c r="D723" t="str">
        <f>IF(A723="","",IFERROR(VALUE(SUBSTITUTE(TRIM(Input!E723&amp;""),"%","")),0)/IF(AND(IFERROR(VALUE(SUBSTITUTE(TRIM(Input!E723&amp;""),"%","")),0)&gt;0,IFERROR(VALUE(SUBSTITUTE(TRIM(Input!E723&amp;""),"%","")),0)&lt;1),1,100))</f>
        <v/>
      </c>
      <c r="E723" t="str">
        <f>IF(A723="","",IFERROR(VALUE(SUBSTITUTE(TRIM(Input!F723&amp;""),"%","")),0)/IF(AND(IFERROR(VALUE(SUBSTITUTE(TRIM(Input!F723&amp;""),"%","")),0)&gt;0,IFERROR(VALUE(SUBSTITUTE(TRIM(Input!F723&amp;""),"%","")),0)&lt;1),1,100))</f>
        <v/>
      </c>
      <c r="F723" t="str">
        <f>IF(A723="","",IFERROR(VALUE(SUBSTITUTE(TRIM(Input!G723&amp;""),"%","")),0)/IF(AND(IFERROR(VALUE(SUBSTITUTE(TRIM(Input!G723&amp;""),"%","")),0)&gt;0,IFERROR(VALUE(SUBSTITUTE(TRIM(Input!G723&amp;""),"%","")),0)&lt;1),1,100))</f>
        <v/>
      </c>
      <c r="G723" t="str">
        <f>IF(A723="","",IFERROR(VALUE(SUBSTITUTE(TRIM(Input!H723&amp;""),"%","")),0)/IF(AND(IFERROR(VALUE(SUBSTITUTE(TRIM(Input!H723&amp;""),"%","")),0)&gt;0,IFERROR(VALUE(SUBSTITUTE(TRIM(Input!H723&amp;""),"%","")),0)&lt;1),1,100))</f>
        <v/>
      </c>
      <c r="H723" t="str">
        <f>IF(A723="","",IFERROR(VALUE(SUBSTITUTE(TRIM(Input!I723&amp;""),"%","")),0)/IF(AND(IFERROR(VALUE(SUBSTITUTE(TRIM(Input!I723&amp;""),"%","")),0)&gt;0,IFERROR(VALUE(SUBSTITUTE(TRIM(Input!I723&amp;""),"%","")),0)&lt;1),1,100))</f>
        <v/>
      </c>
    </row>
    <row r="724" spans="1:8">
      <c r="A724" t="str">
        <f>IF(TRIM(Input!B724&amp;"")="","",UPPER(TRIM(Input!B724&amp;"")))</f>
        <v/>
      </c>
      <c r="B724" t="str">
        <f>IF(A724="","",IFERROR(VALUE(RIGHT(TRIM(Input!D724&amp;""),1)),0))</f>
        <v/>
      </c>
      <c r="C724" t="str">
        <f t="shared" si="11"/>
        <v/>
      </c>
      <c r="D724" t="str">
        <f>IF(A724="","",IFERROR(VALUE(SUBSTITUTE(TRIM(Input!E724&amp;""),"%","")),0)/IF(AND(IFERROR(VALUE(SUBSTITUTE(TRIM(Input!E724&amp;""),"%","")),0)&gt;0,IFERROR(VALUE(SUBSTITUTE(TRIM(Input!E724&amp;""),"%","")),0)&lt;1),1,100))</f>
        <v/>
      </c>
      <c r="E724" t="str">
        <f>IF(A724="","",IFERROR(VALUE(SUBSTITUTE(TRIM(Input!F724&amp;""),"%","")),0)/IF(AND(IFERROR(VALUE(SUBSTITUTE(TRIM(Input!F724&amp;""),"%","")),0)&gt;0,IFERROR(VALUE(SUBSTITUTE(TRIM(Input!F724&amp;""),"%","")),0)&lt;1),1,100))</f>
        <v/>
      </c>
      <c r="F724" t="str">
        <f>IF(A724="","",IFERROR(VALUE(SUBSTITUTE(TRIM(Input!G724&amp;""),"%","")),0)/IF(AND(IFERROR(VALUE(SUBSTITUTE(TRIM(Input!G724&amp;""),"%","")),0)&gt;0,IFERROR(VALUE(SUBSTITUTE(TRIM(Input!G724&amp;""),"%","")),0)&lt;1),1,100))</f>
        <v/>
      </c>
      <c r="G724" t="str">
        <f>IF(A724="","",IFERROR(VALUE(SUBSTITUTE(TRIM(Input!H724&amp;""),"%","")),0)/IF(AND(IFERROR(VALUE(SUBSTITUTE(TRIM(Input!H724&amp;""),"%","")),0)&gt;0,IFERROR(VALUE(SUBSTITUTE(TRIM(Input!H724&amp;""),"%","")),0)&lt;1),1,100))</f>
        <v/>
      </c>
      <c r="H724" t="str">
        <f>IF(A724="","",IFERROR(VALUE(SUBSTITUTE(TRIM(Input!I724&amp;""),"%","")),0)/IF(AND(IFERROR(VALUE(SUBSTITUTE(TRIM(Input!I724&amp;""),"%","")),0)&gt;0,IFERROR(VALUE(SUBSTITUTE(TRIM(Input!I724&amp;""),"%","")),0)&lt;1),1,100))</f>
        <v/>
      </c>
    </row>
    <row r="725" spans="1:8">
      <c r="A725" t="str">
        <f>IF(TRIM(Input!B725&amp;"")="","",UPPER(TRIM(Input!B725&amp;"")))</f>
        <v/>
      </c>
      <c r="B725" t="str">
        <f>IF(A725="","",IFERROR(VALUE(RIGHT(TRIM(Input!D725&amp;""),1)),0))</f>
        <v/>
      </c>
      <c r="C725" t="str">
        <f t="shared" si="11"/>
        <v/>
      </c>
      <c r="D725" t="str">
        <f>IF(A725="","",IFERROR(VALUE(SUBSTITUTE(TRIM(Input!E725&amp;""),"%","")),0)/IF(AND(IFERROR(VALUE(SUBSTITUTE(TRIM(Input!E725&amp;""),"%","")),0)&gt;0,IFERROR(VALUE(SUBSTITUTE(TRIM(Input!E725&amp;""),"%","")),0)&lt;1),1,100))</f>
        <v/>
      </c>
      <c r="E725" t="str">
        <f>IF(A725="","",IFERROR(VALUE(SUBSTITUTE(TRIM(Input!F725&amp;""),"%","")),0)/IF(AND(IFERROR(VALUE(SUBSTITUTE(TRIM(Input!F725&amp;""),"%","")),0)&gt;0,IFERROR(VALUE(SUBSTITUTE(TRIM(Input!F725&amp;""),"%","")),0)&lt;1),1,100))</f>
        <v/>
      </c>
      <c r="F725" t="str">
        <f>IF(A725="","",IFERROR(VALUE(SUBSTITUTE(TRIM(Input!G725&amp;""),"%","")),0)/IF(AND(IFERROR(VALUE(SUBSTITUTE(TRIM(Input!G725&amp;""),"%","")),0)&gt;0,IFERROR(VALUE(SUBSTITUTE(TRIM(Input!G725&amp;""),"%","")),0)&lt;1),1,100))</f>
        <v/>
      </c>
      <c r="G725" t="str">
        <f>IF(A725="","",IFERROR(VALUE(SUBSTITUTE(TRIM(Input!H725&amp;""),"%","")),0)/IF(AND(IFERROR(VALUE(SUBSTITUTE(TRIM(Input!H725&amp;""),"%","")),0)&gt;0,IFERROR(VALUE(SUBSTITUTE(TRIM(Input!H725&amp;""),"%","")),0)&lt;1),1,100))</f>
        <v/>
      </c>
      <c r="H725" t="str">
        <f>IF(A725="","",IFERROR(VALUE(SUBSTITUTE(TRIM(Input!I725&amp;""),"%","")),0)/IF(AND(IFERROR(VALUE(SUBSTITUTE(TRIM(Input!I725&amp;""),"%","")),0)&gt;0,IFERROR(VALUE(SUBSTITUTE(TRIM(Input!I725&amp;""),"%","")),0)&lt;1),1,100))</f>
        <v/>
      </c>
    </row>
    <row r="726" spans="1:8">
      <c r="A726" t="str">
        <f>IF(TRIM(Input!B726&amp;"")="","",UPPER(TRIM(Input!B726&amp;"")))</f>
        <v/>
      </c>
      <c r="B726" t="str">
        <f>IF(A726="","",IFERROR(VALUE(RIGHT(TRIM(Input!D726&amp;""),1)),0))</f>
        <v/>
      </c>
      <c r="C726" t="str">
        <f t="shared" si="11"/>
        <v/>
      </c>
      <c r="D726" t="str">
        <f>IF(A726="","",IFERROR(VALUE(SUBSTITUTE(TRIM(Input!E726&amp;""),"%","")),0)/IF(AND(IFERROR(VALUE(SUBSTITUTE(TRIM(Input!E726&amp;""),"%","")),0)&gt;0,IFERROR(VALUE(SUBSTITUTE(TRIM(Input!E726&amp;""),"%","")),0)&lt;1),1,100))</f>
        <v/>
      </c>
      <c r="E726" t="str">
        <f>IF(A726="","",IFERROR(VALUE(SUBSTITUTE(TRIM(Input!F726&amp;""),"%","")),0)/IF(AND(IFERROR(VALUE(SUBSTITUTE(TRIM(Input!F726&amp;""),"%","")),0)&gt;0,IFERROR(VALUE(SUBSTITUTE(TRIM(Input!F726&amp;""),"%","")),0)&lt;1),1,100))</f>
        <v/>
      </c>
      <c r="F726" t="str">
        <f>IF(A726="","",IFERROR(VALUE(SUBSTITUTE(TRIM(Input!G726&amp;""),"%","")),0)/IF(AND(IFERROR(VALUE(SUBSTITUTE(TRIM(Input!G726&amp;""),"%","")),0)&gt;0,IFERROR(VALUE(SUBSTITUTE(TRIM(Input!G726&amp;""),"%","")),0)&lt;1),1,100))</f>
        <v/>
      </c>
      <c r="G726" t="str">
        <f>IF(A726="","",IFERROR(VALUE(SUBSTITUTE(TRIM(Input!H726&amp;""),"%","")),0)/IF(AND(IFERROR(VALUE(SUBSTITUTE(TRIM(Input!H726&amp;""),"%","")),0)&gt;0,IFERROR(VALUE(SUBSTITUTE(TRIM(Input!H726&amp;""),"%","")),0)&lt;1),1,100))</f>
        <v/>
      </c>
      <c r="H726" t="str">
        <f>IF(A726="","",IFERROR(VALUE(SUBSTITUTE(TRIM(Input!I726&amp;""),"%","")),0)/IF(AND(IFERROR(VALUE(SUBSTITUTE(TRIM(Input!I726&amp;""),"%","")),0)&gt;0,IFERROR(VALUE(SUBSTITUTE(TRIM(Input!I726&amp;""),"%","")),0)&lt;1),1,100))</f>
        <v/>
      </c>
    </row>
    <row r="727" spans="1:8">
      <c r="A727" t="str">
        <f>IF(TRIM(Input!B727&amp;"")="","",UPPER(TRIM(Input!B727&amp;"")))</f>
        <v/>
      </c>
      <c r="B727" t="str">
        <f>IF(A727="","",IFERROR(VALUE(RIGHT(TRIM(Input!D727&amp;""),1)),0))</f>
        <v/>
      </c>
      <c r="C727" t="str">
        <f t="shared" si="11"/>
        <v/>
      </c>
      <c r="D727" t="str">
        <f>IF(A727="","",IFERROR(VALUE(SUBSTITUTE(TRIM(Input!E727&amp;""),"%","")),0)/IF(AND(IFERROR(VALUE(SUBSTITUTE(TRIM(Input!E727&amp;""),"%","")),0)&gt;0,IFERROR(VALUE(SUBSTITUTE(TRIM(Input!E727&amp;""),"%","")),0)&lt;1),1,100))</f>
        <v/>
      </c>
      <c r="E727" t="str">
        <f>IF(A727="","",IFERROR(VALUE(SUBSTITUTE(TRIM(Input!F727&amp;""),"%","")),0)/IF(AND(IFERROR(VALUE(SUBSTITUTE(TRIM(Input!F727&amp;""),"%","")),0)&gt;0,IFERROR(VALUE(SUBSTITUTE(TRIM(Input!F727&amp;""),"%","")),0)&lt;1),1,100))</f>
        <v/>
      </c>
      <c r="F727" t="str">
        <f>IF(A727="","",IFERROR(VALUE(SUBSTITUTE(TRIM(Input!G727&amp;""),"%","")),0)/IF(AND(IFERROR(VALUE(SUBSTITUTE(TRIM(Input!G727&amp;""),"%","")),0)&gt;0,IFERROR(VALUE(SUBSTITUTE(TRIM(Input!G727&amp;""),"%","")),0)&lt;1),1,100))</f>
        <v/>
      </c>
      <c r="G727" t="str">
        <f>IF(A727="","",IFERROR(VALUE(SUBSTITUTE(TRIM(Input!H727&amp;""),"%","")),0)/IF(AND(IFERROR(VALUE(SUBSTITUTE(TRIM(Input!H727&amp;""),"%","")),0)&gt;0,IFERROR(VALUE(SUBSTITUTE(TRIM(Input!H727&amp;""),"%","")),0)&lt;1),1,100))</f>
        <v/>
      </c>
      <c r="H727" t="str">
        <f>IF(A727="","",IFERROR(VALUE(SUBSTITUTE(TRIM(Input!I727&amp;""),"%","")),0)/IF(AND(IFERROR(VALUE(SUBSTITUTE(TRIM(Input!I727&amp;""),"%","")),0)&gt;0,IFERROR(VALUE(SUBSTITUTE(TRIM(Input!I727&amp;""),"%","")),0)&lt;1),1,100))</f>
        <v/>
      </c>
    </row>
    <row r="728" spans="1:8">
      <c r="A728" t="str">
        <f>IF(TRIM(Input!B728&amp;"")="","",UPPER(TRIM(Input!B728&amp;"")))</f>
        <v/>
      </c>
      <c r="B728" t="str">
        <f>IF(A728="","",IFERROR(VALUE(RIGHT(TRIM(Input!D728&amp;""),1)),0))</f>
        <v/>
      </c>
      <c r="C728" t="str">
        <f t="shared" si="11"/>
        <v/>
      </c>
      <c r="D728" t="str">
        <f>IF(A728="","",IFERROR(VALUE(SUBSTITUTE(TRIM(Input!E728&amp;""),"%","")),0)/IF(AND(IFERROR(VALUE(SUBSTITUTE(TRIM(Input!E728&amp;""),"%","")),0)&gt;0,IFERROR(VALUE(SUBSTITUTE(TRIM(Input!E728&amp;""),"%","")),0)&lt;1),1,100))</f>
        <v/>
      </c>
      <c r="E728" t="str">
        <f>IF(A728="","",IFERROR(VALUE(SUBSTITUTE(TRIM(Input!F728&amp;""),"%","")),0)/IF(AND(IFERROR(VALUE(SUBSTITUTE(TRIM(Input!F728&amp;""),"%","")),0)&gt;0,IFERROR(VALUE(SUBSTITUTE(TRIM(Input!F728&amp;""),"%","")),0)&lt;1),1,100))</f>
        <v/>
      </c>
      <c r="F728" t="str">
        <f>IF(A728="","",IFERROR(VALUE(SUBSTITUTE(TRIM(Input!G728&amp;""),"%","")),0)/IF(AND(IFERROR(VALUE(SUBSTITUTE(TRIM(Input!G728&amp;""),"%","")),0)&gt;0,IFERROR(VALUE(SUBSTITUTE(TRIM(Input!G728&amp;""),"%","")),0)&lt;1),1,100))</f>
        <v/>
      </c>
      <c r="G728" t="str">
        <f>IF(A728="","",IFERROR(VALUE(SUBSTITUTE(TRIM(Input!H728&amp;""),"%","")),0)/IF(AND(IFERROR(VALUE(SUBSTITUTE(TRIM(Input!H728&amp;""),"%","")),0)&gt;0,IFERROR(VALUE(SUBSTITUTE(TRIM(Input!H728&amp;""),"%","")),0)&lt;1),1,100))</f>
        <v/>
      </c>
      <c r="H728" t="str">
        <f>IF(A728="","",IFERROR(VALUE(SUBSTITUTE(TRIM(Input!I728&amp;""),"%","")),0)/IF(AND(IFERROR(VALUE(SUBSTITUTE(TRIM(Input!I728&amp;""),"%","")),0)&gt;0,IFERROR(VALUE(SUBSTITUTE(TRIM(Input!I728&amp;""),"%","")),0)&lt;1),1,100))</f>
        <v/>
      </c>
    </row>
    <row r="729" spans="1:8">
      <c r="A729" t="str">
        <f>IF(TRIM(Input!B729&amp;"")="","",UPPER(TRIM(Input!B729&amp;"")))</f>
        <v/>
      </c>
      <c r="B729" t="str">
        <f>IF(A729="","",IFERROR(VALUE(RIGHT(TRIM(Input!D729&amp;""),1)),0))</f>
        <v/>
      </c>
      <c r="C729" t="str">
        <f t="shared" si="11"/>
        <v/>
      </c>
      <c r="D729" t="str">
        <f>IF(A729="","",IFERROR(VALUE(SUBSTITUTE(TRIM(Input!E729&amp;""),"%","")),0)/IF(AND(IFERROR(VALUE(SUBSTITUTE(TRIM(Input!E729&amp;""),"%","")),0)&gt;0,IFERROR(VALUE(SUBSTITUTE(TRIM(Input!E729&amp;""),"%","")),0)&lt;1),1,100))</f>
        <v/>
      </c>
      <c r="E729" t="str">
        <f>IF(A729="","",IFERROR(VALUE(SUBSTITUTE(TRIM(Input!F729&amp;""),"%","")),0)/IF(AND(IFERROR(VALUE(SUBSTITUTE(TRIM(Input!F729&amp;""),"%","")),0)&gt;0,IFERROR(VALUE(SUBSTITUTE(TRIM(Input!F729&amp;""),"%","")),0)&lt;1),1,100))</f>
        <v/>
      </c>
      <c r="F729" t="str">
        <f>IF(A729="","",IFERROR(VALUE(SUBSTITUTE(TRIM(Input!G729&amp;""),"%","")),0)/IF(AND(IFERROR(VALUE(SUBSTITUTE(TRIM(Input!G729&amp;""),"%","")),0)&gt;0,IFERROR(VALUE(SUBSTITUTE(TRIM(Input!G729&amp;""),"%","")),0)&lt;1),1,100))</f>
        <v/>
      </c>
      <c r="G729" t="str">
        <f>IF(A729="","",IFERROR(VALUE(SUBSTITUTE(TRIM(Input!H729&amp;""),"%","")),0)/IF(AND(IFERROR(VALUE(SUBSTITUTE(TRIM(Input!H729&amp;""),"%","")),0)&gt;0,IFERROR(VALUE(SUBSTITUTE(TRIM(Input!H729&amp;""),"%","")),0)&lt;1),1,100))</f>
        <v/>
      </c>
      <c r="H729" t="str">
        <f>IF(A729="","",IFERROR(VALUE(SUBSTITUTE(TRIM(Input!I729&amp;""),"%","")),0)/IF(AND(IFERROR(VALUE(SUBSTITUTE(TRIM(Input!I729&amp;""),"%","")),0)&gt;0,IFERROR(VALUE(SUBSTITUTE(TRIM(Input!I729&amp;""),"%","")),0)&lt;1),1,100))</f>
        <v/>
      </c>
    </row>
    <row r="730" spans="1:8">
      <c r="A730" t="str">
        <f>IF(TRIM(Input!B730&amp;"")="","",UPPER(TRIM(Input!B730&amp;"")))</f>
        <v/>
      </c>
      <c r="B730" t="str">
        <f>IF(A730="","",IFERROR(VALUE(RIGHT(TRIM(Input!D730&amp;""),1)),0))</f>
        <v/>
      </c>
      <c r="C730" t="str">
        <f t="shared" si="11"/>
        <v/>
      </c>
      <c r="D730" t="str">
        <f>IF(A730="","",IFERROR(VALUE(SUBSTITUTE(TRIM(Input!E730&amp;""),"%","")),0)/IF(AND(IFERROR(VALUE(SUBSTITUTE(TRIM(Input!E730&amp;""),"%","")),0)&gt;0,IFERROR(VALUE(SUBSTITUTE(TRIM(Input!E730&amp;""),"%","")),0)&lt;1),1,100))</f>
        <v/>
      </c>
      <c r="E730" t="str">
        <f>IF(A730="","",IFERROR(VALUE(SUBSTITUTE(TRIM(Input!F730&amp;""),"%","")),0)/IF(AND(IFERROR(VALUE(SUBSTITUTE(TRIM(Input!F730&amp;""),"%","")),0)&gt;0,IFERROR(VALUE(SUBSTITUTE(TRIM(Input!F730&amp;""),"%","")),0)&lt;1),1,100))</f>
        <v/>
      </c>
      <c r="F730" t="str">
        <f>IF(A730="","",IFERROR(VALUE(SUBSTITUTE(TRIM(Input!G730&amp;""),"%","")),0)/IF(AND(IFERROR(VALUE(SUBSTITUTE(TRIM(Input!G730&amp;""),"%","")),0)&gt;0,IFERROR(VALUE(SUBSTITUTE(TRIM(Input!G730&amp;""),"%","")),0)&lt;1),1,100))</f>
        <v/>
      </c>
      <c r="G730" t="str">
        <f>IF(A730="","",IFERROR(VALUE(SUBSTITUTE(TRIM(Input!H730&amp;""),"%","")),0)/IF(AND(IFERROR(VALUE(SUBSTITUTE(TRIM(Input!H730&amp;""),"%","")),0)&gt;0,IFERROR(VALUE(SUBSTITUTE(TRIM(Input!H730&amp;""),"%","")),0)&lt;1),1,100))</f>
        <v/>
      </c>
      <c r="H730" t="str">
        <f>IF(A730="","",IFERROR(VALUE(SUBSTITUTE(TRIM(Input!I730&amp;""),"%","")),0)/IF(AND(IFERROR(VALUE(SUBSTITUTE(TRIM(Input!I730&amp;""),"%","")),0)&gt;0,IFERROR(VALUE(SUBSTITUTE(TRIM(Input!I730&amp;""),"%","")),0)&lt;1),1,100))</f>
        <v/>
      </c>
    </row>
    <row r="731" spans="1:8">
      <c r="A731" t="str">
        <f>IF(TRIM(Input!B731&amp;"")="","",UPPER(TRIM(Input!B731&amp;"")))</f>
        <v/>
      </c>
      <c r="B731" t="str">
        <f>IF(A731="","",IFERROR(VALUE(RIGHT(TRIM(Input!D731&amp;""),1)),0))</f>
        <v/>
      </c>
      <c r="C731" t="str">
        <f t="shared" si="11"/>
        <v/>
      </c>
      <c r="D731" t="str">
        <f>IF(A731="","",IFERROR(VALUE(SUBSTITUTE(TRIM(Input!E731&amp;""),"%","")),0)/IF(AND(IFERROR(VALUE(SUBSTITUTE(TRIM(Input!E731&amp;""),"%","")),0)&gt;0,IFERROR(VALUE(SUBSTITUTE(TRIM(Input!E731&amp;""),"%","")),0)&lt;1),1,100))</f>
        <v/>
      </c>
      <c r="E731" t="str">
        <f>IF(A731="","",IFERROR(VALUE(SUBSTITUTE(TRIM(Input!F731&amp;""),"%","")),0)/IF(AND(IFERROR(VALUE(SUBSTITUTE(TRIM(Input!F731&amp;""),"%","")),0)&gt;0,IFERROR(VALUE(SUBSTITUTE(TRIM(Input!F731&amp;""),"%","")),0)&lt;1),1,100))</f>
        <v/>
      </c>
      <c r="F731" t="str">
        <f>IF(A731="","",IFERROR(VALUE(SUBSTITUTE(TRIM(Input!G731&amp;""),"%","")),0)/IF(AND(IFERROR(VALUE(SUBSTITUTE(TRIM(Input!G731&amp;""),"%","")),0)&gt;0,IFERROR(VALUE(SUBSTITUTE(TRIM(Input!G731&amp;""),"%","")),0)&lt;1),1,100))</f>
        <v/>
      </c>
      <c r="G731" t="str">
        <f>IF(A731="","",IFERROR(VALUE(SUBSTITUTE(TRIM(Input!H731&amp;""),"%","")),0)/IF(AND(IFERROR(VALUE(SUBSTITUTE(TRIM(Input!H731&amp;""),"%","")),0)&gt;0,IFERROR(VALUE(SUBSTITUTE(TRIM(Input!H731&amp;""),"%","")),0)&lt;1),1,100))</f>
        <v/>
      </c>
      <c r="H731" t="str">
        <f>IF(A731="","",IFERROR(VALUE(SUBSTITUTE(TRIM(Input!I731&amp;""),"%","")),0)/IF(AND(IFERROR(VALUE(SUBSTITUTE(TRIM(Input!I731&amp;""),"%","")),0)&gt;0,IFERROR(VALUE(SUBSTITUTE(TRIM(Input!I731&amp;""),"%","")),0)&lt;1),1,100))</f>
        <v/>
      </c>
    </row>
    <row r="732" spans="1:8">
      <c r="A732" t="str">
        <f>IF(TRIM(Input!B732&amp;"")="","",UPPER(TRIM(Input!B732&amp;"")))</f>
        <v/>
      </c>
      <c r="B732" t="str">
        <f>IF(A732="","",IFERROR(VALUE(RIGHT(TRIM(Input!D732&amp;""),1)),0))</f>
        <v/>
      </c>
      <c r="C732" t="str">
        <f t="shared" si="11"/>
        <v/>
      </c>
      <c r="D732" t="str">
        <f>IF(A732="","",IFERROR(VALUE(SUBSTITUTE(TRIM(Input!E732&amp;""),"%","")),0)/IF(AND(IFERROR(VALUE(SUBSTITUTE(TRIM(Input!E732&amp;""),"%","")),0)&gt;0,IFERROR(VALUE(SUBSTITUTE(TRIM(Input!E732&amp;""),"%","")),0)&lt;1),1,100))</f>
        <v/>
      </c>
      <c r="E732" t="str">
        <f>IF(A732="","",IFERROR(VALUE(SUBSTITUTE(TRIM(Input!F732&amp;""),"%","")),0)/IF(AND(IFERROR(VALUE(SUBSTITUTE(TRIM(Input!F732&amp;""),"%","")),0)&gt;0,IFERROR(VALUE(SUBSTITUTE(TRIM(Input!F732&amp;""),"%","")),0)&lt;1),1,100))</f>
        <v/>
      </c>
      <c r="F732" t="str">
        <f>IF(A732="","",IFERROR(VALUE(SUBSTITUTE(TRIM(Input!G732&amp;""),"%","")),0)/IF(AND(IFERROR(VALUE(SUBSTITUTE(TRIM(Input!G732&amp;""),"%","")),0)&gt;0,IFERROR(VALUE(SUBSTITUTE(TRIM(Input!G732&amp;""),"%","")),0)&lt;1),1,100))</f>
        <v/>
      </c>
      <c r="G732" t="str">
        <f>IF(A732="","",IFERROR(VALUE(SUBSTITUTE(TRIM(Input!H732&amp;""),"%","")),0)/IF(AND(IFERROR(VALUE(SUBSTITUTE(TRIM(Input!H732&amp;""),"%","")),0)&gt;0,IFERROR(VALUE(SUBSTITUTE(TRIM(Input!H732&amp;""),"%","")),0)&lt;1),1,100))</f>
        <v/>
      </c>
      <c r="H732" t="str">
        <f>IF(A732="","",IFERROR(VALUE(SUBSTITUTE(TRIM(Input!I732&amp;""),"%","")),0)/IF(AND(IFERROR(VALUE(SUBSTITUTE(TRIM(Input!I732&amp;""),"%","")),0)&gt;0,IFERROR(VALUE(SUBSTITUTE(TRIM(Input!I732&amp;""),"%","")),0)&lt;1),1,100))</f>
        <v/>
      </c>
    </row>
    <row r="733" spans="1:8">
      <c r="A733" t="str">
        <f>IF(TRIM(Input!B733&amp;"")="","",UPPER(TRIM(Input!B733&amp;"")))</f>
        <v/>
      </c>
      <c r="B733" t="str">
        <f>IF(A733="","",IFERROR(VALUE(RIGHT(TRIM(Input!D733&amp;""),1)),0))</f>
        <v/>
      </c>
      <c r="C733" t="str">
        <f t="shared" si="11"/>
        <v/>
      </c>
      <c r="D733" t="str">
        <f>IF(A733="","",IFERROR(VALUE(SUBSTITUTE(TRIM(Input!E733&amp;""),"%","")),0)/IF(AND(IFERROR(VALUE(SUBSTITUTE(TRIM(Input!E733&amp;""),"%","")),0)&gt;0,IFERROR(VALUE(SUBSTITUTE(TRIM(Input!E733&amp;""),"%","")),0)&lt;1),1,100))</f>
        <v/>
      </c>
      <c r="E733" t="str">
        <f>IF(A733="","",IFERROR(VALUE(SUBSTITUTE(TRIM(Input!F733&amp;""),"%","")),0)/IF(AND(IFERROR(VALUE(SUBSTITUTE(TRIM(Input!F733&amp;""),"%","")),0)&gt;0,IFERROR(VALUE(SUBSTITUTE(TRIM(Input!F733&amp;""),"%","")),0)&lt;1),1,100))</f>
        <v/>
      </c>
      <c r="F733" t="str">
        <f>IF(A733="","",IFERROR(VALUE(SUBSTITUTE(TRIM(Input!G733&amp;""),"%","")),0)/IF(AND(IFERROR(VALUE(SUBSTITUTE(TRIM(Input!G733&amp;""),"%","")),0)&gt;0,IFERROR(VALUE(SUBSTITUTE(TRIM(Input!G733&amp;""),"%","")),0)&lt;1),1,100))</f>
        <v/>
      </c>
      <c r="G733" t="str">
        <f>IF(A733="","",IFERROR(VALUE(SUBSTITUTE(TRIM(Input!H733&amp;""),"%","")),0)/IF(AND(IFERROR(VALUE(SUBSTITUTE(TRIM(Input!H733&amp;""),"%","")),0)&gt;0,IFERROR(VALUE(SUBSTITUTE(TRIM(Input!H733&amp;""),"%","")),0)&lt;1),1,100))</f>
        <v/>
      </c>
      <c r="H733" t="str">
        <f>IF(A733="","",IFERROR(VALUE(SUBSTITUTE(TRIM(Input!I733&amp;""),"%","")),0)/IF(AND(IFERROR(VALUE(SUBSTITUTE(TRIM(Input!I733&amp;""),"%","")),0)&gt;0,IFERROR(VALUE(SUBSTITUTE(TRIM(Input!I733&amp;""),"%","")),0)&lt;1),1,100))</f>
        <v/>
      </c>
    </row>
    <row r="734" spans="1:8">
      <c r="A734" t="str">
        <f>IF(TRIM(Input!B734&amp;"")="","",UPPER(TRIM(Input!B734&amp;"")))</f>
        <v/>
      </c>
      <c r="B734" t="str">
        <f>IF(A734="","",IFERROR(VALUE(RIGHT(TRIM(Input!D734&amp;""),1)),0))</f>
        <v/>
      </c>
      <c r="C734" t="str">
        <f t="shared" si="11"/>
        <v/>
      </c>
      <c r="D734" t="str">
        <f>IF(A734="","",IFERROR(VALUE(SUBSTITUTE(TRIM(Input!E734&amp;""),"%","")),0)/IF(AND(IFERROR(VALUE(SUBSTITUTE(TRIM(Input!E734&amp;""),"%","")),0)&gt;0,IFERROR(VALUE(SUBSTITUTE(TRIM(Input!E734&amp;""),"%","")),0)&lt;1),1,100))</f>
        <v/>
      </c>
      <c r="E734" t="str">
        <f>IF(A734="","",IFERROR(VALUE(SUBSTITUTE(TRIM(Input!F734&amp;""),"%","")),0)/IF(AND(IFERROR(VALUE(SUBSTITUTE(TRIM(Input!F734&amp;""),"%","")),0)&gt;0,IFERROR(VALUE(SUBSTITUTE(TRIM(Input!F734&amp;""),"%","")),0)&lt;1),1,100))</f>
        <v/>
      </c>
      <c r="F734" t="str">
        <f>IF(A734="","",IFERROR(VALUE(SUBSTITUTE(TRIM(Input!G734&amp;""),"%","")),0)/IF(AND(IFERROR(VALUE(SUBSTITUTE(TRIM(Input!G734&amp;""),"%","")),0)&gt;0,IFERROR(VALUE(SUBSTITUTE(TRIM(Input!G734&amp;""),"%","")),0)&lt;1),1,100))</f>
        <v/>
      </c>
      <c r="G734" t="str">
        <f>IF(A734="","",IFERROR(VALUE(SUBSTITUTE(TRIM(Input!H734&amp;""),"%","")),0)/IF(AND(IFERROR(VALUE(SUBSTITUTE(TRIM(Input!H734&amp;""),"%","")),0)&gt;0,IFERROR(VALUE(SUBSTITUTE(TRIM(Input!H734&amp;""),"%","")),0)&lt;1),1,100))</f>
        <v/>
      </c>
      <c r="H734" t="str">
        <f>IF(A734="","",IFERROR(VALUE(SUBSTITUTE(TRIM(Input!I734&amp;""),"%","")),0)/IF(AND(IFERROR(VALUE(SUBSTITUTE(TRIM(Input!I734&amp;""),"%","")),0)&gt;0,IFERROR(VALUE(SUBSTITUTE(TRIM(Input!I734&amp;""),"%","")),0)&lt;1),1,100))</f>
        <v/>
      </c>
    </row>
    <row r="735" spans="1:8">
      <c r="A735" t="str">
        <f>IF(TRIM(Input!B735&amp;"")="","",UPPER(TRIM(Input!B735&amp;"")))</f>
        <v/>
      </c>
      <c r="B735" t="str">
        <f>IF(A735="","",IFERROR(VALUE(RIGHT(TRIM(Input!D735&amp;""),1)),0))</f>
        <v/>
      </c>
      <c r="C735" t="str">
        <f t="shared" si="11"/>
        <v/>
      </c>
      <c r="D735" t="str">
        <f>IF(A735="","",IFERROR(VALUE(SUBSTITUTE(TRIM(Input!E735&amp;""),"%","")),0)/IF(AND(IFERROR(VALUE(SUBSTITUTE(TRIM(Input!E735&amp;""),"%","")),0)&gt;0,IFERROR(VALUE(SUBSTITUTE(TRIM(Input!E735&amp;""),"%","")),0)&lt;1),1,100))</f>
        <v/>
      </c>
      <c r="E735" t="str">
        <f>IF(A735="","",IFERROR(VALUE(SUBSTITUTE(TRIM(Input!F735&amp;""),"%","")),0)/IF(AND(IFERROR(VALUE(SUBSTITUTE(TRIM(Input!F735&amp;""),"%","")),0)&gt;0,IFERROR(VALUE(SUBSTITUTE(TRIM(Input!F735&amp;""),"%","")),0)&lt;1),1,100))</f>
        <v/>
      </c>
      <c r="F735" t="str">
        <f>IF(A735="","",IFERROR(VALUE(SUBSTITUTE(TRIM(Input!G735&amp;""),"%","")),0)/IF(AND(IFERROR(VALUE(SUBSTITUTE(TRIM(Input!G735&amp;""),"%","")),0)&gt;0,IFERROR(VALUE(SUBSTITUTE(TRIM(Input!G735&amp;""),"%","")),0)&lt;1),1,100))</f>
        <v/>
      </c>
      <c r="G735" t="str">
        <f>IF(A735="","",IFERROR(VALUE(SUBSTITUTE(TRIM(Input!H735&amp;""),"%","")),0)/IF(AND(IFERROR(VALUE(SUBSTITUTE(TRIM(Input!H735&amp;""),"%","")),0)&gt;0,IFERROR(VALUE(SUBSTITUTE(TRIM(Input!H735&amp;""),"%","")),0)&lt;1),1,100))</f>
        <v/>
      </c>
      <c r="H735" t="str">
        <f>IF(A735="","",IFERROR(VALUE(SUBSTITUTE(TRIM(Input!I735&amp;""),"%","")),0)/IF(AND(IFERROR(VALUE(SUBSTITUTE(TRIM(Input!I735&amp;""),"%","")),0)&gt;0,IFERROR(VALUE(SUBSTITUTE(TRIM(Input!I735&amp;""),"%","")),0)&lt;1),1,100))</f>
        <v/>
      </c>
    </row>
    <row r="736" spans="1:8">
      <c r="A736" t="str">
        <f>IF(TRIM(Input!B736&amp;"")="","",UPPER(TRIM(Input!B736&amp;"")))</f>
        <v/>
      </c>
      <c r="B736" t="str">
        <f>IF(A736="","",IFERROR(VALUE(RIGHT(TRIM(Input!D736&amp;""),1)),0))</f>
        <v/>
      </c>
      <c r="C736" t="str">
        <f t="shared" si="11"/>
        <v/>
      </c>
      <c r="D736" t="str">
        <f>IF(A736="","",IFERROR(VALUE(SUBSTITUTE(TRIM(Input!E736&amp;""),"%","")),0)/IF(AND(IFERROR(VALUE(SUBSTITUTE(TRIM(Input!E736&amp;""),"%","")),0)&gt;0,IFERROR(VALUE(SUBSTITUTE(TRIM(Input!E736&amp;""),"%","")),0)&lt;1),1,100))</f>
        <v/>
      </c>
      <c r="E736" t="str">
        <f>IF(A736="","",IFERROR(VALUE(SUBSTITUTE(TRIM(Input!F736&amp;""),"%","")),0)/IF(AND(IFERROR(VALUE(SUBSTITUTE(TRIM(Input!F736&amp;""),"%","")),0)&gt;0,IFERROR(VALUE(SUBSTITUTE(TRIM(Input!F736&amp;""),"%","")),0)&lt;1),1,100))</f>
        <v/>
      </c>
      <c r="F736" t="str">
        <f>IF(A736="","",IFERROR(VALUE(SUBSTITUTE(TRIM(Input!G736&amp;""),"%","")),0)/IF(AND(IFERROR(VALUE(SUBSTITUTE(TRIM(Input!G736&amp;""),"%","")),0)&gt;0,IFERROR(VALUE(SUBSTITUTE(TRIM(Input!G736&amp;""),"%","")),0)&lt;1),1,100))</f>
        <v/>
      </c>
      <c r="G736" t="str">
        <f>IF(A736="","",IFERROR(VALUE(SUBSTITUTE(TRIM(Input!H736&amp;""),"%","")),0)/IF(AND(IFERROR(VALUE(SUBSTITUTE(TRIM(Input!H736&amp;""),"%","")),0)&gt;0,IFERROR(VALUE(SUBSTITUTE(TRIM(Input!H736&amp;""),"%","")),0)&lt;1),1,100))</f>
        <v/>
      </c>
      <c r="H736" t="str">
        <f>IF(A736="","",IFERROR(VALUE(SUBSTITUTE(TRIM(Input!I736&amp;""),"%","")),0)/IF(AND(IFERROR(VALUE(SUBSTITUTE(TRIM(Input!I736&amp;""),"%","")),0)&gt;0,IFERROR(VALUE(SUBSTITUTE(TRIM(Input!I736&amp;""),"%","")),0)&lt;1),1,100))</f>
        <v/>
      </c>
    </row>
    <row r="737" spans="1:8">
      <c r="A737" t="str">
        <f>IF(TRIM(Input!B737&amp;"")="","",UPPER(TRIM(Input!B737&amp;"")))</f>
        <v/>
      </c>
      <c r="B737" t="str">
        <f>IF(A737="","",IFERROR(VALUE(RIGHT(TRIM(Input!D737&amp;""),1)),0))</f>
        <v/>
      </c>
      <c r="C737" t="str">
        <f t="shared" si="11"/>
        <v/>
      </c>
      <c r="D737" t="str">
        <f>IF(A737="","",IFERROR(VALUE(SUBSTITUTE(TRIM(Input!E737&amp;""),"%","")),0)/IF(AND(IFERROR(VALUE(SUBSTITUTE(TRIM(Input!E737&amp;""),"%","")),0)&gt;0,IFERROR(VALUE(SUBSTITUTE(TRIM(Input!E737&amp;""),"%","")),0)&lt;1),1,100))</f>
        <v/>
      </c>
      <c r="E737" t="str">
        <f>IF(A737="","",IFERROR(VALUE(SUBSTITUTE(TRIM(Input!F737&amp;""),"%","")),0)/IF(AND(IFERROR(VALUE(SUBSTITUTE(TRIM(Input!F737&amp;""),"%","")),0)&gt;0,IFERROR(VALUE(SUBSTITUTE(TRIM(Input!F737&amp;""),"%","")),0)&lt;1),1,100))</f>
        <v/>
      </c>
      <c r="F737" t="str">
        <f>IF(A737="","",IFERROR(VALUE(SUBSTITUTE(TRIM(Input!G737&amp;""),"%","")),0)/IF(AND(IFERROR(VALUE(SUBSTITUTE(TRIM(Input!G737&amp;""),"%","")),0)&gt;0,IFERROR(VALUE(SUBSTITUTE(TRIM(Input!G737&amp;""),"%","")),0)&lt;1),1,100))</f>
        <v/>
      </c>
      <c r="G737" t="str">
        <f>IF(A737="","",IFERROR(VALUE(SUBSTITUTE(TRIM(Input!H737&amp;""),"%","")),0)/IF(AND(IFERROR(VALUE(SUBSTITUTE(TRIM(Input!H737&amp;""),"%","")),0)&gt;0,IFERROR(VALUE(SUBSTITUTE(TRIM(Input!H737&amp;""),"%","")),0)&lt;1),1,100))</f>
        <v/>
      </c>
      <c r="H737" t="str">
        <f>IF(A737="","",IFERROR(VALUE(SUBSTITUTE(TRIM(Input!I737&amp;""),"%","")),0)/IF(AND(IFERROR(VALUE(SUBSTITUTE(TRIM(Input!I737&amp;""),"%","")),0)&gt;0,IFERROR(VALUE(SUBSTITUTE(TRIM(Input!I737&amp;""),"%","")),0)&lt;1),1,100))</f>
        <v/>
      </c>
    </row>
    <row r="738" spans="1:8">
      <c r="A738" t="str">
        <f>IF(TRIM(Input!B738&amp;"")="","",UPPER(TRIM(Input!B738&amp;"")))</f>
        <v/>
      </c>
      <c r="B738" t="str">
        <f>IF(A738="","",IFERROR(VALUE(RIGHT(TRIM(Input!D738&amp;""),1)),0))</f>
        <v/>
      </c>
      <c r="C738" t="str">
        <f t="shared" si="11"/>
        <v/>
      </c>
      <c r="D738" t="str">
        <f>IF(A738="","",IFERROR(VALUE(SUBSTITUTE(TRIM(Input!E738&amp;""),"%","")),0)/IF(AND(IFERROR(VALUE(SUBSTITUTE(TRIM(Input!E738&amp;""),"%","")),0)&gt;0,IFERROR(VALUE(SUBSTITUTE(TRIM(Input!E738&amp;""),"%","")),0)&lt;1),1,100))</f>
        <v/>
      </c>
      <c r="E738" t="str">
        <f>IF(A738="","",IFERROR(VALUE(SUBSTITUTE(TRIM(Input!F738&amp;""),"%","")),0)/IF(AND(IFERROR(VALUE(SUBSTITUTE(TRIM(Input!F738&amp;""),"%","")),0)&gt;0,IFERROR(VALUE(SUBSTITUTE(TRIM(Input!F738&amp;""),"%","")),0)&lt;1),1,100))</f>
        <v/>
      </c>
      <c r="F738" t="str">
        <f>IF(A738="","",IFERROR(VALUE(SUBSTITUTE(TRIM(Input!G738&amp;""),"%","")),0)/IF(AND(IFERROR(VALUE(SUBSTITUTE(TRIM(Input!G738&amp;""),"%","")),0)&gt;0,IFERROR(VALUE(SUBSTITUTE(TRIM(Input!G738&amp;""),"%","")),0)&lt;1),1,100))</f>
        <v/>
      </c>
      <c r="G738" t="str">
        <f>IF(A738="","",IFERROR(VALUE(SUBSTITUTE(TRIM(Input!H738&amp;""),"%","")),0)/IF(AND(IFERROR(VALUE(SUBSTITUTE(TRIM(Input!H738&amp;""),"%","")),0)&gt;0,IFERROR(VALUE(SUBSTITUTE(TRIM(Input!H738&amp;""),"%","")),0)&lt;1),1,100))</f>
        <v/>
      </c>
      <c r="H738" t="str">
        <f>IF(A738="","",IFERROR(VALUE(SUBSTITUTE(TRIM(Input!I738&amp;""),"%","")),0)/IF(AND(IFERROR(VALUE(SUBSTITUTE(TRIM(Input!I738&amp;""),"%","")),0)&gt;0,IFERROR(VALUE(SUBSTITUTE(TRIM(Input!I738&amp;""),"%","")),0)&lt;1),1,100))</f>
        <v/>
      </c>
    </row>
    <row r="739" spans="1:8">
      <c r="A739" t="str">
        <f>IF(TRIM(Input!B739&amp;"")="","",UPPER(TRIM(Input!B739&amp;"")))</f>
        <v/>
      </c>
      <c r="B739" t="str">
        <f>IF(A739="","",IFERROR(VALUE(RIGHT(TRIM(Input!D739&amp;""),1)),0))</f>
        <v/>
      </c>
      <c r="C739" t="str">
        <f t="shared" si="11"/>
        <v/>
      </c>
      <c r="D739" t="str">
        <f>IF(A739="","",IFERROR(VALUE(SUBSTITUTE(TRIM(Input!E739&amp;""),"%","")),0)/IF(AND(IFERROR(VALUE(SUBSTITUTE(TRIM(Input!E739&amp;""),"%","")),0)&gt;0,IFERROR(VALUE(SUBSTITUTE(TRIM(Input!E739&amp;""),"%","")),0)&lt;1),1,100))</f>
        <v/>
      </c>
      <c r="E739" t="str">
        <f>IF(A739="","",IFERROR(VALUE(SUBSTITUTE(TRIM(Input!F739&amp;""),"%","")),0)/IF(AND(IFERROR(VALUE(SUBSTITUTE(TRIM(Input!F739&amp;""),"%","")),0)&gt;0,IFERROR(VALUE(SUBSTITUTE(TRIM(Input!F739&amp;""),"%","")),0)&lt;1),1,100))</f>
        <v/>
      </c>
      <c r="F739" t="str">
        <f>IF(A739="","",IFERROR(VALUE(SUBSTITUTE(TRIM(Input!G739&amp;""),"%","")),0)/IF(AND(IFERROR(VALUE(SUBSTITUTE(TRIM(Input!G739&amp;""),"%","")),0)&gt;0,IFERROR(VALUE(SUBSTITUTE(TRIM(Input!G739&amp;""),"%","")),0)&lt;1),1,100))</f>
        <v/>
      </c>
      <c r="G739" t="str">
        <f>IF(A739="","",IFERROR(VALUE(SUBSTITUTE(TRIM(Input!H739&amp;""),"%","")),0)/IF(AND(IFERROR(VALUE(SUBSTITUTE(TRIM(Input!H739&amp;""),"%","")),0)&gt;0,IFERROR(VALUE(SUBSTITUTE(TRIM(Input!H739&amp;""),"%","")),0)&lt;1),1,100))</f>
        <v/>
      </c>
      <c r="H739" t="str">
        <f>IF(A739="","",IFERROR(VALUE(SUBSTITUTE(TRIM(Input!I739&amp;""),"%","")),0)/IF(AND(IFERROR(VALUE(SUBSTITUTE(TRIM(Input!I739&amp;""),"%","")),0)&gt;0,IFERROR(VALUE(SUBSTITUTE(TRIM(Input!I739&amp;""),"%","")),0)&lt;1),1,100))</f>
        <v/>
      </c>
    </row>
    <row r="740" spans="1:8">
      <c r="A740" t="str">
        <f>IF(TRIM(Input!B740&amp;"")="","",UPPER(TRIM(Input!B740&amp;"")))</f>
        <v/>
      </c>
      <c r="B740" t="str">
        <f>IF(A740="","",IFERROR(VALUE(RIGHT(TRIM(Input!D740&amp;""),1)),0))</f>
        <v/>
      </c>
      <c r="C740" t="str">
        <f t="shared" si="11"/>
        <v/>
      </c>
      <c r="D740" t="str">
        <f>IF(A740="","",IFERROR(VALUE(SUBSTITUTE(TRIM(Input!E740&amp;""),"%","")),0)/IF(AND(IFERROR(VALUE(SUBSTITUTE(TRIM(Input!E740&amp;""),"%","")),0)&gt;0,IFERROR(VALUE(SUBSTITUTE(TRIM(Input!E740&amp;""),"%","")),0)&lt;1),1,100))</f>
        <v/>
      </c>
      <c r="E740" t="str">
        <f>IF(A740="","",IFERROR(VALUE(SUBSTITUTE(TRIM(Input!F740&amp;""),"%","")),0)/IF(AND(IFERROR(VALUE(SUBSTITUTE(TRIM(Input!F740&amp;""),"%","")),0)&gt;0,IFERROR(VALUE(SUBSTITUTE(TRIM(Input!F740&amp;""),"%","")),0)&lt;1),1,100))</f>
        <v/>
      </c>
      <c r="F740" t="str">
        <f>IF(A740="","",IFERROR(VALUE(SUBSTITUTE(TRIM(Input!G740&amp;""),"%","")),0)/IF(AND(IFERROR(VALUE(SUBSTITUTE(TRIM(Input!G740&amp;""),"%","")),0)&gt;0,IFERROR(VALUE(SUBSTITUTE(TRIM(Input!G740&amp;""),"%","")),0)&lt;1),1,100))</f>
        <v/>
      </c>
      <c r="G740" t="str">
        <f>IF(A740="","",IFERROR(VALUE(SUBSTITUTE(TRIM(Input!H740&amp;""),"%","")),0)/IF(AND(IFERROR(VALUE(SUBSTITUTE(TRIM(Input!H740&amp;""),"%","")),0)&gt;0,IFERROR(VALUE(SUBSTITUTE(TRIM(Input!H740&amp;""),"%","")),0)&lt;1),1,100))</f>
        <v/>
      </c>
      <c r="H740" t="str">
        <f>IF(A740="","",IFERROR(VALUE(SUBSTITUTE(TRIM(Input!I740&amp;""),"%","")),0)/IF(AND(IFERROR(VALUE(SUBSTITUTE(TRIM(Input!I740&amp;""),"%","")),0)&gt;0,IFERROR(VALUE(SUBSTITUTE(TRIM(Input!I740&amp;""),"%","")),0)&lt;1),1,100))</f>
        <v/>
      </c>
    </row>
    <row r="741" spans="1:8">
      <c r="A741" t="str">
        <f>IF(TRIM(Input!B741&amp;"")="","",UPPER(TRIM(Input!B741&amp;"")))</f>
        <v/>
      </c>
      <c r="B741" t="str">
        <f>IF(A741="","",IFERROR(VALUE(RIGHT(TRIM(Input!D741&amp;""),1)),0))</f>
        <v/>
      </c>
      <c r="C741" t="str">
        <f t="shared" si="11"/>
        <v/>
      </c>
      <c r="D741" t="str">
        <f>IF(A741="","",IFERROR(VALUE(SUBSTITUTE(TRIM(Input!E741&amp;""),"%","")),0)/IF(AND(IFERROR(VALUE(SUBSTITUTE(TRIM(Input!E741&amp;""),"%","")),0)&gt;0,IFERROR(VALUE(SUBSTITUTE(TRIM(Input!E741&amp;""),"%","")),0)&lt;1),1,100))</f>
        <v/>
      </c>
      <c r="E741" t="str">
        <f>IF(A741="","",IFERROR(VALUE(SUBSTITUTE(TRIM(Input!F741&amp;""),"%","")),0)/IF(AND(IFERROR(VALUE(SUBSTITUTE(TRIM(Input!F741&amp;""),"%","")),0)&gt;0,IFERROR(VALUE(SUBSTITUTE(TRIM(Input!F741&amp;""),"%","")),0)&lt;1),1,100))</f>
        <v/>
      </c>
      <c r="F741" t="str">
        <f>IF(A741="","",IFERROR(VALUE(SUBSTITUTE(TRIM(Input!G741&amp;""),"%","")),0)/IF(AND(IFERROR(VALUE(SUBSTITUTE(TRIM(Input!G741&amp;""),"%","")),0)&gt;0,IFERROR(VALUE(SUBSTITUTE(TRIM(Input!G741&amp;""),"%","")),0)&lt;1),1,100))</f>
        <v/>
      </c>
      <c r="G741" t="str">
        <f>IF(A741="","",IFERROR(VALUE(SUBSTITUTE(TRIM(Input!H741&amp;""),"%","")),0)/IF(AND(IFERROR(VALUE(SUBSTITUTE(TRIM(Input!H741&amp;""),"%","")),0)&gt;0,IFERROR(VALUE(SUBSTITUTE(TRIM(Input!H741&amp;""),"%","")),0)&lt;1),1,100))</f>
        <v/>
      </c>
      <c r="H741" t="str">
        <f>IF(A741="","",IFERROR(VALUE(SUBSTITUTE(TRIM(Input!I741&amp;""),"%","")),0)/IF(AND(IFERROR(VALUE(SUBSTITUTE(TRIM(Input!I741&amp;""),"%","")),0)&gt;0,IFERROR(VALUE(SUBSTITUTE(TRIM(Input!I741&amp;""),"%","")),0)&lt;1),1,100))</f>
        <v/>
      </c>
    </row>
    <row r="742" spans="1:8">
      <c r="A742" t="str">
        <f>IF(TRIM(Input!B742&amp;"")="","",UPPER(TRIM(Input!B742&amp;"")))</f>
        <v/>
      </c>
      <c r="B742" t="str">
        <f>IF(A742="","",IFERROR(VALUE(RIGHT(TRIM(Input!D742&amp;""),1)),0))</f>
        <v/>
      </c>
      <c r="C742" t="str">
        <f t="shared" si="11"/>
        <v/>
      </c>
      <c r="D742" t="str">
        <f>IF(A742="","",IFERROR(VALUE(SUBSTITUTE(TRIM(Input!E742&amp;""),"%","")),0)/IF(AND(IFERROR(VALUE(SUBSTITUTE(TRIM(Input!E742&amp;""),"%","")),0)&gt;0,IFERROR(VALUE(SUBSTITUTE(TRIM(Input!E742&amp;""),"%","")),0)&lt;1),1,100))</f>
        <v/>
      </c>
      <c r="E742" t="str">
        <f>IF(A742="","",IFERROR(VALUE(SUBSTITUTE(TRIM(Input!F742&amp;""),"%","")),0)/IF(AND(IFERROR(VALUE(SUBSTITUTE(TRIM(Input!F742&amp;""),"%","")),0)&gt;0,IFERROR(VALUE(SUBSTITUTE(TRIM(Input!F742&amp;""),"%","")),0)&lt;1),1,100))</f>
        <v/>
      </c>
      <c r="F742" t="str">
        <f>IF(A742="","",IFERROR(VALUE(SUBSTITUTE(TRIM(Input!G742&amp;""),"%","")),0)/IF(AND(IFERROR(VALUE(SUBSTITUTE(TRIM(Input!G742&amp;""),"%","")),0)&gt;0,IFERROR(VALUE(SUBSTITUTE(TRIM(Input!G742&amp;""),"%","")),0)&lt;1),1,100))</f>
        <v/>
      </c>
      <c r="G742" t="str">
        <f>IF(A742="","",IFERROR(VALUE(SUBSTITUTE(TRIM(Input!H742&amp;""),"%","")),0)/IF(AND(IFERROR(VALUE(SUBSTITUTE(TRIM(Input!H742&amp;""),"%","")),0)&gt;0,IFERROR(VALUE(SUBSTITUTE(TRIM(Input!H742&amp;""),"%","")),0)&lt;1),1,100))</f>
        <v/>
      </c>
      <c r="H742" t="str">
        <f>IF(A742="","",IFERROR(VALUE(SUBSTITUTE(TRIM(Input!I742&amp;""),"%","")),0)/IF(AND(IFERROR(VALUE(SUBSTITUTE(TRIM(Input!I742&amp;""),"%","")),0)&gt;0,IFERROR(VALUE(SUBSTITUTE(TRIM(Input!I742&amp;""),"%","")),0)&lt;1),1,100))</f>
        <v/>
      </c>
    </row>
    <row r="743" spans="1:8">
      <c r="A743" t="str">
        <f>IF(TRIM(Input!B743&amp;"")="","",UPPER(TRIM(Input!B743&amp;"")))</f>
        <v/>
      </c>
      <c r="B743" t="str">
        <f>IF(A743="","",IFERROR(VALUE(RIGHT(TRIM(Input!D743&amp;""),1)),0))</f>
        <v/>
      </c>
      <c r="C743" t="str">
        <f t="shared" si="11"/>
        <v/>
      </c>
      <c r="D743" t="str">
        <f>IF(A743="","",IFERROR(VALUE(SUBSTITUTE(TRIM(Input!E743&amp;""),"%","")),0)/IF(AND(IFERROR(VALUE(SUBSTITUTE(TRIM(Input!E743&amp;""),"%","")),0)&gt;0,IFERROR(VALUE(SUBSTITUTE(TRIM(Input!E743&amp;""),"%","")),0)&lt;1),1,100))</f>
        <v/>
      </c>
      <c r="E743" t="str">
        <f>IF(A743="","",IFERROR(VALUE(SUBSTITUTE(TRIM(Input!F743&amp;""),"%","")),0)/IF(AND(IFERROR(VALUE(SUBSTITUTE(TRIM(Input!F743&amp;""),"%","")),0)&gt;0,IFERROR(VALUE(SUBSTITUTE(TRIM(Input!F743&amp;""),"%","")),0)&lt;1),1,100))</f>
        <v/>
      </c>
      <c r="F743" t="str">
        <f>IF(A743="","",IFERROR(VALUE(SUBSTITUTE(TRIM(Input!G743&amp;""),"%","")),0)/IF(AND(IFERROR(VALUE(SUBSTITUTE(TRIM(Input!G743&amp;""),"%","")),0)&gt;0,IFERROR(VALUE(SUBSTITUTE(TRIM(Input!G743&amp;""),"%","")),0)&lt;1),1,100))</f>
        <v/>
      </c>
      <c r="G743" t="str">
        <f>IF(A743="","",IFERROR(VALUE(SUBSTITUTE(TRIM(Input!H743&amp;""),"%","")),0)/IF(AND(IFERROR(VALUE(SUBSTITUTE(TRIM(Input!H743&amp;""),"%","")),0)&gt;0,IFERROR(VALUE(SUBSTITUTE(TRIM(Input!H743&amp;""),"%","")),0)&lt;1),1,100))</f>
        <v/>
      </c>
      <c r="H743" t="str">
        <f>IF(A743="","",IFERROR(VALUE(SUBSTITUTE(TRIM(Input!I743&amp;""),"%","")),0)/IF(AND(IFERROR(VALUE(SUBSTITUTE(TRIM(Input!I743&amp;""),"%","")),0)&gt;0,IFERROR(VALUE(SUBSTITUTE(TRIM(Input!I743&amp;""),"%","")),0)&lt;1),1,100))</f>
        <v/>
      </c>
    </row>
    <row r="744" spans="1:8">
      <c r="A744" t="str">
        <f>IF(TRIM(Input!B744&amp;"")="","",UPPER(TRIM(Input!B744&amp;"")))</f>
        <v/>
      </c>
      <c r="B744" t="str">
        <f>IF(A744="","",IFERROR(VALUE(RIGHT(TRIM(Input!D744&amp;""),1)),0))</f>
        <v/>
      </c>
      <c r="C744" t="str">
        <f t="shared" si="11"/>
        <v/>
      </c>
      <c r="D744" t="str">
        <f>IF(A744="","",IFERROR(VALUE(SUBSTITUTE(TRIM(Input!E744&amp;""),"%","")),0)/IF(AND(IFERROR(VALUE(SUBSTITUTE(TRIM(Input!E744&amp;""),"%","")),0)&gt;0,IFERROR(VALUE(SUBSTITUTE(TRIM(Input!E744&amp;""),"%","")),0)&lt;1),1,100))</f>
        <v/>
      </c>
      <c r="E744" t="str">
        <f>IF(A744="","",IFERROR(VALUE(SUBSTITUTE(TRIM(Input!F744&amp;""),"%","")),0)/IF(AND(IFERROR(VALUE(SUBSTITUTE(TRIM(Input!F744&amp;""),"%","")),0)&gt;0,IFERROR(VALUE(SUBSTITUTE(TRIM(Input!F744&amp;""),"%","")),0)&lt;1),1,100))</f>
        <v/>
      </c>
      <c r="F744" t="str">
        <f>IF(A744="","",IFERROR(VALUE(SUBSTITUTE(TRIM(Input!G744&amp;""),"%","")),0)/IF(AND(IFERROR(VALUE(SUBSTITUTE(TRIM(Input!G744&amp;""),"%","")),0)&gt;0,IFERROR(VALUE(SUBSTITUTE(TRIM(Input!G744&amp;""),"%","")),0)&lt;1),1,100))</f>
        <v/>
      </c>
      <c r="G744" t="str">
        <f>IF(A744="","",IFERROR(VALUE(SUBSTITUTE(TRIM(Input!H744&amp;""),"%","")),0)/IF(AND(IFERROR(VALUE(SUBSTITUTE(TRIM(Input!H744&amp;""),"%","")),0)&gt;0,IFERROR(VALUE(SUBSTITUTE(TRIM(Input!H744&amp;""),"%","")),0)&lt;1),1,100))</f>
        <v/>
      </c>
      <c r="H744" t="str">
        <f>IF(A744="","",IFERROR(VALUE(SUBSTITUTE(TRIM(Input!I744&amp;""),"%","")),0)/IF(AND(IFERROR(VALUE(SUBSTITUTE(TRIM(Input!I744&amp;""),"%","")),0)&gt;0,IFERROR(VALUE(SUBSTITUTE(TRIM(Input!I744&amp;""),"%","")),0)&lt;1),1,100))</f>
        <v/>
      </c>
    </row>
    <row r="745" spans="1:8">
      <c r="A745" t="str">
        <f>IF(TRIM(Input!B745&amp;"")="","",UPPER(TRIM(Input!B745&amp;"")))</f>
        <v/>
      </c>
      <c r="B745" t="str">
        <f>IF(A745="","",IFERROR(VALUE(RIGHT(TRIM(Input!D745&amp;""),1)),0))</f>
        <v/>
      </c>
      <c r="C745" t="str">
        <f t="shared" si="11"/>
        <v/>
      </c>
      <c r="D745" t="str">
        <f>IF(A745="","",IFERROR(VALUE(SUBSTITUTE(TRIM(Input!E745&amp;""),"%","")),0)/IF(AND(IFERROR(VALUE(SUBSTITUTE(TRIM(Input!E745&amp;""),"%","")),0)&gt;0,IFERROR(VALUE(SUBSTITUTE(TRIM(Input!E745&amp;""),"%","")),0)&lt;1),1,100))</f>
        <v/>
      </c>
      <c r="E745" t="str">
        <f>IF(A745="","",IFERROR(VALUE(SUBSTITUTE(TRIM(Input!F745&amp;""),"%","")),0)/IF(AND(IFERROR(VALUE(SUBSTITUTE(TRIM(Input!F745&amp;""),"%","")),0)&gt;0,IFERROR(VALUE(SUBSTITUTE(TRIM(Input!F745&amp;""),"%","")),0)&lt;1),1,100))</f>
        <v/>
      </c>
      <c r="F745" t="str">
        <f>IF(A745="","",IFERROR(VALUE(SUBSTITUTE(TRIM(Input!G745&amp;""),"%","")),0)/IF(AND(IFERROR(VALUE(SUBSTITUTE(TRIM(Input!G745&amp;""),"%","")),0)&gt;0,IFERROR(VALUE(SUBSTITUTE(TRIM(Input!G745&amp;""),"%","")),0)&lt;1),1,100))</f>
        <v/>
      </c>
      <c r="G745" t="str">
        <f>IF(A745="","",IFERROR(VALUE(SUBSTITUTE(TRIM(Input!H745&amp;""),"%","")),0)/IF(AND(IFERROR(VALUE(SUBSTITUTE(TRIM(Input!H745&amp;""),"%","")),0)&gt;0,IFERROR(VALUE(SUBSTITUTE(TRIM(Input!H745&amp;""),"%","")),0)&lt;1),1,100))</f>
        <v/>
      </c>
      <c r="H745" t="str">
        <f>IF(A745="","",IFERROR(VALUE(SUBSTITUTE(TRIM(Input!I745&amp;""),"%","")),0)/IF(AND(IFERROR(VALUE(SUBSTITUTE(TRIM(Input!I745&amp;""),"%","")),0)&gt;0,IFERROR(VALUE(SUBSTITUTE(TRIM(Input!I745&amp;""),"%","")),0)&lt;1),1,100))</f>
        <v/>
      </c>
    </row>
    <row r="746" spans="1:8">
      <c r="A746" t="str">
        <f>IF(TRIM(Input!B746&amp;"")="","",UPPER(TRIM(Input!B746&amp;"")))</f>
        <v/>
      </c>
      <c r="B746" t="str">
        <f>IF(A746="","",IFERROR(VALUE(RIGHT(TRIM(Input!D746&amp;""),1)),0))</f>
        <v/>
      </c>
      <c r="C746" t="str">
        <f t="shared" si="11"/>
        <v/>
      </c>
      <c r="D746" t="str">
        <f>IF(A746="","",IFERROR(VALUE(SUBSTITUTE(TRIM(Input!E746&amp;""),"%","")),0)/IF(AND(IFERROR(VALUE(SUBSTITUTE(TRIM(Input!E746&amp;""),"%","")),0)&gt;0,IFERROR(VALUE(SUBSTITUTE(TRIM(Input!E746&amp;""),"%","")),0)&lt;1),1,100))</f>
        <v/>
      </c>
      <c r="E746" t="str">
        <f>IF(A746="","",IFERROR(VALUE(SUBSTITUTE(TRIM(Input!F746&amp;""),"%","")),0)/IF(AND(IFERROR(VALUE(SUBSTITUTE(TRIM(Input!F746&amp;""),"%","")),0)&gt;0,IFERROR(VALUE(SUBSTITUTE(TRIM(Input!F746&amp;""),"%","")),0)&lt;1),1,100))</f>
        <v/>
      </c>
      <c r="F746" t="str">
        <f>IF(A746="","",IFERROR(VALUE(SUBSTITUTE(TRIM(Input!G746&amp;""),"%","")),0)/IF(AND(IFERROR(VALUE(SUBSTITUTE(TRIM(Input!G746&amp;""),"%","")),0)&gt;0,IFERROR(VALUE(SUBSTITUTE(TRIM(Input!G746&amp;""),"%","")),0)&lt;1),1,100))</f>
        <v/>
      </c>
      <c r="G746" t="str">
        <f>IF(A746="","",IFERROR(VALUE(SUBSTITUTE(TRIM(Input!H746&amp;""),"%","")),0)/IF(AND(IFERROR(VALUE(SUBSTITUTE(TRIM(Input!H746&amp;""),"%","")),0)&gt;0,IFERROR(VALUE(SUBSTITUTE(TRIM(Input!H746&amp;""),"%","")),0)&lt;1),1,100))</f>
        <v/>
      </c>
      <c r="H746" t="str">
        <f>IF(A746="","",IFERROR(VALUE(SUBSTITUTE(TRIM(Input!I746&amp;""),"%","")),0)/IF(AND(IFERROR(VALUE(SUBSTITUTE(TRIM(Input!I746&amp;""),"%","")),0)&gt;0,IFERROR(VALUE(SUBSTITUTE(TRIM(Input!I746&amp;""),"%","")),0)&lt;1),1,100))</f>
        <v/>
      </c>
    </row>
    <row r="747" spans="1:8">
      <c r="A747" t="str">
        <f>IF(TRIM(Input!B747&amp;"")="","",UPPER(TRIM(Input!B747&amp;"")))</f>
        <v/>
      </c>
      <c r="B747" t="str">
        <f>IF(A747="","",IFERROR(VALUE(RIGHT(TRIM(Input!D747&amp;""),1)),0))</f>
        <v/>
      </c>
      <c r="C747" t="str">
        <f t="shared" si="11"/>
        <v/>
      </c>
      <c r="D747" t="str">
        <f>IF(A747="","",IFERROR(VALUE(SUBSTITUTE(TRIM(Input!E747&amp;""),"%","")),0)/IF(AND(IFERROR(VALUE(SUBSTITUTE(TRIM(Input!E747&amp;""),"%","")),0)&gt;0,IFERROR(VALUE(SUBSTITUTE(TRIM(Input!E747&amp;""),"%","")),0)&lt;1),1,100))</f>
        <v/>
      </c>
      <c r="E747" t="str">
        <f>IF(A747="","",IFERROR(VALUE(SUBSTITUTE(TRIM(Input!F747&amp;""),"%","")),0)/IF(AND(IFERROR(VALUE(SUBSTITUTE(TRIM(Input!F747&amp;""),"%","")),0)&gt;0,IFERROR(VALUE(SUBSTITUTE(TRIM(Input!F747&amp;""),"%","")),0)&lt;1),1,100))</f>
        <v/>
      </c>
      <c r="F747" t="str">
        <f>IF(A747="","",IFERROR(VALUE(SUBSTITUTE(TRIM(Input!G747&amp;""),"%","")),0)/IF(AND(IFERROR(VALUE(SUBSTITUTE(TRIM(Input!G747&amp;""),"%","")),0)&gt;0,IFERROR(VALUE(SUBSTITUTE(TRIM(Input!G747&amp;""),"%","")),0)&lt;1),1,100))</f>
        <v/>
      </c>
      <c r="G747" t="str">
        <f>IF(A747="","",IFERROR(VALUE(SUBSTITUTE(TRIM(Input!H747&amp;""),"%","")),0)/IF(AND(IFERROR(VALUE(SUBSTITUTE(TRIM(Input!H747&amp;""),"%","")),0)&gt;0,IFERROR(VALUE(SUBSTITUTE(TRIM(Input!H747&amp;""),"%","")),0)&lt;1),1,100))</f>
        <v/>
      </c>
      <c r="H747" t="str">
        <f>IF(A747="","",IFERROR(VALUE(SUBSTITUTE(TRIM(Input!I747&amp;""),"%","")),0)/IF(AND(IFERROR(VALUE(SUBSTITUTE(TRIM(Input!I747&amp;""),"%","")),0)&gt;0,IFERROR(VALUE(SUBSTITUTE(TRIM(Input!I747&amp;""),"%","")),0)&lt;1),1,100))</f>
        <v/>
      </c>
    </row>
    <row r="748" spans="1:8">
      <c r="A748" t="str">
        <f>IF(TRIM(Input!B748&amp;"")="","",UPPER(TRIM(Input!B748&amp;"")))</f>
        <v/>
      </c>
      <c r="B748" t="str">
        <f>IF(A748="","",IFERROR(VALUE(RIGHT(TRIM(Input!D748&amp;""),1)),0))</f>
        <v/>
      </c>
      <c r="C748" t="str">
        <f t="shared" si="11"/>
        <v/>
      </c>
      <c r="D748" t="str">
        <f>IF(A748="","",IFERROR(VALUE(SUBSTITUTE(TRIM(Input!E748&amp;""),"%","")),0)/IF(AND(IFERROR(VALUE(SUBSTITUTE(TRIM(Input!E748&amp;""),"%","")),0)&gt;0,IFERROR(VALUE(SUBSTITUTE(TRIM(Input!E748&amp;""),"%","")),0)&lt;1),1,100))</f>
        <v/>
      </c>
      <c r="E748" t="str">
        <f>IF(A748="","",IFERROR(VALUE(SUBSTITUTE(TRIM(Input!F748&amp;""),"%","")),0)/IF(AND(IFERROR(VALUE(SUBSTITUTE(TRIM(Input!F748&amp;""),"%","")),0)&gt;0,IFERROR(VALUE(SUBSTITUTE(TRIM(Input!F748&amp;""),"%","")),0)&lt;1),1,100))</f>
        <v/>
      </c>
      <c r="F748" t="str">
        <f>IF(A748="","",IFERROR(VALUE(SUBSTITUTE(TRIM(Input!G748&amp;""),"%","")),0)/IF(AND(IFERROR(VALUE(SUBSTITUTE(TRIM(Input!G748&amp;""),"%","")),0)&gt;0,IFERROR(VALUE(SUBSTITUTE(TRIM(Input!G748&amp;""),"%","")),0)&lt;1),1,100))</f>
        <v/>
      </c>
      <c r="G748" t="str">
        <f>IF(A748="","",IFERROR(VALUE(SUBSTITUTE(TRIM(Input!H748&amp;""),"%","")),0)/IF(AND(IFERROR(VALUE(SUBSTITUTE(TRIM(Input!H748&amp;""),"%","")),0)&gt;0,IFERROR(VALUE(SUBSTITUTE(TRIM(Input!H748&amp;""),"%","")),0)&lt;1),1,100))</f>
        <v/>
      </c>
      <c r="H748" t="str">
        <f>IF(A748="","",IFERROR(VALUE(SUBSTITUTE(TRIM(Input!I748&amp;""),"%","")),0)/IF(AND(IFERROR(VALUE(SUBSTITUTE(TRIM(Input!I748&amp;""),"%","")),0)&gt;0,IFERROR(VALUE(SUBSTITUTE(TRIM(Input!I748&amp;""),"%","")),0)&lt;1),1,100))</f>
        <v/>
      </c>
    </row>
    <row r="749" spans="1:8">
      <c r="A749" t="str">
        <f>IF(TRIM(Input!B749&amp;"")="","",UPPER(TRIM(Input!B749&amp;"")))</f>
        <v/>
      </c>
      <c r="B749" t="str">
        <f>IF(A749="","",IFERROR(VALUE(RIGHT(TRIM(Input!D749&amp;""),1)),0))</f>
        <v/>
      </c>
      <c r="C749" t="str">
        <f t="shared" si="11"/>
        <v/>
      </c>
      <c r="D749" t="str">
        <f>IF(A749="","",IFERROR(VALUE(SUBSTITUTE(TRIM(Input!E749&amp;""),"%","")),0)/IF(AND(IFERROR(VALUE(SUBSTITUTE(TRIM(Input!E749&amp;""),"%","")),0)&gt;0,IFERROR(VALUE(SUBSTITUTE(TRIM(Input!E749&amp;""),"%","")),0)&lt;1),1,100))</f>
        <v/>
      </c>
      <c r="E749" t="str">
        <f>IF(A749="","",IFERROR(VALUE(SUBSTITUTE(TRIM(Input!F749&amp;""),"%","")),0)/IF(AND(IFERROR(VALUE(SUBSTITUTE(TRIM(Input!F749&amp;""),"%","")),0)&gt;0,IFERROR(VALUE(SUBSTITUTE(TRIM(Input!F749&amp;""),"%","")),0)&lt;1),1,100))</f>
        <v/>
      </c>
      <c r="F749" t="str">
        <f>IF(A749="","",IFERROR(VALUE(SUBSTITUTE(TRIM(Input!G749&amp;""),"%","")),0)/IF(AND(IFERROR(VALUE(SUBSTITUTE(TRIM(Input!G749&amp;""),"%","")),0)&gt;0,IFERROR(VALUE(SUBSTITUTE(TRIM(Input!G749&amp;""),"%","")),0)&lt;1),1,100))</f>
        <v/>
      </c>
      <c r="G749" t="str">
        <f>IF(A749="","",IFERROR(VALUE(SUBSTITUTE(TRIM(Input!H749&amp;""),"%","")),0)/IF(AND(IFERROR(VALUE(SUBSTITUTE(TRIM(Input!H749&amp;""),"%","")),0)&gt;0,IFERROR(VALUE(SUBSTITUTE(TRIM(Input!H749&amp;""),"%","")),0)&lt;1),1,100))</f>
        <v/>
      </c>
      <c r="H749" t="str">
        <f>IF(A749="","",IFERROR(VALUE(SUBSTITUTE(TRIM(Input!I749&amp;""),"%","")),0)/IF(AND(IFERROR(VALUE(SUBSTITUTE(TRIM(Input!I749&amp;""),"%","")),0)&gt;0,IFERROR(VALUE(SUBSTITUTE(TRIM(Input!I749&amp;""),"%","")),0)&lt;1),1,100))</f>
        <v/>
      </c>
    </row>
    <row r="750" spans="1:8">
      <c r="A750" t="str">
        <f>IF(TRIM(Input!B750&amp;"")="","",UPPER(TRIM(Input!B750&amp;"")))</f>
        <v/>
      </c>
      <c r="B750" t="str">
        <f>IF(A750="","",IFERROR(VALUE(RIGHT(TRIM(Input!D750&amp;""),1)),0))</f>
        <v/>
      </c>
      <c r="C750" t="str">
        <f t="shared" si="11"/>
        <v/>
      </c>
      <c r="D750" t="str">
        <f>IF(A750="","",IFERROR(VALUE(SUBSTITUTE(TRIM(Input!E750&amp;""),"%","")),0)/IF(AND(IFERROR(VALUE(SUBSTITUTE(TRIM(Input!E750&amp;""),"%","")),0)&gt;0,IFERROR(VALUE(SUBSTITUTE(TRIM(Input!E750&amp;""),"%","")),0)&lt;1),1,100))</f>
        <v/>
      </c>
      <c r="E750" t="str">
        <f>IF(A750="","",IFERROR(VALUE(SUBSTITUTE(TRIM(Input!F750&amp;""),"%","")),0)/IF(AND(IFERROR(VALUE(SUBSTITUTE(TRIM(Input!F750&amp;""),"%","")),0)&gt;0,IFERROR(VALUE(SUBSTITUTE(TRIM(Input!F750&amp;""),"%","")),0)&lt;1),1,100))</f>
        <v/>
      </c>
      <c r="F750" t="str">
        <f>IF(A750="","",IFERROR(VALUE(SUBSTITUTE(TRIM(Input!G750&amp;""),"%","")),0)/IF(AND(IFERROR(VALUE(SUBSTITUTE(TRIM(Input!G750&amp;""),"%","")),0)&gt;0,IFERROR(VALUE(SUBSTITUTE(TRIM(Input!G750&amp;""),"%","")),0)&lt;1),1,100))</f>
        <v/>
      </c>
      <c r="G750" t="str">
        <f>IF(A750="","",IFERROR(VALUE(SUBSTITUTE(TRIM(Input!H750&amp;""),"%","")),0)/IF(AND(IFERROR(VALUE(SUBSTITUTE(TRIM(Input!H750&amp;""),"%","")),0)&gt;0,IFERROR(VALUE(SUBSTITUTE(TRIM(Input!H750&amp;""),"%","")),0)&lt;1),1,100))</f>
        <v/>
      </c>
      <c r="H750" t="str">
        <f>IF(A750="","",IFERROR(VALUE(SUBSTITUTE(TRIM(Input!I750&amp;""),"%","")),0)/IF(AND(IFERROR(VALUE(SUBSTITUTE(TRIM(Input!I750&amp;""),"%","")),0)&gt;0,IFERROR(VALUE(SUBSTITUTE(TRIM(Input!I750&amp;""),"%","")),0)&lt;1),1,100))</f>
        <v/>
      </c>
    </row>
    <row r="751" spans="1:8">
      <c r="A751" t="str">
        <f>IF(TRIM(Input!B751&amp;"")="","",UPPER(TRIM(Input!B751&amp;"")))</f>
        <v/>
      </c>
      <c r="B751" t="str">
        <f>IF(A751="","",IFERROR(VALUE(RIGHT(TRIM(Input!D751&amp;""),1)),0))</f>
        <v/>
      </c>
      <c r="C751" t="str">
        <f t="shared" si="11"/>
        <v/>
      </c>
      <c r="D751" t="str">
        <f>IF(A751="","",IFERROR(VALUE(SUBSTITUTE(TRIM(Input!E751&amp;""),"%","")),0)/IF(AND(IFERROR(VALUE(SUBSTITUTE(TRIM(Input!E751&amp;""),"%","")),0)&gt;0,IFERROR(VALUE(SUBSTITUTE(TRIM(Input!E751&amp;""),"%","")),0)&lt;1),1,100))</f>
        <v/>
      </c>
      <c r="E751" t="str">
        <f>IF(A751="","",IFERROR(VALUE(SUBSTITUTE(TRIM(Input!F751&amp;""),"%","")),0)/IF(AND(IFERROR(VALUE(SUBSTITUTE(TRIM(Input!F751&amp;""),"%","")),0)&gt;0,IFERROR(VALUE(SUBSTITUTE(TRIM(Input!F751&amp;""),"%","")),0)&lt;1),1,100))</f>
        <v/>
      </c>
      <c r="F751" t="str">
        <f>IF(A751="","",IFERROR(VALUE(SUBSTITUTE(TRIM(Input!G751&amp;""),"%","")),0)/IF(AND(IFERROR(VALUE(SUBSTITUTE(TRIM(Input!G751&amp;""),"%","")),0)&gt;0,IFERROR(VALUE(SUBSTITUTE(TRIM(Input!G751&amp;""),"%","")),0)&lt;1),1,100))</f>
        <v/>
      </c>
      <c r="G751" t="str">
        <f>IF(A751="","",IFERROR(VALUE(SUBSTITUTE(TRIM(Input!H751&amp;""),"%","")),0)/IF(AND(IFERROR(VALUE(SUBSTITUTE(TRIM(Input!H751&amp;""),"%","")),0)&gt;0,IFERROR(VALUE(SUBSTITUTE(TRIM(Input!H751&amp;""),"%","")),0)&lt;1),1,100))</f>
        <v/>
      </c>
      <c r="H751" t="str">
        <f>IF(A751="","",IFERROR(VALUE(SUBSTITUTE(TRIM(Input!I751&amp;""),"%","")),0)/IF(AND(IFERROR(VALUE(SUBSTITUTE(TRIM(Input!I751&amp;""),"%","")),0)&gt;0,IFERROR(VALUE(SUBSTITUTE(TRIM(Input!I751&amp;""),"%","")),0)&lt;1),1,100))</f>
        <v/>
      </c>
    </row>
    <row r="752" spans="1:8">
      <c r="A752" t="str">
        <f>IF(TRIM(Input!B752&amp;"")="","",UPPER(TRIM(Input!B752&amp;"")))</f>
        <v/>
      </c>
      <c r="B752" t="str">
        <f>IF(A752="","",IFERROR(VALUE(RIGHT(TRIM(Input!D752&amp;""),1)),0))</f>
        <v/>
      </c>
      <c r="C752" t="str">
        <f t="shared" si="11"/>
        <v/>
      </c>
      <c r="D752" t="str">
        <f>IF(A752="","",IFERROR(VALUE(SUBSTITUTE(TRIM(Input!E752&amp;""),"%","")),0)/IF(AND(IFERROR(VALUE(SUBSTITUTE(TRIM(Input!E752&amp;""),"%","")),0)&gt;0,IFERROR(VALUE(SUBSTITUTE(TRIM(Input!E752&amp;""),"%","")),0)&lt;1),1,100))</f>
        <v/>
      </c>
      <c r="E752" t="str">
        <f>IF(A752="","",IFERROR(VALUE(SUBSTITUTE(TRIM(Input!F752&amp;""),"%","")),0)/IF(AND(IFERROR(VALUE(SUBSTITUTE(TRIM(Input!F752&amp;""),"%","")),0)&gt;0,IFERROR(VALUE(SUBSTITUTE(TRIM(Input!F752&amp;""),"%","")),0)&lt;1),1,100))</f>
        <v/>
      </c>
      <c r="F752" t="str">
        <f>IF(A752="","",IFERROR(VALUE(SUBSTITUTE(TRIM(Input!G752&amp;""),"%","")),0)/IF(AND(IFERROR(VALUE(SUBSTITUTE(TRIM(Input!G752&amp;""),"%","")),0)&gt;0,IFERROR(VALUE(SUBSTITUTE(TRIM(Input!G752&amp;""),"%","")),0)&lt;1),1,100))</f>
        <v/>
      </c>
      <c r="G752" t="str">
        <f>IF(A752="","",IFERROR(VALUE(SUBSTITUTE(TRIM(Input!H752&amp;""),"%","")),0)/IF(AND(IFERROR(VALUE(SUBSTITUTE(TRIM(Input!H752&amp;""),"%","")),0)&gt;0,IFERROR(VALUE(SUBSTITUTE(TRIM(Input!H752&amp;""),"%","")),0)&lt;1),1,100))</f>
        <v/>
      </c>
      <c r="H752" t="str">
        <f>IF(A752="","",IFERROR(VALUE(SUBSTITUTE(TRIM(Input!I752&amp;""),"%","")),0)/IF(AND(IFERROR(VALUE(SUBSTITUTE(TRIM(Input!I752&amp;""),"%","")),0)&gt;0,IFERROR(VALUE(SUBSTITUTE(TRIM(Input!I752&amp;""),"%","")),0)&lt;1),1,100))</f>
        <v/>
      </c>
    </row>
    <row r="753" spans="1:8">
      <c r="A753" t="str">
        <f>IF(TRIM(Input!B753&amp;"")="","",UPPER(TRIM(Input!B753&amp;"")))</f>
        <v/>
      </c>
      <c r="B753" t="str">
        <f>IF(A753="","",IFERROR(VALUE(RIGHT(TRIM(Input!D753&amp;""),1)),0))</f>
        <v/>
      </c>
      <c r="C753" t="str">
        <f t="shared" si="11"/>
        <v/>
      </c>
      <c r="D753" t="str">
        <f>IF(A753="","",IFERROR(VALUE(SUBSTITUTE(TRIM(Input!E753&amp;""),"%","")),0)/IF(AND(IFERROR(VALUE(SUBSTITUTE(TRIM(Input!E753&amp;""),"%","")),0)&gt;0,IFERROR(VALUE(SUBSTITUTE(TRIM(Input!E753&amp;""),"%","")),0)&lt;1),1,100))</f>
        <v/>
      </c>
      <c r="E753" t="str">
        <f>IF(A753="","",IFERROR(VALUE(SUBSTITUTE(TRIM(Input!F753&amp;""),"%","")),0)/IF(AND(IFERROR(VALUE(SUBSTITUTE(TRIM(Input!F753&amp;""),"%","")),0)&gt;0,IFERROR(VALUE(SUBSTITUTE(TRIM(Input!F753&amp;""),"%","")),0)&lt;1),1,100))</f>
        <v/>
      </c>
      <c r="F753" t="str">
        <f>IF(A753="","",IFERROR(VALUE(SUBSTITUTE(TRIM(Input!G753&amp;""),"%","")),0)/IF(AND(IFERROR(VALUE(SUBSTITUTE(TRIM(Input!G753&amp;""),"%","")),0)&gt;0,IFERROR(VALUE(SUBSTITUTE(TRIM(Input!G753&amp;""),"%","")),0)&lt;1),1,100))</f>
        <v/>
      </c>
      <c r="G753" t="str">
        <f>IF(A753="","",IFERROR(VALUE(SUBSTITUTE(TRIM(Input!H753&amp;""),"%","")),0)/IF(AND(IFERROR(VALUE(SUBSTITUTE(TRIM(Input!H753&amp;""),"%","")),0)&gt;0,IFERROR(VALUE(SUBSTITUTE(TRIM(Input!H753&amp;""),"%","")),0)&lt;1),1,100))</f>
        <v/>
      </c>
      <c r="H753" t="str">
        <f>IF(A753="","",IFERROR(VALUE(SUBSTITUTE(TRIM(Input!I753&amp;""),"%","")),0)/IF(AND(IFERROR(VALUE(SUBSTITUTE(TRIM(Input!I753&amp;""),"%","")),0)&gt;0,IFERROR(VALUE(SUBSTITUTE(TRIM(Input!I753&amp;""),"%","")),0)&lt;1),1,100))</f>
        <v/>
      </c>
    </row>
    <row r="754" spans="1:8">
      <c r="A754" t="str">
        <f>IF(TRIM(Input!B754&amp;"")="","",UPPER(TRIM(Input!B754&amp;"")))</f>
        <v/>
      </c>
      <c r="B754" t="str">
        <f>IF(A754="","",IFERROR(VALUE(RIGHT(TRIM(Input!D754&amp;""),1)),0))</f>
        <v/>
      </c>
      <c r="C754" t="str">
        <f t="shared" si="11"/>
        <v/>
      </c>
      <c r="D754" t="str">
        <f>IF(A754="","",IFERROR(VALUE(SUBSTITUTE(TRIM(Input!E754&amp;""),"%","")),0)/IF(AND(IFERROR(VALUE(SUBSTITUTE(TRIM(Input!E754&amp;""),"%","")),0)&gt;0,IFERROR(VALUE(SUBSTITUTE(TRIM(Input!E754&amp;""),"%","")),0)&lt;1),1,100))</f>
        <v/>
      </c>
      <c r="E754" t="str">
        <f>IF(A754="","",IFERROR(VALUE(SUBSTITUTE(TRIM(Input!F754&amp;""),"%","")),0)/IF(AND(IFERROR(VALUE(SUBSTITUTE(TRIM(Input!F754&amp;""),"%","")),0)&gt;0,IFERROR(VALUE(SUBSTITUTE(TRIM(Input!F754&amp;""),"%","")),0)&lt;1),1,100))</f>
        <v/>
      </c>
      <c r="F754" t="str">
        <f>IF(A754="","",IFERROR(VALUE(SUBSTITUTE(TRIM(Input!G754&amp;""),"%","")),0)/IF(AND(IFERROR(VALUE(SUBSTITUTE(TRIM(Input!G754&amp;""),"%","")),0)&gt;0,IFERROR(VALUE(SUBSTITUTE(TRIM(Input!G754&amp;""),"%","")),0)&lt;1),1,100))</f>
        <v/>
      </c>
      <c r="G754" t="str">
        <f>IF(A754="","",IFERROR(VALUE(SUBSTITUTE(TRIM(Input!H754&amp;""),"%","")),0)/IF(AND(IFERROR(VALUE(SUBSTITUTE(TRIM(Input!H754&amp;""),"%","")),0)&gt;0,IFERROR(VALUE(SUBSTITUTE(TRIM(Input!H754&amp;""),"%","")),0)&lt;1),1,100))</f>
        <v/>
      </c>
      <c r="H754" t="str">
        <f>IF(A754="","",IFERROR(VALUE(SUBSTITUTE(TRIM(Input!I754&amp;""),"%","")),0)/IF(AND(IFERROR(VALUE(SUBSTITUTE(TRIM(Input!I754&amp;""),"%","")),0)&gt;0,IFERROR(VALUE(SUBSTITUTE(TRIM(Input!I754&amp;""),"%","")),0)&lt;1),1,100))</f>
        <v/>
      </c>
    </row>
    <row r="755" spans="1:8">
      <c r="A755" t="str">
        <f>IF(TRIM(Input!B755&amp;"")="","",UPPER(TRIM(Input!B755&amp;"")))</f>
        <v/>
      </c>
      <c r="B755" t="str">
        <f>IF(A755="","",IFERROR(VALUE(RIGHT(TRIM(Input!D755&amp;""),1)),0))</f>
        <v/>
      </c>
      <c r="C755" t="str">
        <f t="shared" si="11"/>
        <v/>
      </c>
      <c r="D755" t="str">
        <f>IF(A755="","",IFERROR(VALUE(SUBSTITUTE(TRIM(Input!E755&amp;""),"%","")),0)/IF(AND(IFERROR(VALUE(SUBSTITUTE(TRIM(Input!E755&amp;""),"%","")),0)&gt;0,IFERROR(VALUE(SUBSTITUTE(TRIM(Input!E755&amp;""),"%","")),0)&lt;1),1,100))</f>
        <v/>
      </c>
      <c r="E755" t="str">
        <f>IF(A755="","",IFERROR(VALUE(SUBSTITUTE(TRIM(Input!F755&amp;""),"%","")),0)/IF(AND(IFERROR(VALUE(SUBSTITUTE(TRIM(Input!F755&amp;""),"%","")),0)&gt;0,IFERROR(VALUE(SUBSTITUTE(TRIM(Input!F755&amp;""),"%","")),0)&lt;1),1,100))</f>
        <v/>
      </c>
      <c r="F755" t="str">
        <f>IF(A755="","",IFERROR(VALUE(SUBSTITUTE(TRIM(Input!G755&amp;""),"%","")),0)/IF(AND(IFERROR(VALUE(SUBSTITUTE(TRIM(Input!G755&amp;""),"%","")),0)&gt;0,IFERROR(VALUE(SUBSTITUTE(TRIM(Input!G755&amp;""),"%","")),0)&lt;1),1,100))</f>
        <v/>
      </c>
      <c r="G755" t="str">
        <f>IF(A755="","",IFERROR(VALUE(SUBSTITUTE(TRIM(Input!H755&amp;""),"%","")),0)/IF(AND(IFERROR(VALUE(SUBSTITUTE(TRIM(Input!H755&amp;""),"%","")),0)&gt;0,IFERROR(VALUE(SUBSTITUTE(TRIM(Input!H755&amp;""),"%","")),0)&lt;1),1,100))</f>
        <v/>
      </c>
      <c r="H755" t="str">
        <f>IF(A755="","",IFERROR(VALUE(SUBSTITUTE(TRIM(Input!I755&amp;""),"%","")),0)/IF(AND(IFERROR(VALUE(SUBSTITUTE(TRIM(Input!I755&amp;""),"%","")),0)&gt;0,IFERROR(VALUE(SUBSTITUTE(TRIM(Input!I755&amp;""),"%","")),0)&lt;1),1,100))</f>
        <v/>
      </c>
    </row>
    <row r="756" spans="1:8">
      <c r="A756" t="str">
        <f>IF(TRIM(Input!B756&amp;"")="","",UPPER(TRIM(Input!B756&amp;"")))</f>
        <v/>
      </c>
      <c r="B756" t="str">
        <f>IF(A756="","",IFERROR(VALUE(RIGHT(TRIM(Input!D756&amp;""),1)),0))</f>
        <v/>
      </c>
      <c r="C756" t="str">
        <f t="shared" si="11"/>
        <v/>
      </c>
      <c r="D756" t="str">
        <f>IF(A756="","",IFERROR(VALUE(SUBSTITUTE(TRIM(Input!E756&amp;""),"%","")),0)/IF(AND(IFERROR(VALUE(SUBSTITUTE(TRIM(Input!E756&amp;""),"%","")),0)&gt;0,IFERROR(VALUE(SUBSTITUTE(TRIM(Input!E756&amp;""),"%","")),0)&lt;1),1,100))</f>
        <v/>
      </c>
      <c r="E756" t="str">
        <f>IF(A756="","",IFERROR(VALUE(SUBSTITUTE(TRIM(Input!F756&amp;""),"%","")),0)/IF(AND(IFERROR(VALUE(SUBSTITUTE(TRIM(Input!F756&amp;""),"%","")),0)&gt;0,IFERROR(VALUE(SUBSTITUTE(TRIM(Input!F756&amp;""),"%","")),0)&lt;1),1,100))</f>
        <v/>
      </c>
      <c r="F756" t="str">
        <f>IF(A756="","",IFERROR(VALUE(SUBSTITUTE(TRIM(Input!G756&amp;""),"%","")),0)/IF(AND(IFERROR(VALUE(SUBSTITUTE(TRIM(Input!G756&amp;""),"%","")),0)&gt;0,IFERROR(VALUE(SUBSTITUTE(TRIM(Input!G756&amp;""),"%","")),0)&lt;1),1,100))</f>
        <v/>
      </c>
      <c r="G756" t="str">
        <f>IF(A756="","",IFERROR(VALUE(SUBSTITUTE(TRIM(Input!H756&amp;""),"%","")),0)/IF(AND(IFERROR(VALUE(SUBSTITUTE(TRIM(Input!H756&amp;""),"%","")),0)&gt;0,IFERROR(VALUE(SUBSTITUTE(TRIM(Input!H756&amp;""),"%","")),0)&lt;1),1,100))</f>
        <v/>
      </c>
      <c r="H756" t="str">
        <f>IF(A756="","",IFERROR(VALUE(SUBSTITUTE(TRIM(Input!I756&amp;""),"%","")),0)/IF(AND(IFERROR(VALUE(SUBSTITUTE(TRIM(Input!I756&amp;""),"%","")),0)&gt;0,IFERROR(VALUE(SUBSTITUTE(TRIM(Input!I756&amp;""),"%","")),0)&lt;1),1,100))</f>
        <v/>
      </c>
    </row>
    <row r="757" spans="1:8">
      <c r="A757" t="str">
        <f>IF(TRIM(Input!B757&amp;"")="","",UPPER(TRIM(Input!B757&amp;"")))</f>
        <v/>
      </c>
      <c r="B757" t="str">
        <f>IF(A757="","",IFERROR(VALUE(RIGHT(TRIM(Input!D757&amp;""),1)),0))</f>
        <v/>
      </c>
      <c r="C757" t="str">
        <f t="shared" si="11"/>
        <v/>
      </c>
      <c r="D757" t="str">
        <f>IF(A757="","",IFERROR(VALUE(SUBSTITUTE(TRIM(Input!E757&amp;""),"%","")),0)/IF(AND(IFERROR(VALUE(SUBSTITUTE(TRIM(Input!E757&amp;""),"%","")),0)&gt;0,IFERROR(VALUE(SUBSTITUTE(TRIM(Input!E757&amp;""),"%","")),0)&lt;1),1,100))</f>
        <v/>
      </c>
      <c r="E757" t="str">
        <f>IF(A757="","",IFERROR(VALUE(SUBSTITUTE(TRIM(Input!F757&amp;""),"%","")),0)/IF(AND(IFERROR(VALUE(SUBSTITUTE(TRIM(Input!F757&amp;""),"%","")),0)&gt;0,IFERROR(VALUE(SUBSTITUTE(TRIM(Input!F757&amp;""),"%","")),0)&lt;1),1,100))</f>
        <v/>
      </c>
      <c r="F757" t="str">
        <f>IF(A757="","",IFERROR(VALUE(SUBSTITUTE(TRIM(Input!G757&amp;""),"%","")),0)/IF(AND(IFERROR(VALUE(SUBSTITUTE(TRIM(Input!G757&amp;""),"%","")),0)&gt;0,IFERROR(VALUE(SUBSTITUTE(TRIM(Input!G757&amp;""),"%","")),0)&lt;1),1,100))</f>
        <v/>
      </c>
      <c r="G757" t="str">
        <f>IF(A757="","",IFERROR(VALUE(SUBSTITUTE(TRIM(Input!H757&amp;""),"%","")),0)/IF(AND(IFERROR(VALUE(SUBSTITUTE(TRIM(Input!H757&amp;""),"%","")),0)&gt;0,IFERROR(VALUE(SUBSTITUTE(TRIM(Input!H757&amp;""),"%","")),0)&lt;1),1,100))</f>
        <v/>
      </c>
      <c r="H757" t="str">
        <f>IF(A757="","",IFERROR(VALUE(SUBSTITUTE(TRIM(Input!I757&amp;""),"%","")),0)/IF(AND(IFERROR(VALUE(SUBSTITUTE(TRIM(Input!I757&amp;""),"%","")),0)&gt;0,IFERROR(VALUE(SUBSTITUTE(TRIM(Input!I757&amp;""),"%","")),0)&lt;1),1,100))</f>
        <v/>
      </c>
    </row>
    <row r="758" spans="1:8">
      <c r="A758" t="str">
        <f>IF(TRIM(Input!B758&amp;"")="","",UPPER(TRIM(Input!B758&amp;"")))</f>
        <v/>
      </c>
      <c r="B758" t="str">
        <f>IF(A758="","",IFERROR(VALUE(RIGHT(TRIM(Input!D758&amp;""),1)),0))</f>
        <v/>
      </c>
      <c r="C758" t="str">
        <f t="shared" si="11"/>
        <v/>
      </c>
      <c r="D758" t="str">
        <f>IF(A758="","",IFERROR(VALUE(SUBSTITUTE(TRIM(Input!E758&amp;""),"%","")),0)/IF(AND(IFERROR(VALUE(SUBSTITUTE(TRIM(Input!E758&amp;""),"%","")),0)&gt;0,IFERROR(VALUE(SUBSTITUTE(TRIM(Input!E758&amp;""),"%","")),0)&lt;1),1,100))</f>
        <v/>
      </c>
      <c r="E758" t="str">
        <f>IF(A758="","",IFERROR(VALUE(SUBSTITUTE(TRIM(Input!F758&amp;""),"%","")),0)/IF(AND(IFERROR(VALUE(SUBSTITUTE(TRIM(Input!F758&amp;""),"%","")),0)&gt;0,IFERROR(VALUE(SUBSTITUTE(TRIM(Input!F758&amp;""),"%","")),0)&lt;1),1,100))</f>
        <v/>
      </c>
      <c r="F758" t="str">
        <f>IF(A758="","",IFERROR(VALUE(SUBSTITUTE(TRIM(Input!G758&amp;""),"%","")),0)/IF(AND(IFERROR(VALUE(SUBSTITUTE(TRIM(Input!G758&amp;""),"%","")),0)&gt;0,IFERROR(VALUE(SUBSTITUTE(TRIM(Input!G758&amp;""),"%","")),0)&lt;1),1,100))</f>
        <v/>
      </c>
      <c r="G758" t="str">
        <f>IF(A758="","",IFERROR(VALUE(SUBSTITUTE(TRIM(Input!H758&amp;""),"%","")),0)/IF(AND(IFERROR(VALUE(SUBSTITUTE(TRIM(Input!H758&amp;""),"%","")),0)&gt;0,IFERROR(VALUE(SUBSTITUTE(TRIM(Input!H758&amp;""),"%","")),0)&lt;1),1,100))</f>
        <v/>
      </c>
      <c r="H758" t="str">
        <f>IF(A758="","",IFERROR(VALUE(SUBSTITUTE(TRIM(Input!I758&amp;""),"%","")),0)/IF(AND(IFERROR(VALUE(SUBSTITUTE(TRIM(Input!I758&amp;""),"%","")),0)&gt;0,IFERROR(VALUE(SUBSTITUTE(TRIM(Input!I758&amp;""),"%","")),0)&lt;1),1,100))</f>
        <v/>
      </c>
    </row>
    <row r="759" spans="1:8">
      <c r="A759" t="str">
        <f>IF(TRIM(Input!B759&amp;"")="","",UPPER(TRIM(Input!B759&amp;"")))</f>
        <v/>
      </c>
      <c r="B759" t="str">
        <f>IF(A759="","",IFERROR(VALUE(RIGHT(TRIM(Input!D759&amp;""),1)),0))</f>
        <v/>
      </c>
      <c r="C759" t="str">
        <f t="shared" si="11"/>
        <v/>
      </c>
      <c r="D759" t="str">
        <f>IF(A759="","",IFERROR(VALUE(SUBSTITUTE(TRIM(Input!E759&amp;""),"%","")),0)/IF(AND(IFERROR(VALUE(SUBSTITUTE(TRIM(Input!E759&amp;""),"%","")),0)&gt;0,IFERROR(VALUE(SUBSTITUTE(TRIM(Input!E759&amp;""),"%","")),0)&lt;1),1,100))</f>
        <v/>
      </c>
      <c r="E759" t="str">
        <f>IF(A759="","",IFERROR(VALUE(SUBSTITUTE(TRIM(Input!F759&amp;""),"%","")),0)/IF(AND(IFERROR(VALUE(SUBSTITUTE(TRIM(Input!F759&amp;""),"%","")),0)&gt;0,IFERROR(VALUE(SUBSTITUTE(TRIM(Input!F759&amp;""),"%","")),0)&lt;1),1,100))</f>
        <v/>
      </c>
      <c r="F759" t="str">
        <f>IF(A759="","",IFERROR(VALUE(SUBSTITUTE(TRIM(Input!G759&amp;""),"%","")),0)/IF(AND(IFERROR(VALUE(SUBSTITUTE(TRIM(Input!G759&amp;""),"%","")),0)&gt;0,IFERROR(VALUE(SUBSTITUTE(TRIM(Input!G759&amp;""),"%","")),0)&lt;1),1,100))</f>
        <v/>
      </c>
      <c r="G759" t="str">
        <f>IF(A759="","",IFERROR(VALUE(SUBSTITUTE(TRIM(Input!H759&amp;""),"%","")),0)/IF(AND(IFERROR(VALUE(SUBSTITUTE(TRIM(Input!H759&amp;""),"%","")),0)&gt;0,IFERROR(VALUE(SUBSTITUTE(TRIM(Input!H759&amp;""),"%","")),0)&lt;1),1,100))</f>
        <v/>
      </c>
      <c r="H759" t="str">
        <f>IF(A759="","",IFERROR(VALUE(SUBSTITUTE(TRIM(Input!I759&amp;""),"%","")),0)/IF(AND(IFERROR(VALUE(SUBSTITUTE(TRIM(Input!I759&amp;""),"%","")),0)&gt;0,IFERROR(VALUE(SUBSTITUTE(TRIM(Input!I759&amp;""),"%","")),0)&lt;1),1,100))</f>
        <v/>
      </c>
    </row>
    <row r="760" spans="1:8">
      <c r="A760" t="str">
        <f>IF(TRIM(Input!B760&amp;"")="","",UPPER(TRIM(Input!B760&amp;"")))</f>
        <v/>
      </c>
      <c r="B760" t="str">
        <f>IF(A760="","",IFERROR(VALUE(RIGHT(TRIM(Input!D760&amp;""),1)),0))</f>
        <v/>
      </c>
      <c r="C760" t="str">
        <f t="shared" si="11"/>
        <v/>
      </c>
      <c r="D760" t="str">
        <f>IF(A760="","",IFERROR(VALUE(SUBSTITUTE(TRIM(Input!E760&amp;""),"%","")),0)/IF(AND(IFERROR(VALUE(SUBSTITUTE(TRIM(Input!E760&amp;""),"%","")),0)&gt;0,IFERROR(VALUE(SUBSTITUTE(TRIM(Input!E760&amp;""),"%","")),0)&lt;1),1,100))</f>
        <v/>
      </c>
      <c r="E760" t="str">
        <f>IF(A760="","",IFERROR(VALUE(SUBSTITUTE(TRIM(Input!F760&amp;""),"%","")),0)/IF(AND(IFERROR(VALUE(SUBSTITUTE(TRIM(Input!F760&amp;""),"%","")),0)&gt;0,IFERROR(VALUE(SUBSTITUTE(TRIM(Input!F760&amp;""),"%","")),0)&lt;1),1,100))</f>
        <v/>
      </c>
      <c r="F760" t="str">
        <f>IF(A760="","",IFERROR(VALUE(SUBSTITUTE(TRIM(Input!G760&amp;""),"%","")),0)/IF(AND(IFERROR(VALUE(SUBSTITUTE(TRIM(Input!G760&amp;""),"%","")),0)&gt;0,IFERROR(VALUE(SUBSTITUTE(TRIM(Input!G760&amp;""),"%","")),0)&lt;1),1,100))</f>
        <v/>
      </c>
      <c r="G760" t="str">
        <f>IF(A760="","",IFERROR(VALUE(SUBSTITUTE(TRIM(Input!H760&amp;""),"%","")),0)/IF(AND(IFERROR(VALUE(SUBSTITUTE(TRIM(Input!H760&amp;""),"%","")),0)&gt;0,IFERROR(VALUE(SUBSTITUTE(TRIM(Input!H760&amp;""),"%","")),0)&lt;1),1,100))</f>
        <v/>
      </c>
      <c r="H760" t="str">
        <f>IF(A760="","",IFERROR(VALUE(SUBSTITUTE(TRIM(Input!I760&amp;""),"%","")),0)/IF(AND(IFERROR(VALUE(SUBSTITUTE(TRIM(Input!I760&amp;""),"%","")),0)&gt;0,IFERROR(VALUE(SUBSTITUTE(TRIM(Input!I760&amp;""),"%","")),0)&lt;1),1,100))</f>
        <v/>
      </c>
    </row>
    <row r="761" spans="1:8">
      <c r="A761" t="str">
        <f>IF(TRIM(Input!B761&amp;"")="","",UPPER(TRIM(Input!B761&amp;"")))</f>
        <v/>
      </c>
      <c r="B761" t="str">
        <f>IF(A761="","",IFERROR(VALUE(RIGHT(TRIM(Input!D761&amp;""),1)),0))</f>
        <v/>
      </c>
      <c r="C761" t="str">
        <f t="shared" si="11"/>
        <v/>
      </c>
      <c r="D761" t="str">
        <f>IF(A761="","",IFERROR(VALUE(SUBSTITUTE(TRIM(Input!E761&amp;""),"%","")),0)/IF(AND(IFERROR(VALUE(SUBSTITUTE(TRIM(Input!E761&amp;""),"%","")),0)&gt;0,IFERROR(VALUE(SUBSTITUTE(TRIM(Input!E761&amp;""),"%","")),0)&lt;1),1,100))</f>
        <v/>
      </c>
      <c r="E761" t="str">
        <f>IF(A761="","",IFERROR(VALUE(SUBSTITUTE(TRIM(Input!F761&amp;""),"%","")),0)/IF(AND(IFERROR(VALUE(SUBSTITUTE(TRIM(Input!F761&amp;""),"%","")),0)&gt;0,IFERROR(VALUE(SUBSTITUTE(TRIM(Input!F761&amp;""),"%","")),0)&lt;1),1,100))</f>
        <v/>
      </c>
      <c r="F761" t="str">
        <f>IF(A761="","",IFERROR(VALUE(SUBSTITUTE(TRIM(Input!G761&amp;""),"%","")),0)/IF(AND(IFERROR(VALUE(SUBSTITUTE(TRIM(Input!G761&amp;""),"%","")),0)&gt;0,IFERROR(VALUE(SUBSTITUTE(TRIM(Input!G761&amp;""),"%","")),0)&lt;1),1,100))</f>
        <v/>
      </c>
      <c r="G761" t="str">
        <f>IF(A761="","",IFERROR(VALUE(SUBSTITUTE(TRIM(Input!H761&amp;""),"%","")),0)/IF(AND(IFERROR(VALUE(SUBSTITUTE(TRIM(Input!H761&amp;""),"%","")),0)&gt;0,IFERROR(VALUE(SUBSTITUTE(TRIM(Input!H761&amp;""),"%","")),0)&lt;1),1,100))</f>
        <v/>
      </c>
      <c r="H761" t="str">
        <f>IF(A761="","",IFERROR(VALUE(SUBSTITUTE(TRIM(Input!I761&amp;""),"%","")),0)/IF(AND(IFERROR(VALUE(SUBSTITUTE(TRIM(Input!I761&amp;""),"%","")),0)&gt;0,IFERROR(VALUE(SUBSTITUTE(TRIM(Input!I761&amp;""),"%","")),0)&lt;1),1,100))</f>
        <v/>
      </c>
    </row>
    <row r="762" spans="1:8">
      <c r="A762" t="str">
        <f>IF(TRIM(Input!B762&amp;"")="","",UPPER(TRIM(Input!B762&amp;"")))</f>
        <v/>
      </c>
      <c r="B762" t="str">
        <f>IF(A762="","",IFERROR(VALUE(RIGHT(TRIM(Input!D762&amp;""),1)),0))</f>
        <v/>
      </c>
      <c r="C762" t="str">
        <f t="shared" si="11"/>
        <v/>
      </c>
      <c r="D762" t="str">
        <f>IF(A762="","",IFERROR(VALUE(SUBSTITUTE(TRIM(Input!E762&amp;""),"%","")),0)/IF(AND(IFERROR(VALUE(SUBSTITUTE(TRIM(Input!E762&amp;""),"%","")),0)&gt;0,IFERROR(VALUE(SUBSTITUTE(TRIM(Input!E762&amp;""),"%","")),0)&lt;1),1,100))</f>
        <v/>
      </c>
      <c r="E762" t="str">
        <f>IF(A762="","",IFERROR(VALUE(SUBSTITUTE(TRIM(Input!F762&amp;""),"%","")),0)/IF(AND(IFERROR(VALUE(SUBSTITUTE(TRIM(Input!F762&amp;""),"%","")),0)&gt;0,IFERROR(VALUE(SUBSTITUTE(TRIM(Input!F762&amp;""),"%","")),0)&lt;1),1,100))</f>
        <v/>
      </c>
      <c r="F762" t="str">
        <f>IF(A762="","",IFERROR(VALUE(SUBSTITUTE(TRIM(Input!G762&amp;""),"%","")),0)/IF(AND(IFERROR(VALUE(SUBSTITUTE(TRIM(Input!G762&amp;""),"%","")),0)&gt;0,IFERROR(VALUE(SUBSTITUTE(TRIM(Input!G762&amp;""),"%","")),0)&lt;1),1,100))</f>
        <v/>
      </c>
      <c r="G762" t="str">
        <f>IF(A762="","",IFERROR(VALUE(SUBSTITUTE(TRIM(Input!H762&amp;""),"%","")),0)/IF(AND(IFERROR(VALUE(SUBSTITUTE(TRIM(Input!H762&amp;""),"%","")),0)&gt;0,IFERROR(VALUE(SUBSTITUTE(TRIM(Input!H762&amp;""),"%","")),0)&lt;1),1,100))</f>
        <v/>
      </c>
      <c r="H762" t="str">
        <f>IF(A762="","",IFERROR(VALUE(SUBSTITUTE(TRIM(Input!I762&amp;""),"%","")),0)/IF(AND(IFERROR(VALUE(SUBSTITUTE(TRIM(Input!I762&amp;""),"%","")),0)&gt;0,IFERROR(VALUE(SUBSTITUTE(TRIM(Input!I762&amp;""),"%","")),0)&lt;1),1,100))</f>
        <v/>
      </c>
    </row>
    <row r="763" spans="1:8">
      <c r="A763" t="str">
        <f>IF(TRIM(Input!B763&amp;"")="","",UPPER(TRIM(Input!B763&amp;"")))</f>
        <v/>
      </c>
      <c r="B763" t="str">
        <f>IF(A763="","",IFERROR(VALUE(RIGHT(TRIM(Input!D763&amp;""),1)),0))</f>
        <v/>
      </c>
      <c r="C763" t="str">
        <f t="shared" si="11"/>
        <v/>
      </c>
      <c r="D763" t="str">
        <f>IF(A763="","",IFERROR(VALUE(SUBSTITUTE(TRIM(Input!E763&amp;""),"%","")),0)/IF(AND(IFERROR(VALUE(SUBSTITUTE(TRIM(Input!E763&amp;""),"%","")),0)&gt;0,IFERROR(VALUE(SUBSTITUTE(TRIM(Input!E763&amp;""),"%","")),0)&lt;1),1,100))</f>
        <v/>
      </c>
      <c r="E763" t="str">
        <f>IF(A763="","",IFERROR(VALUE(SUBSTITUTE(TRIM(Input!F763&amp;""),"%","")),0)/IF(AND(IFERROR(VALUE(SUBSTITUTE(TRIM(Input!F763&amp;""),"%","")),0)&gt;0,IFERROR(VALUE(SUBSTITUTE(TRIM(Input!F763&amp;""),"%","")),0)&lt;1),1,100))</f>
        <v/>
      </c>
      <c r="F763" t="str">
        <f>IF(A763="","",IFERROR(VALUE(SUBSTITUTE(TRIM(Input!G763&amp;""),"%","")),0)/IF(AND(IFERROR(VALUE(SUBSTITUTE(TRIM(Input!G763&amp;""),"%","")),0)&gt;0,IFERROR(VALUE(SUBSTITUTE(TRIM(Input!G763&amp;""),"%","")),0)&lt;1),1,100))</f>
        <v/>
      </c>
      <c r="G763" t="str">
        <f>IF(A763="","",IFERROR(VALUE(SUBSTITUTE(TRIM(Input!H763&amp;""),"%","")),0)/IF(AND(IFERROR(VALUE(SUBSTITUTE(TRIM(Input!H763&amp;""),"%","")),0)&gt;0,IFERROR(VALUE(SUBSTITUTE(TRIM(Input!H763&amp;""),"%","")),0)&lt;1),1,100))</f>
        <v/>
      </c>
      <c r="H763" t="str">
        <f>IF(A763="","",IFERROR(VALUE(SUBSTITUTE(TRIM(Input!I763&amp;""),"%","")),0)/IF(AND(IFERROR(VALUE(SUBSTITUTE(TRIM(Input!I763&amp;""),"%","")),0)&gt;0,IFERROR(VALUE(SUBSTITUTE(TRIM(Input!I763&amp;""),"%","")),0)&lt;1),1,100))</f>
        <v/>
      </c>
    </row>
    <row r="764" spans="1:8">
      <c r="A764" t="str">
        <f>IF(TRIM(Input!B764&amp;"")="","",UPPER(TRIM(Input!B764&amp;"")))</f>
        <v/>
      </c>
      <c r="B764" t="str">
        <f>IF(A764="","",IFERROR(VALUE(RIGHT(TRIM(Input!D764&amp;""),1)),0))</f>
        <v/>
      </c>
      <c r="C764" t="str">
        <f t="shared" si="11"/>
        <v/>
      </c>
      <c r="D764" t="str">
        <f>IF(A764="","",IFERROR(VALUE(SUBSTITUTE(TRIM(Input!E764&amp;""),"%","")),0)/IF(AND(IFERROR(VALUE(SUBSTITUTE(TRIM(Input!E764&amp;""),"%","")),0)&gt;0,IFERROR(VALUE(SUBSTITUTE(TRIM(Input!E764&amp;""),"%","")),0)&lt;1),1,100))</f>
        <v/>
      </c>
      <c r="E764" t="str">
        <f>IF(A764="","",IFERROR(VALUE(SUBSTITUTE(TRIM(Input!F764&amp;""),"%","")),0)/IF(AND(IFERROR(VALUE(SUBSTITUTE(TRIM(Input!F764&amp;""),"%","")),0)&gt;0,IFERROR(VALUE(SUBSTITUTE(TRIM(Input!F764&amp;""),"%","")),0)&lt;1),1,100))</f>
        <v/>
      </c>
      <c r="F764" t="str">
        <f>IF(A764="","",IFERROR(VALUE(SUBSTITUTE(TRIM(Input!G764&amp;""),"%","")),0)/IF(AND(IFERROR(VALUE(SUBSTITUTE(TRIM(Input!G764&amp;""),"%","")),0)&gt;0,IFERROR(VALUE(SUBSTITUTE(TRIM(Input!G764&amp;""),"%","")),0)&lt;1),1,100))</f>
        <v/>
      </c>
      <c r="G764" t="str">
        <f>IF(A764="","",IFERROR(VALUE(SUBSTITUTE(TRIM(Input!H764&amp;""),"%","")),0)/IF(AND(IFERROR(VALUE(SUBSTITUTE(TRIM(Input!H764&amp;""),"%","")),0)&gt;0,IFERROR(VALUE(SUBSTITUTE(TRIM(Input!H764&amp;""),"%","")),0)&lt;1),1,100))</f>
        <v/>
      </c>
      <c r="H764" t="str">
        <f>IF(A764="","",IFERROR(VALUE(SUBSTITUTE(TRIM(Input!I764&amp;""),"%","")),0)/IF(AND(IFERROR(VALUE(SUBSTITUTE(TRIM(Input!I764&amp;""),"%","")),0)&gt;0,IFERROR(VALUE(SUBSTITUTE(TRIM(Input!I764&amp;""),"%","")),0)&lt;1),1,100))</f>
        <v/>
      </c>
    </row>
    <row r="765" spans="1:8">
      <c r="A765" t="str">
        <f>IF(TRIM(Input!B765&amp;"")="","",UPPER(TRIM(Input!B765&amp;"")))</f>
        <v/>
      </c>
      <c r="B765" t="str">
        <f>IF(A765="","",IFERROR(VALUE(RIGHT(TRIM(Input!D765&amp;""),1)),0))</f>
        <v/>
      </c>
      <c r="C765" t="str">
        <f t="shared" si="11"/>
        <v/>
      </c>
      <c r="D765" t="str">
        <f>IF(A765="","",IFERROR(VALUE(SUBSTITUTE(TRIM(Input!E765&amp;""),"%","")),0)/IF(AND(IFERROR(VALUE(SUBSTITUTE(TRIM(Input!E765&amp;""),"%","")),0)&gt;0,IFERROR(VALUE(SUBSTITUTE(TRIM(Input!E765&amp;""),"%","")),0)&lt;1),1,100))</f>
        <v/>
      </c>
      <c r="E765" t="str">
        <f>IF(A765="","",IFERROR(VALUE(SUBSTITUTE(TRIM(Input!F765&amp;""),"%","")),0)/IF(AND(IFERROR(VALUE(SUBSTITUTE(TRIM(Input!F765&amp;""),"%","")),0)&gt;0,IFERROR(VALUE(SUBSTITUTE(TRIM(Input!F765&amp;""),"%","")),0)&lt;1),1,100))</f>
        <v/>
      </c>
      <c r="F765" t="str">
        <f>IF(A765="","",IFERROR(VALUE(SUBSTITUTE(TRIM(Input!G765&amp;""),"%","")),0)/IF(AND(IFERROR(VALUE(SUBSTITUTE(TRIM(Input!G765&amp;""),"%","")),0)&gt;0,IFERROR(VALUE(SUBSTITUTE(TRIM(Input!G765&amp;""),"%","")),0)&lt;1),1,100))</f>
        <v/>
      </c>
      <c r="G765" t="str">
        <f>IF(A765="","",IFERROR(VALUE(SUBSTITUTE(TRIM(Input!H765&amp;""),"%","")),0)/IF(AND(IFERROR(VALUE(SUBSTITUTE(TRIM(Input!H765&amp;""),"%","")),0)&gt;0,IFERROR(VALUE(SUBSTITUTE(TRIM(Input!H765&amp;""),"%","")),0)&lt;1),1,100))</f>
        <v/>
      </c>
      <c r="H765" t="str">
        <f>IF(A765="","",IFERROR(VALUE(SUBSTITUTE(TRIM(Input!I765&amp;""),"%","")),0)/IF(AND(IFERROR(VALUE(SUBSTITUTE(TRIM(Input!I765&amp;""),"%","")),0)&gt;0,IFERROR(VALUE(SUBSTITUTE(TRIM(Input!I765&amp;""),"%","")),0)&lt;1),1,100))</f>
        <v/>
      </c>
    </row>
    <row r="766" spans="1:8">
      <c r="A766" t="str">
        <f>IF(TRIM(Input!B766&amp;"")="","",UPPER(TRIM(Input!B766&amp;"")))</f>
        <v/>
      </c>
      <c r="B766" t="str">
        <f>IF(A766="","",IFERROR(VALUE(RIGHT(TRIM(Input!D766&amp;""),1)),0))</f>
        <v/>
      </c>
      <c r="C766" t="str">
        <f t="shared" si="11"/>
        <v/>
      </c>
      <c r="D766" t="str">
        <f>IF(A766="","",IFERROR(VALUE(SUBSTITUTE(TRIM(Input!E766&amp;""),"%","")),0)/IF(AND(IFERROR(VALUE(SUBSTITUTE(TRIM(Input!E766&amp;""),"%","")),0)&gt;0,IFERROR(VALUE(SUBSTITUTE(TRIM(Input!E766&amp;""),"%","")),0)&lt;1),1,100))</f>
        <v/>
      </c>
      <c r="E766" t="str">
        <f>IF(A766="","",IFERROR(VALUE(SUBSTITUTE(TRIM(Input!F766&amp;""),"%","")),0)/IF(AND(IFERROR(VALUE(SUBSTITUTE(TRIM(Input!F766&amp;""),"%","")),0)&gt;0,IFERROR(VALUE(SUBSTITUTE(TRIM(Input!F766&amp;""),"%","")),0)&lt;1),1,100))</f>
        <v/>
      </c>
      <c r="F766" t="str">
        <f>IF(A766="","",IFERROR(VALUE(SUBSTITUTE(TRIM(Input!G766&amp;""),"%","")),0)/IF(AND(IFERROR(VALUE(SUBSTITUTE(TRIM(Input!G766&amp;""),"%","")),0)&gt;0,IFERROR(VALUE(SUBSTITUTE(TRIM(Input!G766&amp;""),"%","")),0)&lt;1),1,100))</f>
        <v/>
      </c>
      <c r="G766" t="str">
        <f>IF(A766="","",IFERROR(VALUE(SUBSTITUTE(TRIM(Input!H766&amp;""),"%","")),0)/IF(AND(IFERROR(VALUE(SUBSTITUTE(TRIM(Input!H766&amp;""),"%","")),0)&gt;0,IFERROR(VALUE(SUBSTITUTE(TRIM(Input!H766&amp;""),"%","")),0)&lt;1),1,100))</f>
        <v/>
      </c>
      <c r="H766" t="str">
        <f>IF(A766="","",IFERROR(VALUE(SUBSTITUTE(TRIM(Input!I766&amp;""),"%","")),0)/IF(AND(IFERROR(VALUE(SUBSTITUTE(TRIM(Input!I766&amp;""),"%","")),0)&gt;0,IFERROR(VALUE(SUBSTITUTE(TRIM(Input!I766&amp;""),"%","")),0)&lt;1),1,100))</f>
        <v/>
      </c>
    </row>
    <row r="767" spans="1:8">
      <c r="A767" t="str">
        <f>IF(TRIM(Input!B767&amp;"")="","",UPPER(TRIM(Input!B767&amp;"")))</f>
        <v/>
      </c>
      <c r="B767" t="str">
        <f>IF(A767="","",IFERROR(VALUE(RIGHT(TRIM(Input!D767&amp;""),1)),0))</f>
        <v/>
      </c>
      <c r="C767" t="str">
        <f t="shared" si="11"/>
        <v/>
      </c>
      <c r="D767" t="str">
        <f>IF(A767="","",IFERROR(VALUE(SUBSTITUTE(TRIM(Input!E767&amp;""),"%","")),0)/IF(AND(IFERROR(VALUE(SUBSTITUTE(TRIM(Input!E767&amp;""),"%","")),0)&gt;0,IFERROR(VALUE(SUBSTITUTE(TRIM(Input!E767&amp;""),"%","")),0)&lt;1),1,100))</f>
        <v/>
      </c>
      <c r="E767" t="str">
        <f>IF(A767="","",IFERROR(VALUE(SUBSTITUTE(TRIM(Input!F767&amp;""),"%","")),0)/IF(AND(IFERROR(VALUE(SUBSTITUTE(TRIM(Input!F767&amp;""),"%","")),0)&gt;0,IFERROR(VALUE(SUBSTITUTE(TRIM(Input!F767&amp;""),"%","")),0)&lt;1),1,100))</f>
        <v/>
      </c>
      <c r="F767" t="str">
        <f>IF(A767="","",IFERROR(VALUE(SUBSTITUTE(TRIM(Input!G767&amp;""),"%","")),0)/IF(AND(IFERROR(VALUE(SUBSTITUTE(TRIM(Input!G767&amp;""),"%","")),0)&gt;0,IFERROR(VALUE(SUBSTITUTE(TRIM(Input!G767&amp;""),"%","")),0)&lt;1),1,100))</f>
        <v/>
      </c>
      <c r="G767" t="str">
        <f>IF(A767="","",IFERROR(VALUE(SUBSTITUTE(TRIM(Input!H767&amp;""),"%","")),0)/IF(AND(IFERROR(VALUE(SUBSTITUTE(TRIM(Input!H767&amp;""),"%","")),0)&gt;0,IFERROR(VALUE(SUBSTITUTE(TRIM(Input!H767&amp;""),"%","")),0)&lt;1),1,100))</f>
        <v/>
      </c>
      <c r="H767" t="str">
        <f>IF(A767="","",IFERROR(VALUE(SUBSTITUTE(TRIM(Input!I767&amp;""),"%","")),0)/IF(AND(IFERROR(VALUE(SUBSTITUTE(TRIM(Input!I767&amp;""),"%","")),0)&gt;0,IFERROR(VALUE(SUBSTITUTE(TRIM(Input!I767&amp;""),"%","")),0)&lt;1),1,100))</f>
        <v/>
      </c>
    </row>
    <row r="768" spans="1:8">
      <c r="A768" t="str">
        <f>IF(TRIM(Input!B768&amp;"")="","",UPPER(TRIM(Input!B768&amp;"")))</f>
        <v/>
      </c>
      <c r="B768" t="str">
        <f>IF(A768="","",IFERROR(VALUE(RIGHT(TRIM(Input!D768&amp;""),1)),0))</f>
        <v/>
      </c>
      <c r="C768" t="str">
        <f t="shared" si="11"/>
        <v/>
      </c>
      <c r="D768" t="str">
        <f>IF(A768="","",IFERROR(VALUE(SUBSTITUTE(TRIM(Input!E768&amp;""),"%","")),0)/IF(AND(IFERROR(VALUE(SUBSTITUTE(TRIM(Input!E768&amp;""),"%","")),0)&gt;0,IFERROR(VALUE(SUBSTITUTE(TRIM(Input!E768&amp;""),"%","")),0)&lt;1),1,100))</f>
        <v/>
      </c>
      <c r="E768" t="str">
        <f>IF(A768="","",IFERROR(VALUE(SUBSTITUTE(TRIM(Input!F768&amp;""),"%","")),0)/IF(AND(IFERROR(VALUE(SUBSTITUTE(TRIM(Input!F768&amp;""),"%","")),0)&gt;0,IFERROR(VALUE(SUBSTITUTE(TRIM(Input!F768&amp;""),"%","")),0)&lt;1),1,100))</f>
        <v/>
      </c>
      <c r="F768" t="str">
        <f>IF(A768="","",IFERROR(VALUE(SUBSTITUTE(TRIM(Input!G768&amp;""),"%","")),0)/IF(AND(IFERROR(VALUE(SUBSTITUTE(TRIM(Input!G768&amp;""),"%","")),0)&gt;0,IFERROR(VALUE(SUBSTITUTE(TRIM(Input!G768&amp;""),"%","")),0)&lt;1),1,100))</f>
        <v/>
      </c>
      <c r="G768" t="str">
        <f>IF(A768="","",IFERROR(VALUE(SUBSTITUTE(TRIM(Input!H768&amp;""),"%","")),0)/IF(AND(IFERROR(VALUE(SUBSTITUTE(TRIM(Input!H768&amp;""),"%","")),0)&gt;0,IFERROR(VALUE(SUBSTITUTE(TRIM(Input!H768&amp;""),"%","")),0)&lt;1),1,100))</f>
        <v/>
      </c>
      <c r="H768" t="str">
        <f>IF(A768="","",IFERROR(VALUE(SUBSTITUTE(TRIM(Input!I768&amp;""),"%","")),0)/IF(AND(IFERROR(VALUE(SUBSTITUTE(TRIM(Input!I768&amp;""),"%","")),0)&gt;0,IFERROR(VALUE(SUBSTITUTE(TRIM(Input!I768&amp;""),"%","")),0)&lt;1),1,100))</f>
        <v/>
      </c>
    </row>
    <row r="769" spans="1:8">
      <c r="A769" t="str">
        <f>IF(TRIM(Input!B769&amp;"")="","",UPPER(TRIM(Input!B769&amp;"")))</f>
        <v/>
      </c>
      <c r="B769" t="str">
        <f>IF(A769="","",IFERROR(VALUE(RIGHT(TRIM(Input!D769&amp;""),1)),0))</f>
        <v/>
      </c>
      <c r="C769" t="str">
        <f t="shared" si="11"/>
        <v/>
      </c>
      <c r="D769" t="str">
        <f>IF(A769="","",IFERROR(VALUE(SUBSTITUTE(TRIM(Input!E769&amp;""),"%","")),0)/IF(AND(IFERROR(VALUE(SUBSTITUTE(TRIM(Input!E769&amp;""),"%","")),0)&gt;0,IFERROR(VALUE(SUBSTITUTE(TRIM(Input!E769&amp;""),"%","")),0)&lt;1),1,100))</f>
        <v/>
      </c>
      <c r="E769" t="str">
        <f>IF(A769="","",IFERROR(VALUE(SUBSTITUTE(TRIM(Input!F769&amp;""),"%","")),0)/IF(AND(IFERROR(VALUE(SUBSTITUTE(TRIM(Input!F769&amp;""),"%","")),0)&gt;0,IFERROR(VALUE(SUBSTITUTE(TRIM(Input!F769&amp;""),"%","")),0)&lt;1),1,100))</f>
        <v/>
      </c>
      <c r="F769" t="str">
        <f>IF(A769="","",IFERROR(VALUE(SUBSTITUTE(TRIM(Input!G769&amp;""),"%","")),0)/IF(AND(IFERROR(VALUE(SUBSTITUTE(TRIM(Input!G769&amp;""),"%","")),0)&gt;0,IFERROR(VALUE(SUBSTITUTE(TRIM(Input!G769&amp;""),"%","")),0)&lt;1),1,100))</f>
        <v/>
      </c>
      <c r="G769" t="str">
        <f>IF(A769="","",IFERROR(VALUE(SUBSTITUTE(TRIM(Input!H769&amp;""),"%","")),0)/IF(AND(IFERROR(VALUE(SUBSTITUTE(TRIM(Input!H769&amp;""),"%","")),0)&gt;0,IFERROR(VALUE(SUBSTITUTE(TRIM(Input!H769&amp;""),"%","")),0)&lt;1),1,100))</f>
        <v/>
      </c>
      <c r="H769" t="str">
        <f>IF(A769="","",IFERROR(VALUE(SUBSTITUTE(TRIM(Input!I769&amp;""),"%","")),0)/IF(AND(IFERROR(VALUE(SUBSTITUTE(TRIM(Input!I769&amp;""),"%","")),0)&gt;0,IFERROR(VALUE(SUBSTITUTE(TRIM(Input!I769&amp;""),"%","")),0)&lt;1),1,100))</f>
        <v/>
      </c>
    </row>
    <row r="770" spans="1:8">
      <c r="A770" t="str">
        <f>IF(TRIM(Input!B770&amp;"")="","",UPPER(TRIM(Input!B770&amp;"")))</f>
        <v/>
      </c>
      <c r="B770" t="str">
        <f>IF(A770="","",IFERROR(VALUE(RIGHT(TRIM(Input!D770&amp;""),1)),0))</f>
        <v/>
      </c>
      <c r="C770" t="str">
        <f t="shared" ref="C770:C833" si="12">IF(A770="","",A770&amp;"|"&amp;B770)</f>
        <v/>
      </c>
      <c r="D770" t="str">
        <f>IF(A770="","",IFERROR(VALUE(SUBSTITUTE(TRIM(Input!E770&amp;""),"%","")),0)/IF(AND(IFERROR(VALUE(SUBSTITUTE(TRIM(Input!E770&amp;""),"%","")),0)&gt;0,IFERROR(VALUE(SUBSTITUTE(TRIM(Input!E770&amp;""),"%","")),0)&lt;1),1,100))</f>
        <v/>
      </c>
      <c r="E770" t="str">
        <f>IF(A770="","",IFERROR(VALUE(SUBSTITUTE(TRIM(Input!F770&amp;""),"%","")),0)/IF(AND(IFERROR(VALUE(SUBSTITUTE(TRIM(Input!F770&amp;""),"%","")),0)&gt;0,IFERROR(VALUE(SUBSTITUTE(TRIM(Input!F770&amp;""),"%","")),0)&lt;1),1,100))</f>
        <v/>
      </c>
      <c r="F770" t="str">
        <f>IF(A770="","",IFERROR(VALUE(SUBSTITUTE(TRIM(Input!G770&amp;""),"%","")),0)/IF(AND(IFERROR(VALUE(SUBSTITUTE(TRIM(Input!G770&amp;""),"%","")),0)&gt;0,IFERROR(VALUE(SUBSTITUTE(TRIM(Input!G770&amp;""),"%","")),0)&lt;1),1,100))</f>
        <v/>
      </c>
      <c r="G770" t="str">
        <f>IF(A770="","",IFERROR(VALUE(SUBSTITUTE(TRIM(Input!H770&amp;""),"%","")),0)/IF(AND(IFERROR(VALUE(SUBSTITUTE(TRIM(Input!H770&amp;""),"%","")),0)&gt;0,IFERROR(VALUE(SUBSTITUTE(TRIM(Input!H770&amp;""),"%","")),0)&lt;1),1,100))</f>
        <v/>
      </c>
      <c r="H770" t="str">
        <f>IF(A770="","",IFERROR(VALUE(SUBSTITUTE(TRIM(Input!I770&amp;""),"%","")),0)/IF(AND(IFERROR(VALUE(SUBSTITUTE(TRIM(Input!I770&amp;""),"%","")),0)&gt;0,IFERROR(VALUE(SUBSTITUTE(TRIM(Input!I770&amp;""),"%","")),0)&lt;1),1,100))</f>
        <v/>
      </c>
    </row>
    <row r="771" spans="1:8">
      <c r="A771" t="str">
        <f>IF(TRIM(Input!B771&amp;"")="","",UPPER(TRIM(Input!B771&amp;"")))</f>
        <v/>
      </c>
      <c r="B771" t="str">
        <f>IF(A771="","",IFERROR(VALUE(RIGHT(TRIM(Input!D771&amp;""),1)),0))</f>
        <v/>
      </c>
      <c r="C771" t="str">
        <f t="shared" si="12"/>
        <v/>
      </c>
      <c r="D771" t="str">
        <f>IF(A771="","",IFERROR(VALUE(SUBSTITUTE(TRIM(Input!E771&amp;""),"%","")),0)/IF(AND(IFERROR(VALUE(SUBSTITUTE(TRIM(Input!E771&amp;""),"%","")),0)&gt;0,IFERROR(VALUE(SUBSTITUTE(TRIM(Input!E771&amp;""),"%","")),0)&lt;1),1,100))</f>
        <v/>
      </c>
      <c r="E771" t="str">
        <f>IF(A771="","",IFERROR(VALUE(SUBSTITUTE(TRIM(Input!F771&amp;""),"%","")),0)/IF(AND(IFERROR(VALUE(SUBSTITUTE(TRIM(Input!F771&amp;""),"%","")),0)&gt;0,IFERROR(VALUE(SUBSTITUTE(TRIM(Input!F771&amp;""),"%","")),0)&lt;1),1,100))</f>
        <v/>
      </c>
      <c r="F771" t="str">
        <f>IF(A771="","",IFERROR(VALUE(SUBSTITUTE(TRIM(Input!G771&amp;""),"%","")),0)/IF(AND(IFERROR(VALUE(SUBSTITUTE(TRIM(Input!G771&amp;""),"%","")),0)&gt;0,IFERROR(VALUE(SUBSTITUTE(TRIM(Input!G771&amp;""),"%","")),0)&lt;1),1,100))</f>
        <v/>
      </c>
      <c r="G771" t="str">
        <f>IF(A771="","",IFERROR(VALUE(SUBSTITUTE(TRIM(Input!H771&amp;""),"%","")),0)/IF(AND(IFERROR(VALUE(SUBSTITUTE(TRIM(Input!H771&amp;""),"%","")),0)&gt;0,IFERROR(VALUE(SUBSTITUTE(TRIM(Input!H771&amp;""),"%","")),0)&lt;1),1,100))</f>
        <v/>
      </c>
      <c r="H771" t="str">
        <f>IF(A771="","",IFERROR(VALUE(SUBSTITUTE(TRIM(Input!I771&amp;""),"%","")),0)/IF(AND(IFERROR(VALUE(SUBSTITUTE(TRIM(Input!I771&amp;""),"%","")),0)&gt;0,IFERROR(VALUE(SUBSTITUTE(TRIM(Input!I771&amp;""),"%","")),0)&lt;1),1,100))</f>
        <v/>
      </c>
    </row>
    <row r="772" spans="1:8">
      <c r="A772" t="str">
        <f>IF(TRIM(Input!B772&amp;"")="","",UPPER(TRIM(Input!B772&amp;"")))</f>
        <v/>
      </c>
      <c r="B772" t="str">
        <f>IF(A772="","",IFERROR(VALUE(RIGHT(TRIM(Input!D772&amp;""),1)),0))</f>
        <v/>
      </c>
      <c r="C772" t="str">
        <f t="shared" si="12"/>
        <v/>
      </c>
      <c r="D772" t="str">
        <f>IF(A772="","",IFERROR(VALUE(SUBSTITUTE(TRIM(Input!E772&amp;""),"%","")),0)/IF(AND(IFERROR(VALUE(SUBSTITUTE(TRIM(Input!E772&amp;""),"%","")),0)&gt;0,IFERROR(VALUE(SUBSTITUTE(TRIM(Input!E772&amp;""),"%","")),0)&lt;1),1,100))</f>
        <v/>
      </c>
      <c r="E772" t="str">
        <f>IF(A772="","",IFERROR(VALUE(SUBSTITUTE(TRIM(Input!F772&amp;""),"%","")),0)/IF(AND(IFERROR(VALUE(SUBSTITUTE(TRIM(Input!F772&amp;""),"%","")),0)&gt;0,IFERROR(VALUE(SUBSTITUTE(TRIM(Input!F772&amp;""),"%","")),0)&lt;1),1,100))</f>
        <v/>
      </c>
      <c r="F772" t="str">
        <f>IF(A772="","",IFERROR(VALUE(SUBSTITUTE(TRIM(Input!G772&amp;""),"%","")),0)/IF(AND(IFERROR(VALUE(SUBSTITUTE(TRIM(Input!G772&amp;""),"%","")),0)&gt;0,IFERROR(VALUE(SUBSTITUTE(TRIM(Input!G772&amp;""),"%","")),0)&lt;1),1,100))</f>
        <v/>
      </c>
      <c r="G772" t="str">
        <f>IF(A772="","",IFERROR(VALUE(SUBSTITUTE(TRIM(Input!H772&amp;""),"%","")),0)/IF(AND(IFERROR(VALUE(SUBSTITUTE(TRIM(Input!H772&amp;""),"%","")),0)&gt;0,IFERROR(VALUE(SUBSTITUTE(TRIM(Input!H772&amp;""),"%","")),0)&lt;1),1,100))</f>
        <v/>
      </c>
      <c r="H772" t="str">
        <f>IF(A772="","",IFERROR(VALUE(SUBSTITUTE(TRIM(Input!I772&amp;""),"%","")),0)/IF(AND(IFERROR(VALUE(SUBSTITUTE(TRIM(Input!I772&amp;""),"%","")),0)&gt;0,IFERROR(VALUE(SUBSTITUTE(TRIM(Input!I772&amp;""),"%","")),0)&lt;1),1,100))</f>
        <v/>
      </c>
    </row>
    <row r="773" spans="1:8">
      <c r="A773" t="str">
        <f>IF(TRIM(Input!B773&amp;"")="","",UPPER(TRIM(Input!B773&amp;"")))</f>
        <v/>
      </c>
      <c r="B773" t="str">
        <f>IF(A773="","",IFERROR(VALUE(RIGHT(TRIM(Input!D773&amp;""),1)),0))</f>
        <v/>
      </c>
      <c r="C773" t="str">
        <f t="shared" si="12"/>
        <v/>
      </c>
      <c r="D773" t="str">
        <f>IF(A773="","",IFERROR(VALUE(SUBSTITUTE(TRIM(Input!E773&amp;""),"%","")),0)/IF(AND(IFERROR(VALUE(SUBSTITUTE(TRIM(Input!E773&amp;""),"%","")),0)&gt;0,IFERROR(VALUE(SUBSTITUTE(TRIM(Input!E773&amp;""),"%","")),0)&lt;1),1,100))</f>
        <v/>
      </c>
      <c r="E773" t="str">
        <f>IF(A773="","",IFERROR(VALUE(SUBSTITUTE(TRIM(Input!F773&amp;""),"%","")),0)/IF(AND(IFERROR(VALUE(SUBSTITUTE(TRIM(Input!F773&amp;""),"%","")),0)&gt;0,IFERROR(VALUE(SUBSTITUTE(TRIM(Input!F773&amp;""),"%","")),0)&lt;1),1,100))</f>
        <v/>
      </c>
      <c r="F773" t="str">
        <f>IF(A773="","",IFERROR(VALUE(SUBSTITUTE(TRIM(Input!G773&amp;""),"%","")),0)/IF(AND(IFERROR(VALUE(SUBSTITUTE(TRIM(Input!G773&amp;""),"%","")),0)&gt;0,IFERROR(VALUE(SUBSTITUTE(TRIM(Input!G773&amp;""),"%","")),0)&lt;1),1,100))</f>
        <v/>
      </c>
      <c r="G773" t="str">
        <f>IF(A773="","",IFERROR(VALUE(SUBSTITUTE(TRIM(Input!H773&amp;""),"%","")),0)/IF(AND(IFERROR(VALUE(SUBSTITUTE(TRIM(Input!H773&amp;""),"%","")),0)&gt;0,IFERROR(VALUE(SUBSTITUTE(TRIM(Input!H773&amp;""),"%","")),0)&lt;1),1,100))</f>
        <v/>
      </c>
      <c r="H773" t="str">
        <f>IF(A773="","",IFERROR(VALUE(SUBSTITUTE(TRIM(Input!I773&amp;""),"%","")),0)/IF(AND(IFERROR(VALUE(SUBSTITUTE(TRIM(Input!I773&amp;""),"%","")),0)&gt;0,IFERROR(VALUE(SUBSTITUTE(TRIM(Input!I773&amp;""),"%","")),0)&lt;1),1,100))</f>
        <v/>
      </c>
    </row>
    <row r="774" spans="1:8">
      <c r="A774" t="str">
        <f>IF(TRIM(Input!B774&amp;"")="","",UPPER(TRIM(Input!B774&amp;"")))</f>
        <v/>
      </c>
      <c r="B774" t="str">
        <f>IF(A774="","",IFERROR(VALUE(RIGHT(TRIM(Input!D774&amp;""),1)),0))</f>
        <v/>
      </c>
      <c r="C774" t="str">
        <f t="shared" si="12"/>
        <v/>
      </c>
      <c r="D774" t="str">
        <f>IF(A774="","",IFERROR(VALUE(SUBSTITUTE(TRIM(Input!E774&amp;""),"%","")),0)/IF(AND(IFERROR(VALUE(SUBSTITUTE(TRIM(Input!E774&amp;""),"%","")),0)&gt;0,IFERROR(VALUE(SUBSTITUTE(TRIM(Input!E774&amp;""),"%","")),0)&lt;1),1,100))</f>
        <v/>
      </c>
      <c r="E774" t="str">
        <f>IF(A774="","",IFERROR(VALUE(SUBSTITUTE(TRIM(Input!F774&amp;""),"%","")),0)/IF(AND(IFERROR(VALUE(SUBSTITUTE(TRIM(Input!F774&amp;""),"%","")),0)&gt;0,IFERROR(VALUE(SUBSTITUTE(TRIM(Input!F774&amp;""),"%","")),0)&lt;1),1,100))</f>
        <v/>
      </c>
      <c r="F774" t="str">
        <f>IF(A774="","",IFERROR(VALUE(SUBSTITUTE(TRIM(Input!G774&amp;""),"%","")),0)/IF(AND(IFERROR(VALUE(SUBSTITUTE(TRIM(Input!G774&amp;""),"%","")),0)&gt;0,IFERROR(VALUE(SUBSTITUTE(TRIM(Input!G774&amp;""),"%","")),0)&lt;1),1,100))</f>
        <v/>
      </c>
      <c r="G774" t="str">
        <f>IF(A774="","",IFERROR(VALUE(SUBSTITUTE(TRIM(Input!H774&amp;""),"%","")),0)/IF(AND(IFERROR(VALUE(SUBSTITUTE(TRIM(Input!H774&amp;""),"%","")),0)&gt;0,IFERROR(VALUE(SUBSTITUTE(TRIM(Input!H774&amp;""),"%","")),0)&lt;1),1,100))</f>
        <v/>
      </c>
      <c r="H774" t="str">
        <f>IF(A774="","",IFERROR(VALUE(SUBSTITUTE(TRIM(Input!I774&amp;""),"%","")),0)/IF(AND(IFERROR(VALUE(SUBSTITUTE(TRIM(Input!I774&amp;""),"%","")),0)&gt;0,IFERROR(VALUE(SUBSTITUTE(TRIM(Input!I774&amp;""),"%","")),0)&lt;1),1,100))</f>
        <v/>
      </c>
    </row>
    <row r="775" spans="1:8">
      <c r="A775" t="str">
        <f>IF(TRIM(Input!B775&amp;"")="","",UPPER(TRIM(Input!B775&amp;"")))</f>
        <v/>
      </c>
      <c r="B775" t="str">
        <f>IF(A775="","",IFERROR(VALUE(RIGHT(TRIM(Input!D775&amp;""),1)),0))</f>
        <v/>
      </c>
      <c r="C775" t="str">
        <f t="shared" si="12"/>
        <v/>
      </c>
      <c r="D775" t="str">
        <f>IF(A775="","",IFERROR(VALUE(SUBSTITUTE(TRIM(Input!E775&amp;""),"%","")),0)/IF(AND(IFERROR(VALUE(SUBSTITUTE(TRIM(Input!E775&amp;""),"%","")),0)&gt;0,IFERROR(VALUE(SUBSTITUTE(TRIM(Input!E775&amp;""),"%","")),0)&lt;1),1,100))</f>
        <v/>
      </c>
      <c r="E775" t="str">
        <f>IF(A775="","",IFERROR(VALUE(SUBSTITUTE(TRIM(Input!F775&amp;""),"%","")),0)/IF(AND(IFERROR(VALUE(SUBSTITUTE(TRIM(Input!F775&amp;""),"%","")),0)&gt;0,IFERROR(VALUE(SUBSTITUTE(TRIM(Input!F775&amp;""),"%","")),0)&lt;1),1,100))</f>
        <v/>
      </c>
      <c r="F775" t="str">
        <f>IF(A775="","",IFERROR(VALUE(SUBSTITUTE(TRIM(Input!G775&amp;""),"%","")),0)/IF(AND(IFERROR(VALUE(SUBSTITUTE(TRIM(Input!G775&amp;""),"%","")),0)&gt;0,IFERROR(VALUE(SUBSTITUTE(TRIM(Input!G775&amp;""),"%","")),0)&lt;1),1,100))</f>
        <v/>
      </c>
      <c r="G775" t="str">
        <f>IF(A775="","",IFERROR(VALUE(SUBSTITUTE(TRIM(Input!H775&amp;""),"%","")),0)/IF(AND(IFERROR(VALUE(SUBSTITUTE(TRIM(Input!H775&amp;""),"%","")),0)&gt;0,IFERROR(VALUE(SUBSTITUTE(TRIM(Input!H775&amp;""),"%","")),0)&lt;1),1,100))</f>
        <v/>
      </c>
      <c r="H775" t="str">
        <f>IF(A775="","",IFERROR(VALUE(SUBSTITUTE(TRIM(Input!I775&amp;""),"%","")),0)/IF(AND(IFERROR(VALUE(SUBSTITUTE(TRIM(Input!I775&amp;""),"%","")),0)&gt;0,IFERROR(VALUE(SUBSTITUTE(TRIM(Input!I775&amp;""),"%","")),0)&lt;1),1,100))</f>
        <v/>
      </c>
    </row>
    <row r="776" spans="1:8">
      <c r="A776" t="str">
        <f>IF(TRIM(Input!B776&amp;"")="","",UPPER(TRIM(Input!B776&amp;"")))</f>
        <v/>
      </c>
      <c r="B776" t="str">
        <f>IF(A776="","",IFERROR(VALUE(RIGHT(TRIM(Input!D776&amp;""),1)),0))</f>
        <v/>
      </c>
      <c r="C776" t="str">
        <f t="shared" si="12"/>
        <v/>
      </c>
      <c r="D776" t="str">
        <f>IF(A776="","",IFERROR(VALUE(SUBSTITUTE(TRIM(Input!E776&amp;""),"%","")),0)/IF(AND(IFERROR(VALUE(SUBSTITUTE(TRIM(Input!E776&amp;""),"%","")),0)&gt;0,IFERROR(VALUE(SUBSTITUTE(TRIM(Input!E776&amp;""),"%","")),0)&lt;1),1,100))</f>
        <v/>
      </c>
      <c r="E776" t="str">
        <f>IF(A776="","",IFERROR(VALUE(SUBSTITUTE(TRIM(Input!F776&amp;""),"%","")),0)/IF(AND(IFERROR(VALUE(SUBSTITUTE(TRIM(Input!F776&amp;""),"%","")),0)&gt;0,IFERROR(VALUE(SUBSTITUTE(TRIM(Input!F776&amp;""),"%","")),0)&lt;1),1,100))</f>
        <v/>
      </c>
      <c r="F776" t="str">
        <f>IF(A776="","",IFERROR(VALUE(SUBSTITUTE(TRIM(Input!G776&amp;""),"%","")),0)/IF(AND(IFERROR(VALUE(SUBSTITUTE(TRIM(Input!G776&amp;""),"%","")),0)&gt;0,IFERROR(VALUE(SUBSTITUTE(TRIM(Input!G776&amp;""),"%","")),0)&lt;1),1,100))</f>
        <v/>
      </c>
      <c r="G776" t="str">
        <f>IF(A776="","",IFERROR(VALUE(SUBSTITUTE(TRIM(Input!H776&amp;""),"%","")),0)/IF(AND(IFERROR(VALUE(SUBSTITUTE(TRIM(Input!H776&amp;""),"%","")),0)&gt;0,IFERROR(VALUE(SUBSTITUTE(TRIM(Input!H776&amp;""),"%","")),0)&lt;1),1,100))</f>
        <v/>
      </c>
      <c r="H776" t="str">
        <f>IF(A776="","",IFERROR(VALUE(SUBSTITUTE(TRIM(Input!I776&amp;""),"%","")),0)/IF(AND(IFERROR(VALUE(SUBSTITUTE(TRIM(Input!I776&amp;""),"%","")),0)&gt;0,IFERROR(VALUE(SUBSTITUTE(TRIM(Input!I776&amp;""),"%","")),0)&lt;1),1,100))</f>
        <v/>
      </c>
    </row>
    <row r="777" spans="1:8">
      <c r="A777" t="str">
        <f>IF(TRIM(Input!B777&amp;"")="","",UPPER(TRIM(Input!B777&amp;"")))</f>
        <v/>
      </c>
      <c r="B777" t="str">
        <f>IF(A777="","",IFERROR(VALUE(RIGHT(TRIM(Input!D777&amp;""),1)),0))</f>
        <v/>
      </c>
      <c r="C777" t="str">
        <f t="shared" si="12"/>
        <v/>
      </c>
      <c r="D777" t="str">
        <f>IF(A777="","",IFERROR(VALUE(SUBSTITUTE(TRIM(Input!E777&amp;""),"%","")),0)/IF(AND(IFERROR(VALUE(SUBSTITUTE(TRIM(Input!E777&amp;""),"%","")),0)&gt;0,IFERROR(VALUE(SUBSTITUTE(TRIM(Input!E777&amp;""),"%","")),0)&lt;1),1,100))</f>
        <v/>
      </c>
      <c r="E777" t="str">
        <f>IF(A777="","",IFERROR(VALUE(SUBSTITUTE(TRIM(Input!F777&amp;""),"%","")),0)/IF(AND(IFERROR(VALUE(SUBSTITUTE(TRIM(Input!F777&amp;""),"%","")),0)&gt;0,IFERROR(VALUE(SUBSTITUTE(TRIM(Input!F777&amp;""),"%","")),0)&lt;1),1,100))</f>
        <v/>
      </c>
      <c r="F777" t="str">
        <f>IF(A777="","",IFERROR(VALUE(SUBSTITUTE(TRIM(Input!G777&amp;""),"%","")),0)/IF(AND(IFERROR(VALUE(SUBSTITUTE(TRIM(Input!G777&amp;""),"%","")),0)&gt;0,IFERROR(VALUE(SUBSTITUTE(TRIM(Input!G777&amp;""),"%","")),0)&lt;1),1,100))</f>
        <v/>
      </c>
      <c r="G777" t="str">
        <f>IF(A777="","",IFERROR(VALUE(SUBSTITUTE(TRIM(Input!H777&amp;""),"%","")),0)/IF(AND(IFERROR(VALUE(SUBSTITUTE(TRIM(Input!H777&amp;""),"%","")),0)&gt;0,IFERROR(VALUE(SUBSTITUTE(TRIM(Input!H777&amp;""),"%","")),0)&lt;1),1,100))</f>
        <v/>
      </c>
      <c r="H777" t="str">
        <f>IF(A777="","",IFERROR(VALUE(SUBSTITUTE(TRIM(Input!I777&amp;""),"%","")),0)/IF(AND(IFERROR(VALUE(SUBSTITUTE(TRIM(Input!I777&amp;""),"%","")),0)&gt;0,IFERROR(VALUE(SUBSTITUTE(TRIM(Input!I777&amp;""),"%","")),0)&lt;1),1,100))</f>
        <v/>
      </c>
    </row>
    <row r="778" spans="1:8">
      <c r="A778" t="str">
        <f>IF(TRIM(Input!B778&amp;"")="","",UPPER(TRIM(Input!B778&amp;"")))</f>
        <v/>
      </c>
      <c r="B778" t="str">
        <f>IF(A778="","",IFERROR(VALUE(RIGHT(TRIM(Input!D778&amp;""),1)),0))</f>
        <v/>
      </c>
      <c r="C778" t="str">
        <f t="shared" si="12"/>
        <v/>
      </c>
      <c r="D778" t="str">
        <f>IF(A778="","",IFERROR(VALUE(SUBSTITUTE(TRIM(Input!E778&amp;""),"%","")),0)/IF(AND(IFERROR(VALUE(SUBSTITUTE(TRIM(Input!E778&amp;""),"%","")),0)&gt;0,IFERROR(VALUE(SUBSTITUTE(TRIM(Input!E778&amp;""),"%","")),0)&lt;1),1,100))</f>
        <v/>
      </c>
      <c r="E778" t="str">
        <f>IF(A778="","",IFERROR(VALUE(SUBSTITUTE(TRIM(Input!F778&amp;""),"%","")),0)/IF(AND(IFERROR(VALUE(SUBSTITUTE(TRIM(Input!F778&amp;""),"%","")),0)&gt;0,IFERROR(VALUE(SUBSTITUTE(TRIM(Input!F778&amp;""),"%","")),0)&lt;1),1,100))</f>
        <v/>
      </c>
      <c r="F778" t="str">
        <f>IF(A778="","",IFERROR(VALUE(SUBSTITUTE(TRIM(Input!G778&amp;""),"%","")),0)/IF(AND(IFERROR(VALUE(SUBSTITUTE(TRIM(Input!G778&amp;""),"%","")),0)&gt;0,IFERROR(VALUE(SUBSTITUTE(TRIM(Input!G778&amp;""),"%","")),0)&lt;1),1,100))</f>
        <v/>
      </c>
      <c r="G778" t="str">
        <f>IF(A778="","",IFERROR(VALUE(SUBSTITUTE(TRIM(Input!H778&amp;""),"%","")),0)/IF(AND(IFERROR(VALUE(SUBSTITUTE(TRIM(Input!H778&amp;""),"%","")),0)&gt;0,IFERROR(VALUE(SUBSTITUTE(TRIM(Input!H778&amp;""),"%","")),0)&lt;1),1,100))</f>
        <v/>
      </c>
      <c r="H778" t="str">
        <f>IF(A778="","",IFERROR(VALUE(SUBSTITUTE(TRIM(Input!I778&amp;""),"%","")),0)/IF(AND(IFERROR(VALUE(SUBSTITUTE(TRIM(Input!I778&amp;""),"%","")),0)&gt;0,IFERROR(VALUE(SUBSTITUTE(TRIM(Input!I778&amp;""),"%","")),0)&lt;1),1,100))</f>
        <v/>
      </c>
    </row>
    <row r="779" spans="1:8">
      <c r="A779" t="str">
        <f>IF(TRIM(Input!B779&amp;"")="","",UPPER(TRIM(Input!B779&amp;"")))</f>
        <v/>
      </c>
      <c r="B779" t="str">
        <f>IF(A779="","",IFERROR(VALUE(RIGHT(TRIM(Input!D779&amp;""),1)),0))</f>
        <v/>
      </c>
      <c r="C779" t="str">
        <f t="shared" si="12"/>
        <v/>
      </c>
      <c r="D779" t="str">
        <f>IF(A779="","",IFERROR(VALUE(SUBSTITUTE(TRIM(Input!E779&amp;""),"%","")),0)/IF(AND(IFERROR(VALUE(SUBSTITUTE(TRIM(Input!E779&amp;""),"%","")),0)&gt;0,IFERROR(VALUE(SUBSTITUTE(TRIM(Input!E779&amp;""),"%","")),0)&lt;1),1,100))</f>
        <v/>
      </c>
      <c r="E779" t="str">
        <f>IF(A779="","",IFERROR(VALUE(SUBSTITUTE(TRIM(Input!F779&amp;""),"%","")),0)/IF(AND(IFERROR(VALUE(SUBSTITUTE(TRIM(Input!F779&amp;""),"%","")),0)&gt;0,IFERROR(VALUE(SUBSTITUTE(TRIM(Input!F779&amp;""),"%","")),0)&lt;1),1,100))</f>
        <v/>
      </c>
      <c r="F779" t="str">
        <f>IF(A779="","",IFERROR(VALUE(SUBSTITUTE(TRIM(Input!G779&amp;""),"%","")),0)/IF(AND(IFERROR(VALUE(SUBSTITUTE(TRIM(Input!G779&amp;""),"%","")),0)&gt;0,IFERROR(VALUE(SUBSTITUTE(TRIM(Input!G779&amp;""),"%","")),0)&lt;1),1,100))</f>
        <v/>
      </c>
      <c r="G779" t="str">
        <f>IF(A779="","",IFERROR(VALUE(SUBSTITUTE(TRIM(Input!H779&amp;""),"%","")),0)/IF(AND(IFERROR(VALUE(SUBSTITUTE(TRIM(Input!H779&amp;""),"%","")),0)&gt;0,IFERROR(VALUE(SUBSTITUTE(TRIM(Input!H779&amp;""),"%","")),0)&lt;1),1,100))</f>
        <v/>
      </c>
      <c r="H779" t="str">
        <f>IF(A779="","",IFERROR(VALUE(SUBSTITUTE(TRIM(Input!I779&amp;""),"%","")),0)/IF(AND(IFERROR(VALUE(SUBSTITUTE(TRIM(Input!I779&amp;""),"%","")),0)&gt;0,IFERROR(VALUE(SUBSTITUTE(TRIM(Input!I779&amp;""),"%","")),0)&lt;1),1,100))</f>
        <v/>
      </c>
    </row>
    <row r="780" spans="1:8">
      <c r="A780" t="str">
        <f>IF(TRIM(Input!B780&amp;"")="","",UPPER(TRIM(Input!B780&amp;"")))</f>
        <v/>
      </c>
      <c r="B780" t="str">
        <f>IF(A780="","",IFERROR(VALUE(RIGHT(TRIM(Input!D780&amp;""),1)),0))</f>
        <v/>
      </c>
      <c r="C780" t="str">
        <f t="shared" si="12"/>
        <v/>
      </c>
      <c r="D780" t="str">
        <f>IF(A780="","",IFERROR(VALUE(SUBSTITUTE(TRIM(Input!E780&amp;""),"%","")),0)/IF(AND(IFERROR(VALUE(SUBSTITUTE(TRIM(Input!E780&amp;""),"%","")),0)&gt;0,IFERROR(VALUE(SUBSTITUTE(TRIM(Input!E780&amp;""),"%","")),0)&lt;1),1,100))</f>
        <v/>
      </c>
      <c r="E780" t="str">
        <f>IF(A780="","",IFERROR(VALUE(SUBSTITUTE(TRIM(Input!F780&amp;""),"%","")),0)/IF(AND(IFERROR(VALUE(SUBSTITUTE(TRIM(Input!F780&amp;""),"%","")),0)&gt;0,IFERROR(VALUE(SUBSTITUTE(TRIM(Input!F780&amp;""),"%","")),0)&lt;1),1,100))</f>
        <v/>
      </c>
      <c r="F780" t="str">
        <f>IF(A780="","",IFERROR(VALUE(SUBSTITUTE(TRIM(Input!G780&amp;""),"%","")),0)/IF(AND(IFERROR(VALUE(SUBSTITUTE(TRIM(Input!G780&amp;""),"%","")),0)&gt;0,IFERROR(VALUE(SUBSTITUTE(TRIM(Input!G780&amp;""),"%","")),0)&lt;1),1,100))</f>
        <v/>
      </c>
      <c r="G780" t="str">
        <f>IF(A780="","",IFERROR(VALUE(SUBSTITUTE(TRIM(Input!H780&amp;""),"%","")),0)/IF(AND(IFERROR(VALUE(SUBSTITUTE(TRIM(Input!H780&amp;""),"%","")),0)&gt;0,IFERROR(VALUE(SUBSTITUTE(TRIM(Input!H780&amp;""),"%","")),0)&lt;1),1,100))</f>
        <v/>
      </c>
      <c r="H780" t="str">
        <f>IF(A780="","",IFERROR(VALUE(SUBSTITUTE(TRIM(Input!I780&amp;""),"%","")),0)/IF(AND(IFERROR(VALUE(SUBSTITUTE(TRIM(Input!I780&amp;""),"%","")),0)&gt;0,IFERROR(VALUE(SUBSTITUTE(TRIM(Input!I780&amp;""),"%","")),0)&lt;1),1,100))</f>
        <v/>
      </c>
    </row>
    <row r="781" spans="1:8">
      <c r="A781" t="str">
        <f>IF(TRIM(Input!B781&amp;"")="","",UPPER(TRIM(Input!B781&amp;"")))</f>
        <v/>
      </c>
      <c r="B781" t="str">
        <f>IF(A781="","",IFERROR(VALUE(RIGHT(TRIM(Input!D781&amp;""),1)),0))</f>
        <v/>
      </c>
      <c r="C781" t="str">
        <f t="shared" si="12"/>
        <v/>
      </c>
      <c r="D781" t="str">
        <f>IF(A781="","",IFERROR(VALUE(SUBSTITUTE(TRIM(Input!E781&amp;""),"%","")),0)/IF(AND(IFERROR(VALUE(SUBSTITUTE(TRIM(Input!E781&amp;""),"%","")),0)&gt;0,IFERROR(VALUE(SUBSTITUTE(TRIM(Input!E781&amp;""),"%","")),0)&lt;1),1,100))</f>
        <v/>
      </c>
      <c r="E781" t="str">
        <f>IF(A781="","",IFERROR(VALUE(SUBSTITUTE(TRIM(Input!F781&amp;""),"%","")),0)/IF(AND(IFERROR(VALUE(SUBSTITUTE(TRIM(Input!F781&amp;""),"%","")),0)&gt;0,IFERROR(VALUE(SUBSTITUTE(TRIM(Input!F781&amp;""),"%","")),0)&lt;1),1,100))</f>
        <v/>
      </c>
      <c r="F781" t="str">
        <f>IF(A781="","",IFERROR(VALUE(SUBSTITUTE(TRIM(Input!G781&amp;""),"%","")),0)/IF(AND(IFERROR(VALUE(SUBSTITUTE(TRIM(Input!G781&amp;""),"%","")),0)&gt;0,IFERROR(VALUE(SUBSTITUTE(TRIM(Input!G781&amp;""),"%","")),0)&lt;1),1,100))</f>
        <v/>
      </c>
      <c r="G781" t="str">
        <f>IF(A781="","",IFERROR(VALUE(SUBSTITUTE(TRIM(Input!H781&amp;""),"%","")),0)/IF(AND(IFERROR(VALUE(SUBSTITUTE(TRIM(Input!H781&amp;""),"%","")),0)&gt;0,IFERROR(VALUE(SUBSTITUTE(TRIM(Input!H781&amp;""),"%","")),0)&lt;1),1,100))</f>
        <v/>
      </c>
      <c r="H781" t="str">
        <f>IF(A781="","",IFERROR(VALUE(SUBSTITUTE(TRIM(Input!I781&amp;""),"%","")),0)/IF(AND(IFERROR(VALUE(SUBSTITUTE(TRIM(Input!I781&amp;""),"%","")),0)&gt;0,IFERROR(VALUE(SUBSTITUTE(TRIM(Input!I781&amp;""),"%","")),0)&lt;1),1,100))</f>
        <v/>
      </c>
    </row>
    <row r="782" spans="1:8">
      <c r="A782" t="str">
        <f>IF(TRIM(Input!B782&amp;"")="","",UPPER(TRIM(Input!B782&amp;"")))</f>
        <v/>
      </c>
      <c r="B782" t="str">
        <f>IF(A782="","",IFERROR(VALUE(RIGHT(TRIM(Input!D782&amp;""),1)),0))</f>
        <v/>
      </c>
      <c r="C782" t="str">
        <f t="shared" si="12"/>
        <v/>
      </c>
      <c r="D782" t="str">
        <f>IF(A782="","",IFERROR(VALUE(SUBSTITUTE(TRIM(Input!E782&amp;""),"%","")),0)/IF(AND(IFERROR(VALUE(SUBSTITUTE(TRIM(Input!E782&amp;""),"%","")),0)&gt;0,IFERROR(VALUE(SUBSTITUTE(TRIM(Input!E782&amp;""),"%","")),0)&lt;1),1,100))</f>
        <v/>
      </c>
      <c r="E782" t="str">
        <f>IF(A782="","",IFERROR(VALUE(SUBSTITUTE(TRIM(Input!F782&amp;""),"%","")),0)/IF(AND(IFERROR(VALUE(SUBSTITUTE(TRIM(Input!F782&amp;""),"%","")),0)&gt;0,IFERROR(VALUE(SUBSTITUTE(TRIM(Input!F782&amp;""),"%","")),0)&lt;1),1,100))</f>
        <v/>
      </c>
      <c r="F782" t="str">
        <f>IF(A782="","",IFERROR(VALUE(SUBSTITUTE(TRIM(Input!G782&amp;""),"%","")),0)/IF(AND(IFERROR(VALUE(SUBSTITUTE(TRIM(Input!G782&amp;""),"%","")),0)&gt;0,IFERROR(VALUE(SUBSTITUTE(TRIM(Input!G782&amp;""),"%","")),0)&lt;1),1,100))</f>
        <v/>
      </c>
      <c r="G782" t="str">
        <f>IF(A782="","",IFERROR(VALUE(SUBSTITUTE(TRIM(Input!H782&amp;""),"%","")),0)/IF(AND(IFERROR(VALUE(SUBSTITUTE(TRIM(Input!H782&amp;""),"%","")),0)&gt;0,IFERROR(VALUE(SUBSTITUTE(TRIM(Input!H782&amp;""),"%","")),0)&lt;1),1,100))</f>
        <v/>
      </c>
      <c r="H782" t="str">
        <f>IF(A782="","",IFERROR(VALUE(SUBSTITUTE(TRIM(Input!I782&amp;""),"%","")),0)/IF(AND(IFERROR(VALUE(SUBSTITUTE(TRIM(Input!I782&amp;""),"%","")),0)&gt;0,IFERROR(VALUE(SUBSTITUTE(TRIM(Input!I782&amp;""),"%","")),0)&lt;1),1,100))</f>
        <v/>
      </c>
    </row>
    <row r="783" spans="1:8">
      <c r="A783" t="str">
        <f>IF(TRIM(Input!B783&amp;"")="","",UPPER(TRIM(Input!B783&amp;"")))</f>
        <v/>
      </c>
      <c r="B783" t="str">
        <f>IF(A783="","",IFERROR(VALUE(RIGHT(TRIM(Input!D783&amp;""),1)),0))</f>
        <v/>
      </c>
      <c r="C783" t="str">
        <f t="shared" si="12"/>
        <v/>
      </c>
      <c r="D783" t="str">
        <f>IF(A783="","",IFERROR(VALUE(SUBSTITUTE(TRIM(Input!E783&amp;""),"%","")),0)/IF(AND(IFERROR(VALUE(SUBSTITUTE(TRIM(Input!E783&amp;""),"%","")),0)&gt;0,IFERROR(VALUE(SUBSTITUTE(TRIM(Input!E783&amp;""),"%","")),0)&lt;1),1,100))</f>
        <v/>
      </c>
      <c r="E783" t="str">
        <f>IF(A783="","",IFERROR(VALUE(SUBSTITUTE(TRIM(Input!F783&amp;""),"%","")),0)/IF(AND(IFERROR(VALUE(SUBSTITUTE(TRIM(Input!F783&amp;""),"%","")),0)&gt;0,IFERROR(VALUE(SUBSTITUTE(TRIM(Input!F783&amp;""),"%","")),0)&lt;1),1,100))</f>
        <v/>
      </c>
      <c r="F783" t="str">
        <f>IF(A783="","",IFERROR(VALUE(SUBSTITUTE(TRIM(Input!G783&amp;""),"%","")),0)/IF(AND(IFERROR(VALUE(SUBSTITUTE(TRIM(Input!G783&amp;""),"%","")),0)&gt;0,IFERROR(VALUE(SUBSTITUTE(TRIM(Input!G783&amp;""),"%","")),0)&lt;1),1,100))</f>
        <v/>
      </c>
      <c r="G783" t="str">
        <f>IF(A783="","",IFERROR(VALUE(SUBSTITUTE(TRIM(Input!H783&amp;""),"%","")),0)/IF(AND(IFERROR(VALUE(SUBSTITUTE(TRIM(Input!H783&amp;""),"%","")),0)&gt;0,IFERROR(VALUE(SUBSTITUTE(TRIM(Input!H783&amp;""),"%","")),0)&lt;1),1,100))</f>
        <v/>
      </c>
      <c r="H783" t="str">
        <f>IF(A783="","",IFERROR(VALUE(SUBSTITUTE(TRIM(Input!I783&amp;""),"%","")),0)/IF(AND(IFERROR(VALUE(SUBSTITUTE(TRIM(Input!I783&amp;""),"%","")),0)&gt;0,IFERROR(VALUE(SUBSTITUTE(TRIM(Input!I783&amp;""),"%","")),0)&lt;1),1,100))</f>
        <v/>
      </c>
    </row>
    <row r="784" spans="1:8">
      <c r="A784" t="str">
        <f>IF(TRIM(Input!B784&amp;"")="","",UPPER(TRIM(Input!B784&amp;"")))</f>
        <v/>
      </c>
      <c r="B784" t="str">
        <f>IF(A784="","",IFERROR(VALUE(RIGHT(TRIM(Input!D784&amp;""),1)),0))</f>
        <v/>
      </c>
      <c r="C784" t="str">
        <f t="shared" si="12"/>
        <v/>
      </c>
      <c r="D784" t="str">
        <f>IF(A784="","",IFERROR(VALUE(SUBSTITUTE(TRIM(Input!E784&amp;""),"%","")),0)/IF(AND(IFERROR(VALUE(SUBSTITUTE(TRIM(Input!E784&amp;""),"%","")),0)&gt;0,IFERROR(VALUE(SUBSTITUTE(TRIM(Input!E784&amp;""),"%","")),0)&lt;1),1,100))</f>
        <v/>
      </c>
      <c r="E784" t="str">
        <f>IF(A784="","",IFERROR(VALUE(SUBSTITUTE(TRIM(Input!F784&amp;""),"%","")),0)/IF(AND(IFERROR(VALUE(SUBSTITUTE(TRIM(Input!F784&amp;""),"%","")),0)&gt;0,IFERROR(VALUE(SUBSTITUTE(TRIM(Input!F784&amp;""),"%","")),0)&lt;1),1,100))</f>
        <v/>
      </c>
      <c r="F784" t="str">
        <f>IF(A784="","",IFERROR(VALUE(SUBSTITUTE(TRIM(Input!G784&amp;""),"%","")),0)/IF(AND(IFERROR(VALUE(SUBSTITUTE(TRIM(Input!G784&amp;""),"%","")),0)&gt;0,IFERROR(VALUE(SUBSTITUTE(TRIM(Input!G784&amp;""),"%","")),0)&lt;1),1,100))</f>
        <v/>
      </c>
      <c r="G784" t="str">
        <f>IF(A784="","",IFERROR(VALUE(SUBSTITUTE(TRIM(Input!H784&amp;""),"%","")),0)/IF(AND(IFERROR(VALUE(SUBSTITUTE(TRIM(Input!H784&amp;""),"%","")),0)&gt;0,IFERROR(VALUE(SUBSTITUTE(TRIM(Input!H784&amp;""),"%","")),0)&lt;1),1,100))</f>
        <v/>
      </c>
      <c r="H784" t="str">
        <f>IF(A784="","",IFERROR(VALUE(SUBSTITUTE(TRIM(Input!I784&amp;""),"%","")),0)/IF(AND(IFERROR(VALUE(SUBSTITUTE(TRIM(Input!I784&amp;""),"%","")),0)&gt;0,IFERROR(VALUE(SUBSTITUTE(TRIM(Input!I784&amp;""),"%","")),0)&lt;1),1,100))</f>
        <v/>
      </c>
    </row>
    <row r="785" spans="1:8">
      <c r="A785" t="str">
        <f>IF(TRIM(Input!B785&amp;"")="","",UPPER(TRIM(Input!B785&amp;"")))</f>
        <v/>
      </c>
      <c r="B785" t="str">
        <f>IF(A785="","",IFERROR(VALUE(RIGHT(TRIM(Input!D785&amp;""),1)),0))</f>
        <v/>
      </c>
      <c r="C785" t="str">
        <f t="shared" si="12"/>
        <v/>
      </c>
      <c r="D785" t="str">
        <f>IF(A785="","",IFERROR(VALUE(SUBSTITUTE(TRIM(Input!E785&amp;""),"%","")),0)/IF(AND(IFERROR(VALUE(SUBSTITUTE(TRIM(Input!E785&amp;""),"%","")),0)&gt;0,IFERROR(VALUE(SUBSTITUTE(TRIM(Input!E785&amp;""),"%","")),0)&lt;1),1,100))</f>
        <v/>
      </c>
      <c r="E785" t="str">
        <f>IF(A785="","",IFERROR(VALUE(SUBSTITUTE(TRIM(Input!F785&amp;""),"%","")),0)/IF(AND(IFERROR(VALUE(SUBSTITUTE(TRIM(Input!F785&amp;""),"%","")),0)&gt;0,IFERROR(VALUE(SUBSTITUTE(TRIM(Input!F785&amp;""),"%","")),0)&lt;1),1,100))</f>
        <v/>
      </c>
      <c r="F785" t="str">
        <f>IF(A785="","",IFERROR(VALUE(SUBSTITUTE(TRIM(Input!G785&amp;""),"%","")),0)/IF(AND(IFERROR(VALUE(SUBSTITUTE(TRIM(Input!G785&amp;""),"%","")),0)&gt;0,IFERROR(VALUE(SUBSTITUTE(TRIM(Input!G785&amp;""),"%","")),0)&lt;1),1,100))</f>
        <v/>
      </c>
      <c r="G785" t="str">
        <f>IF(A785="","",IFERROR(VALUE(SUBSTITUTE(TRIM(Input!H785&amp;""),"%","")),0)/IF(AND(IFERROR(VALUE(SUBSTITUTE(TRIM(Input!H785&amp;""),"%","")),0)&gt;0,IFERROR(VALUE(SUBSTITUTE(TRIM(Input!H785&amp;""),"%","")),0)&lt;1),1,100))</f>
        <v/>
      </c>
      <c r="H785" t="str">
        <f>IF(A785="","",IFERROR(VALUE(SUBSTITUTE(TRIM(Input!I785&amp;""),"%","")),0)/IF(AND(IFERROR(VALUE(SUBSTITUTE(TRIM(Input!I785&amp;""),"%","")),0)&gt;0,IFERROR(VALUE(SUBSTITUTE(TRIM(Input!I785&amp;""),"%","")),0)&lt;1),1,100))</f>
        <v/>
      </c>
    </row>
    <row r="786" spans="1:8">
      <c r="A786" t="str">
        <f>IF(TRIM(Input!B786&amp;"")="","",UPPER(TRIM(Input!B786&amp;"")))</f>
        <v/>
      </c>
      <c r="B786" t="str">
        <f>IF(A786="","",IFERROR(VALUE(RIGHT(TRIM(Input!D786&amp;""),1)),0))</f>
        <v/>
      </c>
      <c r="C786" t="str">
        <f t="shared" si="12"/>
        <v/>
      </c>
      <c r="D786" t="str">
        <f>IF(A786="","",IFERROR(VALUE(SUBSTITUTE(TRIM(Input!E786&amp;""),"%","")),0)/IF(AND(IFERROR(VALUE(SUBSTITUTE(TRIM(Input!E786&amp;""),"%","")),0)&gt;0,IFERROR(VALUE(SUBSTITUTE(TRIM(Input!E786&amp;""),"%","")),0)&lt;1),1,100))</f>
        <v/>
      </c>
      <c r="E786" t="str">
        <f>IF(A786="","",IFERROR(VALUE(SUBSTITUTE(TRIM(Input!F786&amp;""),"%","")),0)/IF(AND(IFERROR(VALUE(SUBSTITUTE(TRIM(Input!F786&amp;""),"%","")),0)&gt;0,IFERROR(VALUE(SUBSTITUTE(TRIM(Input!F786&amp;""),"%","")),0)&lt;1),1,100))</f>
        <v/>
      </c>
      <c r="F786" t="str">
        <f>IF(A786="","",IFERROR(VALUE(SUBSTITUTE(TRIM(Input!G786&amp;""),"%","")),0)/IF(AND(IFERROR(VALUE(SUBSTITUTE(TRIM(Input!G786&amp;""),"%","")),0)&gt;0,IFERROR(VALUE(SUBSTITUTE(TRIM(Input!G786&amp;""),"%","")),0)&lt;1),1,100))</f>
        <v/>
      </c>
      <c r="G786" t="str">
        <f>IF(A786="","",IFERROR(VALUE(SUBSTITUTE(TRIM(Input!H786&amp;""),"%","")),0)/IF(AND(IFERROR(VALUE(SUBSTITUTE(TRIM(Input!H786&amp;""),"%","")),0)&gt;0,IFERROR(VALUE(SUBSTITUTE(TRIM(Input!H786&amp;""),"%","")),0)&lt;1),1,100))</f>
        <v/>
      </c>
      <c r="H786" t="str">
        <f>IF(A786="","",IFERROR(VALUE(SUBSTITUTE(TRIM(Input!I786&amp;""),"%","")),0)/IF(AND(IFERROR(VALUE(SUBSTITUTE(TRIM(Input!I786&amp;""),"%","")),0)&gt;0,IFERROR(VALUE(SUBSTITUTE(TRIM(Input!I786&amp;""),"%","")),0)&lt;1),1,100))</f>
        <v/>
      </c>
    </row>
    <row r="787" spans="1:8">
      <c r="A787" t="str">
        <f>IF(TRIM(Input!B787&amp;"")="","",UPPER(TRIM(Input!B787&amp;"")))</f>
        <v/>
      </c>
      <c r="B787" t="str">
        <f>IF(A787="","",IFERROR(VALUE(RIGHT(TRIM(Input!D787&amp;""),1)),0))</f>
        <v/>
      </c>
      <c r="C787" t="str">
        <f t="shared" si="12"/>
        <v/>
      </c>
      <c r="D787" t="str">
        <f>IF(A787="","",IFERROR(VALUE(SUBSTITUTE(TRIM(Input!E787&amp;""),"%","")),0)/IF(AND(IFERROR(VALUE(SUBSTITUTE(TRIM(Input!E787&amp;""),"%","")),0)&gt;0,IFERROR(VALUE(SUBSTITUTE(TRIM(Input!E787&amp;""),"%","")),0)&lt;1),1,100))</f>
        <v/>
      </c>
      <c r="E787" t="str">
        <f>IF(A787="","",IFERROR(VALUE(SUBSTITUTE(TRIM(Input!F787&amp;""),"%","")),0)/IF(AND(IFERROR(VALUE(SUBSTITUTE(TRIM(Input!F787&amp;""),"%","")),0)&gt;0,IFERROR(VALUE(SUBSTITUTE(TRIM(Input!F787&amp;""),"%","")),0)&lt;1),1,100))</f>
        <v/>
      </c>
      <c r="F787" t="str">
        <f>IF(A787="","",IFERROR(VALUE(SUBSTITUTE(TRIM(Input!G787&amp;""),"%","")),0)/IF(AND(IFERROR(VALUE(SUBSTITUTE(TRIM(Input!G787&amp;""),"%","")),0)&gt;0,IFERROR(VALUE(SUBSTITUTE(TRIM(Input!G787&amp;""),"%","")),0)&lt;1),1,100))</f>
        <v/>
      </c>
      <c r="G787" t="str">
        <f>IF(A787="","",IFERROR(VALUE(SUBSTITUTE(TRIM(Input!H787&amp;""),"%","")),0)/IF(AND(IFERROR(VALUE(SUBSTITUTE(TRIM(Input!H787&amp;""),"%","")),0)&gt;0,IFERROR(VALUE(SUBSTITUTE(TRIM(Input!H787&amp;""),"%","")),0)&lt;1),1,100))</f>
        <v/>
      </c>
      <c r="H787" t="str">
        <f>IF(A787="","",IFERROR(VALUE(SUBSTITUTE(TRIM(Input!I787&amp;""),"%","")),0)/IF(AND(IFERROR(VALUE(SUBSTITUTE(TRIM(Input!I787&amp;""),"%","")),0)&gt;0,IFERROR(VALUE(SUBSTITUTE(TRIM(Input!I787&amp;""),"%","")),0)&lt;1),1,100))</f>
        <v/>
      </c>
    </row>
    <row r="788" spans="1:8">
      <c r="A788" t="str">
        <f>IF(TRIM(Input!B788&amp;"")="","",UPPER(TRIM(Input!B788&amp;"")))</f>
        <v/>
      </c>
      <c r="B788" t="str">
        <f>IF(A788="","",IFERROR(VALUE(RIGHT(TRIM(Input!D788&amp;""),1)),0))</f>
        <v/>
      </c>
      <c r="C788" t="str">
        <f t="shared" si="12"/>
        <v/>
      </c>
      <c r="D788" t="str">
        <f>IF(A788="","",IFERROR(VALUE(SUBSTITUTE(TRIM(Input!E788&amp;""),"%","")),0)/IF(AND(IFERROR(VALUE(SUBSTITUTE(TRIM(Input!E788&amp;""),"%","")),0)&gt;0,IFERROR(VALUE(SUBSTITUTE(TRIM(Input!E788&amp;""),"%","")),0)&lt;1),1,100))</f>
        <v/>
      </c>
      <c r="E788" t="str">
        <f>IF(A788="","",IFERROR(VALUE(SUBSTITUTE(TRIM(Input!F788&amp;""),"%","")),0)/IF(AND(IFERROR(VALUE(SUBSTITUTE(TRIM(Input!F788&amp;""),"%","")),0)&gt;0,IFERROR(VALUE(SUBSTITUTE(TRIM(Input!F788&amp;""),"%","")),0)&lt;1),1,100))</f>
        <v/>
      </c>
      <c r="F788" t="str">
        <f>IF(A788="","",IFERROR(VALUE(SUBSTITUTE(TRIM(Input!G788&amp;""),"%","")),0)/IF(AND(IFERROR(VALUE(SUBSTITUTE(TRIM(Input!G788&amp;""),"%","")),0)&gt;0,IFERROR(VALUE(SUBSTITUTE(TRIM(Input!G788&amp;""),"%","")),0)&lt;1),1,100))</f>
        <v/>
      </c>
      <c r="G788" t="str">
        <f>IF(A788="","",IFERROR(VALUE(SUBSTITUTE(TRIM(Input!H788&amp;""),"%","")),0)/IF(AND(IFERROR(VALUE(SUBSTITUTE(TRIM(Input!H788&amp;""),"%","")),0)&gt;0,IFERROR(VALUE(SUBSTITUTE(TRIM(Input!H788&amp;""),"%","")),0)&lt;1),1,100))</f>
        <v/>
      </c>
      <c r="H788" t="str">
        <f>IF(A788="","",IFERROR(VALUE(SUBSTITUTE(TRIM(Input!I788&amp;""),"%","")),0)/IF(AND(IFERROR(VALUE(SUBSTITUTE(TRIM(Input!I788&amp;""),"%","")),0)&gt;0,IFERROR(VALUE(SUBSTITUTE(TRIM(Input!I788&amp;""),"%","")),0)&lt;1),1,100))</f>
        <v/>
      </c>
    </row>
    <row r="789" spans="1:8">
      <c r="A789" t="str">
        <f>IF(TRIM(Input!B789&amp;"")="","",UPPER(TRIM(Input!B789&amp;"")))</f>
        <v/>
      </c>
      <c r="B789" t="str">
        <f>IF(A789="","",IFERROR(VALUE(RIGHT(TRIM(Input!D789&amp;""),1)),0))</f>
        <v/>
      </c>
      <c r="C789" t="str">
        <f t="shared" si="12"/>
        <v/>
      </c>
      <c r="D789" t="str">
        <f>IF(A789="","",IFERROR(VALUE(SUBSTITUTE(TRIM(Input!E789&amp;""),"%","")),0)/IF(AND(IFERROR(VALUE(SUBSTITUTE(TRIM(Input!E789&amp;""),"%","")),0)&gt;0,IFERROR(VALUE(SUBSTITUTE(TRIM(Input!E789&amp;""),"%","")),0)&lt;1),1,100))</f>
        <v/>
      </c>
      <c r="E789" t="str">
        <f>IF(A789="","",IFERROR(VALUE(SUBSTITUTE(TRIM(Input!F789&amp;""),"%","")),0)/IF(AND(IFERROR(VALUE(SUBSTITUTE(TRIM(Input!F789&amp;""),"%","")),0)&gt;0,IFERROR(VALUE(SUBSTITUTE(TRIM(Input!F789&amp;""),"%","")),0)&lt;1),1,100))</f>
        <v/>
      </c>
      <c r="F789" t="str">
        <f>IF(A789="","",IFERROR(VALUE(SUBSTITUTE(TRIM(Input!G789&amp;""),"%","")),0)/IF(AND(IFERROR(VALUE(SUBSTITUTE(TRIM(Input!G789&amp;""),"%","")),0)&gt;0,IFERROR(VALUE(SUBSTITUTE(TRIM(Input!G789&amp;""),"%","")),0)&lt;1),1,100))</f>
        <v/>
      </c>
      <c r="G789" t="str">
        <f>IF(A789="","",IFERROR(VALUE(SUBSTITUTE(TRIM(Input!H789&amp;""),"%","")),0)/IF(AND(IFERROR(VALUE(SUBSTITUTE(TRIM(Input!H789&amp;""),"%","")),0)&gt;0,IFERROR(VALUE(SUBSTITUTE(TRIM(Input!H789&amp;""),"%","")),0)&lt;1),1,100))</f>
        <v/>
      </c>
      <c r="H789" t="str">
        <f>IF(A789="","",IFERROR(VALUE(SUBSTITUTE(TRIM(Input!I789&amp;""),"%","")),0)/IF(AND(IFERROR(VALUE(SUBSTITUTE(TRIM(Input!I789&amp;""),"%","")),0)&gt;0,IFERROR(VALUE(SUBSTITUTE(TRIM(Input!I789&amp;""),"%","")),0)&lt;1),1,100))</f>
        <v/>
      </c>
    </row>
    <row r="790" spans="1:8">
      <c r="A790" t="str">
        <f>IF(TRIM(Input!B790&amp;"")="","",UPPER(TRIM(Input!B790&amp;"")))</f>
        <v/>
      </c>
      <c r="B790" t="str">
        <f>IF(A790="","",IFERROR(VALUE(RIGHT(TRIM(Input!D790&amp;""),1)),0))</f>
        <v/>
      </c>
      <c r="C790" t="str">
        <f t="shared" si="12"/>
        <v/>
      </c>
      <c r="D790" t="str">
        <f>IF(A790="","",IFERROR(VALUE(SUBSTITUTE(TRIM(Input!E790&amp;""),"%","")),0)/IF(AND(IFERROR(VALUE(SUBSTITUTE(TRIM(Input!E790&amp;""),"%","")),0)&gt;0,IFERROR(VALUE(SUBSTITUTE(TRIM(Input!E790&amp;""),"%","")),0)&lt;1),1,100))</f>
        <v/>
      </c>
      <c r="E790" t="str">
        <f>IF(A790="","",IFERROR(VALUE(SUBSTITUTE(TRIM(Input!F790&amp;""),"%","")),0)/IF(AND(IFERROR(VALUE(SUBSTITUTE(TRIM(Input!F790&amp;""),"%","")),0)&gt;0,IFERROR(VALUE(SUBSTITUTE(TRIM(Input!F790&amp;""),"%","")),0)&lt;1),1,100))</f>
        <v/>
      </c>
      <c r="F790" t="str">
        <f>IF(A790="","",IFERROR(VALUE(SUBSTITUTE(TRIM(Input!G790&amp;""),"%","")),0)/IF(AND(IFERROR(VALUE(SUBSTITUTE(TRIM(Input!G790&amp;""),"%","")),0)&gt;0,IFERROR(VALUE(SUBSTITUTE(TRIM(Input!G790&amp;""),"%","")),0)&lt;1),1,100))</f>
        <v/>
      </c>
      <c r="G790" t="str">
        <f>IF(A790="","",IFERROR(VALUE(SUBSTITUTE(TRIM(Input!H790&amp;""),"%","")),0)/IF(AND(IFERROR(VALUE(SUBSTITUTE(TRIM(Input!H790&amp;""),"%","")),0)&gt;0,IFERROR(VALUE(SUBSTITUTE(TRIM(Input!H790&amp;""),"%","")),0)&lt;1),1,100))</f>
        <v/>
      </c>
      <c r="H790" t="str">
        <f>IF(A790="","",IFERROR(VALUE(SUBSTITUTE(TRIM(Input!I790&amp;""),"%","")),0)/IF(AND(IFERROR(VALUE(SUBSTITUTE(TRIM(Input!I790&amp;""),"%","")),0)&gt;0,IFERROR(VALUE(SUBSTITUTE(TRIM(Input!I790&amp;""),"%","")),0)&lt;1),1,100))</f>
        <v/>
      </c>
    </row>
    <row r="791" spans="1:8">
      <c r="A791" t="str">
        <f>IF(TRIM(Input!B791&amp;"")="","",UPPER(TRIM(Input!B791&amp;"")))</f>
        <v/>
      </c>
      <c r="B791" t="str">
        <f>IF(A791="","",IFERROR(VALUE(RIGHT(TRIM(Input!D791&amp;""),1)),0))</f>
        <v/>
      </c>
      <c r="C791" t="str">
        <f t="shared" si="12"/>
        <v/>
      </c>
      <c r="D791" t="str">
        <f>IF(A791="","",IFERROR(VALUE(SUBSTITUTE(TRIM(Input!E791&amp;""),"%","")),0)/IF(AND(IFERROR(VALUE(SUBSTITUTE(TRIM(Input!E791&amp;""),"%","")),0)&gt;0,IFERROR(VALUE(SUBSTITUTE(TRIM(Input!E791&amp;""),"%","")),0)&lt;1),1,100))</f>
        <v/>
      </c>
      <c r="E791" t="str">
        <f>IF(A791="","",IFERROR(VALUE(SUBSTITUTE(TRIM(Input!F791&amp;""),"%","")),0)/IF(AND(IFERROR(VALUE(SUBSTITUTE(TRIM(Input!F791&amp;""),"%","")),0)&gt;0,IFERROR(VALUE(SUBSTITUTE(TRIM(Input!F791&amp;""),"%","")),0)&lt;1),1,100))</f>
        <v/>
      </c>
      <c r="F791" t="str">
        <f>IF(A791="","",IFERROR(VALUE(SUBSTITUTE(TRIM(Input!G791&amp;""),"%","")),0)/IF(AND(IFERROR(VALUE(SUBSTITUTE(TRIM(Input!G791&amp;""),"%","")),0)&gt;0,IFERROR(VALUE(SUBSTITUTE(TRIM(Input!G791&amp;""),"%","")),0)&lt;1),1,100))</f>
        <v/>
      </c>
      <c r="G791" t="str">
        <f>IF(A791="","",IFERROR(VALUE(SUBSTITUTE(TRIM(Input!H791&amp;""),"%","")),0)/IF(AND(IFERROR(VALUE(SUBSTITUTE(TRIM(Input!H791&amp;""),"%","")),0)&gt;0,IFERROR(VALUE(SUBSTITUTE(TRIM(Input!H791&amp;""),"%","")),0)&lt;1),1,100))</f>
        <v/>
      </c>
      <c r="H791" t="str">
        <f>IF(A791="","",IFERROR(VALUE(SUBSTITUTE(TRIM(Input!I791&amp;""),"%","")),0)/IF(AND(IFERROR(VALUE(SUBSTITUTE(TRIM(Input!I791&amp;""),"%","")),0)&gt;0,IFERROR(VALUE(SUBSTITUTE(TRIM(Input!I791&amp;""),"%","")),0)&lt;1),1,100))</f>
        <v/>
      </c>
    </row>
    <row r="792" spans="1:8">
      <c r="A792" t="str">
        <f>IF(TRIM(Input!B792&amp;"")="","",UPPER(TRIM(Input!B792&amp;"")))</f>
        <v/>
      </c>
      <c r="B792" t="str">
        <f>IF(A792="","",IFERROR(VALUE(RIGHT(TRIM(Input!D792&amp;""),1)),0))</f>
        <v/>
      </c>
      <c r="C792" t="str">
        <f t="shared" si="12"/>
        <v/>
      </c>
      <c r="D792" t="str">
        <f>IF(A792="","",IFERROR(VALUE(SUBSTITUTE(TRIM(Input!E792&amp;""),"%","")),0)/IF(AND(IFERROR(VALUE(SUBSTITUTE(TRIM(Input!E792&amp;""),"%","")),0)&gt;0,IFERROR(VALUE(SUBSTITUTE(TRIM(Input!E792&amp;""),"%","")),0)&lt;1),1,100))</f>
        <v/>
      </c>
      <c r="E792" t="str">
        <f>IF(A792="","",IFERROR(VALUE(SUBSTITUTE(TRIM(Input!F792&amp;""),"%","")),0)/IF(AND(IFERROR(VALUE(SUBSTITUTE(TRIM(Input!F792&amp;""),"%","")),0)&gt;0,IFERROR(VALUE(SUBSTITUTE(TRIM(Input!F792&amp;""),"%","")),0)&lt;1),1,100))</f>
        <v/>
      </c>
      <c r="F792" t="str">
        <f>IF(A792="","",IFERROR(VALUE(SUBSTITUTE(TRIM(Input!G792&amp;""),"%","")),0)/IF(AND(IFERROR(VALUE(SUBSTITUTE(TRIM(Input!G792&amp;""),"%","")),0)&gt;0,IFERROR(VALUE(SUBSTITUTE(TRIM(Input!G792&amp;""),"%","")),0)&lt;1),1,100))</f>
        <v/>
      </c>
      <c r="G792" t="str">
        <f>IF(A792="","",IFERROR(VALUE(SUBSTITUTE(TRIM(Input!H792&amp;""),"%","")),0)/IF(AND(IFERROR(VALUE(SUBSTITUTE(TRIM(Input!H792&amp;""),"%","")),0)&gt;0,IFERROR(VALUE(SUBSTITUTE(TRIM(Input!H792&amp;""),"%","")),0)&lt;1),1,100))</f>
        <v/>
      </c>
      <c r="H792" t="str">
        <f>IF(A792="","",IFERROR(VALUE(SUBSTITUTE(TRIM(Input!I792&amp;""),"%","")),0)/IF(AND(IFERROR(VALUE(SUBSTITUTE(TRIM(Input!I792&amp;""),"%","")),0)&gt;0,IFERROR(VALUE(SUBSTITUTE(TRIM(Input!I792&amp;""),"%","")),0)&lt;1),1,100))</f>
        <v/>
      </c>
    </row>
    <row r="793" spans="1:8">
      <c r="A793" t="str">
        <f>IF(TRIM(Input!B793&amp;"")="","",UPPER(TRIM(Input!B793&amp;"")))</f>
        <v/>
      </c>
      <c r="B793" t="str">
        <f>IF(A793="","",IFERROR(VALUE(RIGHT(TRIM(Input!D793&amp;""),1)),0))</f>
        <v/>
      </c>
      <c r="C793" t="str">
        <f t="shared" si="12"/>
        <v/>
      </c>
      <c r="D793" t="str">
        <f>IF(A793="","",IFERROR(VALUE(SUBSTITUTE(TRIM(Input!E793&amp;""),"%","")),0)/IF(AND(IFERROR(VALUE(SUBSTITUTE(TRIM(Input!E793&amp;""),"%","")),0)&gt;0,IFERROR(VALUE(SUBSTITUTE(TRIM(Input!E793&amp;""),"%","")),0)&lt;1),1,100))</f>
        <v/>
      </c>
      <c r="E793" t="str">
        <f>IF(A793="","",IFERROR(VALUE(SUBSTITUTE(TRIM(Input!F793&amp;""),"%","")),0)/IF(AND(IFERROR(VALUE(SUBSTITUTE(TRIM(Input!F793&amp;""),"%","")),0)&gt;0,IFERROR(VALUE(SUBSTITUTE(TRIM(Input!F793&amp;""),"%","")),0)&lt;1),1,100))</f>
        <v/>
      </c>
      <c r="F793" t="str">
        <f>IF(A793="","",IFERROR(VALUE(SUBSTITUTE(TRIM(Input!G793&amp;""),"%","")),0)/IF(AND(IFERROR(VALUE(SUBSTITUTE(TRIM(Input!G793&amp;""),"%","")),0)&gt;0,IFERROR(VALUE(SUBSTITUTE(TRIM(Input!G793&amp;""),"%","")),0)&lt;1),1,100))</f>
        <v/>
      </c>
      <c r="G793" t="str">
        <f>IF(A793="","",IFERROR(VALUE(SUBSTITUTE(TRIM(Input!H793&amp;""),"%","")),0)/IF(AND(IFERROR(VALUE(SUBSTITUTE(TRIM(Input!H793&amp;""),"%","")),0)&gt;0,IFERROR(VALUE(SUBSTITUTE(TRIM(Input!H793&amp;""),"%","")),0)&lt;1),1,100))</f>
        <v/>
      </c>
      <c r="H793" t="str">
        <f>IF(A793="","",IFERROR(VALUE(SUBSTITUTE(TRIM(Input!I793&amp;""),"%","")),0)/IF(AND(IFERROR(VALUE(SUBSTITUTE(TRIM(Input!I793&amp;""),"%","")),0)&gt;0,IFERROR(VALUE(SUBSTITUTE(TRIM(Input!I793&amp;""),"%","")),0)&lt;1),1,100))</f>
        <v/>
      </c>
    </row>
    <row r="794" spans="1:8">
      <c r="A794" t="str">
        <f>IF(TRIM(Input!B794&amp;"")="","",UPPER(TRIM(Input!B794&amp;"")))</f>
        <v/>
      </c>
      <c r="B794" t="str">
        <f>IF(A794="","",IFERROR(VALUE(RIGHT(TRIM(Input!D794&amp;""),1)),0))</f>
        <v/>
      </c>
      <c r="C794" t="str">
        <f t="shared" si="12"/>
        <v/>
      </c>
      <c r="D794" t="str">
        <f>IF(A794="","",IFERROR(VALUE(SUBSTITUTE(TRIM(Input!E794&amp;""),"%","")),0)/IF(AND(IFERROR(VALUE(SUBSTITUTE(TRIM(Input!E794&amp;""),"%","")),0)&gt;0,IFERROR(VALUE(SUBSTITUTE(TRIM(Input!E794&amp;""),"%","")),0)&lt;1),1,100))</f>
        <v/>
      </c>
      <c r="E794" t="str">
        <f>IF(A794="","",IFERROR(VALUE(SUBSTITUTE(TRIM(Input!F794&amp;""),"%","")),0)/IF(AND(IFERROR(VALUE(SUBSTITUTE(TRIM(Input!F794&amp;""),"%","")),0)&gt;0,IFERROR(VALUE(SUBSTITUTE(TRIM(Input!F794&amp;""),"%","")),0)&lt;1),1,100))</f>
        <v/>
      </c>
      <c r="F794" t="str">
        <f>IF(A794="","",IFERROR(VALUE(SUBSTITUTE(TRIM(Input!G794&amp;""),"%","")),0)/IF(AND(IFERROR(VALUE(SUBSTITUTE(TRIM(Input!G794&amp;""),"%","")),0)&gt;0,IFERROR(VALUE(SUBSTITUTE(TRIM(Input!G794&amp;""),"%","")),0)&lt;1),1,100))</f>
        <v/>
      </c>
      <c r="G794" t="str">
        <f>IF(A794="","",IFERROR(VALUE(SUBSTITUTE(TRIM(Input!H794&amp;""),"%","")),0)/IF(AND(IFERROR(VALUE(SUBSTITUTE(TRIM(Input!H794&amp;""),"%","")),0)&gt;0,IFERROR(VALUE(SUBSTITUTE(TRIM(Input!H794&amp;""),"%","")),0)&lt;1),1,100))</f>
        <v/>
      </c>
      <c r="H794" t="str">
        <f>IF(A794="","",IFERROR(VALUE(SUBSTITUTE(TRIM(Input!I794&amp;""),"%","")),0)/IF(AND(IFERROR(VALUE(SUBSTITUTE(TRIM(Input!I794&amp;""),"%","")),0)&gt;0,IFERROR(VALUE(SUBSTITUTE(TRIM(Input!I794&amp;""),"%","")),0)&lt;1),1,100))</f>
        <v/>
      </c>
    </row>
    <row r="795" spans="1:8">
      <c r="A795" t="str">
        <f>IF(TRIM(Input!B795&amp;"")="","",UPPER(TRIM(Input!B795&amp;"")))</f>
        <v/>
      </c>
      <c r="B795" t="str">
        <f>IF(A795="","",IFERROR(VALUE(RIGHT(TRIM(Input!D795&amp;""),1)),0))</f>
        <v/>
      </c>
      <c r="C795" t="str">
        <f t="shared" si="12"/>
        <v/>
      </c>
      <c r="D795" t="str">
        <f>IF(A795="","",IFERROR(VALUE(SUBSTITUTE(TRIM(Input!E795&amp;""),"%","")),0)/IF(AND(IFERROR(VALUE(SUBSTITUTE(TRIM(Input!E795&amp;""),"%","")),0)&gt;0,IFERROR(VALUE(SUBSTITUTE(TRIM(Input!E795&amp;""),"%","")),0)&lt;1),1,100))</f>
        <v/>
      </c>
      <c r="E795" t="str">
        <f>IF(A795="","",IFERROR(VALUE(SUBSTITUTE(TRIM(Input!F795&amp;""),"%","")),0)/IF(AND(IFERROR(VALUE(SUBSTITUTE(TRIM(Input!F795&amp;""),"%","")),0)&gt;0,IFERROR(VALUE(SUBSTITUTE(TRIM(Input!F795&amp;""),"%","")),0)&lt;1),1,100))</f>
        <v/>
      </c>
      <c r="F795" t="str">
        <f>IF(A795="","",IFERROR(VALUE(SUBSTITUTE(TRIM(Input!G795&amp;""),"%","")),0)/IF(AND(IFERROR(VALUE(SUBSTITUTE(TRIM(Input!G795&amp;""),"%","")),0)&gt;0,IFERROR(VALUE(SUBSTITUTE(TRIM(Input!G795&amp;""),"%","")),0)&lt;1),1,100))</f>
        <v/>
      </c>
      <c r="G795" t="str">
        <f>IF(A795="","",IFERROR(VALUE(SUBSTITUTE(TRIM(Input!H795&amp;""),"%","")),0)/IF(AND(IFERROR(VALUE(SUBSTITUTE(TRIM(Input!H795&amp;""),"%","")),0)&gt;0,IFERROR(VALUE(SUBSTITUTE(TRIM(Input!H795&amp;""),"%","")),0)&lt;1),1,100))</f>
        <v/>
      </c>
      <c r="H795" t="str">
        <f>IF(A795="","",IFERROR(VALUE(SUBSTITUTE(TRIM(Input!I795&amp;""),"%","")),0)/IF(AND(IFERROR(VALUE(SUBSTITUTE(TRIM(Input!I795&amp;""),"%","")),0)&gt;0,IFERROR(VALUE(SUBSTITUTE(TRIM(Input!I795&amp;""),"%","")),0)&lt;1),1,100))</f>
        <v/>
      </c>
    </row>
    <row r="796" spans="1:8">
      <c r="A796" t="str">
        <f>IF(TRIM(Input!B796&amp;"")="","",UPPER(TRIM(Input!B796&amp;"")))</f>
        <v/>
      </c>
      <c r="B796" t="str">
        <f>IF(A796="","",IFERROR(VALUE(RIGHT(TRIM(Input!D796&amp;""),1)),0))</f>
        <v/>
      </c>
      <c r="C796" t="str">
        <f t="shared" si="12"/>
        <v/>
      </c>
      <c r="D796" t="str">
        <f>IF(A796="","",IFERROR(VALUE(SUBSTITUTE(TRIM(Input!E796&amp;""),"%","")),0)/IF(AND(IFERROR(VALUE(SUBSTITUTE(TRIM(Input!E796&amp;""),"%","")),0)&gt;0,IFERROR(VALUE(SUBSTITUTE(TRIM(Input!E796&amp;""),"%","")),0)&lt;1),1,100))</f>
        <v/>
      </c>
      <c r="E796" t="str">
        <f>IF(A796="","",IFERROR(VALUE(SUBSTITUTE(TRIM(Input!F796&amp;""),"%","")),0)/IF(AND(IFERROR(VALUE(SUBSTITUTE(TRIM(Input!F796&amp;""),"%","")),0)&gt;0,IFERROR(VALUE(SUBSTITUTE(TRIM(Input!F796&amp;""),"%","")),0)&lt;1),1,100))</f>
        <v/>
      </c>
      <c r="F796" t="str">
        <f>IF(A796="","",IFERROR(VALUE(SUBSTITUTE(TRIM(Input!G796&amp;""),"%","")),0)/IF(AND(IFERROR(VALUE(SUBSTITUTE(TRIM(Input!G796&amp;""),"%","")),0)&gt;0,IFERROR(VALUE(SUBSTITUTE(TRIM(Input!G796&amp;""),"%","")),0)&lt;1),1,100))</f>
        <v/>
      </c>
      <c r="G796" t="str">
        <f>IF(A796="","",IFERROR(VALUE(SUBSTITUTE(TRIM(Input!H796&amp;""),"%","")),0)/IF(AND(IFERROR(VALUE(SUBSTITUTE(TRIM(Input!H796&amp;""),"%","")),0)&gt;0,IFERROR(VALUE(SUBSTITUTE(TRIM(Input!H796&amp;""),"%","")),0)&lt;1),1,100))</f>
        <v/>
      </c>
      <c r="H796" t="str">
        <f>IF(A796="","",IFERROR(VALUE(SUBSTITUTE(TRIM(Input!I796&amp;""),"%","")),0)/IF(AND(IFERROR(VALUE(SUBSTITUTE(TRIM(Input!I796&amp;""),"%","")),0)&gt;0,IFERROR(VALUE(SUBSTITUTE(TRIM(Input!I796&amp;""),"%","")),0)&lt;1),1,100))</f>
        <v/>
      </c>
    </row>
    <row r="797" spans="1:8">
      <c r="A797" t="str">
        <f>IF(TRIM(Input!B797&amp;"")="","",UPPER(TRIM(Input!B797&amp;"")))</f>
        <v/>
      </c>
      <c r="B797" t="str">
        <f>IF(A797="","",IFERROR(VALUE(RIGHT(TRIM(Input!D797&amp;""),1)),0))</f>
        <v/>
      </c>
      <c r="C797" t="str">
        <f t="shared" si="12"/>
        <v/>
      </c>
      <c r="D797" t="str">
        <f>IF(A797="","",IFERROR(VALUE(SUBSTITUTE(TRIM(Input!E797&amp;""),"%","")),0)/IF(AND(IFERROR(VALUE(SUBSTITUTE(TRIM(Input!E797&amp;""),"%","")),0)&gt;0,IFERROR(VALUE(SUBSTITUTE(TRIM(Input!E797&amp;""),"%","")),0)&lt;1),1,100))</f>
        <v/>
      </c>
      <c r="E797" t="str">
        <f>IF(A797="","",IFERROR(VALUE(SUBSTITUTE(TRIM(Input!F797&amp;""),"%","")),0)/IF(AND(IFERROR(VALUE(SUBSTITUTE(TRIM(Input!F797&amp;""),"%","")),0)&gt;0,IFERROR(VALUE(SUBSTITUTE(TRIM(Input!F797&amp;""),"%","")),0)&lt;1),1,100))</f>
        <v/>
      </c>
      <c r="F797" t="str">
        <f>IF(A797="","",IFERROR(VALUE(SUBSTITUTE(TRIM(Input!G797&amp;""),"%","")),0)/IF(AND(IFERROR(VALUE(SUBSTITUTE(TRIM(Input!G797&amp;""),"%","")),0)&gt;0,IFERROR(VALUE(SUBSTITUTE(TRIM(Input!G797&amp;""),"%","")),0)&lt;1),1,100))</f>
        <v/>
      </c>
      <c r="G797" t="str">
        <f>IF(A797="","",IFERROR(VALUE(SUBSTITUTE(TRIM(Input!H797&amp;""),"%","")),0)/IF(AND(IFERROR(VALUE(SUBSTITUTE(TRIM(Input!H797&amp;""),"%","")),0)&gt;0,IFERROR(VALUE(SUBSTITUTE(TRIM(Input!H797&amp;""),"%","")),0)&lt;1),1,100))</f>
        <v/>
      </c>
      <c r="H797" t="str">
        <f>IF(A797="","",IFERROR(VALUE(SUBSTITUTE(TRIM(Input!I797&amp;""),"%","")),0)/IF(AND(IFERROR(VALUE(SUBSTITUTE(TRIM(Input!I797&amp;""),"%","")),0)&gt;0,IFERROR(VALUE(SUBSTITUTE(TRIM(Input!I797&amp;""),"%","")),0)&lt;1),1,100))</f>
        <v/>
      </c>
    </row>
    <row r="798" spans="1:8">
      <c r="A798" t="str">
        <f>IF(TRIM(Input!B798&amp;"")="","",UPPER(TRIM(Input!B798&amp;"")))</f>
        <v/>
      </c>
      <c r="B798" t="str">
        <f>IF(A798="","",IFERROR(VALUE(RIGHT(TRIM(Input!D798&amp;""),1)),0))</f>
        <v/>
      </c>
      <c r="C798" t="str">
        <f t="shared" si="12"/>
        <v/>
      </c>
      <c r="D798" t="str">
        <f>IF(A798="","",IFERROR(VALUE(SUBSTITUTE(TRIM(Input!E798&amp;""),"%","")),0)/IF(AND(IFERROR(VALUE(SUBSTITUTE(TRIM(Input!E798&amp;""),"%","")),0)&gt;0,IFERROR(VALUE(SUBSTITUTE(TRIM(Input!E798&amp;""),"%","")),0)&lt;1),1,100))</f>
        <v/>
      </c>
      <c r="E798" t="str">
        <f>IF(A798="","",IFERROR(VALUE(SUBSTITUTE(TRIM(Input!F798&amp;""),"%","")),0)/IF(AND(IFERROR(VALUE(SUBSTITUTE(TRIM(Input!F798&amp;""),"%","")),0)&gt;0,IFERROR(VALUE(SUBSTITUTE(TRIM(Input!F798&amp;""),"%","")),0)&lt;1),1,100))</f>
        <v/>
      </c>
      <c r="F798" t="str">
        <f>IF(A798="","",IFERROR(VALUE(SUBSTITUTE(TRIM(Input!G798&amp;""),"%","")),0)/IF(AND(IFERROR(VALUE(SUBSTITUTE(TRIM(Input!G798&amp;""),"%","")),0)&gt;0,IFERROR(VALUE(SUBSTITUTE(TRIM(Input!G798&amp;""),"%","")),0)&lt;1),1,100))</f>
        <v/>
      </c>
      <c r="G798" t="str">
        <f>IF(A798="","",IFERROR(VALUE(SUBSTITUTE(TRIM(Input!H798&amp;""),"%","")),0)/IF(AND(IFERROR(VALUE(SUBSTITUTE(TRIM(Input!H798&amp;""),"%","")),0)&gt;0,IFERROR(VALUE(SUBSTITUTE(TRIM(Input!H798&amp;""),"%","")),0)&lt;1),1,100))</f>
        <v/>
      </c>
      <c r="H798" t="str">
        <f>IF(A798="","",IFERROR(VALUE(SUBSTITUTE(TRIM(Input!I798&amp;""),"%","")),0)/IF(AND(IFERROR(VALUE(SUBSTITUTE(TRIM(Input!I798&amp;""),"%","")),0)&gt;0,IFERROR(VALUE(SUBSTITUTE(TRIM(Input!I798&amp;""),"%","")),0)&lt;1),1,100))</f>
        <v/>
      </c>
    </row>
    <row r="799" spans="1:8">
      <c r="A799" t="str">
        <f>IF(TRIM(Input!B799&amp;"")="","",UPPER(TRIM(Input!B799&amp;"")))</f>
        <v/>
      </c>
      <c r="B799" t="str">
        <f>IF(A799="","",IFERROR(VALUE(RIGHT(TRIM(Input!D799&amp;""),1)),0))</f>
        <v/>
      </c>
      <c r="C799" t="str">
        <f t="shared" si="12"/>
        <v/>
      </c>
      <c r="D799" t="str">
        <f>IF(A799="","",IFERROR(VALUE(SUBSTITUTE(TRIM(Input!E799&amp;""),"%","")),0)/IF(AND(IFERROR(VALUE(SUBSTITUTE(TRIM(Input!E799&amp;""),"%","")),0)&gt;0,IFERROR(VALUE(SUBSTITUTE(TRIM(Input!E799&amp;""),"%","")),0)&lt;1),1,100))</f>
        <v/>
      </c>
      <c r="E799" t="str">
        <f>IF(A799="","",IFERROR(VALUE(SUBSTITUTE(TRIM(Input!F799&amp;""),"%","")),0)/IF(AND(IFERROR(VALUE(SUBSTITUTE(TRIM(Input!F799&amp;""),"%","")),0)&gt;0,IFERROR(VALUE(SUBSTITUTE(TRIM(Input!F799&amp;""),"%","")),0)&lt;1),1,100))</f>
        <v/>
      </c>
      <c r="F799" t="str">
        <f>IF(A799="","",IFERROR(VALUE(SUBSTITUTE(TRIM(Input!G799&amp;""),"%","")),0)/IF(AND(IFERROR(VALUE(SUBSTITUTE(TRIM(Input!G799&amp;""),"%","")),0)&gt;0,IFERROR(VALUE(SUBSTITUTE(TRIM(Input!G799&amp;""),"%","")),0)&lt;1),1,100))</f>
        <v/>
      </c>
      <c r="G799" t="str">
        <f>IF(A799="","",IFERROR(VALUE(SUBSTITUTE(TRIM(Input!H799&amp;""),"%","")),0)/IF(AND(IFERROR(VALUE(SUBSTITUTE(TRIM(Input!H799&amp;""),"%","")),0)&gt;0,IFERROR(VALUE(SUBSTITUTE(TRIM(Input!H799&amp;""),"%","")),0)&lt;1),1,100))</f>
        <v/>
      </c>
      <c r="H799" t="str">
        <f>IF(A799="","",IFERROR(VALUE(SUBSTITUTE(TRIM(Input!I799&amp;""),"%","")),0)/IF(AND(IFERROR(VALUE(SUBSTITUTE(TRIM(Input!I799&amp;""),"%","")),0)&gt;0,IFERROR(VALUE(SUBSTITUTE(TRIM(Input!I799&amp;""),"%","")),0)&lt;1),1,100))</f>
        <v/>
      </c>
    </row>
    <row r="800" spans="1:8">
      <c r="A800" t="str">
        <f>IF(TRIM(Input!B800&amp;"")="","",UPPER(TRIM(Input!B800&amp;"")))</f>
        <v/>
      </c>
      <c r="B800" t="str">
        <f>IF(A800="","",IFERROR(VALUE(RIGHT(TRIM(Input!D800&amp;""),1)),0))</f>
        <v/>
      </c>
      <c r="C800" t="str">
        <f t="shared" si="12"/>
        <v/>
      </c>
      <c r="D800" t="str">
        <f>IF(A800="","",IFERROR(VALUE(SUBSTITUTE(TRIM(Input!E800&amp;""),"%","")),0)/IF(AND(IFERROR(VALUE(SUBSTITUTE(TRIM(Input!E800&amp;""),"%","")),0)&gt;0,IFERROR(VALUE(SUBSTITUTE(TRIM(Input!E800&amp;""),"%","")),0)&lt;1),1,100))</f>
        <v/>
      </c>
      <c r="E800" t="str">
        <f>IF(A800="","",IFERROR(VALUE(SUBSTITUTE(TRIM(Input!F800&amp;""),"%","")),0)/IF(AND(IFERROR(VALUE(SUBSTITUTE(TRIM(Input!F800&amp;""),"%","")),0)&gt;0,IFERROR(VALUE(SUBSTITUTE(TRIM(Input!F800&amp;""),"%","")),0)&lt;1),1,100))</f>
        <v/>
      </c>
      <c r="F800" t="str">
        <f>IF(A800="","",IFERROR(VALUE(SUBSTITUTE(TRIM(Input!G800&amp;""),"%","")),0)/IF(AND(IFERROR(VALUE(SUBSTITUTE(TRIM(Input!G800&amp;""),"%","")),0)&gt;0,IFERROR(VALUE(SUBSTITUTE(TRIM(Input!G800&amp;""),"%","")),0)&lt;1),1,100))</f>
        <v/>
      </c>
      <c r="G800" t="str">
        <f>IF(A800="","",IFERROR(VALUE(SUBSTITUTE(TRIM(Input!H800&amp;""),"%","")),0)/IF(AND(IFERROR(VALUE(SUBSTITUTE(TRIM(Input!H800&amp;""),"%","")),0)&gt;0,IFERROR(VALUE(SUBSTITUTE(TRIM(Input!H800&amp;""),"%","")),0)&lt;1),1,100))</f>
        <v/>
      </c>
      <c r="H800" t="str">
        <f>IF(A800="","",IFERROR(VALUE(SUBSTITUTE(TRIM(Input!I800&amp;""),"%","")),0)/IF(AND(IFERROR(VALUE(SUBSTITUTE(TRIM(Input!I800&amp;""),"%","")),0)&gt;0,IFERROR(VALUE(SUBSTITUTE(TRIM(Input!I800&amp;""),"%","")),0)&lt;1),1,100))</f>
        <v/>
      </c>
    </row>
    <row r="801" spans="1:8">
      <c r="A801" t="str">
        <f>IF(TRIM(Input!B801&amp;"")="","",UPPER(TRIM(Input!B801&amp;"")))</f>
        <v/>
      </c>
      <c r="B801" t="str">
        <f>IF(A801="","",IFERROR(VALUE(RIGHT(TRIM(Input!D801&amp;""),1)),0))</f>
        <v/>
      </c>
      <c r="C801" t="str">
        <f t="shared" si="12"/>
        <v/>
      </c>
      <c r="D801" t="str">
        <f>IF(A801="","",IFERROR(VALUE(SUBSTITUTE(TRIM(Input!E801&amp;""),"%","")),0)/IF(AND(IFERROR(VALUE(SUBSTITUTE(TRIM(Input!E801&amp;""),"%","")),0)&gt;0,IFERROR(VALUE(SUBSTITUTE(TRIM(Input!E801&amp;""),"%","")),0)&lt;1),1,100))</f>
        <v/>
      </c>
      <c r="E801" t="str">
        <f>IF(A801="","",IFERROR(VALUE(SUBSTITUTE(TRIM(Input!F801&amp;""),"%","")),0)/IF(AND(IFERROR(VALUE(SUBSTITUTE(TRIM(Input!F801&amp;""),"%","")),0)&gt;0,IFERROR(VALUE(SUBSTITUTE(TRIM(Input!F801&amp;""),"%","")),0)&lt;1),1,100))</f>
        <v/>
      </c>
      <c r="F801" t="str">
        <f>IF(A801="","",IFERROR(VALUE(SUBSTITUTE(TRIM(Input!G801&amp;""),"%","")),0)/IF(AND(IFERROR(VALUE(SUBSTITUTE(TRIM(Input!G801&amp;""),"%","")),0)&gt;0,IFERROR(VALUE(SUBSTITUTE(TRIM(Input!G801&amp;""),"%","")),0)&lt;1),1,100))</f>
        <v/>
      </c>
      <c r="G801" t="str">
        <f>IF(A801="","",IFERROR(VALUE(SUBSTITUTE(TRIM(Input!H801&amp;""),"%","")),0)/IF(AND(IFERROR(VALUE(SUBSTITUTE(TRIM(Input!H801&amp;""),"%","")),0)&gt;0,IFERROR(VALUE(SUBSTITUTE(TRIM(Input!H801&amp;""),"%","")),0)&lt;1),1,100))</f>
        <v/>
      </c>
      <c r="H801" t="str">
        <f>IF(A801="","",IFERROR(VALUE(SUBSTITUTE(TRIM(Input!I801&amp;""),"%","")),0)/IF(AND(IFERROR(VALUE(SUBSTITUTE(TRIM(Input!I801&amp;""),"%","")),0)&gt;0,IFERROR(VALUE(SUBSTITUTE(TRIM(Input!I801&amp;""),"%","")),0)&lt;1),1,100))</f>
        <v/>
      </c>
    </row>
    <row r="802" spans="1:8">
      <c r="A802" t="str">
        <f>IF(TRIM(Input!B802&amp;"")="","",UPPER(TRIM(Input!B802&amp;"")))</f>
        <v/>
      </c>
      <c r="B802" t="str">
        <f>IF(A802="","",IFERROR(VALUE(RIGHT(TRIM(Input!D802&amp;""),1)),0))</f>
        <v/>
      </c>
      <c r="C802" t="str">
        <f t="shared" si="12"/>
        <v/>
      </c>
      <c r="D802" t="str">
        <f>IF(A802="","",IFERROR(VALUE(SUBSTITUTE(TRIM(Input!E802&amp;""),"%","")),0)/IF(AND(IFERROR(VALUE(SUBSTITUTE(TRIM(Input!E802&amp;""),"%","")),0)&gt;0,IFERROR(VALUE(SUBSTITUTE(TRIM(Input!E802&amp;""),"%","")),0)&lt;1),1,100))</f>
        <v/>
      </c>
      <c r="E802" t="str">
        <f>IF(A802="","",IFERROR(VALUE(SUBSTITUTE(TRIM(Input!F802&amp;""),"%","")),0)/IF(AND(IFERROR(VALUE(SUBSTITUTE(TRIM(Input!F802&amp;""),"%","")),0)&gt;0,IFERROR(VALUE(SUBSTITUTE(TRIM(Input!F802&amp;""),"%","")),0)&lt;1),1,100))</f>
        <v/>
      </c>
      <c r="F802" t="str">
        <f>IF(A802="","",IFERROR(VALUE(SUBSTITUTE(TRIM(Input!G802&amp;""),"%","")),0)/IF(AND(IFERROR(VALUE(SUBSTITUTE(TRIM(Input!G802&amp;""),"%","")),0)&gt;0,IFERROR(VALUE(SUBSTITUTE(TRIM(Input!G802&amp;""),"%","")),0)&lt;1),1,100))</f>
        <v/>
      </c>
      <c r="G802" t="str">
        <f>IF(A802="","",IFERROR(VALUE(SUBSTITUTE(TRIM(Input!H802&amp;""),"%","")),0)/IF(AND(IFERROR(VALUE(SUBSTITUTE(TRIM(Input!H802&amp;""),"%","")),0)&gt;0,IFERROR(VALUE(SUBSTITUTE(TRIM(Input!H802&amp;""),"%","")),0)&lt;1),1,100))</f>
        <v/>
      </c>
      <c r="H802" t="str">
        <f>IF(A802="","",IFERROR(VALUE(SUBSTITUTE(TRIM(Input!I802&amp;""),"%","")),0)/IF(AND(IFERROR(VALUE(SUBSTITUTE(TRIM(Input!I802&amp;""),"%","")),0)&gt;0,IFERROR(VALUE(SUBSTITUTE(TRIM(Input!I802&amp;""),"%","")),0)&lt;1),1,100))</f>
        <v/>
      </c>
    </row>
    <row r="803" spans="1:8">
      <c r="A803" t="str">
        <f>IF(TRIM(Input!B803&amp;"")="","",UPPER(TRIM(Input!B803&amp;"")))</f>
        <v/>
      </c>
      <c r="B803" t="str">
        <f>IF(A803="","",IFERROR(VALUE(RIGHT(TRIM(Input!D803&amp;""),1)),0))</f>
        <v/>
      </c>
      <c r="C803" t="str">
        <f t="shared" si="12"/>
        <v/>
      </c>
      <c r="D803" t="str">
        <f>IF(A803="","",IFERROR(VALUE(SUBSTITUTE(TRIM(Input!E803&amp;""),"%","")),0)/IF(AND(IFERROR(VALUE(SUBSTITUTE(TRIM(Input!E803&amp;""),"%","")),0)&gt;0,IFERROR(VALUE(SUBSTITUTE(TRIM(Input!E803&amp;""),"%","")),0)&lt;1),1,100))</f>
        <v/>
      </c>
      <c r="E803" t="str">
        <f>IF(A803="","",IFERROR(VALUE(SUBSTITUTE(TRIM(Input!F803&amp;""),"%","")),0)/IF(AND(IFERROR(VALUE(SUBSTITUTE(TRIM(Input!F803&amp;""),"%","")),0)&gt;0,IFERROR(VALUE(SUBSTITUTE(TRIM(Input!F803&amp;""),"%","")),0)&lt;1),1,100))</f>
        <v/>
      </c>
      <c r="F803" t="str">
        <f>IF(A803="","",IFERROR(VALUE(SUBSTITUTE(TRIM(Input!G803&amp;""),"%","")),0)/IF(AND(IFERROR(VALUE(SUBSTITUTE(TRIM(Input!G803&amp;""),"%","")),0)&gt;0,IFERROR(VALUE(SUBSTITUTE(TRIM(Input!G803&amp;""),"%","")),0)&lt;1),1,100))</f>
        <v/>
      </c>
      <c r="G803" t="str">
        <f>IF(A803="","",IFERROR(VALUE(SUBSTITUTE(TRIM(Input!H803&amp;""),"%","")),0)/IF(AND(IFERROR(VALUE(SUBSTITUTE(TRIM(Input!H803&amp;""),"%","")),0)&gt;0,IFERROR(VALUE(SUBSTITUTE(TRIM(Input!H803&amp;""),"%","")),0)&lt;1),1,100))</f>
        <v/>
      </c>
      <c r="H803" t="str">
        <f>IF(A803="","",IFERROR(VALUE(SUBSTITUTE(TRIM(Input!I803&amp;""),"%","")),0)/IF(AND(IFERROR(VALUE(SUBSTITUTE(TRIM(Input!I803&amp;""),"%","")),0)&gt;0,IFERROR(VALUE(SUBSTITUTE(TRIM(Input!I803&amp;""),"%","")),0)&lt;1),1,100))</f>
        <v/>
      </c>
    </row>
    <row r="804" spans="1:8">
      <c r="A804" t="str">
        <f>IF(TRIM(Input!B804&amp;"")="","",UPPER(TRIM(Input!B804&amp;"")))</f>
        <v/>
      </c>
      <c r="B804" t="str">
        <f>IF(A804="","",IFERROR(VALUE(RIGHT(TRIM(Input!D804&amp;""),1)),0))</f>
        <v/>
      </c>
      <c r="C804" t="str">
        <f t="shared" si="12"/>
        <v/>
      </c>
      <c r="D804" t="str">
        <f>IF(A804="","",IFERROR(VALUE(SUBSTITUTE(TRIM(Input!E804&amp;""),"%","")),0)/IF(AND(IFERROR(VALUE(SUBSTITUTE(TRIM(Input!E804&amp;""),"%","")),0)&gt;0,IFERROR(VALUE(SUBSTITUTE(TRIM(Input!E804&amp;""),"%","")),0)&lt;1),1,100))</f>
        <v/>
      </c>
      <c r="E804" t="str">
        <f>IF(A804="","",IFERROR(VALUE(SUBSTITUTE(TRIM(Input!F804&amp;""),"%","")),0)/IF(AND(IFERROR(VALUE(SUBSTITUTE(TRIM(Input!F804&amp;""),"%","")),0)&gt;0,IFERROR(VALUE(SUBSTITUTE(TRIM(Input!F804&amp;""),"%","")),0)&lt;1),1,100))</f>
        <v/>
      </c>
      <c r="F804" t="str">
        <f>IF(A804="","",IFERROR(VALUE(SUBSTITUTE(TRIM(Input!G804&amp;""),"%","")),0)/IF(AND(IFERROR(VALUE(SUBSTITUTE(TRIM(Input!G804&amp;""),"%","")),0)&gt;0,IFERROR(VALUE(SUBSTITUTE(TRIM(Input!G804&amp;""),"%","")),0)&lt;1),1,100))</f>
        <v/>
      </c>
      <c r="G804" t="str">
        <f>IF(A804="","",IFERROR(VALUE(SUBSTITUTE(TRIM(Input!H804&amp;""),"%","")),0)/IF(AND(IFERROR(VALUE(SUBSTITUTE(TRIM(Input!H804&amp;""),"%","")),0)&gt;0,IFERROR(VALUE(SUBSTITUTE(TRIM(Input!H804&amp;""),"%","")),0)&lt;1),1,100))</f>
        <v/>
      </c>
      <c r="H804" t="str">
        <f>IF(A804="","",IFERROR(VALUE(SUBSTITUTE(TRIM(Input!I804&amp;""),"%","")),0)/IF(AND(IFERROR(VALUE(SUBSTITUTE(TRIM(Input!I804&amp;""),"%","")),0)&gt;0,IFERROR(VALUE(SUBSTITUTE(TRIM(Input!I804&amp;""),"%","")),0)&lt;1),1,100))</f>
        <v/>
      </c>
    </row>
    <row r="805" spans="1:8">
      <c r="A805" t="str">
        <f>IF(TRIM(Input!B805&amp;"")="","",UPPER(TRIM(Input!B805&amp;"")))</f>
        <v/>
      </c>
      <c r="B805" t="str">
        <f>IF(A805="","",IFERROR(VALUE(RIGHT(TRIM(Input!D805&amp;""),1)),0))</f>
        <v/>
      </c>
      <c r="C805" t="str">
        <f t="shared" si="12"/>
        <v/>
      </c>
      <c r="D805" t="str">
        <f>IF(A805="","",IFERROR(VALUE(SUBSTITUTE(TRIM(Input!E805&amp;""),"%","")),0)/IF(AND(IFERROR(VALUE(SUBSTITUTE(TRIM(Input!E805&amp;""),"%","")),0)&gt;0,IFERROR(VALUE(SUBSTITUTE(TRIM(Input!E805&amp;""),"%","")),0)&lt;1),1,100))</f>
        <v/>
      </c>
      <c r="E805" t="str">
        <f>IF(A805="","",IFERROR(VALUE(SUBSTITUTE(TRIM(Input!F805&amp;""),"%","")),0)/IF(AND(IFERROR(VALUE(SUBSTITUTE(TRIM(Input!F805&amp;""),"%","")),0)&gt;0,IFERROR(VALUE(SUBSTITUTE(TRIM(Input!F805&amp;""),"%","")),0)&lt;1),1,100))</f>
        <v/>
      </c>
      <c r="F805" t="str">
        <f>IF(A805="","",IFERROR(VALUE(SUBSTITUTE(TRIM(Input!G805&amp;""),"%","")),0)/IF(AND(IFERROR(VALUE(SUBSTITUTE(TRIM(Input!G805&amp;""),"%","")),0)&gt;0,IFERROR(VALUE(SUBSTITUTE(TRIM(Input!G805&amp;""),"%","")),0)&lt;1),1,100))</f>
        <v/>
      </c>
      <c r="G805" t="str">
        <f>IF(A805="","",IFERROR(VALUE(SUBSTITUTE(TRIM(Input!H805&amp;""),"%","")),0)/IF(AND(IFERROR(VALUE(SUBSTITUTE(TRIM(Input!H805&amp;""),"%","")),0)&gt;0,IFERROR(VALUE(SUBSTITUTE(TRIM(Input!H805&amp;""),"%","")),0)&lt;1),1,100))</f>
        <v/>
      </c>
      <c r="H805" t="str">
        <f>IF(A805="","",IFERROR(VALUE(SUBSTITUTE(TRIM(Input!I805&amp;""),"%","")),0)/IF(AND(IFERROR(VALUE(SUBSTITUTE(TRIM(Input!I805&amp;""),"%","")),0)&gt;0,IFERROR(VALUE(SUBSTITUTE(TRIM(Input!I805&amp;""),"%","")),0)&lt;1),1,100))</f>
        <v/>
      </c>
    </row>
    <row r="806" spans="1:8">
      <c r="A806" t="str">
        <f>IF(TRIM(Input!B806&amp;"")="","",UPPER(TRIM(Input!B806&amp;"")))</f>
        <v/>
      </c>
      <c r="B806" t="str">
        <f>IF(A806="","",IFERROR(VALUE(RIGHT(TRIM(Input!D806&amp;""),1)),0))</f>
        <v/>
      </c>
      <c r="C806" t="str">
        <f t="shared" si="12"/>
        <v/>
      </c>
      <c r="D806" t="str">
        <f>IF(A806="","",IFERROR(VALUE(SUBSTITUTE(TRIM(Input!E806&amp;""),"%","")),0)/IF(AND(IFERROR(VALUE(SUBSTITUTE(TRIM(Input!E806&amp;""),"%","")),0)&gt;0,IFERROR(VALUE(SUBSTITUTE(TRIM(Input!E806&amp;""),"%","")),0)&lt;1),1,100))</f>
        <v/>
      </c>
      <c r="E806" t="str">
        <f>IF(A806="","",IFERROR(VALUE(SUBSTITUTE(TRIM(Input!F806&amp;""),"%","")),0)/IF(AND(IFERROR(VALUE(SUBSTITUTE(TRIM(Input!F806&amp;""),"%","")),0)&gt;0,IFERROR(VALUE(SUBSTITUTE(TRIM(Input!F806&amp;""),"%","")),0)&lt;1),1,100))</f>
        <v/>
      </c>
      <c r="F806" t="str">
        <f>IF(A806="","",IFERROR(VALUE(SUBSTITUTE(TRIM(Input!G806&amp;""),"%","")),0)/IF(AND(IFERROR(VALUE(SUBSTITUTE(TRIM(Input!G806&amp;""),"%","")),0)&gt;0,IFERROR(VALUE(SUBSTITUTE(TRIM(Input!G806&amp;""),"%","")),0)&lt;1),1,100))</f>
        <v/>
      </c>
      <c r="G806" t="str">
        <f>IF(A806="","",IFERROR(VALUE(SUBSTITUTE(TRIM(Input!H806&amp;""),"%","")),0)/IF(AND(IFERROR(VALUE(SUBSTITUTE(TRIM(Input!H806&amp;""),"%","")),0)&gt;0,IFERROR(VALUE(SUBSTITUTE(TRIM(Input!H806&amp;""),"%","")),0)&lt;1),1,100))</f>
        <v/>
      </c>
      <c r="H806" t="str">
        <f>IF(A806="","",IFERROR(VALUE(SUBSTITUTE(TRIM(Input!I806&amp;""),"%","")),0)/IF(AND(IFERROR(VALUE(SUBSTITUTE(TRIM(Input!I806&amp;""),"%","")),0)&gt;0,IFERROR(VALUE(SUBSTITUTE(TRIM(Input!I806&amp;""),"%","")),0)&lt;1),1,100))</f>
        <v/>
      </c>
    </row>
    <row r="807" spans="1:8">
      <c r="A807" t="str">
        <f>IF(TRIM(Input!B807&amp;"")="","",UPPER(TRIM(Input!B807&amp;"")))</f>
        <v/>
      </c>
      <c r="B807" t="str">
        <f>IF(A807="","",IFERROR(VALUE(RIGHT(TRIM(Input!D807&amp;""),1)),0))</f>
        <v/>
      </c>
      <c r="C807" t="str">
        <f t="shared" si="12"/>
        <v/>
      </c>
      <c r="D807" t="str">
        <f>IF(A807="","",IFERROR(VALUE(SUBSTITUTE(TRIM(Input!E807&amp;""),"%","")),0)/IF(AND(IFERROR(VALUE(SUBSTITUTE(TRIM(Input!E807&amp;""),"%","")),0)&gt;0,IFERROR(VALUE(SUBSTITUTE(TRIM(Input!E807&amp;""),"%","")),0)&lt;1),1,100))</f>
        <v/>
      </c>
      <c r="E807" t="str">
        <f>IF(A807="","",IFERROR(VALUE(SUBSTITUTE(TRIM(Input!F807&amp;""),"%","")),0)/IF(AND(IFERROR(VALUE(SUBSTITUTE(TRIM(Input!F807&amp;""),"%","")),0)&gt;0,IFERROR(VALUE(SUBSTITUTE(TRIM(Input!F807&amp;""),"%","")),0)&lt;1),1,100))</f>
        <v/>
      </c>
      <c r="F807" t="str">
        <f>IF(A807="","",IFERROR(VALUE(SUBSTITUTE(TRIM(Input!G807&amp;""),"%","")),0)/IF(AND(IFERROR(VALUE(SUBSTITUTE(TRIM(Input!G807&amp;""),"%","")),0)&gt;0,IFERROR(VALUE(SUBSTITUTE(TRIM(Input!G807&amp;""),"%","")),0)&lt;1),1,100))</f>
        <v/>
      </c>
      <c r="G807" t="str">
        <f>IF(A807="","",IFERROR(VALUE(SUBSTITUTE(TRIM(Input!H807&amp;""),"%","")),0)/IF(AND(IFERROR(VALUE(SUBSTITUTE(TRIM(Input!H807&amp;""),"%","")),0)&gt;0,IFERROR(VALUE(SUBSTITUTE(TRIM(Input!H807&amp;""),"%","")),0)&lt;1),1,100))</f>
        <v/>
      </c>
      <c r="H807" t="str">
        <f>IF(A807="","",IFERROR(VALUE(SUBSTITUTE(TRIM(Input!I807&amp;""),"%","")),0)/IF(AND(IFERROR(VALUE(SUBSTITUTE(TRIM(Input!I807&amp;""),"%","")),0)&gt;0,IFERROR(VALUE(SUBSTITUTE(TRIM(Input!I807&amp;""),"%","")),0)&lt;1),1,100))</f>
        <v/>
      </c>
    </row>
    <row r="808" spans="1:8">
      <c r="A808" t="str">
        <f>IF(TRIM(Input!B808&amp;"")="","",UPPER(TRIM(Input!B808&amp;"")))</f>
        <v/>
      </c>
      <c r="B808" t="str">
        <f>IF(A808="","",IFERROR(VALUE(RIGHT(TRIM(Input!D808&amp;""),1)),0))</f>
        <v/>
      </c>
      <c r="C808" t="str">
        <f t="shared" si="12"/>
        <v/>
      </c>
      <c r="D808" t="str">
        <f>IF(A808="","",IFERROR(VALUE(SUBSTITUTE(TRIM(Input!E808&amp;""),"%","")),0)/IF(AND(IFERROR(VALUE(SUBSTITUTE(TRIM(Input!E808&amp;""),"%","")),0)&gt;0,IFERROR(VALUE(SUBSTITUTE(TRIM(Input!E808&amp;""),"%","")),0)&lt;1),1,100))</f>
        <v/>
      </c>
      <c r="E808" t="str">
        <f>IF(A808="","",IFERROR(VALUE(SUBSTITUTE(TRIM(Input!F808&amp;""),"%","")),0)/IF(AND(IFERROR(VALUE(SUBSTITUTE(TRIM(Input!F808&amp;""),"%","")),0)&gt;0,IFERROR(VALUE(SUBSTITUTE(TRIM(Input!F808&amp;""),"%","")),0)&lt;1),1,100))</f>
        <v/>
      </c>
      <c r="F808" t="str">
        <f>IF(A808="","",IFERROR(VALUE(SUBSTITUTE(TRIM(Input!G808&amp;""),"%","")),0)/IF(AND(IFERROR(VALUE(SUBSTITUTE(TRIM(Input!G808&amp;""),"%","")),0)&gt;0,IFERROR(VALUE(SUBSTITUTE(TRIM(Input!G808&amp;""),"%","")),0)&lt;1),1,100))</f>
        <v/>
      </c>
      <c r="G808" t="str">
        <f>IF(A808="","",IFERROR(VALUE(SUBSTITUTE(TRIM(Input!H808&amp;""),"%","")),0)/IF(AND(IFERROR(VALUE(SUBSTITUTE(TRIM(Input!H808&amp;""),"%","")),0)&gt;0,IFERROR(VALUE(SUBSTITUTE(TRIM(Input!H808&amp;""),"%","")),0)&lt;1),1,100))</f>
        <v/>
      </c>
      <c r="H808" t="str">
        <f>IF(A808="","",IFERROR(VALUE(SUBSTITUTE(TRIM(Input!I808&amp;""),"%","")),0)/IF(AND(IFERROR(VALUE(SUBSTITUTE(TRIM(Input!I808&amp;""),"%","")),0)&gt;0,IFERROR(VALUE(SUBSTITUTE(TRIM(Input!I808&amp;""),"%","")),0)&lt;1),1,100))</f>
        <v/>
      </c>
    </row>
    <row r="809" spans="1:8">
      <c r="A809" t="str">
        <f>IF(TRIM(Input!B809&amp;"")="","",UPPER(TRIM(Input!B809&amp;"")))</f>
        <v/>
      </c>
      <c r="B809" t="str">
        <f>IF(A809="","",IFERROR(VALUE(RIGHT(TRIM(Input!D809&amp;""),1)),0))</f>
        <v/>
      </c>
      <c r="C809" t="str">
        <f t="shared" si="12"/>
        <v/>
      </c>
      <c r="D809" t="str">
        <f>IF(A809="","",IFERROR(VALUE(SUBSTITUTE(TRIM(Input!E809&amp;""),"%","")),0)/IF(AND(IFERROR(VALUE(SUBSTITUTE(TRIM(Input!E809&amp;""),"%","")),0)&gt;0,IFERROR(VALUE(SUBSTITUTE(TRIM(Input!E809&amp;""),"%","")),0)&lt;1),1,100))</f>
        <v/>
      </c>
      <c r="E809" t="str">
        <f>IF(A809="","",IFERROR(VALUE(SUBSTITUTE(TRIM(Input!F809&amp;""),"%","")),0)/IF(AND(IFERROR(VALUE(SUBSTITUTE(TRIM(Input!F809&amp;""),"%","")),0)&gt;0,IFERROR(VALUE(SUBSTITUTE(TRIM(Input!F809&amp;""),"%","")),0)&lt;1),1,100))</f>
        <v/>
      </c>
      <c r="F809" t="str">
        <f>IF(A809="","",IFERROR(VALUE(SUBSTITUTE(TRIM(Input!G809&amp;""),"%","")),0)/IF(AND(IFERROR(VALUE(SUBSTITUTE(TRIM(Input!G809&amp;""),"%","")),0)&gt;0,IFERROR(VALUE(SUBSTITUTE(TRIM(Input!G809&amp;""),"%","")),0)&lt;1),1,100))</f>
        <v/>
      </c>
      <c r="G809" t="str">
        <f>IF(A809="","",IFERROR(VALUE(SUBSTITUTE(TRIM(Input!H809&amp;""),"%","")),0)/IF(AND(IFERROR(VALUE(SUBSTITUTE(TRIM(Input!H809&amp;""),"%","")),0)&gt;0,IFERROR(VALUE(SUBSTITUTE(TRIM(Input!H809&amp;""),"%","")),0)&lt;1),1,100))</f>
        <v/>
      </c>
      <c r="H809" t="str">
        <f>IF(A809="","",IFERROR(VALUE(SUBSTITUTE(TRIM(Input!I809&amp;""),"%","")),0)/IF(AND(IFERROR(VALUE(SUBSTITUTE(TRIM(Input!I809&amp;""),"%","")),0)&gt;0,IFERROR(VALUE(SUBSTITUTE(TRIM(Input!I809&amp;""),"%","")),0)&lt;1),1,100))</f>
        <v/>
      </c>
    </row>
    <row r="810" spans="1:8">
      <c r="A810" t="str">
        <f>IF(TRIM(Input!B810&amp;"")="","",UPPER(TRIM(Input!B810&amp;"")))</f>
        <v/>
      </c>
      <c r="B810" t="str">
        <f>IF(A810="","",IFERROR(VALUE(RIGHT(TRIM(Input!D810&amp;""),1)),0))</f>
        <v/>
      </c>
      <c r="C810" t="str">
        <f t="shared" si="12"/>
        <v/>
      </c>
      <c r="D810" t="str">
        <f>IF(A810="","",IFERROR(VALUE(SUBSTITUTE(TRIM(Input!E810&amp;""),"%","")),0)/IF(AND(IFERROR(VALUE(SUBSTITUTE(TRIM(Input!E810&amp;""),"%","")),0)&gt;0,IFERROR(VALUE(SUBSTITUTE(TRIM(Input!E810&amp;""),"%","")),0)&lt;1),1,100))</f>
        <v/>
      </c>
      <c r="E810" t="str">
        <f>IF(A810="","",IFERROR(VALUE(SUBSTITUTE(TRIM(Input!F810&amp;""),"%","")),0)/IF(AND(IFERROR(VALUE(SUBSTITUTE(TRIM(Input!F810&amp;""),"%","")),0)&gt;0,IFERROR(VALUE(SUBSTITUTE(TRIM(Input!F810&amp;""),"%","")),0)&lt;1),1,100))</f>
        <v/>
      </c>
      <c r="F810" t="str">
        <f>IF(A810="","",IFERROR(VALUE(SUBSTITUTE(TRIM(Input!G810&amp;""),"%","")),0)/IF(AND(IFERROR(VALUE(SUBSTITUTE(TRIM(Input!G810&amp;""),"%","")),0)&gt;0,IFERROR(VALUE(SUBSTITUTE(TRIM(Input!G810&amp;""),"%","")),0)&lt;1),1,100))</f>
        <v/>
      </c>
      <c r="G810" t="str">
        <f>IF(A810="","",IFERROR(VALUE(SUBSTITUTE(TRIM(Input!H810&amp;""),"%","")),0)/IF(AND(IFERROR(VALUE(SUBSTITUTE(TRIM(Input!H810&amp;""),"%","")),0)&gt;0,IFERROR(VALUE(SUBSTITUTE(TRIM(Input!H810&amp;""),"%","")),0)&lt;1),1,100))</f>
        <v/>
      </c>
      <c r="H810" t="str">
        <f>IF(A810="","",IFERROR(VALUE(SUBSTITUTE(TRIM(Input!I810&amp;""),"%","")),0)/IF(AND(IFERROR(VALUE(SUBSTITUTE(TRIM(Input!I810&amp;""),"%","")),0)&gt;0,IFERROR(VALUE(SUBSTITUTE(TRIM(Input!I810&amp;""),"%","")),0)&lt;1),1,100))</f>
        <v/>
      </c>
    </row>
    <row r="811" spans="1:8">
      <c r="A811" t="str">
        <f>IF(TRIM(Input!B811&amp;"")="","",UPPER(TRIM(Input!B811&amp;"")))</f>
        <v/>
      </c>
      <c r="B811" t="str">
        <f>IF(A811="","",IFERROR(VALUE(RIGHT(TRIM(Input!D811&amp;""),1)),0))</f>
        <v/>
      </c>
      <c r="C811" t="str">
        <f t="shared" si="12"/>
        <v/>
      </c>
      <c r="D811" t="str">
        <f>IF(A811="","",IFERROR(VALUE(SUBSTITUTE(TRIM(Input!E811&amp;""),"%","")),0)/IF(AND(IFERROR(VALUE(SUBSTITUTE(TRIM(Input!E811&amp;""),"%","")),0)&gt;0,IFERROR(VALUE(SUBSTITUTE(TRIM(Input!E811&amp;""),"%","")),0)&lt;1),1,100))</f>
        <v/>
      </c>
      <c r="E811" t="str">
        <f>IF(A811="","",IFERROR(VALUE(SUBSTITUTE(TRIM(Input!F811&amp;""),"%","")),0)/IF(AND(IFERROR(VALUE(SUBSTITUTE(TRIM(Input!F811&amp;""),"%","")),0)&gt;0,IFERROR(VALUE(SUBSTITUTE(TRIM(Input!F811&amp;""),"%","")),0)&lt;1),1,100))</f>
        <v/>
      </c>
      <c r="F811" t="str">
        <f>IF(A811="","",IFERROR(VALUE(SUBSTITUTE(TRIM(Input!G811&amp;""),"%","")),0)/IF(AND(IFERROR(VALUE(SUBSTITUTE(TRIM(Input!G811&amp;""),"%","")),0)&gt;0,IFERROR(VALUE(SUBSTITUTE(TRIM(Input!G811&amp;""),"%","")),0)&lt;1),1,100))</f>
        <v/>
      </c>
      <c r="G811" t="str">
        <f>IF(A811="","",IFERROR(VALUE(SUBSTITUTE(TRIM(Input!H811&amp;""),"%","")),0)/IF(AND(IFERROR(VALUE(SUBSTITUTE(TRIM(Input!H811&amp;""),"%","")),0)&gt;0,IFERROR(VALUE(SUBSTITUTE(TRIM(Input!H811&amp;""),"%","")),0)&lt;1),1,100))</f>
        <v/>
      </c>
      <c r="H811" t="str">
        <f>IF(A811="","",IFERROR(VALUE(SUBSTITUTE(TRIM(Input!I811&amp;""),"%","")),0)/IF(AND(IFERROR(VALUE(SUBSTITUTE(TRIM(Input!I811&amp;""),"%","")),0)&gt;0,IFERROR(VALUE(SUBSTITUTE(TRIM(Input!I811&amp;""),"%","")),0)&lt;1),1,100))</f>
        <v/>
      </c>
    </row>
    <row r="812" spans="1:8">
      <c r="A812" t="str">
        <f>IF(TRIM(Input!B812&amp;"")="","",UPPER(TRIM(Input!B812&amp;"")))</f>
        <v/>
      </c>
      <c r="B812" t="str">
        <f>IF(A812="","",IFERROR(VALUE(RIGHT(TRIM(Input!D812&amp;""),1)),0))</f>
        <v/>
      </c>
      <c r="C812" t="str">
        <f t="shared" si="12"/>
        <v/>
      </c>
      <c r="D812" t="str">
        <f>IF(A812="","",IFERROR(VALUE(SUBSTITUTE(TRIM(Input!E812&amp;""),"%","")),0)/IF(AND(IFERROR(VALUE(SUBSTITUTE(TRIM(Input!E812&amp;""),"%","")),0)&gt;0,IFERROR(VALUE(SUBSTITUTE(TRIM(Input!E812&amp;""),"%","")),0)&lt;1),1,100))</f>
        <v/>
      </c>
      <c r="E812" t="str">
        <f>IF(A812="","",IFERROR(VALUE(SUBSTITUTE(TRIM(Input!F812&amp;""),"%","")),0)/IF(AND(IFERROR(VALUE(SUBSTITUTE(TRIM(Input!F812&amp;""),"%","")),0)&gt;0,IFERROR(VALUE(SUBSTITUTE(TRIM(Input!F812&amp;""),"%","")),0)&lt;1),1,100))</f>
        <v/>
      </c>
      <c r="F812" t="str">
        <f>IF(A812="","",IFERROR(VALUE(SUBSTITUTE(TRIM(Input!G812&amp;""),"%","")),0)/IF(AND(IFERROR(VALUE(SUBSTITUTE(TRIM(Input!G812&amp;""),"%","")),0)&gt;0,IFERROR(VALUE(SUBSTITUTE(TRIM(Input!G812&amp;""),"%","")),0)&lt;1),1,100))</f>
        <v/>
      </c>
      <c r="G812" t="str">
        <f>IF(A812="","",IFERROR(VALUE(SUBSTITUTE(TRIM(Input!H812&amp;""),"%","")),0)/IF(AND(IFERROR(VALUE(SUBSTITUTE(TRIM(Input!H812&amp;""),"%","")),0)&gt;0,IFERROR(VALUE(SUBSTITUTE(TRIM(Input!H812&amp;""),"%","")),0)&lt;1),1,100))</f>
        <v/>
      </c>
      <c r="H812" t="str">
        <f>IF(A812="","",IFERROR(VALUE(SUBSTITUTE(TRIM(Input!I812&amp;""),"%","")),0)/IF(AND(IFERROR(VALUE(SUBSTITUTE(TRIM(Input!I812&amp;""),"%","")),0)&gt;0,IFERROR(VALUE(SUBSTITUTE(TRIM(Input!I812&amp;""),"%","")),0)&lt;1),1,100))</f>
        <v/>
      </c>
    </row>
    <row r="813" spans="1:8">
      <c r="A813" t="str">
        <f>IF(TRIM(Input!B813&amp;"")="","",UPPER(TRIM(Input!B813&amp;"")))</f>
        <v/>
      </c>
      <c r="B813" t="str">
        <f>IF(A813="","",IFERROR(VALUE(RIGHT(TRIM(Input!D813&amp;""),1)),0))</f>
        <v/>
      </c>
      <c r="C813" t="str">
        <f t="shared" si="12"/>
        <v/>
      </c>
      <c r="D813" t="str">
        <f>IF(A813="","",IFERROR(VALUE(SUBSTITUTE(TRIM(Input!E813&amp;""),"%","")),0)/IF(AND(IFERROR(VALUE(SUBSTITUTE(TRIM(Input!E813&amp;""),"%","")),0)&gt;0,IFERROR(VALUE(SUBSTITUTE(TRIM(Input!E813&amp;""),"%","")),0)&lt;1),1,100))</f>
        <v/>
      </c>
      <c r="E813" t="str">
        <f>IF(A813="","",IFERROR(VALUE(SUBSTITUTE(TRIM(Input!F813&amp;""),"%","")),0)/IF(AND(IFERROR(VALUE(SUBSTITUTE(TRIM(Input!F813&amp;""),"%","")),0)&gt;0,IFERROR(VALUE(SUBSTITUTE(TRIM(Input!F813&amp;""),"%","")),0)&lt;1),1,100))</f>
        <v/>
      </c>
      <c r="F813" t="str">
        <f>IF(A813="","",IFERROR(VALUE(SUBSTITUTE(TRIM(Input!G813&amp;""),"%","")),0)/IF(AND(IFERROR(VALUE(SUBSTITUTE(TRIM(Input!G813&amp;""),"%","")),0)&gt;0,IFERROR(VALUE(SUBSTITUTE(TRIM(Input!G813&amp;""),"%","")),0)&lt;1),1,100))</f>
        <v/>
      </c>
      <c r="G813" t="str">
        <f>IF(A813="","",IFERROR(VALUE(SUBSTITUTE(TRIM(Input!H813&amp;""),"%","")),0)/IF(AND(IFERROR(VALUE(SUBSTITUTE(TRIM(Input!H813&amp;""),"%","")),0)&gt;0,IFERROR(VALUE(SUBSTITUTE(TRIM(Input!H813&amp;""),"%","")),0)&lt;1),1,100))</f>
        <v/>
      </c>
      <c r="H813" t="str">
        <f>IF(A813="","",IFERROR(VALUE(SUBSTITUTE(TRIM(Input!I813&amp;""),"%","")),0)/IF(AND(IFERROR(VALUE(SUBSTITUTE(TRIM(Input!I813&amp;""),"%","")),0)&gt;0,IFERROR(VALUE(SUBSTITUTE(TRIM(Input!I813&amp;""),"%","")),0)&lt;1),1,100))</f>
        <v/>
      </c>
    </row>
    <row r="814" spans="1:8">
      <c r="A814" t="str">
        <f>IF(TRIM(Input!B814&amp;"")="","",UPPER(TRIM(Input!B814&amp;"")))</f>
        <v/>
      </c>
      <c r="B814" t="str">
        <f>IF(A814="","",IFERROR(VALUE(RIGHT(TRIM(Input!D814&amp;""),1)),0))</f>
        <v/>
      </c>
      <c r="C814" t="str">
        <f t="shared" si="12"/>
        <v/>
      </c>
      <c r="D814" t="str">
        <f>IF(A814="","",IFERROR(VALUE(SUBSTITUTE(TRIM(Input!E814&amp;""),"%","")),0)/IF(AND(IFERROR(VALUE(SUBSTITUTE(TRIM(Input!E814&amp;""),"%","")),0)&gt;0,IFERROR(VALUE(SUBSTITUTE(TRIM(Input!E814&amp;""),"%","")),0)&lt;1),1,100))</f>
        <v/>
      </c>
      <c r="E814" t="str">
        <f>IF(A814="","",IFERROR(VALUE(SUBSTITUTE(TRIM(Input!F814&amp;""),"%","")),0)/IF(AND(IFERROR(VALUE(SUBSTITUTE(TRIM(Input!F814&amp;""),"%","")),0)&gt;0,IFERROR(VALUE(SUBSTITUTE(TRIM(Input!F814&amp;""),"%","")),0)&lt;1),1,100))</f>
        <v/>
      </c>
      <c r="F814" t="str">
        <f>IF(A814="","",IFERROR(VALUE(SUBSTITUTE(TRIM(Input!G814&amp;""),"%","")),0)/IF(AND(IFERROR(VALUE(SUBSTITUTE(TRIM(Input!G814&amp;""),"%","")),0)&gt;0,IFERROR(VALUE(SUBSTITUTE(TRIM(Input!G814&amp;""),"%","")),0)&lt;1),1,100))</f>
        <v/>
      </c>
      <c r="G814" t="str">
        <f>IF(A814="","",IFERROR(VALUE(SUBSTITUTE(TRIM(Input!H814&amp;""),"%","")),0)/IF(AND(IFERROR(VALUE(SUBSTITUTE(TRIM(Input!H814&amp;""),"%","")),0)&gt;0,IFERROR(VALUE(SUBSTITUTE(TRIM(Input!H814&amp;""),"%","")),0)&lt;1),1,100))</f>
        <v/>
      </c>
      <c r="H814" t="str">
        <f>IF(A814="","",IFERROR(VALUE(SUBSTITUTE(TRIM(Input!I814&amp;""),"%","")),0)/IF(AND(IFERROR(VALUE(SUBSTITUTE(TRIM(Input!I814&amp;""),"%","")),0)&gt;0,IFERROR(VALUE(SUBSTITUTE(TRIM(Input!I814&amp;""),"%","")),0)&lt;1),1,100))</f>
        <v/>
      </c>
    </row>
    <row r="815" spans="1:8">
      <c r="A815" t="str">
        <f>IF(TRIM(Input!B815&amp;"")="","",UPPER(TRIM(Input!B815&amp;"")))</f>
        <v/>
      </c>
      <c r="B815" t="str">
        <f>IF(A815="","",IFERROR(VALUE(RIGHT(TRIM(Input!D815&amp;""),1)),0))</f>
        <v/>
      </c>
      <c r="C815" t="str">
        <f t="shared" si="12"/>
        <v/>
      </c>
      <c r="D815" t="str">
        <f>IF(A815="","",IFERROR(VALUE(SUBSTITUTE(TRIM(Input!E815&amp;""),"%","")),0)/IF(AND(IFERROR(VALUE(SUBSTITUTE(TRIM(Input!E815&amp;""),"%","")),0)&gt;0,IFERROR(VALUE(SUBSTITUTE(TRIM(Input!E815&amp;""),"%","")),0)&lt;1),1,100))</f>
        <v/>
      </c>
      <c r="E815" t="str">
        <f>IF(A815="","",IFERROR(VALUE(SUBSTITUTE(TRIM(Input!F815&amp;""),"%","")),0)/IF(AND(IFERROR(VALUE(SUBSTITUTE(TRIM(Input!F815&amp;""),"%","")),0)&gt;0,IFERROR(VALUE(SUBSTITUTE(TRIM(Input!F815&amp;""),"%","")),0)&lt;1),1,100))</f>
        <v/>
      </c>
      <c r="F815" t="str">
        <f>IF(A815="","",IFERROR(VALUE(SUBSTITUTE(TRIM(Input!G815&amp;""),"%","")),0)/IF(AND(IFERROR(VALUE(SUBSTITUTE(TRIM(Input!G815&amp;""),"%","")),0)&gt;0,IFERROR(VALUE(SUBSTITUTE(TRIM(Input!G815&amp;""),"%","")),0)&lt;1),1,100))</f>
        <v/>
      </c>
      <c r="G815" t="str">
        <f>IF(A815="","",IFERROR(VALUE(SUBSTITUTE(TRIM(Input!H815&amp;""),"%","")),0)/IF(AND(IFERROR(VALUE(SUBSTITUTE(TRIM(Input!H815&amp;""),"%","")),0)&gt;0,IFERROR(VALUE(SUBSTITUTE(TRIM(Input!H815&amp;""),"%","")),0)&lt;1),1,100))</f>
        <v/>
      </c>
      <c r="H815" t="str">
        <f>IF(A815="","",IFERROR(VALUE(SUBSTITUTE(TRIM(Input!I815&amp;""),"%","")),0)/IF(AND(IFERROR(VALUE(SUBSTITUTE(TRIM(Input!I815&amp;""),"%","")),0)&gt;0,IFERROR(VALUE(SUBSTITUTE(TRIM(Input!I815&amp;""),"%","")),0)&lt;1),1,100))</f>
        <v/>
      </c>
    </row>
    <row r="816" spans="1:8">
      <c r="A816" t="str">
        <f>IF(TRIM(Input!B816&amp;"")="","",UPPER(TRIM(Input!B816&amp;"")))</f>
        <v/>
      </c>
      <c r="B816" t="str">
        <f>IF(A816="","",IFERROR(VALUE(RIGHT(TRIM(Input!D816&amp;""),1)),0))</f>
        <v/>
      </c>
      <c r="C816" t="str">
        <f t="shared" si="12"/>
        <v/>
      </c>
      <c r="D816" t="str">
        <f>IF(A816="","",IFERROR(VALUE(SUBSTITUTE(TRIM(Input!E816&amp;""),"%","")),0)/IF(AND(IFERROR(VALUE(SUBSTITUTE(TRIM(Input!E816&amp;""),"%","")),0)&gt;0,IFERROR(VALUE(SUBSTITUTE(TRIM(Input!E816&amp;""),"%","")),0)&lt;1),1,100))</f>
        <v/>
      </c>
      <c r="E816" t="str">
        <f>IF(A816="","",IFERROR(VALUE(SUBSTITUTE(TRIM(Input!F816&amp;""),"%","")),0)/IF(AND(IFERROR(VALUE(SUBSTITUTE(TRIM(Input!F816&amp;""),"%","")),0)&gt;0,IFERROR(VALUE(SUBSTITUTE(TRIM(Input!F816&amp;""),"%","")),0)&lt;1),1,100))</f>
        <v/>
      </c>
      <c r="F816" t="str">
        <f>IF(A816="","",IFERROR(VALUE(SUBSTITUTE(TRIM(Input!G816&amp;""),"%","")),0)/IF(AND(IFERROR(VALUE(SUBSTITUTE(TRIM(Input!G816&amp;""),"%","")),0)&gt;0,IFERROR(VALUE(SUBSTITUTE(TRIM(Input!G816&amp;""),"%","")),0)&lt;1),1,100))</f>
        <v/>
      </c>
      <c r="G816" t="str">
        <f>IF(A816="","",IFERROR(VALUE(SUBSTITUTE(TRIM(Input!H816&amp;""),"%","")),0)/IF(AND(IFERROR(VALUE(SUBSTITUTE(TRIM(Input!H816&amp;""),"%","")),0)&gt;0,IFERROR(VALUE(SUBSTITUTE(TRIM(Input!H816&amp;""),"%","")),0)&lt;1),1,100))</f>
        <v/>
      </c>
      <c r="H816" t="str">
        <f>IF(A816="","",IFERROR(VALUE(SUBSTITUTE(TRIM(Input!I816&amp;""),"%","")),0)/IF(AND(IFERROR(VALUE(SUBSTITUTE(TRIM(Input!I816&amp;""),"%","")),0)&gt;0,IFERROR(VALUE(SUBSTITUTE(TRIM(Input!I816&amp;""),"%","")),0)&lt;1),1,100))</f>
        <v/>
      </c>
    </row>
    <row r="817" spans="1:8">
      <c r="A817" t="str">
        <f>IF(TRIM(Input!B817&amp;"")="","",UPPER(TRIM(Input!B817&amp;"")))</f>
        <v/>
      </c>
      <c r="B817" t="str">
        <f>IF(A817="","",IFERROR(VALUE(RIGHT(TRIM(Input!D817&amp;""),1)),0))</f>
        <v/>
      </c>
      <c r="C817" t="str">
        <f t="shared" si="12"/>
        <v/>
      </c>
      <c r="D817" t="str">
        <f>IF(A817="","",IFERROR(VALUE(SUBSTITUTE(TRIM(Input!E817&amp;""),"%","")),0)/IF(AND(IFERROR(VALUE(SUBSTITUTE(TRIM(Input!E817&amp;""),"%","")),0)&gt;0,IFERROR(VALUE(SUBSTITUTE(TRIM(Input!E817&amp;""),"%","")),0)&lt;1),1,100))</f>
        <v/>
      </c>
      <c r="E817" t="str">
        <f>IF(A817="","",IFERROR(VALUE(SUBSTITUTE(TRIM(Input!F817&amp;""),"%","")),0)/IF(AND(IFERROR(VALUE(SUBSTITUTE(TRIM(Input!F817&amp;""),"%","")),0)&gt;0,IFERROR(VALUE(SUBSTITUTE(TRIM(Input!F817&amp;""),"%","")),0)&lt;1),1,100))</f>
        <v/>
      </c>
      <c r="F817" t="str">
        <f>IF(A817="","",IFERROR(VALUE(SUBSTITUTE(TRIM(Input!G817&amp;""),"%","")),0)/IF(AND(IFERROR(VALUE(SUBSTITUTE(TRIM(Input!G817&amp;""),"%","")),0)&gt;0,IFERROR(VALUE(SUBSTITUTE(TRIM(Input!G817&amp;""),"%","")),0)&lt;1),1,100))</f>
        <v/>
      </c>
      <c r="G817" t="str">
        <f>IF(A817="","",IFERROR(VALUE(SUBSTITUTE(TRIM(Input!H817&amp;""),"%","")),0)/IF(AND(IFERROR(VALUE(SUBSTITUTE(TRIM(Input!H817&amp;""),"%","")),0)&gt;0,IFERROR(VALUE(SUBSTITUTE(TRIM(Input!H817&amp;""),"%","")),0)&lt;1),1,100))</f>
        <v/>
      </c>
      <c r="H817" t="str">
        <f>IF(A817="","",IFERROR(VALUE(SUBSTITUTE(TRIM(Input!I817&amp;""),"%","")),0)/IF(AND(IFERROR(VALUE(SUBSTITUTE(TRIM(Input!I817&amp;""),"%","")),0)&gt;0,IFERROR(VALUE(SUBSTITUTE(TRIM(Input!I817&amp;""),"%","")),0)&lt;1),1,100))</f>
        <v/>
      </c>
    </row>
    <row r="818" spans="1:8">
      <c r="A818" t="str">
        <f>IF(TRIM(Input!B818&amp;"")="","",UPPER(TRIM(Input!B818&amp;"")))</f>
        <v/>
      </c>
      <c r="B818" t="str">
        <f>IF(A818="","",IFERROR(VALUE(RIGHT(TRIM(Input!D818&amp;""),1)),0))</f>
        <v/>
      </c>
      <c r="C818" t="str">
        <f t="shared" si="12"/>
        <v/>
      </c>
      <c r="D818" t="str">
        <f>IF(A818="","",IFERROR(VALUE(SUBSTITUTE(TRIM(Input!E818&amp;""),"%","")),0)/IF(AND(IFERROR(VALUE(SUBSTITUTE(TRIM(Input!E818&amp;""),"%","")),0)&gt;0,IFERROR(VALUE(SUBSTITUTE(TRIM(Input!E818&amp;""),"%","")),0)&lt;1),1,100))</f>
        <v/>
      </c>
      <c r="E818" t="str">
        <f>IF(A818="","",IFERROR(VALUE(SUBSTITUTE(TRIM(Input!F818&amp;""),"%","")),0)/IF(AND(IFERROR(VALUE(SUBSTITUTE(TRIM(Input!F818&amp;""),"%","")),0)&gt;0,IFERROR(VALUE(SUBSTITUTE(TRIM(Input!F818&amp;""),"%","")),0)&lt;1),1,100))</f>
        <v/>
      </c>
      <c r="F818" t="str">
        <f>IF(A818="","",IFERROR(VALUE(SUBSTITUTE(TRIM(Input!G818&amp;""),"%","")),0)/IF(AND(IFERROR(VALUE(SUBSTITUTE(TRIM(Input!G818&amp;""),"%","")),0)&gt;0,IFERROR(VALUE(SUBSTITUTE(TRIM(Input!G818&amp;""),"%","")),0)&lt;1),1,100))</f>
        <v/>
      </c>
      <c r="G818" t="str">
        <f>IF(A818="","",IFERROR(VALUE(SUBSTITUTE(TRIM(Input!H818&amp;""),"%","")),0)/IF(AND(IFERROR(VALUE(SUBSTITUTE(TRIM(Input!H818&amp;""),"%","")),0)&gt;0,IFERROR(VALUE(SUBSTITUTE(TRIM(Input!H818&amp;""),"%","")),0)&lt;1),1,100))</f>
        <v/>
      </c>
      <c r="H818" t="str">
        <f>IF(A818="","",IFERROR(VALUE(SUBSTITUTE(TRIM(Input!I818&amp;""),"%","")),0)/IF(AND(IFERROR(VALUE(SUBSTITUTE(TRIM(Input!I818&amp;""),"%","")),0)&gt;0,IFERROR(VALUE(SUBSTITUTE(TRIM(Input!I818&amp;""),"%","")),0)&lt;1),1,100))</f>
        <v/>
      </c>
    </row>
    <row r="819" spans="1:8">
      <c r="A819" t="str">
        <f>IF(TRIM(Input!B819&amp;"")="","",UPPER(TRIM(Input!B819&amp;"")))</f>
        <v/>
      </c>
      <c r="B819" t="str">
        <f>IF(A819="","",IFERROR(VALUE(RIGHT(TRIM(Input!D819&amp;""),1)),0))</f>
        <v/>
      </c>
      <c r="C819" t="str">
        <f t="shared" si="12"/>
        <v/>
      </c>
      <c r="D819" t="str">
        <f>IF(A819="","",IFERROR(VALUE(SUBSTITUTE(TRIM(Input!E819&amp;""),"%","")),0)/IF(AND(IFERROR(VALUE(SUBSTITUTE(TRIM(Input!E819&amp;""),"%","")),0)&gt;0,IFERROR(VALUE(SUBSTITUTE(TRIM(Input!E819&amp;""),"%","")),0)&lt;1),1,100))</f>
        <v/>
      </c>
      <c r="E819" t="str">
        <f>IF(A819="","",IFERROR(VALUE(SUBSTITUTE(TRIM(Input!F819&amp;""),"%","")),0)/IF(AND(IFERROR(VALUE(SUBSTITUTE(TRIM(Input!F819&amp;""),"%","")),0)&gt;0,IFERROR(VALUE(SUBSTITUTE(TRIM(Input!F819&amp;""),"%","")),0)&lt;1),1,100))</f>
        <v/>
      </c>
      <c r="F819" t="str">
        <f>IF(A819="","",IFERROR(VALUE(SUBSTITUTE(TRIM(Input!G819&amp;""),"%","")),0)/IF(AND(IFERROR(VALUE(SUBSTITUTE(TRIM(Input!G819&amp;""),"%","")),0)&gt;0,IFERROR(VALUE(SUBSTITUTE(TRIM(Input!G819&amp;""),"%","")),0)&lt;1),1,100))</f>
        <v/>
      </c>
      <c r="G819" t="str">
        <f>IF(A819="","",IFERROR(VALUE(SUBSTITUTE(TRIM(Input!H819&amp;""),"%","")),0)/IF(AND(IFERROR(VALUE(SUBSTITUTE(TRIM(Input!H819&amp;""),"%","")),0)&gt;0,IFERROR(VALUE(SUBSTITUTE(TRIM(Input!H819&amp;""),"%","")),0)&lt;1),1,100))</f>
        <v/>
      </c>
      <c r="H819" t="str">
        <f>IF(A819="","",IFERROR(VALUE(SUBSTITUTE(TRIM(Input!I819&amp;""),"%","")),0)/IF(AND(IFERROR(VALUE(SUBSTITUTE(TRIM(Input!I819&amp;""),"%","")),0)&gt;0,IFERROR(VALUE(SUBSTITUTE(TRIM(Input!I819&amp;""),"%","")),0)&lt;1),1,100))</f>
        <v/>
      </c>
    </row>
    <row r="820" spans="1:8">
      <c r="A820" t="str">
        <f>IF(TRIM(Input!B820&amp;"")="","",UPPER(TRIM(Input!B820&amp;"")))</f>
        <v/>
      </c>
      <c r="B820" t="str">
        <f>IF(A820="","",IFERROR(VALUE(RIGHT(TRIM(Input!D820&amp;""),1)),0))</f>
        <v/>
      </c>
      <c r="C820" t="str">
        <f t="shared" si="12"/>
        <v/>
      </c>
      <c r="D820" t="str">
        <f>IF(A820="","",IFERROR(VALUE(SUBSTITUTE(TRIM(Input!E820&amp;""),"%","")),0)/IF(AND(IFERROR(VALUE(SUBSTITUTE(TRIM(Input!E820&amp;""),"%","")),0)&gt;0,IFERROR(VALUE(SUBSTITUTE(TRIM(Input!E820&amp;""),"%","")),0)&lt;1),1,100))</f>
        <v/>
      </c>
      <c r="E820" t="str">
        <f>IF(A820="","",IFERROR(VALUE(SUBSTITUTE(TRIM(Input!F820&amp;""),"%","")),0)/IF(AND(IFERROR(VALUE(SUBSTITUTE(TRIM(Input!F820&amp;""),"%","")),0)&gt;0,IFERROR(VALUE(SUBSTITUTE(TRIM(Input!F820&amp;""),"%","")),0)&lt;1),1,100))</f>
        <v/>
      </c>
      <c r="F820" t="str">
        <f>IF(A820="","",IFERROR(VALUE(SUBSTITUTE(TRIM(Input!G820&amp;""),"%","")),0)/IF(AND(IFERROR(VALUE(SUBSTITUTE(TRIM(Input!G820&amp;""),"%","")),0)&gt;0,IFERROR(VALUE(SUBSTITUTE(TRIM(Input!G820&amp;""),"%","")),0)&lt;1),1,100))</f>
        <v/>
      </c>
      <c r="G820" t="str">
        <f>IF(A820="","",IFERROR(VALUE(SUBSTITUTE(TRIM(Input!H820&amp;""),"%","")),0)/IF(AND(IFERROR(VALUE(SUBSTITUTE(TRIM(Input!H820&amp;""),"%","")),0)&gt;0,IFERROR(VALUE(SUBSTITUTE(TRIM(Input!H820&amp;""),"%","")),0)&lt;1),1,100))</f>
        <v/>
      </c>
      <c r="H820" t="str">
        <f>IF(A820="","",IFERROR(VALUE(SUBSTITUTE(TRIM(Input!I820&amp;""),"%","")),0)/IF(AND(IFERROR(VALUE(SUBSTITUTE(TRIM(Input!I820&amp;""),"%","")),0)&gt;0,IFERROR(VALUE(SUBSTITUTE(TRIM(Input!I820&amp;""),"%","")),0)&lt;1),1,100))</f>
        <v/>
      </c>
    </row>
    <row r="821" spans="1:8">
      <c r="A821" t="str">
        <f>IF(TRIM(Input!B821&amp;"")="","",UPPER(TRIM(Input!B821&amp;"")))</f>
        <v/>
      </c>
      <c r="B821" t="str">
        <f>IF(A821="","",IFERROR(VALUE(RIGHT(TRIM(Input!D821&amp;""),1)),0))</f>
        <v/>
      </c>
      <c r="C821" t="str">
        <f t="shared" si="12"/>
        <v/>
      </c>
      <c r="D821" t="str">
        <f>IF(A821="","",IFERROR(VALUE(SUBSTITUTE(TRIM(Input!E821&amp;""),"%","")),0)/IF(AND(IFERROR(VALUE(SUBSTITUTE(TRIM(Input!E821&amp;""),"%","")),0)&gt;0,IFERROR(VALUE(SUBSTITUTE(TRIM(Input!E821&amp;""),"%","")),0)&lt;1),1,100))</f>
        <v/>
      </c>
      <c r="E821" t="str">
        <f>IF(A821="","",IFERROR(VALUE(SUBSTITUTE(TRIM(Input!F821&amp;""),"%","")),0)/IF(AND(IFERROR(VALUE(SUBSTITUTE(TRIM(Input!F821&amp;""),"%","")),0)&gt;0,IFERROR(VALUE(SUBSTITUTE(TRIM(Input!F821&amp;""),"%","")),0)&lt;1),1,100))</f>
        <v/>
      </c>
      <c r="F821" t="str">
        <f>IF(A821="","",IFERROR(VALUE(SUBSTITUTE(TRIM(Input!G821&amp;""),"%","")),0)/IF(AND(IFERROR(VALUE(SUBSTITUTE(TRIM(Input!G821&amp;""),"%","")),0)&gt;0,IFERROR(VALUE(SUBSTITUTE(TRIM(Input!G821&amp;""),"%","")),0)&lt;1),1,100))</f>
        <v/>
      </c>
      <c r="G821" t="str">
        <f>IF(A821="","",IFERROR(VALUE(SUBSTITUTE(TRIM(Input!H821&amp;""),"%","")),0)/IF(AND(IFERROR(VALUE(SUBSTITUTE(TRIM(Input!H821&amp;""),"%","")),0)&gt;0,IFERROR(VALUE(SUBSTITUTE(TRIM(Input!H821&amp;""),"%","")),0)&lt;1),1,100))</f>
        <v/>
      </c>
      <c r="H821" t="str">
        <f>IF(A821="","",IFERROR(VALUE(SUBSTITUTE(TRIM(Input!I821&amp;""),"%","")),0)/IF(AND(IFERROR(VALUE(SUBSTITUTE(TRIM(Input!I821&amp;""),"%","")),0)&gt;0,IFERROR(VALUE(SUBSTITUTE(TRIM(Input!I821&amp;""),"%","")),0)&lt;1),1,100))</f>
        <v/>
      </c>
    </row>
    <row r="822" spans="1:8">
      <c r="A822" t="str">
        <f>IF(TRIM(Input!B822&amp;"")="","",UPPER(TRIM(Input!B822&amp;"")))</f>
        <v/>
      </c>
      <c r="B822" t="str">
        <f>IF(A822="","",IFERROR(VALUE(RIGHT(TRIM(Input!D822&amp;""),1)),0))</f>
        <v/>
      </c>
      <c r="C822" t="str">
        <f t="shared" si="12"/>
        <v/>
      </c>
      <c r="D822" t="str">
        <f>IF(A822="","",IFERROR(VALUE(SUBSTITUTE(TRIM(Input!E822&amp;""),"%","")),0)/IF(AND(IFERROR(VALUE(SUBSTITUTE(TRIM(Input!E822&amp;""),"%","")),0)&gt;0,IFERROR(VALUE(SUBSTITUTE(TRIM(Input!E822&amp;""),"%","")),0)&lt;1),1,100))</f>
        <v/>
      </c>
      <c r="E822" t="str">
        <f>IF(A822="","",IFERROR(VALUE(SUBSTITUTE(TRIM(Input!F822&amp;""),"%","")),0)/IF(AND(IFERROR(VALUE(SUBSTITUTE(TRIM(Input!F822&amp;""),"%","")),0)&gt;0,IFERROR(VALUE(SUBSTITUTE(TRIM(Input!F822&amp;""),"%","")),0)&lt;1),1,100))</f>
        <v/>
      </c>
      <c r="F822" t="str">
        <f>IF(A822="","",IFERROR(VALUE(SUBSTITUTE(TRIM(Input!G822&amp;""),"%","")),0)/IF(AND(IFERROR(VALUE(SUBSTITUTE(TRIM(Input!G822&amp;""),"%","")),0)&gt;0,IFERROR(VALUE(SUBSTITUTE(TRIM(Input!G822&amp;""),"%","")),0)&lt;1),1,100))</f>
        <v/>
      </c>
      <c r="G822" t="str">
        <f>IF(A822="","",IFERROR(VALUE(SUBSTITUTE(TRIM(Input!H822&amp;""),"%","")),0)/IF(AND(IFERROR(VALUE(SUBSTITUTE(TRIM(Input!H822&amp;""),"%","")),0)&gt;0,IFERROR(VALUE(SUBSTITUTE(TRIM(Input!H822&amp;""),"%","")),0)&lt;1),1,100))</f>
        <v/>
      </c>
      <c r="H822" t="str">
        <f>IF(A822="","",IFERROR(VALUE(SUBSTITUTE(TRIM(Input!I822&amp;""),"%","")),0)/IF(AND(IFERROR(VALUE(SUBSTITUTE(TRIM(Input!I822&amp;""),"%","")),0)&gt;0,IFERROR(VALUE(SUBSTITUTE(TRIM(Input!I822&amp;""),"%","")),0)&lt;1),1,100))</f>
        <v/>
      </c>
    </row>
    <row r="823" spans="1:8">
      <c r="A823" t="str">
        <f>IF(TRIM(Input!B823&amp;"")="","",UPPER(TRIM(Input!B823&amp;"")))</f>
        <v/>
      </c>
      <c r="B823" t="str">
        <f>IF(A823="","",IFERROR(VALUE(RIGHT(TRIM(Input!D823&amp;""),1)),0))</f>
        <v/>
      </c>
      <c r="C823" t="str">
        <f t="shared" si="12"/>
        <v/>
      </c>
      <c r="D823" t="str">
        <f>IF(A823="","",IFERROR(VALUE(SUBSTITUTE(TRIM(Input!E823&amp;""),"%","")),0)/IF(AND(IFERROR(VALUE(SUBSTITUTE(TRIM(Input!E823&amp;""),"%","")),0)&gt;0,IFERROR(VALUE(SUBSTITUTE(TRIM(Input!E823&amp;""),"%","")),0)&lt;1),1,100))</f>
        <v/>
      </c>
      <c r="E823" t="str">
        <f>IF(A823="","",IFERROR(VALUE(SUBSTITUTE(TRIM(Input!F823&amp;""),"%","")),0)/IF(AND(IFERROR(VALUE(SUBSTITUTE(TRIM(Input!F823&amp;""),"%","")),0)&gt;0,IFERROR(VALUE(SUBSTITUTE(TRIM(Input!F823&amp;""),"%","")),0)&lt;1),1,100))</f>
        <v/>
      </c>
      <c r="F823" t="str">
        <f>IF(A823="","",IFERROR(VALUE(SUBSTITUTE(TRIM(Input!G823&amp;""),"%","")),0)/IF(AND(IFERROR(VALUE(SUBSTITUTE(TRIM(Input!G823&amp;""),"%","")),0)&gt;0,IFERROR(VALUE(SUBSTITUTE(TRIM(Input!G823&amp;""),"%","")),0)&lt;1),1,100))</f>
        <v/>
      </c>
      <c r="G823" t="str">
        <f>IF(A823="","",IFERROR(VALUE(SUBSTITUTE(TRIM(Input!H823&amp;""),"%","")),0)/IF(AND(IFERROR(VALUE(SUBSTITUTE(TRIM(Input!H823&amp;""),"%","")),0)&gt;0,IFERROR(VALUE(SUBSTITUTE(TRIM(Input!H823&amp;""),"%","")),0)&lt;1),1,100))</f>
        <v/>
      </c>
      <c r="H823" t="str">
        <f>IF(A823="","",IFERROR(VALUE(SUBSTITUTE(TRIM(Input!I823&amp;""),"%","")),0)/IF(AND(IFERROR(VALUE(SUBSTITUTE(TRIM(Input!I823&amp;""),"%","")),0)&gt;0,IFERROR(VALUE(SUBSTITUTE(TRIM(Input!I823&amp;""),"%","")),0)&lt;1),1,100))</f>
        <v/>
      </c>
    </row>
    <row r="824" spans="1:8">
      <c r="A824" t="str">
        <f>IF(TRIM(Input!B824&amp;"")="","",UPPER(TRIM(Input!B824&amp;"")))</f>
        <v/>
      </c>
      <c r="B824" t="str">
        <f>IF(A824="","",IFERROR(VALUE(RIGHT(TRIM(Input!D824&amp;""),1)),0))</f>
        <v/>
      </c>
      <c r="C824" t="str">
        <f t="shared" si="12"/>
        <v/>
      </c>
      <c r="D824" t="str">
        <f>IF(A824="","",IFERROR(VALUE(SUBSTITUTE(TRIM(Input!E824&amp;""),"%","")),0)/IF(AND(IFERROR(VALUE(SUBSTITUTE(TRIM(Input!E824&amp;""),"%","")),0)&gt;0,IFERROR(VALUE(SUBSTITUTE(TRIM(Input!E824&amp;""),"%","")),0)&lt;1),1,100))</f>
        <v/>
      </c>
      <c r="E824" t="str">
        <f>IF(A824="","",IFERROR(VALUE(SUBSTITUTE(TRIM(Input!F824&amp;""),"%","")),0)/IF(AND(IFERROR(VALUE(SUBSTITUTE(TRIM(Input!F824&amp;""),"%","")),0)&gt;0,IFERROR(VALUE(SUBSTITUTE(TRIM(Input!F824&amp;""),"%","")),0)&lt;1),1,100))</f>
        <v/>
      </c>
      <c r="F824" t="str">
        <f>IF(A824="","",IFERROR(VALUE(SUBSTITUTE(TRIM(Input!G824&amp;""),"%","")),0)/IF(AND(IFERROR(VALUE(SUBSTITUTE(TRIM(Input!G824&amp;""),"%","")),0)&gt;0,IFERROR(VALUE(SUBSTITUTE(TRIM(Input!G824&amp;""),"%","")),0)&lt;1),1,100))</f>
        <v/>
      </c>
      <c r="G824" t="str">
        <f>IF(A824="","",IFERROR(VALUE(SUBSTITUTE(TRIM(Input!H824&amp;""),"%","")),0)/IF(AND(IFERROR(VALUE(SUBSTITUTE(TRIM(Input!H824&amp;""),"%","")),0)&gt;0,IFERROR(VALUE(SUBSTITUTE(TRIM(Input!H824&amp;""),"%","")),0)&lt;1),1,100))</f>
        <v/>
      </c>
      <c r="H824" t="str">
        <f>IF(A824="","",IFERROR(VALUE(SUBSTITUTE(TRIM(Input!I824&amp;""),"%","")),0)/IF(AND(IFERROR(VALUE(SUBSTITUTE(TRIM(Input!I824&amp;""),"%","")),0)&gt;0,IFERROR(VALUE(SUBSTITUTE(TRIM(Input!I824&amp;""),"%","")),0)&lt;1),1,100))</f>
        <v/>
      </c>
    </row>
    <row r="825" spans="1:8">
      <c r="A825" t="str">
        <f>IF(TRIM(Input!B825&amp;"")="","",UPPER(TRIM(Input!B825&amp;"")))</f>
        <v/>
      </c>
      <c r="B825" t="str">
        <f>IF(A825="","",IFERROR(VALUE(RIGHT(TRIM(Input!D825&amp;""),1)),0))</f>
        <v/>
      </c>
      <c r="C825" t="str">
        <f t="shared" si="12"/>
        <v/>
      </c>
      <c r="D825" t="str">
        <f>IF(A825="","",IFERROR(VALUE(SUBSTITUTE(TRIM(Input!E825&amp;""),"%","")),0)/IF(AND(IFERROR(VALUE(SUBSTITUTE(TRIM(Input!E825&amp;""),"%","")),0)&gt;0,IFERROR(VALUE(SUBSTITUTE(TRIM(Input!E825&amp;""),"%","")),0)&lt;1),1,100))</f>
        <v/>
      </c>
      <c r="E825" t="str">
        <f>IF(A825="","",IFERROR(VALUE(SUBSTITUTE(TRIM(Input!F825&amp;""),"%","")),0)/IF(AND(IFERROR(VALUE(SUBSTITUTE(TRIM(Input!F825&amp;""),"%","")),0)&gt;0,IFERROR(VALUE(SUBSTITUTE(TRIM(Input!F825&amp;""),"%","")),0)&lt;1),1,100))</f>
        <v/>
      </c>
      <c r="F825" t="str">
        <f>IF(A825="","",IFERROR(VALUE(SUBSTITUTE(TRIM(Input!G825&amp;""),"%","")),0)/IF(AND(IFERROR(VALUE(SUBSTITUTE(TRIM(Input!G825&amp;""),"%","")),0)&gt;0,IFERROR(VALUE(SUBSTITUTE(TRIM(Input!G825&amp;""),"%","")),0)&lt;1),1,100))</f>
        <v/>
      </c>
      <c r="G825" t="str">
        <f>IF(A825="","",IFERROR(VALUE(SUBSTITUTE(TRIM(Input!H825&amp;""),"%","")),0)/IF(AND(IFERROR(VALUE(SUBSTITUTE(TRIM(Input!H825&amp;""),"%","")),0)&gt;0,IFERROR(VALUE(SUBSTITUTE(TRIM(Input!H825&amp;""),"%","")),0)&lt;1),1,100))</f>
        <v/>
      </c>
      <c r="H825" t="str">
        <f>IF(A825="","",IFERROR(VALUE(SUBSTITUTE(TRIM(Input!I825&amp;""),"%","")),0)/IF(AND(IFERROR(VALUE(SUBSTITUTE(TRIM(Input!I825&amp;""),"%","")),0)&gt;0,IFERROR(VALUE(SUBSTITUTE(TRIM(Input!I825&amp;""),"%","")),0)&lt;1),1,100))</f>
        <v/>
      </c>
    </row>
    <row r="826" spans="1:8">
      <c r="A826" t="str">
        <f>IF(TRIM(Input!B826&amp;"")="","",UPPER(TRIM(Input!B826&amp;"")))</f>
        <v/>
      </c>
      <c r="B826" t="str">
        <f>IF(A826="","",IFERROR(VALUE(RIGHT(TRIM(Input!D826&amp;""),1)),0))</f>
        <v/>
      </c>
      <c r="C826" t="str">
        <f t="shared" si="12"/>
        <v/>
      </c>
      <c r="D826" t="str">
        <f>IF(A826="","",IFERROR(VALUE(SUBSTITUTE(TRIM(Input!E826&amp;""),"%","")),0)/IF(AND(IFERROR(VALUE(SUBSTITUTE(TRIM(Input!E826&amp;""),"%","")),0)&gt;0,IFERROR(VALUE(SUBSTITUTE(TRIM(Input!E826&amp;""),"%","")),0)&lt;1),1,100))</f>
        <v/>
      </c>
      <c r="E826" t="str">
        <f>IF(A826="","",IFERROR(VALUE(SUBSTITUTE(TRIM(Input!F826&amp;""),"%","")),0)/IF(AND(IFERROR(VALUE(SUBSTITUTE(TRIM(Input!F826&amp;""),"%","")),0)&gt;0,IFERROR(VALUE(SUBSTITUTE(TRIM(Input!F826&amp;""),"%","")),0)&lt;1),1,100))</f>
        <v/>
      </c>
      <c r="F826" t="str">
        <f>IF(A826="","",IFERROR(VALUE(SUBSTITUTE(TRIM(Input!G826&amp;""),"%","")),0)/IF(AND(IFERROR(VALUE(SUBSTITUTE(TRIM(Input!G826&amp;""),"%","")),0)&gt;0,IFERROR(VALUE(SUBSTITUTE(TRIM(Input!G826&amp;""),"%","")),0)&lt;1),1,100))</f>
        <v/>
      </c>
      <c r="G826" t="str">
        <f>IF(A826="","",IFERROR(VALUE(SUBSTITUTE(TRIM(Input!H826&amp;""),"%","")),0)/IF(AND(IFERROR(VALUE(SUBSTITUTE(TRIM(Input!H826&amp;""),"%","")),0)&gt;0,IFERROR(VALUE(SUBSTITUTE(TRIM(Input!H826&amp;""),"%","")),0)&lt;1),1,100))</f>
        <v/>
      </c>
      <c r="H826" t="str">
        <f>IF(A826="","",IFERROR(VALUE(SUBSTITUTE(TRIM(Input!I826&amp;""),"%","")),0)/IF(AND(IFERROR(VALUE(SUBSTITUTE(TRIM(Input!I826&amp;""),"%","")),0)&gt;0,IFERROR(VALUE(SUBSTITUTE(TRIM(Input!I826&amp;""),"%","")),0)&lt;1),1,100))</f>
        <v/>
      </c>
    </row>
    <row r="827" spans="1:8">
      <c r="A827" t="str">
        <f>IF(TRIM(Input!B827&amp;"")="","",UPPER(TRIM(Input!B827&amp;"")))</f>
        <v/>
      </c>
      <c r="B827" t="str">
        <f>IF(A827="","",IFERROR(VALUE(RIGHT(TRIM(Input!D827&amp;""),1)),0))</f>
        <v/>
      </c>
      <c r="C827" t="str">
        <f t="shared" si="12"/>
        <v/>
      </c>
      <c r="D827" t="str">
        <f>IF(A827="","",IFERROR(VALUE(SUBSTITUTE(TRIM(Input!E827&amp;""),"%","")),0)/IF(AND(IFERROR(VALUE(SUBSTITUTE(TRIM(Input!E827&amp;""),"%","")),0)&gt;0,IFERROR(VALUE(SUBSTITUTE(TRIM(Input!E827&amp;""),"%","")),0)&lt;1),1,100))</f>
        <v/>
      </c>
      <c r="E827" t="str">
        <f>IF(A827="","",IFERROR(VALUE(SUBSTITUTE(TRIM(Input!F827&amp;""),"%","")),0)/IF(AND(IFERROR(VALUE(SUBSTITUTE(TRIM(Input!F827&amp;""),"%","")),0)&gt;0,IFERROR(VALUE(SUBSTITUTE(TRIM(Input!F827&amp;""),"%","")),0)&lt;1),1,100))</f>
        <v/>
      </c>
      <c r="F827" t="str">
        <f>IF(A827="","",IFERROR(VALUE(SUBSTITUTE(TRIM(Input!G827&amp;""),"%","")),0)/IF(AND(IFERROR(VALUE(SUBSTITUTE(TRIM(Input!G827&amp;""),"%","")),0)&gt;0,IFERROR(VALUE(SUBSTITUTE(TRIM(Input!G827&amp;""),"%","")),0)&lt;1),1,100))</f>
        <v/>
      </c>
      <c r="G827" t="str">
        <f>IF(A827="","",IFERROR(VALUE(SUBSTITUTE(TRIM(Input!H827&amp;""),"%","")),0)/IF(AND(IFERROR(VALUE(SUBSTITUTE(TRIM(Input!H827&amp;""),"%","")),0)&gt;0,IFERROR(VALUE(SUBSTITUTE(TRIM(Input!H827&amp;""),"%","")),0)&lt;1),1,100))</f>
        <v/>
      </c>
      <c r="H827" t="str">
        <f>IF(A827="","",IFERROR(VALUE(SUBSTITUTE(TRIM(Input!I827&amp;""),"%","")),0)/IF(AND(IFERROR(VALUE(SUBSTITUTE(TRIM(Input!I827&amp;""),"%","")),0)&gt;0,IFERROR(VALUE(SUBSTITUTE(TRIM(Input!I827&amp;""),"%","")),0)&lt;1),1,100))</f>
        <v/>
      </c>
    </row>
    <row r="828" spans="1:8">
      <c r="A828" t="str">
        <f>IF(TRIM(Input!B828&amp;"")="","",UPPER(TRIM(Input!B828&amp;"")))</f>
        <v/>
      </c>
      <c r="B828" t="str">
        <f>IF(A828="","",IFERROR(VALUE(RIGHT(TRIM(Input!D828&amp;""),1)),0))</f>
        <v/>
      </c>
      <c r="C828" t="str">
        <f t="shared" si="12"/>
        <v/>
      </c>
      <c r="D828" t="str">
        <f>IF(A828="","",IFERROR(VALUE(SUBSTITUTE(TRIM(Input!E828&amp;""),"%","")),0)/IF(AND(IFERROR(VALUE(SUBSTITUTE(TRIM(Input!E828&amp;""),"%","")),0)&gt;0,IFERROR(VALUE(SUBSTITUTE(TRIM(Input!E828&amp;""),"%","")),0)&lt;1),1,100))</f>
        <v/>
      </c>
      <c r="E828" t="str">
        <f>IF(A828="","",IFERROR(VALUE(SUBSTITUTE(TRIM(Input!F828&amp;""),"%","")),0)/IF(AND(IFERROR(VALUE(SUBSTITUTE(TRIM(Input!F828&amp;""),"%","")),0)&gt;0,IFERROR(VALUE(SUBSTITUTE(TRIM(Input!F828&amp;""),"%","")),0)&lt;1),1,100))</f>
        <v/>
      </c>
      <c r="F828" t="str">
        <f>IF(A828="","",IFERROR(VALUE(SUBSTITUTE(TRIM(Input!G828&amp;""),"%","")),0)/IF(AND(IFERROR(VALUE(SUBSTITUTE(TRIM(Input!G828&amp;""),"%","")),0)&gt;0,IFERROR(VALUE(SUBSTITUTE(TRIM(Input!G828&amp;""),"%","")),0)&lt;1),1,100))</f>
        <v/>
      </c>
      <c r="G828" t="str">
        <f>IF(A828="","",IFERROR(VALUE(SUBSTITUTE(TRIM(Input!H828&amp;""),"%","")),0)/IF(AND(IFERROR(VALUE(SUBSTITUTE(TRIM(Input!H828&amp;""),"%","")),0)&gt;0,IFERROR(VALUE(SUBSTITUTE(TRIM(Input!H828&amp;""),"%","")),0)&lt;1),1,100))</f>
        <v/>
      </c>
      <c r="H828" t="str">
        <f>IF(A828="","",IFERROR(VALUE(SUBSTITUTE(TRIM(Input!I828&amp;""),"%","")),0)/IF(AND(IFERROR(VALUE(SUBSTITUTE(TRIM(Input!I828&amp;""),"%","")),0)&gt;0,IFERROR(VALUE(SUBSTITUTE(TRIM(Input!I828&amp;""),"%","")),0)&lt;1),1,100))</f>
        <v/>
      </c>
    </row>
    <row r="829" spans="1:8">
      <c r="A829" t="str">
        <f>IF(TRIM(Input!B829&amp;"")="","",UPPER(TRIM(Input!B829&amp;"")))</f>
        <v/>
      </c>
      <c r="B829" t="str">
        <f>IF(A829="","",IFERROR(VALUE(RIGHT(TRIM(Input!D829&amp;""),1)),0))</f>
        <v/>
      </c>
      <c r="C829" t="str">
        <f t="shared" si="12"/>
        <v/>
      </c>
      <c r="D829" t="str">
        <f>IF(A829="","",IFERROR(VALUE(SUBSTITUTE(TRIM(Input!E829&amp;""),"%","")),0)/IF(AND(IFERROR(VALUE(SUBSTITUTE(TRIM(Input!E829&amp;""),"%","")),0)&gt;0,IFERROR(VALUE(SUBSTITUTE(TRIM(Input!E829&amp;""),"%","")),0)&lt;1),1,100))</f>
        <v/>
      </c>
      <c r="E829" t="str">
        <f>IF(A829="","",IFERROR(VALUE(SUBSTITUTE(TRIM(Input!F829&amp;""),"%","")),0)/IF(AND(IFERROR(VALUE(SUBSTITUTE(TRIM(Input!F829&amp;""),"%","")),0)&gt;0,IFERROR(VALUE(SUBSTITUTE(TRIM(Input!F829&amp;""),"%","")),0)&lt;1),1,100))</f>
        <v/>
      </c>
      <c r="F829" t="str">
        <f>IF(A829="","",IFERROR(VALUE(SUBSTITUTE(TRIM(Input!G829&amp;""),"%","")),0)/IF(AND(IFERROR(VALUE(SUBSTITUTE(TRIM(Input!G829&amp;""),"%","")),0)&gt;0,IFERROR(VALUE(SUBSTITUTE(TRIM(Input!G829&amp;""),"%","")),0)&lt;1),1,100))</f>
        <v/>
      </c>
      <c r="G829" t="str">
        <f>IF(A829="","",IFERROR(VALUE(SUBSTITUTE(TRIM(Input!H829&amp;""),"%","")),0)/IF(AND(IFERROR(VALUE(SUBSTITUTE(TRIM(Input!H829&amp;""),"%","")),0)&gt;0,IFERROR(VALUE(SUBSTITUTE(TRIM(Input!H829&amp;""),"%","")),0)&lt;1),1,100))</f>
        <v/>
      </c>
      <c r="H829" t="str">
        <f>IF(A829="","",IFERROR(VALUE(SUBSTITUTE(TRIM(Input!I829&amp;""),"%","")),0)/IF(AND(IFERROR(VALUE(SUBSTITUTE(TRIM(Input!I829&amp;""),"%","")),0)&gt;0,IFERROR(VALUE(SUBSTITUTE(TRIM(Input!I829&amp;""),"%","")),0)&lt;1),1,100))</f>
        <v/>
      </c>
    </row>
    <row r="830" spans="1:8">
      <c r="A830" t="str">
        <f>IF(TRIM(Input!B830&amp;"")="","",UPPER(TRIM(Input!B830&amp;"")))</f>
        <v/>
      </c>
      <c r="B830" t="str">
        <f>IF(A830="","",IFERROR(VALUE(RIGHT(TRIM(Input!D830&amp;""),1)),0))</f>
        <v/>
      </c>
      <c r="C830" t="str">
        <f t="shared" si="12"/>
        <v/>
      </c>
      <c r="D830" t="str">
        <f>IF(A830="","",IFERROR(VALUE(SUBSTITUTE(TRIM(Input!E830&amp;""),"%","")),0)/IF(AND(IFERROR(VALUE(SUBSTITUTE(TRIM(Input!E830&amp;""),"%","")),0)&gt;0,IFERROR(VALUE(SUBSTITUTE(TRIM(Input!E830&amp;""),"%","")),0)&lt;1),1,100))</f>
        <v/>
      </c>
      <c r="E830" t="str">
        <f>IF(A830="","",IFERROR(VALUE(SUBSTITUTE(TRIM(Input!F830&amp;""),"%","")),0)/IF(AND(IFERROR(VALUE(SUBSTITUTE(TRIM(Input!F830&amp;""),"%","")),0)&gt;0,IFERROR(VALUE(SUBSTITUTE(TRIM(Input!F830&amp;""),"%","")),0)&lt;1),1,100))</f>
        <v/>
      </c>
      <c r="F830" t="str">
        <f>IF(A830="","",IFERROR(VALUE(SUBSTITUTE(TRIM(Input!G830&amp;""),"%","")),0)/IF(AND(IFERROR(VALUE(SUBSTITUTE(TRIM(Input!G830&amp;""),"%","")),0)&gt;0,IFERROR(VALUE(SUBSTITUTE(TRIM(Input!G830&amp;""),"%","")),0)&lt;1),1,100))</f>
        <v/>
      </c>
      <c r="G830" t="str">
        <f>IF(A830="","",IFERROR(VALUE(SUBSTITUTE(TRIM(Input!H830&amp;""),"%","")),0)/IF(AND(IFERROR(VALUE(SUBSTITUTE(TRIM(Input!H830&amp;""),"%","")),0)&gt;0,IFERROR(VALUE(SUBSTITUTE(TRIM(Input!H830&amp;""),"%","")),0)&lt;1),1,100))</f>
        <v/>
      </c>
      <c r="H830" t="str">
        <f>IF(A830="","",IFERROR(VALUE(SUBSTITUTE(TRIM(Input!I830&amp;""),"%","")),0)/IF(AND(IFERROR(VALUE(SUBSTITUTE(TRIM(Input!I830&amp;""),"%","")),0)&gt;0,IFERROR(VALUE(SUBSTITUTE(TRIM(Input!I830&amp;""),"%","")),0)&lt;1),1,100))</f>
        <v/>
      </c>
    </row>
    <row r="831" spans="1:8">
      <c r="A831" t="str">
        <f>IF(TRIM(Input!B831&amp;"")="","",UPPER(TRIM(Input!B831&amp;"")))</f>
        <v/>
      </c>
      <c r="B831" t="str">
        <f>IF(A831="","",IFERROR(VALUE(RIGHT(TRIM(Input!D831&amp;""),1)),0))</f>
        <v/>
      </c>
      <c r="C831" t="str">
        <f t="shared" si="12"/>
        <v/>
      </c>
      <c r="D831" t="str">
        <f>IF(A831="","",IFERROR(VALUE(SUBSTITUTE(TRIM(Input!E831&amp;""),"%","")),0)/IF(AND(IFERROR(VALUE(SUBSTITUTE(TRIM(Input!E831&amp;""),"%","")),0)&gt;0,IFERROR(VALUE(SUBSTITUTE(TRIM(Input!E831&amp;""),"%","")),0)&lt;1),1,100))</f>
        <v/>
      </c>
      <c r="E831" t="str">
        <f>IF(A831="","",IFERROR(VALUE(SUBSTITUTE(TRIM(Input!F831&amp;""),"%","")),0)/IF(AND(IFERROR(VALUE(SUBSTITUTE(TRIM(Input!F831&amp;""),"%","")),0)&gt;0,IFERROR(VALUE(SUBSTITUTE(TRIM(Input!F831&amp;""),"%","")),0)&lt;1),1,100))</f>
        <v/>
      </c>
      <c r="F831" t="str">
        <f>IF(A831="","",IFERROR(VALUE(SUBSTITUTE(TRIM(Input!G831&amp;""),"%","")),0)/IF(AND(IFERROR(VALUE(SUBSTITUTE(TRIM(Input!G831&amp;""),"%","")),0)&gt;0,IFERROR(VALUE(SUBSTITUTE(TRIM(Input!G831&amp;""),"%","")),0)&lt;1),1,100))</f>
        <v/>
      </c>
      <c r="G831" t="str">
        <f>IF(A831="","",IFERROR(VALUE(SUBSTITUTE(TRIM(Input!H831&amp;""),"%","")),0)/IF(AND(IFERROR(VALUE(SUBSTITUTE(TRIM(Input!H831&amp;""),"%","")),0)&gt;0,IFERROR(VALUE(SUBSTITUTE(TRIM(Input!H831&amp;""),"%","")),0)&lt;1),1,100))</f>
        <v/>
      </c>
      <c r="H831" t="str">
        <f>IF(A831="","",IFERROR(VALUE(SUBSTITUTE(TRIM(Input!I831&amp;""),"%","")),0)/IF(AND(IFERROR(VALUE(SUBSTITUTE(TRIM(Input!I831&amp;""),"%","")),0)&gt;0,IFERROR(VALUE(SUBSTITUTE(TRIM(Input!I831&amp;""),"%","")),0)&lt;1),1,100))</f>
        <v/>
      </c>
    </row>
    <row r="832" spans="1:8">
      <c r="A832" t="str">
        <f>IF(TRIM(Input!B832&amp;"")="","",UPPER(TRIM(Input!B832&amp;"")))</f>
        <v/>
      </c>
      <c r="B832" t="str">
        <f>IF(A832="","",IFERROR(VALUE(RIGHT(TRIM(Input!D832&amp;""),1)),0))</f>
        <v/>
      </c>
      <c r="C832" t="str">
        <f t="shared" si="12"/>
        <v/>
      </c>
      <c r="D832" t="str">
        <f>IF(A832="","",IFERROR(VALUE(SUBSTITUTE(TRIM(Input!E832&amp;""),"%","")),0)/IF(AND(IFERROR(VALUE(SUBSTITUTE(TRIM(Input!E832&amp;""),"%","")),0)&gt;0,IFERROR(VALUE(SUBSTITUTE(TRIM(Input!E832&amp;""),"%","")),0)&lt;1),1,100))</f>
        <v/>
      </c>
      <c r="E832" t="str">
        <f>IF(A832="","",IFERROR(VALUE(SUBSTITUTE(TRIM(Input!F832&amp;""),"%","")),0)/IF(AND(IFERROR(VALUE(SUBSTITUTE(TRIM(Input!F832&amp;""),"%","")),0)&gt;0,IFERROR(VALUE(SUBSTITUTE(TRIM(Input!F832&amp;""),"%","")),0)&lt;1),1,100))</f>
        <v/>
      </c>
      <c r="F832" t="str">
        <f>IF(A832="","",IFERROR(VALUE(SUBSTITUTE(TRIM(Input!G832&amp;""),"%","")),0)/IF(AND(IFERROR(VALUE(SUBSTITUTE(TRIM(Input!G832&amp;""),"%","")),0)&gt;0,IFERROR(VALUE(SUBSTITUTE(TRIM(Input!G832&amp;""),"%","")),0)&lt;1),1,100))</f>
        <v/>
      </c>
      <c r="G832" t="str">
        <f>IF(A832="","",IFERROR(VALUE(SUBSTITUTE(TRIM(Input!H832&amp;""),"%","")),0)/IF(AND(IFERROR(VALUE(SUBSTITUTE(TRIM(Input!H832&amp;""),"%","")),0)&gt;0,IFERROR(VALUE(SUBSTITUTE(TRIM(Input!H832&amp;""),"%","")),0)&lt;1),1,100))</f>
        <v/>
      </c>
      <c r="H832" t="str">
        <f>IF(A832="","",IFERROR(VALUE(SUBSTITUTE(TRIM(Input!I832&amp;""),"%","")),0)/IF(AND(IFERROR(VALUE(SUBSTITUTE(TRIM(Input!I832&amp;""),"%","")),0)&gt;0,IFERROR(VALUE(SUBSTITUTE(TRIM(Input!I832&amp;""),"%","")),0)&lt;1),1,100))</f>
        <v/>
      </c>
    </row>
    <row r="833" spans="1:8">
      <c r="A833" t="str">
        <f>IF(TRIM(Input!B833&amp;"")="","",UPPER(TRIM(Input!B833&amp;"")))</f>
        <v/>
      </c>
      <c r="B833" t="str">
        <f>IF(A833="","",IFERROR(VALUE(RIGHT(TRIM(Input!D833&amp;""),1)),0))</f>
        <v/>
      </c>
      <c r="C833" t="str">
        <f t="shared" si="12"/>
        <v/>
      </c>
      <c r="D833" t="str">
        <f>IF(A833="","",IFERROR(VALUE(SUBSTITUTE(TRIM(Input!E833&amp;""),"%","")),0)/IF(AND(IFERROR(VALUE(SUBSTITUTE(TRIM(Input!E833&amp;""),"%","")),0)&gt;0,IFERROR(VALUE(SUBSTITUTE(TRIM(Input!E833&amp;""),"%","")),0)&lt;1),1,100))</f>
        <v/>
      </c>
      <c r="E833" t="str">
        <f>IF(A833="","",IFERROR(VALUE(SUBSTITUTE(TRIM(Input!F833&amp;""),"%","")),0)/IF(AND(IFERROR(VALUE(SUBSTITUTE(TRIM(Input!F833&amp;""),"%","")),0)&gt;0,IFERROR(VALUE(SUBSTITUTE(TRIM(Input!F833&amp;""),"%","")),0)&lt;1),1,100))</f>
        <v/>
      </c>
      <c r="F833" t="str">
        <f>IF(A833="","",IFERROR(VALUE(SUBSTITUTE(TRIM(Input!G833&amp;""),"%","")),0)/IF(AND(IFERROR(VALUE(SUBSTITUTE(TRIM(Input!G833&amp;""),"%","")),0)&gt;0,IFERROR(VALUE(SUBSTITUTE(TRIM(Input!G833&amp;""),"%","")),0)&lt;1),1,100))</f>
        <v/>
      </c>
      <c r="G833" t="str">
        <f>IF(A833="","",IFERROR(VALUE(SUBSTITUTE(TRIM(Input!H833&amp;""),"%","")),0)/IF(AND(IFERROR(VALUE(SUBSTITUTE(TRIM(Input!H833&amp;""),"%","")),0)&gt;0,IFERROR(VALUE(SUBSTITUTE(TRIM(Input!H833&amp;""),"%","")),0)&lt;1),1,100))</f>
        <v/>
      </c>
      <c r="H833" t="str">
        <f>IF(A833="","",IFERROR(VALUE(SUBSTITUTE(TRIM(Input!I833&amp;""),"%","")),0)/IF(AND(IFERROR(VALUE(SUBSTITUTE(TRIM(Input!I833&amp;""),"%","")),0)&gt;0,IFERROR(VALUE(SUBSTITUTE(TRIM(Input!I833&amp;""),"%","")),0)&lt;1),1,100))</f>
        <v/>
      </c>
    </row>
    <row r="834" spans="1:8">
      <c r="A834" t="str">
        <f>IF(TRIM(Input!B834&amp;"")="","",UPPER(TRIM(Input!B834&amp;"")))</f>
        <v/>
      </c>
      <c r="B834" t="str">
        <f>IF(A834="","",IFERROR(VALUE(RIGHT(TRIM(Input!D834&amp;""),1)),0))</f>
        <v/>
      </c>
      <c r="C834" t="str">
        <f t="shared" ref="C834:C897" si="13">IF(A834="","",A834&amp;"|"&amp;B834)</f>
        <v/>
      </c>
      <c r="D834" t="str">
        <f>IF(A834="","",IFERROR(VALUE(SUBSTITUTE(TRIM(Input!E834&amp;""),"%","")),0)/IF(AND(IFERROR(VALUE(SUBSTITUTE(TRIM(Input!E834&amp;""),"%","")),0)&gt;0,IFERROR(VALUE(SUBSTITUTE(TRIM(Input!E834&amp;""),"%","")),0)&lt;1),1,100))</f>
        <v/>
      </c>
      <c r="E834" t="str">
        <f>IF(A834="","",IFERROR(VALUE(SUBSTITUTE(TRIM(Input!F834&amp;""),"%","")),0)/IF(AND(IFERROR(VALUE(SUBSTITUTE(TRIM(Input!F834&amp;""),"%","")),0)&gt;0,IFERROR(VALUE(SUBSTITUTE(TRIM(Input!F834&amp;""),"%","")),0)&lt;1),1,100))</f>
        <v/>
      </c>
      <c r="F834" t="str">
        <f>IF(A834="","",IFERROR(VALUE(SUBSTITUTE(TRIM(Input!G834&amp;""),"%","")),0)/IF(AND(IFERROR(VALUE(SUBSTITUTE(TRIM(Input!G834&amp;""),"%","")),0)&gt;0,IFERROR(VALUE(SUBSTITUTE(TRIM(Input!G834&amp;""),"%","")),0)&lt;1),1,100))</f>
        <v/>
      </c>
      <c r="G834" t="str">
        <f>IF(A834="","",IFERROR(VALUE(SUBSTITUTE(TRIM(Input!H834&amp;""),"%","")),0)/IF(AND(IFERROR(VALUE(SUBSTITUTE(TRIM(Input!H834&amp;""),"%","")),0)&gt;0,IFERROR(VALUE(SUBSTITUTE(TRIM(Input!H834&amp;""),"%","")),0)&lt;1),1,100))</f>
        <v/>
      </c>
      <c r="H834" t="str">
        <f>IF(A834="","",IFERROR(VALUE(SUBSTITUTE(TRIM(Input!I834&amp;""),"%","")),0)/IF(AND(IFERROR(VALUE(SUBSTITUTE(TRIM(Input!I834&amp;""),"%","")),0)&gt;0,IFERROR(VALUE(SUBSTITUTE(TRIM(Input!I834&amp;""),"%","")),0)&lt;1),1,100))</f>
        <v/>
      </c>
    </row>
    <row r="835" spans="1:8">
      <c r="A835" t="str">
        <f>IF(TRIM(Input!B835&amp;"")="","",UPPER(TRIM(Input!B835&amp;"")))</f>
        <v/>
      </c>
      <c r="B835" t="str">
        <f>IF(A835="","",IFERROR(VALUE(RIGHT(TRIM(Input!D835&amp;""),1)),0))</f>
        <v/>
      </c>
      <c r="C835" t="str">
        <f t="shared" si="13"/>
        <v/>
      </c>
      <c r="D835" t="str">
        <f>IF(A835="","",IFERROR(VALUE(SUBSTITUTE(TRIM(Input!E835&amp;""),"%","")),0)/IF(AND(IFERROR(VALUE(SUBSTITUTE(TRIM(Input!E835&amp;""),"%","")),0)&gt;0,IFERROR(VALUE(SUBSTITUTE(TRIM(Input!E835&amp;""),"%","")),0)&lt;1),1,100))</f>
        <v/>
      </c>
      <c r="E835" t="str">
        <f>IF(A835="","",IFERROR(VALUE(SUBSTITUTE(TRIM(Input!F835&amp;""),"%","")),0)/IF(AND(IFERROR(VALUE(SUBSTITUTE(TRIM(Input!F835&amp;""),"%","")),0)&gt;0,IFERROR(VALUE(SUBSTITUTE(TRIM(Input!F835&amp;""),"%","")),0)&lt;1),1,100))</f>
        <v/>
      </c>
      <c r="F835" t="str">
        <f>IF(A835="","",IFERROR(VALUE(SUBSTITUTE(TRIM(Input!G835&amp;""),"%","")),0)/IF(AND(IFERROR(VALUE(SUBSTITUTE(TRIM(Input!G835&amp;""),"%","")),0)&gt;0,IFERROR(VALUE(SUBSTITUTE(TRIM(Input!G835&amp;""),"%","")),0)&lt;1),1,100))</f>
        <v/>
      </c>
      <c r="G835" t="str">
        <f>IF(A835="","",IFERROR(VALUE(SUBSTITUTE(TRIM(Input!H835&amp;""),"%","")),0)/IF(AND(IFERROR(VALUE(SUBSTITUTE(TRIM(Input!H835&amp;""),"%","")),0)&gt;0,IFERROR(VALUE(SUBSTITUTE(TRIM(Input!H835&amp;""),"%","")),0)&lt;1),1,100))</f>
        <v/>
      </c>
      <c r="H835" t="str">
        <f>IF(A835="","",IFERROR(VALUE(SUBSTITUTE(TRIM(Input!I835&amp;""),"%","")),0)/IF(AND(IFERROR(VALUE(SUBSTITUTE(TRIM(Input!I835&amp;""),"%","")),0)&gt;0,IFERROR(VALUE(SUBSTITUTE(TRIM(Input!I835&amp;""),"%","")),0)&lt;1),1,100))</f>
        <v/>
      </c>
    </row>
    <row r="836" spans="1:8">
      <c r="A836" t="str">
        <f>IF(TRIM(Input!B836&amp;"")="","",UPPER(TRIM(Input!B836&amp;"")))</f>
        <v/>
      </c>
      <c r="B836" t="str">
        <f>IF(A836="","",IFERROR(VALUE(RIGHT(TRIM(Input!D836&amp;""),1)),0))</f>
        <v/>
      </c>
      <c r="C836" t="str">
        <f t="shared" si="13"/>
        <v/>
      </c>
      <c r="D836" t="str">
        <f>IF(A836="","",IFERROR(VALUE(SUBSTITUTE(TRIM(Input!E836&amp;""),"%","")),0)/IF(AND(IFERROR(VALUE(SUBSTITUTE(TRIM(Input!E836&amp;""),"%","")),0)&gt;0,IFERROR(VALUE(SUBSTITUTE(TRIM(Input!E836&amp;""),"%","")),0)&lt;1),1,100))</f>
        <v/>
      </c>
      <c r="E836" t="str">
        <f>IF(A836="","",IFERROR(VALUE(SUBSTITUTE(TRIM(Input!F836&amp;""),"%","")),0)/IF(AND(IFERROR(VALUE(SUBSTITUTE(TRIM(Input!F836&amp;""),"%","")),0)&gt;0,IFERROR(VALUE(SUBSTITUTE(TRIM(Input!F836&amp;""),"%","")),0)&lt;1),1,100))</f>
        <v/>
      </c>
      <c r="F836" t="str">
        <f>IF(A836="","",IFERROR(VALUE(SUBSTITUTE(TRIM(Input!G836&amp;""),"%","")),0)/IF(AND(IFERROR(VALUE(SUBSTITUTE(TRIM(Input!G836&amp;""),"%","")),0)&gt;0,IFERROR(VALUE(SUBSTITUTE(TRIM(Input!G836&amp;""),"%","")),0)&lt;1),1,100))</f>
        <v/>
      </c>
      <c r="G836" t="str">
        <f>IF(A836="","",IFERROR(VALUE(SUBSTITUTE(TRIM(Input!H836&amp;""),"%","")),0)/IF(AND(IFERROR(VALUE(SUBSTITUTE(TRIM(Input!H836&amp;""),"%","")),0)&gt;0,IFERROR(VALUE(SUBSTITUTE(TRIM(Input!H836&amp;""),"%","")),0)&lt;1),1,100))</f>
        <v/>
      </c>
      <c r="H836" t="str">
        <f>IF(A836="","",IFERROR(VALUE(SUBSTITUTE(TRIM(Input!I836&amp;""),"%","")),0)/IF(AND(IFERROR(VALUE(SUBSTITUTE(TRIM(Input!I836&amp;""),"%","")),0)&gt;0,IFERROR(VALUE(SUBSTITUTE(TRIM(Input!I836&amp;""),"%","")),0)&lt;1),1,100))</f>
        <v/>
      </c>
    </row>
    <row r="837" spans="1:8">
      <c r="A837" t="str">
        <f>IF(TRIM(Input!B837&amp;"")="","",UPPER(TRIM(Input!B837&amp;"")))</f>
        <v/>
      </c>
      <c r="B837" t="str">
        <f>IF(A837="","",IFERROR(VALUE(RIGHT(TRIM(Input!D837&amp;""),1)),0))</f>
        <v/>
      </c>
      <c r="C837" t="str">
        <f t="shared" si="13"/>
        <v/>
      </c>
      <c r="D837" t="str">
        <f>IF(A837="","",IFERROR(VALUE(SUBSTITUTE(TRIM(Input!E837&amp;""),"%","")),0)/IF(AND(IFERROR(VALUE(SUBSTITUTE(TRIM(Input!E837&amp;""),"%","")),0)&gt;0,IFERROR(VALUE(SUBSTITUTE(TRIM(Input!E837&amp;""),"%","")),0)&lt;1),1,100))</f>
        <v/>
      </c>
      <c r="E837" t="str">
        <f>IF(A837="","",IFERROR(VALUE(SUBSTITUTE(TRIM(Input!F837&amp;""),"%","")),0)/IF(AND(IFERROR(VALUE(SUBSTITUTE(TRIM(Input!F837&amp;""),"%","")),0)&gt;0,IFERROR(VALUE(SUBSTITUTE(TRIM(Input!F837&amp;""),"%","")),0)&lt;1),1,100))</f>
        <v/>
      </c>
      <c r="F837" t="str">
        <f>IF(A837="","",IFERROR(VALUE(SUBSTITUTE(TRIM(Input!G837&amp;""),"%","")),0)/IF(AND(IFERROR(VALUE(SUBSTITUTE(TRIM(Input!G837&amp;""),"%","")),0)&gt;0,IFERROR(VALUE(SUBSTITUTE(TRIM(Input!G837&amp;""),"%","")),0)&lt;1),1,100))</f>
        <v/>
      </c>
      <c r="G837" t="str">
        <f>IF(A837="","",IFERROR(VALUE(SUBSTITUTE(TRIM(Input!H837&amp;""),"%","")),0)/IF(AND(IFERROR(VALUE(SUBSTITUTE(TRIM(Input!H837&amp;""),"%","")),0)&gt;0,IFERROR(VALUE(SUBSTITUTE(TRIM(Input!H837&amp;""),"%","")),0)&lt;1),1,100))</f>
        <v/>
      </c>
      <c r="H837" t="str">
        <f>IF(A837="","",IFERROR(VALUE(SUBSTITUTE(TRIM(Input!I837&amp;""),"%","")),0)/IF(AND(IFERROR(VALUE(SUBSTITUTE(TRIM(Input!I837&amp;""),"%","")),0)&gt;0,IFERROR(VALUE(SUBSTITUTE(TRIM(Input!I837&amp;""),"%","")),0)&lt;1),1,100))</f>
        <v/>
      </c>
    </row>
    <row r="838" spans="1:8">
      <c r="A838" t="str">
        <f>IF(TRIM(Input!B838&amp;"")="","",UPPER(TRIM(Input!B838&amp;"")))</f>
        <v/>
      </c>
      <c r="B838" t="str">
        <f>IF(A838="","",IFERROR(VALUE(RIGHT(TRIM(Input!D838&amp;""),1)),0))</f>
        <v/>
      </c>
      <c r="C838" t="str">
        <f t="shared" si="13"/>
        <v/>
      </c>
      <c r="D838" t="str">
        <f>IF(A838="","",IFERROR(VALUE(SUBSTITUTE(TRIM(Input!E838&amp;""),"%","")),0)/IF(AND(IFERROR(VALUE(SUBSTITUTE(TRIM(Input!E838&amp;""),"%","")),0)&gt;0,IFERROR(VALUE(SUBSTITUTE(TRIM(Input!E838&amp;""),"%","")),0)&lt;1),1,100))</f>
        <v/>
      </c>
      <c r="E838" t="str">
        <f>IF(A838="","",IFERROR(VALUE(SUBSTITUTE(TRIM(Input!F838&amp;""),"%","")),0)/IF(AND(IFERROR(VALUE(SUBSTITUTE(TRIM(Input!F838&amp;""),"%","")),0)&gt;0,IFERROR(VALUE(SUBSTITUTE(TRIM(Input!F838&amp;""),"%","")),0)&lt;1),1,100))</f>
        <v/>
      </c>
      <c r="F838" t="str">
        <f>IF(A838="","",IFERROR(VALUE(SUBSTITUTE(TRIM(Input!G838&amp;""),"%","")),0)/IF(AND(IFERROR(VALUE(SUBSTITUTE(TRIM(Input!G838&amp;""),"%","")),0)&gt;0,IFERROR(VALUE(SUBSTITUTE(TRIM(Input!G838&amp;""),"%","")),0)&lt;1),1,100))</f>
        <v/>
      </c>
      <c r="G838" t="str">
        <f>IF(A838="","",IFERROR(VALUE(SUBSTITUTE(TRIM(Input!H838&amp;""),"%","")),0)/IF(AND(IFERROR(VALUE(SUBSTITUTE(TRIM(Input!H838&amp;""),"%","")),0)&gt;0,IFERROR(VALUE(SUBSTITUTE(TRIM(Input!H838&amp;""),"%","")),0)&lt;1),1,100))</f>
        <v/>
      </c>
      <c r="H838" t="str">
        <f>IF(A838="","",IFERROR(VALUE(SUBSTITUTE(TRIM(Input!I838&amp;""),"%","")),0)/IF(AND(IFERROR(VALUE(SUBSTITUTE(TRIM(Input!I838&amp;""),"%","")),0)&gt;0,IFERROR(VALUE(SUBSTITUTE(TRIM(Input!I838&amp;""),"%","")),0)&lt;1),1,100))</f>
        <v/>
      </c>
    </row>
    <row r="839" spans="1:8">
      <c r="A839" t="str">
        <f>IF(TRIM(Input!B839&amp;"")="","",UPPER(TRIM(Input!B839&amp;"")))</f>
        <v/>
      </c>
      <c r="B839" t="str">
        <f>IF(A839="","",IFERROR(VALUE(RIGHT(TRIM(Input!D839&amp;""),1)),0))</f>
        <v/>
      </c>
      <c r="C839" t="str">
        <f t="shared" si="13"/>
        <v/>
      </c>
      <c r="D839" t="str">
        <f>IF(A839="","",IFERROR(VALUE(SUBSTITUTE(TRIM(Input!E839&amp;""),"%","")),0)/IF(AND(IFERROR(VALUE(SUBSTITUTE(TRIM(Input!E839&amp;""),"%","")),0)&gt;0,IFERROR(VALUE(SUBSTITUTE(TRIM(Input!E839&amp;""),"%","")),0)&lt;1),1,100))</f>
        <v/>
      </c>
      <c r="E839" t="str">
        <f>IF(A839="","",IFERROR(VALUE(SUBSTITUTE(TRIM(Input!F839&amp;""),"%","")),0)/IF(AND(IFERROR(VALUE(SUBSTITUTE(TRIM(Input!F839&amp;""),"%","")),0)&gt;0,IFERROR(VALUE(SUBSTITUTE(TRIM(Input!F839&amp;""),"%","")),0)&lt;1),1,100))</f>
        <v/>
      </c>
      <c r="F839" t="str">
        <f>IF(A839="","",IFERROR(VALUE(SUBSTITUTE(TRIM(Input!G839&amp;""),"%","")),0)/IF(AND(IFERROR(VALUE(SUBSTITUTE(TRIM(Input!G839&amp;""),"%","")),0)&gt;0,IFERROR(VALUE(SUBSTITUTE(TRIM(Input!G839&amp;""),"%","")),0)&lt;1),1,100))</f>
        <v/>
      </c>
      <c r="G839" t="str">
        <f>IF(A839="","",IFERROR(VALUE(SUBSTITUTE(TRIM(Input!H839&amp;""),"%","")),0)/IF(AND(IFERROR(VALUE(SUBSTITUTE(TRIM(Input!H839&amp;""),"%","")),0)&gt;0,IFERROR(VALUE(SUBSTITUTE(TRIM(Input!H839&amp;""),"%","")),0)&lt;1),1,100))</f>
        <v/>
      </c>
      <c r="H839" t="str">
        <f>IF(A839="","",IFERROR(VALUE(SUBSTITUTE(TRIM(Input!I839&amp;""),"%","")),0)/IF(AND(IFERROR(VALUE(SUBSTITUTE(TRIM(Input!I839&amp;""),"%","")),0)&gt;0,IFERROR(VALUE(SUBSTITUTE(TRIM(Input!I839&amp;""),"%","")),0)&lt;1),1,100))</f>
        <v/>
      </c>
    </row>
    <row r="840" spans="1:8">
      <c r="A840" t="str">
        <f>IF(TRIM(Input!B840&amp;"")="","",UPPER(TRIM(Input!B840&amp;"")))</f>
        <v/>
      </c>
      <c r="B840" t="str">
        <f>IF(A840="","",IFERROR(VALUE(RIGHT(TRIM(Input!D840&amp;""),1)),0))</f>
        <v/>
      </c>
      <c r="C840" t="str">
        <f t="shared" si="13"/>
        <v/>
      </c>
      <c r="D840" t="str">
        <f>IF(A840="","",IFERROR(VALUE(SUBSTITUTE(TRIM(Input!E840&amp;""),"%","")),0)/IF(AND(IFERROR(VALUE(SUBSTITUTE(TRIM(Input!E840&amp;""),"%","")),0)&gt;0,IFERROR(VALUE(SUBSTITUTE(TRIM(Input!E840&amp;""),"%","")),0)&lt;1),1,100))</f>
        <v/>
      </c>
      <c r="E840" t="str">
        <f>IF(A840="","",IFERROR(VALUE(SUBSTITUTE(TRIM(Input!F840&amp;""),"%","")),0)/IF(AND(IFERROR(VALUE(SUBSTITUTE(TRIM(Input!F840&amp;""),"%","")),0)&gt;0,IFERROR(VALUE(SUBSTITUTE(TRIM(Input!F840&amp;""),"%","")),0)&lt;1),1,100))</f>
        <v/>
      </c>
      <c r="F840" t="str">
        <f>IF(A840="","",IFERROR(VALUE(SUBSTITUTE(TRIM(Input!G840&amp;""),"%","")),0)/IF(AND(IFERROR(VALUE(SUBSTITUTE(TRIM(Input!G840&amp;""),"%","")),0)&gt;0,IFERROR(VALUE(SUBSTITUTE(TRIM(Input!G840&amp;""),"%","")),0)&lt;1),1,100))</f>
        <v/>
      </c>
      <c r="G840" t="str">
        <f>IF(A840="","",IFERROR(VALUE(SUBSTITUTE(TRIM(Input!H840&amp;""),"%","")),0)/IF(AND(IFERROR(VALUE(SUBSTITUTE(TRIM(Input!H840&amp;""),"%","")),0)&gt;0,IFERROR(VALUE(SUBSTITUTE(TRIM(Input!H840&amp;""),"%","")),0)&lt;1),1,100))</f>
        <v/>
      </c>
      <c r="H840" t="str">
        <f>IF(A840="","",IFERROR(VALUE(SUBSTITUTE(TRIM(Input!I840&amp;""),"%","")),0)/IF(AND(IFERROR(VALUE(SUBSTITUTE(TRIM(Input!I840&amp;""),"%","")),0)&gt;0,IFERROR(VALUE(SUBSTITUTE(TRIM(Input!I840&amp;""),"%","")),0)&lt;1),1,100))</f>
        <v/>
      </c>
    </row>
    <row r="841" spans="1:8">
      <c r="A841" t="str">
        <f>IF(TRIM(Input!B841&amp;"")="","",UPPER(TRIM(Input!B841&amp;"")))</f>
        <v/>
      </c>
      <c r="B841" t="str">
        <f>IF(A841="","",IFERROR(VALUE(RIGHT(TRIM(Input!D841&amp;""),1)),0))</f>
        <v/>
      </c>
      <c r="C841" t="str">
        <f t="shared" si="13"/>
        <v/>
      </c>
      <c r="D841" t="str">
        <f>IF(A841="","",IFERROR(VALUE(SUBSTITUTE(TRIM(Input!E841&amp;""),"%","")),0)/IF(AND(IFERROR(VALUE(SUBSTITUTE(TRIM(Input!E841&amp;""),"%","")),0)&gt;0,IFERROR(VALUE(SUBSTITUTE(TRIM(Input!E841&amp;""),"%","")),0)&lt;1),1,100))</f>
        <v/>
      </c>
      <c r="E841" t="str">
        <f>IF(A841="","",IFERROR(VALUE(SUBSTITUTE(TRIM(Input!F841&amp;""),"%","")),0)/IF(AND(IFERROR(VALUE(SUBSTITUTE(TRIM(Input!F841&amp;""),"%","")),0)&gt;0,IFERROR(VALUE(SUBSTITUTE(TRIM(Input!F841&amp;""),"%","")),0)&lt;1),1,100))</f>
        <v/>
      </c>
      <c r="F841" t="str">
        <f>IF(A841="","",IFERROR(VALUE(SUBSTITUTE(TRIM(Input!G841&amp;""),"%","")),0)/IF(AND(IFERROR(VALUE(SUBSTITUTE(TRIM(Input!G841&amp;""),"%","")),0)&gt;0,IFERROR(VALUE(SUBSTITUTE(TRIM(Input!G841&amp;""),"%","")),0)&lt;1),1,100))</f>
        <v/>
      </c>
      <c r="G841" t="str">
        <f>IF(A841="","",IFERROR(VALUE(SUBSTITUTE(TRIM(Input!H841&amp;""),"%","")),0)/IF(AND(IFERROR(VALUE(SUBSTITUTE(TRIM(Input!H841&amp;""),"%","")),0)&gt;0,IFERROR(VALUE(SUBSTITUTE(TRIM(Input!H841&amp;""),"%","")),0)&lt;1),1,100))</f>
        <v/>
      </c>
      <c r="H841" t="str">
        <f>IF(A841="","",IFERROR(VALUE(SUBSTITUTE(TRIM(Input!I841&amp;""),"%","")),0)/IF(AND(IFERROR(VALUE(SUBSTITUTE(TRIM(Input!I841&amp;""),"%","")),0)&gt;0,IFERROR(VALUE(SUBSTITUTE(TRIM(Input!I841&amp;""),"%","")),0)&lt;1),1,100))</f>
        <v/>
      </c>
    </row>
    <row r="842" spans="1:8">
      <c r="A842" t="str">
        <f>IF(TRIM(Input!B842&amp;"")="","",UPPER(TRIM(Input!B842&amp;"")))</f>
        <v/>
      </c>
      <c r="B842" t="str">
        <f>IF(A842="","",IFERROR(VALUE(RIGHT(TRIM(Input!D842&amp;""),1)),0))</f>
        <v/>
      </c>
      <c r="C842" t="str">
        <f t="shared" si="13"/>
        <v/>
      </c>
      <c r="D842" t="str">
        <f>IF(A842="","",IFERROR(VALUE(SUBSTITUTE(TRIM(Input!E842&amp;""),"%","")),0)/IF(AND(IFERROR(VALUE(SUBSTITUTE(TRIM(Input!E842&amp;""),"%","")),0)&gt;0,IFERROR(VALUE(SUBSTITUTE(TRIM(Input!E842&amp;""),"%","")),0)&lt;1),1,100))</f>
        <v/>
      </c>
      <c r="E842" t="str">
        <f>IF(A842="","",IFERROR(VALUE(SUBSTITUTE(TRIM(Input!F842&amp;""),"%","")),0)/IF(AND(IFERROR(VALUE(SUBSTITUTE(TRIM(Input!F842&amp;""),"%","")),0)&gt;0,IFERROR(VALUE(SUBSTITUTE(TRIM(Input!F842&amp;""),"%","")),0)&lt;1),1,100))</f>
        <v/>
      </c>
      <c r="F842" t="str">
        <f>IF(A842="","",IFERROR(VALUE(SUBSTITUTE(TRIM(Input!G842&amp;""),"%","")),0)/IF(AND(IFERROR(VALUE(SUBSTITUTE(TRIM(Input!G842&amp;""),"%","")),0)&gt;0,IFERROR(VALUE(SUBSTITUTE(TRIM(Input!G842&amp;""),"%","")),0)&lt;1),1,100))</f>
        <v/>
      </c>
      <c r="G842" t="str">
        <f>IF(A842="","",IFERROR(VALUE(SUBSTITUTE(TRIM(Input!H842&amp;""),"%","")),0)/IF(AND(IFERROR(VALUE(SUBSTITUTE(TRIM(Input!H842&amp;""),"%","")),0)&gt;0,IFERROR(VALUE(SUBSTITUTE(TRIM(Input!H842&amp;""),"%","")),0)&lt;1),1,100))</f>
        <v/>
      </c>
      <c r="H842" t="str">
        <f>IF(A842="","",IFERROR(VALUE(SUBSTITUTE(TRIM(Input!I842&amp;""),"%","")),0)/IF(AND(IFERROR(VALUE(SUBSTITUTE(TRIM(Input!I842&amp;""),"%","")),0)&gt;0,IFERROR(VALUE(SUBSTITUTE(TRIM(Input!I842&amp;""),"%","")),0)&lt;1),1,100))</f>
        <v/>
      </c>
    </row>
    <row r="843" spans="1:8">
      <c r="A843" t="str">
        <f>IF(TRIM(Input!B843&amp;"")="","",UPPER(TRIM(Input!B843&amp;"")))</f>
        <v/>
      </c>
      <c r="B843" t="str">
        <f>IF(A843="","",IFERROR(VALUE(RIGHT(TRIM(Input!D843&amp;""),1)),0))</f>
        <v/>
      </c>
      <c r="C843" t="str">
        <f t="shared" si="13"/>
        <v/>
      </c>
      <c r="D843" t="str">
        <f>IF(A843="","",IFERROR(VALUE(SUBSTITUTE(TRIM(Input!E843&amp;""),"%","")),0)/IF(AND(IFERROR(VALUE(SUBSTITUTE(TRIM(Input!E843&amp;""),"%","")),0)&gt;0,IFERROR(VALUE(SUBSTITUTE(TRIM(Input!E843&amp;""),"%","")),0)&lt;1),1,100))</f>
        <v/>
      </c>
      <c r="E843" t="str">
        <f>IF(A843="","",IFERROR(VALUE(SUBSTITUTE(TRIM(Input!F843&amp;""),"%","")),0)/IF(AND(IFERROR(VALUE(SUBSTITUTE(TRIM(Input!F843&amp;""),"%","")),0)&gt;0,IFERROR(VALUE(SUBSTITUTE(TRIM(Input!F843&amp;""),"%","")),0)&lt;1),1,100))</f>
        <v/>
      </c>
      <c r="F843" t="str">
        <f>IF(A843="","",IFERROR(VALUE(SUBSTITUTE(TRIM(Input!G843&amp;""),"%","")),0)/IF(AND(IFERROR(VALUE(SUBSTITUTE(TRIM(Input!G843&amp;""),"%","")),0)&gt;0,IFERROR(VALUE(SUBSTITUTE(TRIM(Input!G843&amp;""),"%","")),0)&lt;1),1,100))</f>
        <v/>
      </c>
      <c r="G843" t="str">
        <f>IF(A843="","",IFERROR(VALUE(SUBSTITUTE(TRIM(Input!H843&amp;""),"%","")),0)/IF(AND(IFERROR(VALUE(SUBSTITUTE(TRIM(Input!H843&amp;""),"%","")),0)&gt;0,IFERROR(VALUE(SUBSTITUTE(TRIM(Input!H843&amp;""),"%","")),0)&lt;1),1,100))</f>
        <v/>
      </c>
      <c r="H843" t="str">
        <f>IF(A843="","",IFERROR(VALUE(SUBSTITUTE(TRIM(Input!I843&amp;""),"%","")),0)/IF(AND(IFERROR(VALUE(SUBSTITUTE(TRIM(Input!I843&amp;""),"%","")),0)&gt;0,IFERROR(VALUE(SUBSTITUTE(TRIM(Input!I843&amp;""),"%","")),0)&lt;1),1,100))</f>
        <v/>
      </c>
    </row>
    <row r="844" spans="1:8">
      <c r="A844" t="str">
        <f>IF(TRIM(Input!B844&amp;"")="","",UPPER(TRIM(Input!B844&amp;"")))</f>
        <v/>
      </c>
      <c r="B844" t="str">
        <f>IF(A844="","",IFERROR(VALUE(RIGHT(TRIM(Input!D844&amp;""),1)),0))</f>
        <v/>
      </c>
      <c r="C844" t="str">
        <f t="shared" si="13"/>
        <v/>
      </c>
      <c r="D844" t="str">
        <f>IF(A844="","",IFERROR(VALUE(SUBSTITUTE(TRIM(Input!E844&amp;""),"%","")),0)/IF(AND(IFERROR(VALUE(SUBSTITUTE(TRIM(Input!E844&amp;""),"%","")),0)&gt;0,IFERROR(VALUE(SUBSTITUTE(TRIM(Input!E844&amp;""),"%","")),0)&lt;1),1,100))</f>
        <v/>
      </c>
      <c r="E844" t="str">
        <f>IF(A844="","",IFERROR(VALUE(SUBSTITUTE(TRIM(Input!F844&amp;""),"%","")),0)/IF(AND(IFERROR(VALUE(SUBSTITUTE(TRIM(Input!F844&amp;""),"%","")),0)&gt;0,IFERROR(VALUE(SUBSTITUTE(TRIM(Input!F844&amp;""),"%","")),0)&lt;1),1,100))</f>
        <v/>
      </c>
      <c r="F844" t="str">
        <f>IF(A844="","",IFERROR(VALUE(SUBSTITUTE(TRIM(Input!G844&amp;""),"%","")),0)/IF(AND(IFERROR(VALUE(SUBSTITUTE(TRIM(Input!G844&amp;""),"%","")),0)&gt;0,IFERROR(VALUE(SUBSTITUTE(TRIM(Input!G844&amp;""),"%","")),0)&lt;1),1,100))</f>
        <v/>
      </c>
      <c r="G844" t="str">
        <f>IF(A844="","",IFERROR(VALUE(SUBSTITUTE(TRIM(Input!H844&amp;""),"%","")),0)/IF(AND(IFERROR(VALUE(SUBSTITUTE(TRIM(Input!H844&amp;""),"%","")),0)&gt;0,IFERROR(VALUE(SUBSTITUTE(TRIM(Input!H844&amp;""),"%","")),0)&lt;1),1,100))</f>
        <v/>
      </c>
      <c r="H844" t="str">
        <f>IF(A844="","",IFERROR(VALUE(SUBSTITUTE(TRIM(Input!I844&amp;""),"%","")),0)/IF(AND(IFERROR(VALUE(SUBSTITUTE(TRIM(Input!I844&amp;""),"%","")),0)&gt;0,IFERROR(VALUE(SUBSTITUTE(TRIM(Input!I844&amp;""),"%","")),0)&lt;1),1,100))</f>
        <v/>
      </c>
    </row>
    <row r="845" spans="1:8">
      <c r="A845" t="str">
        <f>IF(TRIM(Input!B845&amp;"")="","",UPPER(TRIM(Input!B845&amp;"")))</f>
        <v/>
      </c>
      <c r="B845" t="str">
        <f>IF(A845="","",IFERROR(VALUE(RIGHT(TRIM(Input!D845&amp;""),1)),0))</f>
        <v/>
      </c>
      <c r="C845" t="str">
        <f t="shared" si="13"/>
        <v/>
      </c>
      <c r="D845" t="str">
        <f>IF(A845="","",IFERROR(VALUE(SUBSTITUTE(TRIM(Input!E845&amp;""),"%","")),0)/IF(AND(IFERROR(VALUE(SUBSTITUTE(TRIM(Input!E845&amp;""),"%","")),0)&gt;0,IFERROR(VALUE(SUBSTITUTE(TRIM(Input!E845&amp;""),"%","")),0)&lt;1),1,100))</f>
        <v/>
      </c>
      <c r="E845" t="str">
        <f>IF(A845="","",IFERROR(VALUE(SUBSTITUTE(TRIM(Input!F845&amp;""),"%","")),0)/IF(AND(IFERROR(VALUE(SUBSTITUTE(TRIM(Input!F845&amp;""),"%","")),0)&gt;0,IFERROR(VALUE(SUBSTITUTE(TRIM(Input!F845&amp;""),"%","")),0)&lt;1),1,100))</f>
        <v/>
      </c>
      <c r="F845" t="str">
        <f>IF(A845="","",IFERROR(VALUE(SUBSTITUTE(TRIM(Input!G845&amp;""),"%","")),0)/IF(AND(IFERROR(VALUE(SUBSTITUTE(TRIM(Input!G845&amp;""),"%","")),0)&gt;0,IFERROR(VALUE(SUBSTITUTE(TRIM(Input!G845&amp;""),"%","")),0)&lt;1),1,100))</f>
        <v/>
      </c>
      <c r="G845" t="str">
        <f>IF(A845="","",IFERROR(VALUE(SUBSTITUTE(TRIM(Input!H845&amp;""),"%","")),0)/IF(AND(IFERROR(VALUE(SUBSTITUTE(TRIM(Input!H845&amp;""),"%","")),0)&gt;0,IFERROR(VALUE(SUBSTITUTE(TRIM(Input!H845&amp;""),"%","")),0)&lt;1),1,100))</f>
        <v/>
      </c>
      <c r="H845" t="str">
        <f>IF(A845="","",IFERROR(VALUE(SUBSTITUTE(TRIM(Input!I845&amp;""),"%","")),0)/IF(AND(IFERROR(VALUE(SUBSTITUTE(TRIM(Input!I845&amp;""),"%","")),0)&gt;0,IFERROR(VALUE(SUBSTITUTE(TRIM(Input!I845&amp;""),"%","")),0)&lt;1),1,100))</f>
        <v/>
      </c>
    </row>
    <row r="846" spans="1:8">
      <c r="A846" t="str">
        <f>IF(TRIM(Input!B846&amp;"")="","",UPPER(TRIM(Input!B846&amp;"")))</f>
        <v/>
      </c>
      <c r="B846" t="str">
        <f>IF(A846="","",IFERROR(VALUE(RIGHT(TRIM(Input!D846&amp;""),1)),0))</f>
        <v/>
      </c>
      <c r="C846" t="str">
        <f t="shared" si="13"/>
        <v/>
      </c>
      <c r="D846" t="str">
        <f>IF(A846="","",IFERROR(VALUE(SUBSTITUTE(TRIM(Input!E846&amp;""),"%","")),0)/IF(AND(IFERROR(VALUE(SUBSTITUTE(TRIM(Input!E846&amp;""),"%","")),0)&gt;0,IFERROR(VALUE(SUBSTITUTE(TRIM(Input!E846&amp;""),"%","")),0)&lt;1),1,100))</f>
        <v/>
      </c>
      <c r="E846" t="str">
        <f>IF(A846="","",IFERROR(VALUE(SUBSTITUTE(TRIM(Input!F846&amp;""),"%","")),0)/IF(AND(IFERROR(VALUE(SUBSTITUTE(TRIM(Input!F846&amp;""),"%","")),0)&gt;0,IFERROR(VALUE(SUBSTITUTE(TRIM(Input!F846&amp;""),"%","")),0)&lt;1),1,100))</f>
        <v/>
      </c>
      <c r="F846" t="str">
        <f>IF(A846="","",IFERROR(VALUE(SUBSTITUTE(TRIM(Input!G846&amp;""),"%","")),0)/IF(AND(IFERROR(VALUE(SUBSTITUTE(TRIM(Input!G846&amp;""),"%","")),0)&gt;0,IFERROR(VALUE(SUBSTITUTE(TRIM(Input!G846&amp;""),"%","")),0)&lt;1),1,100))</f>
        <v/>
      </c>
      <c r="G846" t="str">
        <f>IF(A846="","",IFERROR(VALUE(SUBSTITUTE(TRIM(Input!H846&amp;""),"%","")),0)/IF(AND(IFERROR(VALUE(SUBSTITUTE(TRIM(Input!H846&amp;""),"%","")),0)&gt;0,IFERROR(VALUE(SUBSTITUTE(TRIM(Input!H846&amp;""),"%","")),0)&lt;1),1,100))</f>
        <v/>
      </c>
      <c r="H846" t="str">
        <f>IF(A846="","",IFERROR(VALUE(SUBSTITUTE(TRIM(Input!I846&amp;""),"%","")),0)/IF(AND(IFERROR(VALUE(SUBSTITUTE(TRIM(Input!I846&amp;""),"%","")),0)&gt;0,IFERROR(VALUE(SUBSTITUTE(TRIM(Input!I846&amp;""),"%","")),0)&lt;1),1,100))</f>
        <v/>
      </c>
    </row>
    <row r="847" spans="1:8">
      <c r="A847" t="str">
        <f>IF(TRIM(Input!B847&amp;"")="","",UPPER(TRIM(Input!B847&amp;"")))</f>
        <v/>
      </c>
      <c r="B847" t="str">
        <f>IF(A847="","",IFERROR(VALUE(RIGHT(TRIM(Input!D847&amp;""),1)),0))</f>
        <v/>
      </c>
      <c r="C847" t="str">
        <f t="shared" si="13"/>
        <v/>
      </c>
      <c r="D847" t="str">
        <f>IF(A847="","",IFERROR(VALUE(SUBSTITUTE(TRIM(Input!E847&amp;""),"%","")),0)/IF(AND(IFERROR(VALUE(SUBSTITUTE(TRIM(Input!E847&amp;""),"%","")),0)&gt;0,IFERROR(VALUE(SUBSTITUTE(TRIM(Input!E847&amp;""),"%","")),0)&lt;1),1,100))</f>
        <v/>
      </c>
      <c r="E847" t="str">
        <f>IF(A847="","",IFERROR(VALUE(SUBSTITUTE(TRIM(Input!F847&amp;""),"%","")),0)/IF(AND(IFERROR(VALUE(SUBSTITUTE(TRIM(Input!F847&amp;""),"%","")),0)&gt;0,IFERROR(VALUE(SUBSTITUTE(TRIM(Input!F847&amp;""),"%","")),0)&lt;1),1,100))</f>
        <v/>
      </c>
      <c r="F847" t="str">
        <f>IF(A847="","",IFERROR(VALUE(SUBSTITUTE(TRIM(Input!G847&amp;""),"%","")),0)/IF(AND(IFERROR(VALUE(SUBSTITUTE(TRIM(Input!G847&amp;""),"%","")),0)&gt;0,IFERROR(VALUE(SUBSTITUTE(TRIM(Input!G847&amp;""),"%","")),0)&lt;1),1,100))</f>
        <v/>
      </c>
      <c r="G847" t="str">
        <f>IF(A847="","",IFERROR(VALUE(SUBSTITUTE(TRIM(Input!H847&amp;""),"%","")),0)/IF(AND(IFERROR(VALUE(SUBSTITUTE(TRIM(Input!H847&amp;""),"%","")),0)&gt;0,IFERROR(VALUE(SUBSTITUTE(TRIM(Input!H847&amp;""),"%","")),0)&lt;1),1,100))</f>
        <v/>
      </c>
      <c r="H847" t="str">
        <f>IF(A847="","",IFERROR(VALUE(SUBSTITUTE(TRIM(Input!I847&amp;""),"%","")),0)/IF(AND(IFERROR(VALUE(SUBSTITUTE(TRIM(Input!I847&amp;""),"%","")),0)&gt;0,IFERROR(VALUE(SUBSTITUTE(TRIM(Input!I847&amp;""),"%","")),0)&lt;1),1,100))</f>
        <v/>
      </c>
    </row>
    <row r="848" spans="1:8">
      <c r="A848" t="str">
        <f>IF(TRIM(Input!B848&amp;"")="","",UPPER(TRIM(Input!B848&amp;"")))</f>
        <v/>
      </c>
      <c r="B848" t="str">
        <f>IF(A848="","",IFERROR(VALUE(RIGHT(TRIM(Input!D848&amp;""),1)),0))</f>
        <v/>
      </c>
      <c r="C848" t="str">
        <f t="shared" si="13"/>
        <v/>
      </c>
      <c r="D848" t="str">
        <f>IF(A848="","",IFERROR(VALUE(SUBSTITUTE(TRIM(Input!E848&amp;""),"%","")),0)/IF(AND(IFERROR(VALUE(SUBSTITUTE(TRIM(Input!E848&amp;""),"%","")),0)&gt;0,IFERROR(VALUE(SUBSTITUTE(TRIM(Input!E848&amp;""),"%","")),0)&lt;1),1,100))</f>
        <v/>
      </c>
      <c r="E848" t="str">
        <f>IF(A848="","",IFERROR(VALUE(SUBSTITUTE(TRIM(Input!F848&amp;""),"%","")),0)/IF(AND(IFERROR(VALUE(SUBSTITUTE(TRIM(Input!F848&amp;""),"%","")),0)&gt;0,IFERROR(VALUE(SUBSTITUTE(TRIM(Input!F848&amp;""),"%","")),0)&lt;1),1,100))</f>
        <v/>
      </c>
      <c r="F848" t="str">
        <f>IF(A848="","",IFERROR(VALUE(SUBSTITUTE(TRIM(Input!G848&amp;""),"%","")),0)/IF(AND(IFERROR(VALUE(SUBSTITUTE(TRIM(Input!G848&amp;""),"%","")),0)&gt;0,IFERROR(VALUE(SUBSTITUTE(TRIM(Input!G848&amp;""),"%","")),0)&lt;1),1,100))</f>
        <v/>
      </c>
      <c r="G848" t="str">
        <f>IF(A848="","",IFERROR(VALUE(SUBSTITUTE(TRIM(Input!H848&amp;""),"%","")),0)/IF(AND(IFERROR(VALUE(SUBSTITUTE(TRIM(Input!H848&amp;""),"%","")),0)&gt;0,IFERROR(VALUE(SUBSTITUTE(TRIM(Input!H848&amp;""),"%","")),0)&lt;1),1,100))</f>
        <v/>
      </c>
      <c r="H848" t="str">
        <f>IF(A848="","",IFERROR(VALUE(SUBSTITUTE(TRIM(Input!I848&amp;""),"%","")),0)/IF(AND(IFERROR(VALUE(SUBSTITUTE(TRIM(Input!I848&amp;""),"%","")),0)&gt;0,IFERROR(VALUE(SUBSTITUTE(TRIM(Input!I848&amp;""),"%","")),0)&lt;1),1,100))</f>
        <v/>
      </c>
    </row>
    <row r="849" spans="1:8">
      <c r="A849" t="str">
        <f>IF(TRIM(Input!B849&amp;"")="","",UPPER(TRIM(Input!B849&amp;"")))</f>
        <v/>
      </c>
      <c r="B849" t="str">
        <f>IF(A849="","",IFERROR(VALUE(RIGHT(TRIM(Input!D849&amp;""),1)),0))</f>
        <v/>
      </c>
      <c r="C849" t="str">
        <f t="shared" si="13"/>
        <v/>
      </c>
      <c r="D849" t="str">
        <f>IF(A849="","",IFERROR(VALUE(SUBSTITUTE(TRIM(Input!E849&amp;""),"%","")),0)/IF(AND(IFERROR(VALUE(SUBSTITUTE(TRIM(Input!E849&amp;""),"%","")),0)&gt;0,IFERROR(VALUE(SUBSTITUTE(TRIM(Input!E849&amp;""),"%","")),0)&lt;1),1,100))</f>
        <v/>
      </c>
      <c r="E849" t="str">
        <f>IF(A849="","",IFERROR(VALUE(SUBSTITUTE(TRIM(Input!F849&amp;""),"%","")),0)/IF(AND(IFERROR(VALUE(SUBSTITUTE(TRIM(Input!F849&amp;""),"%","")),0)&gt;0,IFERROR(VALUE(SUBSTITUTE(TRIM(Input!F849&amp;""),"%","")),0)&lt;1),1,100))</f>
        <v/>
      </c>
      <c r="F849" t="str">
        <f>IF(A849="","",IFERROR(VALUE(SUBSTITUTE(TRIM(Input!G849&amp;""),"%","")),0)/IF(AND(IFERROR(VALUE(SUBSTITUTE(TRIM(Input!G849&amp;""),"%","")),0)&gt;0,IFERROR(VALUE(SUBSTITUTE(TRIM(Input!G849&amp;""),"%","")),0)&lt;1),1,100))</f>
        <v/>
      </c>
      <c r="G849" t="str">
        <f>IF(A849="","",IFERROR(VALUE(SUBSTITUTE(TRIM(Input!H849&amp;""),"%","")),0)/IF(AND(IFERROR(VALUE(SUBSTITUTE(TRIM(Input!H849&amp;""),"%","")),0)&gt;0,IFERROR(VALUE(SUBSTITUTE(TRIM(Input!H849&amp;""),"%","")),0)&lt;1),1,100))</f>
        <v/>
      </c>
      <c r="H849" t="str">
        <f>IF(A849="","",IFERROR(VALUE(SUBSTITUTE(TRIM(Input!I849&amp;""),"%","")),0)/IF(AND(IFERROR(VALUE(SUBSTITUTE(TRIM(Input!I849&amp;""),"%","")),0)&gt;0,IFERROR(VALUE(SUBSTITUTE(TRIM(Input!I849&amp;""),"%","")),0)&lt;1),1,100))</f>
        <v/>
      </c>
    </row>
    <row r="850" spans="1:8">
      <c r="A850" t="str">
        <f>IF(TRIM(Input!B850&amp;"")="","",UPPER(TRIM(Input!B850&amp;"")))</f>
        <v/>
      </c>
      <c r="B850" t="str">
        <f>IF(A850="","",IFERROR(VALUE(RIGHT(TRIM(Input!D850&amp;""),1)),0))</f>
        <v/>
      </c>
      <c r="C850" t="str">
        <f t="shared" si="13"/>
        <v/>
      </c>
      <c r="D850" t="str">
        <f>IF(A850="","",IFERROR(VALUE(SUBSTITUTE(TRIM(Input!E850&amp;""),"%","")),0)/IF(AND(IFERROR(VALUE(SUBSTITUTE(TRIM(Input!E850&amp;""),"%","")),0)&gt;0,IFERROR(VALUE(SUBSTITUTE(TRIM(Input!E850&amp;""),"%","")),0)&lt;1),1,100))</f>
        <v/>
      </c>
      <c r="E850" t="str">
        <f>IF(A850="","",IFERROR(VALUE(SUBSTITUTE(TRIM(Input!F850&amp;""),"%","")),0)/IF(AND(IFERROR(VALUE(SUBSTITUTE(TRIM(Input!F850&amp;""),"%","")),0)&gt;0,IFERROR(VALUE(SUBSTITUTE(TRIM(Input!F850&amp;""),"%","")),0)&lt;1),1,100))</f>
        <v/>
      </c>
      <c r="F850" t="str">
        <f>IF(A850="","",IFERROR(VALUE(SUBSTITUTE(TRIM(Input!G850&amp;""),"%","")),0)/IF(AND(IFERROR(VALUE(SUBSTITUTE(TRIM(Input!G850&amp;""),"%","")),0)&gt;0,IFERROR(VALUE(SUBSTITUTE(TRIM(Input!G850&amp;""),"%","")),0)&lt;1),1,100))</f>
        <v/>
      </c>
      <c r="G850" t="str">
        <f>IF(A850="","",IFERROR(VALUE(SUBSTITUTE(TRIM(Input!H850&amp;""),"%","")),0)/IF(AND(IFERROR(VALUE(SUBSTITUTE(TRIM(Input!H850&amp;""),"%","")),0)&gt;0,IFERROR(VALUE(SUBSTITUTE(TRIM(Input!H850&amp;""),"%","")),0)&lt;1),1,100))</f>
        <v/>
      </c>
      <c r="H850" t="str">
        <f>IF(A850="","",IFERROR(VALUE(SUBSTITUTE(TRIM(Input!I850&amp;""),"%","")),0)/IF(AND(IFERROR(VALUE(SUBSTITUTE(TRIM(Input!I850&amp;""),"%","")),0)&gt;0,IFERROR(VALUE(SUBSTITUTE(TRIM(Input!I850&amp;""),"%","")),0)&lt;1),1,100))</f>
        <v/>
      </c>
    </row>
    <row r="851" spans="1:8">
      <c r="A851" t="str">
        <f>IF(TRIM(Input!B851&amp;"")="","",UPPER(TRIM(Input!B851&amp;"")))</f>
        <v/>
      </c>
      <c r="B851" t="str">
        <f>IF(A851="","",IFERROR(VALUE(RIGHT(TRIM(Input!D851&amp;""),1)),0))</f>
        <v/>
      </c>
      <c r="C851" t="str">
        <f t="shared" si="13"/>
        <v/>
      </c>
      <c r="D851" t="str">
        <f>IF(A851="","",IFERROR(VALUE(SUBSTITUTE(TRIM(Input!E851&amp;""),"%","")),0)/IF(AND(IFERROR(VALUE(SUBSTITUTE(TRIM(Input!E851&amp;""),"%","")),0)&gt;0,IFERROR(VALUE(SUBSTITUTE(TRIM(Input!E851&amp;""),"%","")),0)&lt;1),1,100))</f>
        <v/>
      </c>
      <c r="E851" t="str">
        <f>IF(A851="","",IFERROR(VALUE(SUBSTITUTE(TRIM(Input!F851&amp;""),"%","")),0)/IF(AND(IFERROR(VALUE(SUBSTITUTE(TRIM(Input!F851&amp;""),"%","")),0)&gt;0,IFERROR(VALUE(SUBSTITUTE(TRIM(Input!F851&amp;""),"%","")),0)&lt;1),1,100))</f>
        <v/>
      </c>
      <c r="F851" t="str">
        <f>IF(A851="","",IFERROR(VALUE(SUBSTITUTE(TRIM(Input!G851&amp;""),"%","")),0)/IF(AND(IFERROR(VALUE(SUBSTITUTE(TRIM(Input!G851&amp;""),"%","")),0)&gt;0,IFERROR(VALUE(SUBSTITUTE(TRIM(Input!G851&amp;""),"%","")),0)&lt;1),1,100))</f>
        <v/>
      </c>
      <c r="G851" t="str">
        <f>IF(A851="","",IFERROR(VALUE(SUBSTITUTE(TRIM(Input!H851&amp;""),"%","")),0)/IF(AND(IFERROR(VALUE(SUBSTITUTE(TRIM(Input!H851&amp;""),"%","")),0)&gt;0,IFERROR(VALUE(SUBSTITUTE(TRIM(Input!H851&amp;""),"%","")),0)&lt;1),1,100))</f>
        <v/>
      </c>
      <c r="H851" t="str">
        <f>IF(A851="","",IFERROR(VALUE(SUBSTITUTE(TRIM(Input!I851&amp;""),"%","")),0)/IF(AND(IFERROR(VALUE(SUBSTITUTE(TRIM(Input!I851&amp;""),"%","")),0)&gt;0,IFERROR(VALUE(SUBSTITUTE(TRIM(Input!I851&amp;""),"%","")),0)&lt;1),1,100))</f>
        <v/>
      </c>
    </row>
    <row r="852" spans="1:8">
      <c r="A852" t="str">
        <f>IF(TRIM(Input!B852&amp;"")="","",UPPER(TRIM(Input!B852&amp;"")))</f>
        <v/>
      </c>
      <c r="B852" t="str">
        <f>IF(A852="","",IFERROR(VALUE(RIGHT(TRIM(Input!D852&amp;""),1)),0))</f>
        <v/>
      </c>
      <c r="C852" t="str">
        <f t="shared" si="13"/>
        <v/>
      </c>
      <c r="D852" t="str">
        <f>IF(A852="","",IFERROR(VALUE(SUBSTITUTE(TRIM(Input!E852&amp;""),"%","")),0)/IF(AND(IFERROR(VALUE(SUBSTITUTE(TRIM(Input!E852&amp;""),"%","")),0)&gt;0,IFERROR(VALUE(SUBSTITUTE(TRIM(Input!E852&amp;""),"%","")),0)&lt;1),1,100))</f>
        <v/>
      </c>
      <c r="E852" t="str">
        <f>IF(A852="","",IFERROR(VALUE(SUBSTITUTE(TRIM(Input!F852&amp;""),"%","")),0)/IF(AND(IFERROR(VALUE(SUBSTITUTE(TRIM(Input!F852&amp;""),"%","")),0)&gt;0,IFERROR(VALUE(SUBSTITUTE(TRIM(Input!F852&amp;""),"%","")),0)&lt;1),1,100))</f>
        <v/>
      </c>
      <c r="F852" t="str">
        <f>IF(A852="","",IFERROR(VALUE(SUBSTITUTE(TRIM(Input!G852&amp;""),"%","")),0)/IF(AND(IFERROR(VALUE(SUBSTITUTE(TRIM(Input!G852&amp;""),"%","")),0)&gt;0,IFERROR(VALUE(SUBSTITUTE(TRIM(Input!G852&amp;""),"%","")),0)&lt;1),1,100))</f>
        <v/>
      </c>
      <c r="G852" t="str">
        <f>IF(A852="","",IFERROR(VALUE(SUBSTITUTE(TRIM(Input!H852&amp;""),"%","")),0)/IF(AND(IFERROR(VALUE(SUBSTITUTE(TRIM(Input!H852&amp;""),"%","")),0)&gt;0,IFERROR(VALUE(SUBSTITUTE(TRIM(Input!H852&amp;""),"%","")),0)&lt;1),1,100))</f>
        <v/>
      </c>
      <c r="H852" t="str">
        <f>IF(A852="","",IFERROR(VALUE(SUBSTITUTE(TRIM(Input!I852&amp;""),"%","")),0)/IF(AND(IFERROR(VALUE(SUBSTITUTE(TRIM(Input!I852&amp;""),"%","")),0)&gt;0,IFERROR(VALUE(SUBSTITUTE(TRIM(Input!I852&amp;""),"%","")),0)&lt;1),1,100))</f>
        <v/>
      </c>
    </row>
    <row r="853" spans="1:8">
      <c r="A853" t="str">
        <f>IF(TRIM(Input!B853&amp;"")="","",UPPER(TRIM(Input!B853&amp;"")))</f>
        <v/>
      </c>
      <c r="B853" t="str">
        <f>IF(A853="","",IFERROR(VALUE(RIGHT(TRIM(Input!D853&amp;""),1)),0))</f>
        <v/>
      </c>
      <c r="C853" t="str">
        <f t="shared" si="13"/>
        <v/>
      </c>
      <c r="D853" t="str">
        <f>IF(A853="","",IFERROR(VALUE(SUBSTITUTE(TRIM(Input!E853&amp;""),"%","")),0)/IF(AND(IFERROR(VALUE(SUBSTITUTE(TRIM(Input!E853&amp;""),"%","")),0)&gt;0,IFERROR(VALUE(SUBSTITUTE(TRIM(Input!E853&amp;""),"%","")),0)&lt;1),1,100))</f>
        <v/>
      </c>
      <c r="E853" t="str">
        <f>IF(A853="","",IFERROR(VALUE(SUBSTITUTE(TRIM(Input!F853&amp;""),"%","")),0)/IF(AND(IFERROR(VALUE(SUBSTITUTE(TRIM(Input!F853&amp;""),"%","")),0)&gt;0,IFERROR(VALUE(SUBSTITUTE(TRIM(Input!F853&amp;""),"%","")),0)&lt;1),1,100))</f>
        <v/>
      </c>
      <c r="F853" t="str">
        <f>IF(A853="","",IFERROR(VALUE(SUBSTITUTE(TRIM(Input!G853&amp;""),"%","")),0)/IF(AND(IFERROR(VALUE(SUBSTITUTE(TRIM(Input!G853&amp;""),"%","")),0)&gt;0,IFERROR(VALUE(SUBSTITUTE(TRIM(Input!G853&amp;""),"%","")),0)&lt;1),1,100))</f>
        <v/>
      </c>
      <c r="G853" t="str">
        <f>IF(A853="","",IFERROR(VALUE(SUBSTITUTE(TRIM(Input!H853&amp;""),"%","")),0)/IF(AND(IFERROR(VALUE(SUBSTITUTE(TRIM(Input!H853&amp;""),"%","")),0)&gt;0,IFERROR(VALUE(SUBSTITUTE(TRIM(Input!H853&amp;""),"%","")),0)&lt;1),1,100))</f>
        <v/>
      </c>
      <c r="H853" t="str">
        <f>IF(A853="","",IFERROR(VALUE(SUBSTITUTE(TRIM(Input!I853&amp;""),"%","")),0)/IF(AND(IFERROR(VALUE(SUBSTITUTE(TRIM(Input!I853&amp;""),"%","")),0)&gt;0,IFERROR(VALUE(SUBSTITUTE(TRIM(Input!I853&amp;""),"%","")),0)&lt;1),1,100))</f>
        <v/>
      </c>
    </row>
    <row r="854" spans="1:8">
      <c r="A854" t="str">
        <f>IF(TRIM(Input!B854&amp;"")="","",UPPER(TRIM(Input!B854&amp;"")))</f>
        <v/>
      </c>
      <c r="B854" t="str">
        <f>IF(A854="","",IFERROR(VALUE(RIGHT(TRIM(Input!D854&amp;""),1)),0))</f>
        <v/>
      </c>
      <c r="C854" t="str">
        <f t="shared" si="13"/>
        <v/>
      </c>
      <c r="D854" t="str">
        <f>IF(A854="","",IFERROR(VALUE(SUBSTITUTE(TRIM(Input!E854&amp;""),"%","")),0)/IF(AND(IFERROR(VALUE(SUBSTITUTE(TRIM(Input!E854&amp;""),"%","")),0)&gt;0,IFERROR(VALUE(SUBSTITUTE(TRIM(Input!E854&amp;""),"%","")),0)&lt;1),1,100))</f>
        <v/>
      </c>
      <c r="E854" t="str">
        <f>IF(A854="","",IFERROR(VALUE(SUBSTITUTE(TRIM(Input!F854&amp;""),"%","")),0)/IF(AND(IFERROR(VALUE(SUBSTITUTE(TRIM(Input!F854&amp;""),"%","")),0)&gt;0,IFERROR(VALUE(SUBSTITUTE(TRIM(Input!F854&amp;""),"%","")),0)&lt;1),1,100))</f>
        <v/>
      </c>
      <c r="F854" t="str">
        <f>IF(A854="","",IFERROR(VALUE(SUBSTITUTE(TRIM(Input!G854&amp;""),"%","")),0)/IF(AND(IFERROR(VALUE(SUBSTITUTE(TRIM(Input!G854&amp;""),"%","")),0)&gt;0,IFERROR(VALUE(SUBSTITUTE(TRIM(Input!G854&amp;""),"%","")),0)&lt;1),1,100))</f>
        <v/>
      </c>
      <c r="G854" t="str">
        <f>IF(A854="","",IFERROR(VALUE(SUBSTITUTE(TRIM(Input!H854&amp;""),"%","")),0)/IF(AND(IFERROR(VALUE(SUBSTITUTE(TRIM(Input!H854&amp;""),"%","")),0)&gt;0,IFERROR(VALUE(SUBSTITUTE(TRIM(Input!H854&amp;""),"%","")),0)&lt;1),1,100))</f>
        <v/>
      </c>
      <c r="H854" t="str">
        <f>IF(A854="","",IFERROR(VALUE(SUBSTITUTE(TRIM(Input!I854&amp;""),"%","")),0)/IF(AND(IFERROR(VALUE(SUBSTITUTE(TRIM(Input!I854&amp;""),"%","")),0)&gt;0,IFERROR(VALUE(SUBSTITUTE(TRIM(Input!I854&amp;""),"%","")),0)&lt;1),1,100))</f>
        <v/>
      </c>
    </row>
    <row r="855" spans="1:8">
      <c r="A855" t="str">
        <f>IF(TRIM(Input!B855&amp;"")="","",UPPER(TRIM(Input!B855&amp;"")))</f>
        <v/>
      </c>
      <c r="B855" t="str">
        <f>IF(A855="","",IFERROR(VALUE(RIGHT(TRIM(Input!D855&amp;""),1)),0))</f>
        <v/>
      </c>
      <c r="C855" t="str">
        <f t="shared" si="13"/>
        <v/>
      </c>
      <c r="D855" t="str">
        <f>IF(A855="","",IFERROR(VALUE(SUBSTITUTE(TRIM(Input!E855&amp;""),"%","")),0)/IF(AND(IFERROR(VALUE(SUBSTITUTE(TRIM(Input!E855&amp;""),"%","")),0)&gt;0,IFERROR(VALUE(SUBSTITUTE(TRIM(Input!E855&amp;""),"%","")),0)&lt;1),1,100))</f>
        <v/>
      </c>
      <c r="E855" t="str">
        <f>IF(A855="","",IFERROR(VALUE(SUBSTITUTE(TRIM(Input!F855&amp;""),"%","")),0)/IF(AND(IFERROR(VALUE(SUBSTITUTE(TRIM(Input!F855&amp;""),"%","")),0)&gt;0,IFERROR(VALUE(SUBSTITUTE(TRIM(Input!F855&amp;""),"%","")),0)&lt;1),1,100))</f>
        <v/>
      </c>
      <c r="F855" t="str">
        <f>IF(A855="","",IFERROR(VALUE(SUBSTITUTE(TRIM(Input!G855&amp;""),"%","")),0)/IF(AND(IFERROR(VALUE(SUBSTITUTE(TRIM(Input!G855&amp;""),"%","")),0)&gt;0,IFERROR(VALUE(SUBSTITUTE(TRIM(Input!G855&amp;""),"%","")),0)&lt;1),1,100))</f>
        <v/>
      </c>
      <c r="G855" t="str">
        <f>IF(A855="","",IFERROR(VALUE(SUBSTITUTE(TRIM(Input!H855&amp;""),"%","")),0)/IF(AND(IFERROR(VALUE(SUBSTITUTE(TRIM(Input!H855&amp;""),"%","")),0)&gt;0,IFERROR(VALUE(SUBSTITUTE(TRIM(Input!H855&amp;""),"%","")),0)&lt;1),1,100))</f>
        <v/>
      </c>
      <c r="H855" t="str">
        <f>IF(A855="","",IFERROR(VALUE(SUBSTITUTE(TRIM(Input!I855&amp;""),"%","")),0)/IF(AND(IFERROR(VALUE(SUBSTITUTE(TRIM(Input!I855&amp;""),"%","")),0)&gt;0,IFERROR(VALUE(SUBSTITUTE(TRIM(Input!I855&amp;""),"%","")),0)&lt;1),1,100))</f>
        <v/>
      </c>
    </row>
    <row r="856" spans="1:8">
      <c r="A856" t="str">
        <f>IF(TRIM(Input!B856&amp;"")="","",UPPER(TRIM(Input!B856&amp;"")))</f>
        <v/>
      </c>
      <c r="B856" t="str">
        <f>IF(A856="","",IFERROR(VALUE(RIGHT(TRIM(Input!D856&amp;""),1)),0))</f>
        <v/>
      </c>
      <c r="C856" t="str">
        <f t="shared" si="13"/>
        <v/>
      </c>
      <c r="D856" t="str">
        <f>IF(A856="","",IFERROR(VALUE(SUBSTITUTE(TRIM(Input!E856&amp;""),"%","")),0)/IF(AND(IFERROR(VALUE(SUBSTITUTE(TRIM(Input!E856&amp;""),"%","")),0)&gt;0,IFERROR(VALUE(SUBSTITUTE(TRIM(Input!E856&amp;""),"%","")),0)&lt;1),1,100))</f>
        <v/>
      </c>
      <c r="E856" t="str">
        <f>IF(A856="","",IFERROR(VALUE(SUBSTITUTE(TRIM(Input!F856&amp;""),"%","")),0)/IF(AND(IFERROR(VALUE(SUBSTITUTE(TRIM(Input!F856&amp;""),"%","")),0)&gt;0,IFERROR(VALUE(SUBSTITUTE(TRIM(Input!F856&amp;""),"%","")),0)&lt;1),1,100))</f>
        <v/>
      </c>
      <c r="F856" t="str">
        <f>IF(A856="","",IFERROR(VALUE(SUBSTITUTE(TRIM(Input!G856&amp;""),"%","")),0)/IF(AND(IFERROR(VALUE(SUBSTITUTE(TRIM(Input!G856&amp;""),"%","")),0)&gt;0,IFERROR(VALUE(SUBSTITUTE(TRIM(Input!G856&amp;""),"%","")),0)&lt;1),1,100))</f>
        <v/>
      </c>
      <c r="G856" t="str">
        <f>IF(A856="","",IFERROR(VALUE(SUBSTITUTE(TRIM(Input!H856&amp;""),"%","")),0)/IF(AND(IFERROR(VALUE(SUBSTITUTE(TRIM(Input!H856&amp;""),"%","")),0)&gt;0,IFERROR(VALUE(SUBSTITUTE(TRIM(Input!H856&amp;""),"%","")),0)&lt;1),1,100))</f>
        <v/>
      </c>
      <c r="H856" t="str">
        <f>IF(A856="","",IFERROR(VALUE(SUBSTITUTE(TRIM(Input!I856&amp;""),"%","")),0)/IF(AND(IFERROR(VALUE(SUBSTITUTE(TRIM(Input!I856&amp;""),"%","")),0)&gt;0,IFERROR(VALUE(SUBSTITUTE(TRIM(Input!I856&amp;""),"%","")),0)&lt;1),1,100))</f>
        <v/>
      </c>
    </row>
    <row r="857" spans="1:8">
      <c r="A857" t="str">
        <f>IF(TRIM(Input!B857&amp;"")="","",UPPER(TRIM(Input!B857&amp;"")))</f>
        <v/>
      </c>
      <c r="B857" t="str">
        <f>IF(A857="","",IFERROR(VALUE(RIGHT(TRIM(Input!D857&amp;""),1)),0))</f>
        <v/>
      </c>
      <c r="C857" t="str">
        <f t="shared" si="13"/>
        <v/>
      </c>
      <c r="D857" t="str">
        <f>IF(A857="","",IFERROR(VALUE(SUBSTITUTE(TRIM(Input!E857&amp;""),"%","")),0)/IF(AND(IFERROR(VALUE(SUBSTITUTE(TRIM(Input!E857&amp;""),"%","")),0)&gt;0,IFERROR(VALUE(SUBSTITUTE(TRIM(Input!E857&amp;""),"%","")),0)&lt;1),1,100))</f>
        <v/>
      </c>
      <c r="E857" t="str">
        <f>IF(A857="","",IFERROR(VALUE(SUBSTITUTE(TRIM(Input!F857&amp;""),"%","")),0)/IF(AND(IFERROR(VALUE(SUBSTITUTE(TRIM(Input!F857&amp;""),"%","")),0)&gt;0,IFERROR(VALUE(SUBSTITUTE(TRIM(Input!F857&amp;""),"%","")),0)&lt;1),1,100))</f>
        <v/>
      </c>
      <c r="F857" t="str">
        <f>IF(A857="","",IFERROR(VALUE(SUBSTITUTE(TRIM(Input!G857&amp;""),"%","")),0)/IF(AND(IFERROR(VALUE(SUBSTITUTE(TRIM(Input!G857&amp;""),"%","")),0)&gt;0,IFERROR(VALUE(SUBSTITUTE(TRIM(Input!G857&amp;""),"%","")),0)&lt;1),1,100))</f>
        <v/>
      </c>
      <c r="G857" t="str">
        <f>IF(A857="","",IFERROR(VALUE(SUBSTITUTE(TRIM(Input!H857&amp;""),"%","")),0)/IF(AND(IFERROR(VALUE(SUBSTITUTE(TRIM(Input!H857&amp;""),"%","")),0)&gt;0,IFERROR(VALUE(SUBSTITUTE(TRIM(Input!H857&amp;""),"%","")),0)&lt;1),1,100))</f>
        <v/>
      </c>
      <c r="H857" t="str">
        <f>IF(A857="","",IFERROR(VALUE(SUBSTITUTE(TRIM(Input!I857&amp;""),"%","")),0)/IF(AND(IFERROR(VALUE(SUBSTITUTE(TRIM(Input!I857&amp;""),"%","")),0)&gt;0,IFERROR(VALUE(SUBSTITUTE(TRIM(Input!I857&amp;""),"%","")),0)&lt;1),1,100))</f>
        <v/>
      </c>
    </row>
    <row r="858" spans="1:8">
      <c r="A858" t="str">
        <f>IF(TRIM(Input!B858&amp;"")="","",UPPER(TRIM(Input!B858&amp;"")))</f>
        <v/>
      </c>
      <c r="B858" t="str">
        <f>IF(A858="","",IFERROR(VALUE(RIGHT(TRIM(Input!D858&amp;""),1)),0))</f>
        <v/>
      </c>
      <c r="C858" t="str">
        <f t="shared" si="13"/>
        <v/>
      </c>
      <c r="D858" t="str">
        <f>IF(A858="","",IFERROR(VALUE(SUBSTITUTE(TRIM(Input!E858&amp;""),"%","")),0)/IF(AND(IFERROR(VALUE(SUBSTITUTE(TRIM(Input!E858&amp;""),"%","")),0)&gt;0,IFERROR(VALUE(SUBSTITUTE(TRIM(Input!E858&amp;""),"%","")),0)&lt;1),1,100))</f>
        <v/>
      </c>
      <c r="E858" t="str">
        <f>IF(A858="","",IFERROR(VALUE(SUBSTITUTE(TRIM(Input!F858&amp;""),"%","")),0)/IF(AND(IFERROR(VALUE(SUBSTITUTE(TRIM(Input!F858&amp;""),"%","")),0)&gt;0,IFERROR(VALUE(SUBSTITUTE(TRIM(Input!F858&amp;""),"%","")),0)&lt;1),1,100))</f>
        <v/>
      </c>
      <c r="F858" t="str">
        <f>IF(A858="","",IFERROR(VALUE(SUBSTITUTE(TRIM(Input!G858&amp;""),"%","")),0)/IF(AND(IFERROR(VALUE(SUBSTITUTE(TRIM(Input!G858&amp;""),"%","")),0)&gt;0,IFERROR(VALUE(SUBSTITUTE(TRIM(Input!G858&amp;""),"%","")),0)&lt;1),1,100))</f>
        <v/>
      </c>
      <c r="G858" t="str">
        <f>IF(A858="","",IFERROR(VALUE(SUBSTITUTE(TRIM(Input!H858&amp;""),"%","")),0)/IF(AND(IFERROR(VALUE(SUBSTITUTE(TRIM(Input!H858&amp;""),"%","")),0)&gt;0,IFERROR(VALUE(SUBSTITUTE(TRIM(Input!H858&amp;""),"%","")),0)&lt;1),1,100))</f>
        <v/>
      </c>
      <c r="H858" t="str">
        <f>IF(A858="","",IFERROR(VALUE(SUBSTITUTE(TRIM(Input!I858&amp;""),"%","")),0)/IF(AND(IFERROR(VALUE(SUBSTITUTE(TRIM(Input!I858&amp;""),"%","")),0)&gt;0,IFERROR(VALUE(SUBSTITUTE(TRIM(Input!I858&amp;""),"%","")),0)&lt;1),1,100))</f>
        <v/>
      </c>
    </row>
    <row r="859" spans="1:8">
      <c r="A859" t="str">
        <f>IF(TRIM(Input!B859&amp;"")="","",UPPER(TRIM(Input!B859&amp;"")))</f>
        <v/>
      </c>
      <c r="B859" t="str">
        <f>IF(A859="","",IFERROR(VALUE(RIGHT(TRIM(Input!D859&amp;""),1)),0))</f>
        <v/>
      </c>
      <c r="C859" t="str">
        <f t="shared" si="13"/>
        <v/>
      </c>
      <c r="D859" t="str">
        <f>IF(A859="","",IFERROR(VALUE(SUBSTITUTE(TRIM(Input!E859&amp;""),"%","")),0)/IF(AND(IFERROR(VALUE(SUBSTITUTE(TRIM(Input!E859&amp;""),"%","")),0)&gt;0,IFERROR(VALUE(SUBSTITUTE(TRIM(Input!E859&amp;""),"%","")),0)&lt;1),1,100))</f>
        <v/>
      </c>
      <c r="E859" t="str">
        <f>IF(A859="","",IFERROR(VALUE(SUBSTITUTE(TRIM(Input!F859&amp;""),"%","")),0)/IF(AND(IFERROR(VALUE(SUBSTITUTE(TRIM(Input!F859&amp;""),"%","")),0)&gt;0,IFERROR(VALUE(SUBSTITUTE(TRIM(Input!F859&amp;""),"%","")),0)&lt;1),1,100))</f>
        <v/>
      </c>
      <c r="F859" t="str">
        <f>IF(A859="","",IFERROR(VALUE(SUBSTITUTE(TRIM(Input!G859&amp;""),"%","")),0)/IF(AND(IFERROR(VALUE(SUBSTITUTE(TRIM(Input!G859&amp;""),"%","")),0)&gt;0,IFERROR(VALUE(SUBSTITUTE(TRIM(Input!G859&amp;""),"%","")),0)&lt;1),1,100))</f>
        <v/>
      </c>
      <c r="G859" t="str">
        <f>IF(A859="","",IFERROR(VALUE(SUBSTITUTE(TRIM(Input!H859&amp;""),"%","")),0)/IF(AND(IFERROR(VALUE(SUBSTITUTE(TRIM(Input!H859&amp;""),"%","")),0)&gt;0,IFERROR(VALUE(SUBSTITUTE(TRIM(Input!H859&amp;""),"%","")),0)&lt;1),1,100))</f>
        <v/>
      </c>
      <c r="H859" t="str">
        <f>IF(A859="","",IFERROR(VALUE(SUBSTITUTE(TRIM(Input!I859&amp;""),"%","")),0)/IF(AND(IFERROR(VALUE(SUBSTITUTE(TRIM(Input!I859&amp;""),"%","")),0)&gt;0,IFERROR(VALUE(SUBSTITUTE(TRIM(Input!I859&amp;""),"%","")),0)&lt;1),1,100))</f>
        <v/>
      </c>
    </row>
    <row r="860" spans="1:8">
      <c r="A860" t="str">
        <f>IF(TRIM(Input!B860&amp;"")="","",UPPER(TRIM(Input!B860&amp;"")))</f>
        <v/>
      </c>
      <c r="B860" t="str">
        <f>IF(A860="","",IFERROR(VALUE(RIGHT(TRIM(Input!D860&amp;""),1)),0))</f>
        <v/>
      </c>
      <c r="C860" t="str">
        <f t="shared" si="13"/>
        <v/>
      </c>
      <c r="D860" t="str">
        <f>IF(A860="","",IFERROR(VALUE(SUBSTITUTE(TRIM(Input!E860&amp;""),"%","")),0)/IF(AND(IFERROR(VALUE(SUBSTITUTE(TRIM(Input!E860&amp;""),"%","")),0)&gt;0,IFERROR(VALUE(SUBSTITUTE(TRIM(Input!E860&amp;""),"%","")),0)&lt;1),1,100))</f>
        <v/>
      </c>
      <c r="E860" t="str">
        <f>IF(A860="","",IFERROR(VALUE(SUBSTITUTE(TRIM(Input!F860&amp;""),"%","")),0)/IF(AND(IFERROR(VALUE(SUBSTITUTE(TRIM(Input!F860&amp;""),"%","")),0)&gt;0,IFERROR(VALUE(SUBSTITUTE(TRIM(Input!F860&amp;""),"%","")),0)&lt;1),1,100))</f>
        <v/>
      </c>
      <c r="F860" t="str">
        <f>IF(A860="","",IFERROR(VALUE(SUBSTITUTE(TRIM(Input!G860&amp;""),"%","")),0)/IF(AND(IFERROR(VALUE(SUBSTITUTE(TRIM(Input!G860&amp;""),"%","")),0)&gt;0,IFERROR(VALUE(SUBSTITUTE(TRIM(Input!G860&amp;""),"%","")),0)&lt;1),1,100))</f>
        <v/>
      </c>
      <c r="G860" t="str">
        <f>IF(A860="","",IFERROR(VALUE(SUBSTITUTE(TRIM(Input!H860&amp;""),"%","")),0)/IF(AND(IFERROR(VALUE(SUBSTITUTE(TRIM(Input!H860&amp;""),"%","")),0)&gt;0,IFERROR(VALUE(SUBSTITUTE(TRIM(Input!H860&amp;""),"%","")),0)&lt;1),1,100))</f>
        <v/>
      </c>
      <c r="H860" t="str">
        <f>IF(A860="","",IFERROR(VALUE(SUBSTITUTE(TRIM(Input!I860&amp;""),"%","")),0)/IF(AND(IFERROR(VALUE(SUBSTITUTE(TRIM(Input!I860&amp;""),"%","")),0)&gt;0,IFERROR(VALUE(SUBSTITUTE(TRIM(Input!I860&amp;""),"%","")),0)&lt;1),1,100))</f>
        <v/>
      </c>
    </row>
    <row r="861" spans="1:8">
      <c r="A861" t="str">
        <f>IF(TRIM(Input!B861&amp;"")="","",UPPER(TRIM(Input!B861&amp;"")))</f>
        <v/>
      </c>
      <c r="B861" t="str">
        <f>IF(A861="","",IFERROR(VALUE(RIGHT(TRIM(Input!D861&amp;""),1)),0))</f>
        <v/>
      </c>
      <c r="C861" t="str">
        <f t="shared" si="13"/>
        <v/>
      </c>
      <c r="D861" t="str">
        <f>IF(A861="","",IFERROR(VALUE(SUBSTITUTE(TRIM(Input!E861&amp;""),"%","")),0)/IF(AND(IFERROR(VALUE(SUBSTITUTE(TRIM(Input!E861&amp;""),"%","")),0)&gt;0,IFERROR(VALUE(SUBSTITUTE(TRIM(Input!E861&amp;""),"%","")),0)&lt;1),1,100))</f>
        <v/>
      </c>
      <c r="E861" t="str">
        <f>IF(A861="","",IFERROR(VALUE(SUBSTITUTE(TRIM(Input!F861&amp;""),"%","")),0)/IF(AND(IFERROR(VALUE(SUBSTITUTE(TRIM(Input!F861&amp;""),"%","")),0)&gt;0,IFERROR(VALUE(SUBSTITUTE(TRIM(Input!F861&amp;""),"%","")),0)&lt;1),1,100))</f>
        <v/>
      </c>
      <c r="F861" t="str">
        <f>IF(A861="","",IFERROR(VALUE(SUBSTITUTE(TRIM(Input!G861&amp;""),"%","")),0)/IF(AND(IFERROR(VALUE(SUBSTITUTE(TRIM(Input!G861&amp;""),"%","")),0)&gt;0,IFERROR(VALUE(SUBSTITUTE(TRIM(Input!G861&amp;""),"%","")),0)&lt;1),1,100))</f>
        <v/>
      </c>
      <c r="G861" t="str">
        <f>IF(A861="","",IFERROR(VALUE(SUBSTITUTE(TRIM(Input!H861&amp;""),"%","")),0)/IF(AND(IFERROR(VALUE(SUBSTITUTE(TRIM(Input!H861&amp;""),"%","")),0)&gt;0,IFERROR(VALUE(SUBSTITUTE(TRIM(Input!H861&amp;""),"%","")),0)&lt;1),1,100))</f>
        <v/>
      </c>
      <c r="H861" t="str">
        <f>IF(A861="","",IFERROR(VALUE(SUBSTITUTE(TRIM(Input!I861&amp;""),"%","")),0)/IF(AND(IFERROR(VALUE(SUBSTITUTE(TRIM(Input!I861&amp;""),"%","")),0)&gt;0,IFERROR(VALUE(SUBSTITUTE(TRIM(Input!I861&amp;""),"%","")),0)&lt;1),1,100))</f>
        <v/>
      </c>
    </row>
    <row r="862" spans="1:8">
      <c r="A862" t="str">
        <f>IF(TRIM(Input!B862&amp;"")="","",UPPER(TRIM(Input!B862&amp;"")))</f>
        <v/>
      </c>
      <c r="B862" t="str">
        <f>IF(A862="","",IFERROR(VALUE(RIGHT(TRIM(Input!D862&amp;""),1)),0))</f>
        <v/>
      </c>
      <c r="C862" t="str">
        <f t="shared" si="13"/>
        <v/>
      </c>
      <c r="D862" t="str">
        <f>IF(A862="","",IFERROR(VALUE(SUBSTITUTE(TRIM(Input!E862&amp;""),"%","")),0)/IF(AND(IFERROR(VALUE(SUBSTITUTE(TRIM(Input!E862&amp;""),"%","")),0)&gt;0,IFERROR(VALUE(SUBSTITUTE(TRIM(Input!E862&amp;""),"%","")),0)&lt;1),1,100))</f>
        <v/>
      </c>
      <c r="E862" t="str">
        <f>IF(A862="","",IFERROR(VALUE(SUBSTITUTE(TRIM(Input!F862&amp;""),"%","")),0)/IF(AND(IFERROR(VALUE(SUBSTITUTE(TRIM(Input!F862&amp;""),"%","")),0)&gt;0,IFERROR(VALUE(SUBSTITUTE(TRIM(Input!F862&amp;""),"%","")),0)&lt;1),1,100))</f>
        <v/>
      </c>
      <c r="F862" t="str">
        <f>IF(A862="","",IFERROR(VALUE(SUBSTITUTE(TRIM(Input!G862&amp;""),"%","")),0)/IF(AND(IFERROR(VALUE(SUBSTITUTE(TRIM(Input!G862&amp;""),"%","")),0)&gt;0,IFERROR(VALUE(SUBSTITUTE(TRIM(Input!G862&amp;""),"%","")),0)&lt;1),1,100))</f>
        <v/>
      </c>
      <c r="G862" t="str">
        <f>IF(A862="","",IFERROR(VALUE(SUBSTITUTE(TRIM(Input!H862&amp;""),"%","")),0)/IF(AND(IFERROR(VALUE(SUBSTITUTE(TRIM(Input!H862&amp;""),"%","")),0)&gt;0,IFERROR(VALUE(SUBSTITUTE(TRIM(Input!H862&amp;""),"%","")),0)&lt;1),1,100))</f>
        <v/>
      </c>
      <c r="H862" t="str">
        <f>IF(A862="","",IFERROR(VALUE(SUBSTITUTE(TRIM(Input!I862&amp;""),"%","")),0)/IF(AND(IFERROR(VALUE(SUBSTITUTE(TRIM(Input!I862&amp;""),"%","")),0)&gt;0,IFERROR(VALUE(SUBSTITUTE(TRIM(Input!I862&amp;""),"%","")),0)&lt;1),1,100))</f>
        <v/>
      </c>
    </row>
    <row r="863" spans="1:8">
      <c r="A863" t="str">
        <f>IF(TRIM(Input!B863&amp;"")="","",UPPER(TRIM(Input!B863&amp;"")))</f>
        <v/>
      </c>
      <c r="B863" t="str">
        <f>IF(A863="","",IFERROR(VALUE(RIGHT(TRIM(Input!D863&amp;""),1)),0))</f>
        <v/>
      </c>
      <c r="C863" t="str">
        <f t="shared" si="13"/>
        <v/>
      </c>
      <c r="D863" t="str">
        <f>IF(A863="","",IFERROR(VALUE(SUBSTITUTE(TRIM(Input!E863&amp;""),"%","")),0)/IF(AND(IFERROR(VALUE(SUBSTITUTE(TRIM(Input!E863&amp;""),"%","")),0)&gt;0,IFERROR(VALUE(SUBSTITUTE(TRIM(Input!E863&amp;""),"%","")),0)&lt;1),1,100))</f>
        <v/>
      </c>
      <c r="E863" t="str">
        <f>IF(A863="","",IFERROR(VALUE(SUBSTITUTE(TRIM(Input!F863&amp;""),"%","")),0)/IF(AND(IFERROR(VALUE(SUBSTITUTE(TRIM(Input!F863&amp;""),"%","")),0)&gt;0,IFERROR(VALUE(SUBSTITUTE(TRIM(Input!F863&amp;""),"%","")),0)&lt;1),1,100))</f>
        <v/>
      </c>
      <c r="F863" t="str">
        <f>IF(A863="","",IFERROR(VALUE(SUBSTITUTE(TRIM(Input!G863&amp;""),"%","")),0)/IF(AND(IFERROR(VALUE(SUBSTITUTE(TRIM(Input!G863&amp;""),"%","")),0)&gt;0,IFERROR(VALUE(SUBSTITUTE(TRIM(Input!G863&amp;""),"%","")),0)&lt;1),1,100))</f>
        <v/>
      </c>
      <c r="G863" t="str">
        <f>IF(A863="","",IFERROR(VALUE(SUBSTITUTE(TRIM(Input!H863&amp;""),"%","")),0)/IF(AND(IFERROR(VALUE(SUBSTITUTE(TRIM(Input!H863&amp;""),"%","")),0)&gt;0,IFERROR(VALUE(SUBSTITUTE(TRIM(Input!H863&amp;""),"%","")),0)&lt;1),1,100))</f>
        <v/>
      </c>
      <c r="H863" t="str">
        <f>IF(A863="","",IFERROR(VALUE(SUBSTITUTE(TRIM(Input!I863&amp;""),"%","")),0)/IF(AND(IFERROR(VALUE(SUBSTITUTE(TRIM(Input!I863&amp;""),"%","")),0)&gt;0,IFERROR(VALUE(SUBSTITUTE(TRIM(Input!I863&amp;""),"%","")),0)&lt;1),1,100))</f>
        <v/>
      </c>
    </row>
    <row r="864" spans="1:8">
      <c r="A864" t="str">
        <f>IF(TRIM(Input!B864&amp;"")="","",UPPER(TRIM(Input!B864&amp;"")))</f>
        <v/>
      </c>
      <c r="B864" t="str">
        <f>IF(A864="","",IFERROR(VALUE(RIGHT(TRIM(Input!D864&amp;""),1)),0))</f>
        <v/>
      </c>
      <c r="C864" t="str">
        <f t="shared" si="13"/>
        <v/>
      </c>
      <c r="D864" t="str">
        <f>IF(A864="","",IFERROR(VALUE(SUBSTITUTE(TRIM(Input!E864&amp;""),"%","")),0)/IF(AND(IFERROR(VALUE(SUBSTITUTE(TRIM(Input!E864&amp;""),"%","")),0)&gt;0,IFERROR(VALUE(SUBSTITUTE(TRIM(Input!E864&amp;""),"%","")),0)&lt;1),1,100))</f>
        <v/>
      </c>
      <c r="E864" t="str">
        <f>IF(A864="","",IFERROR(VALUE(SUBSTITUTE(TRIM(Input!F864&amp;""),"%","")),0)/IF(AND(IFERROR(VALUE(SUBSTITUTE(TRIM(Input!F864&amp;""),"%","")),0)&gt;0,IFERROR(VALUE(SUBSTITUTE(TRIM(Input!F864&amp;""),"%","")),0)&lt;1),1,100))</f>
        <v/>
      </c>
      <c r="F864" t="str">
        <f>IF(A864="","",IFERROR(VALUE(SUBSTITUTE(TRIM(Input!G864&amp;""),"%","")),0)/IF(AND(IFERROR(VALUE(SUBSTITUTE(TRIM(Input!G864&amp;""),"%","")),0)&gt;0,IFERROR(VALUE(SUBSTITUTE(TRIM(Input!G864&amp;""),"%","")),0)&lt;1),1,100))</f>
        <v/>
      </c>
      <c r="G864" t="str">
        <f>IF(A864="","",IFERROR(VALUE(SUBSTITUTE(TRIM(Input!H864&amp;""),"%","")),0)/IF(AND(IFERROR(VALUE(SUBSTITUTE(TRIM(Input!H864&amp;""),"%","")),0)&gt;0,IFERROR(VALUE(SUBSTITUTE(TRIM(Input!H864&amp;""),"%","")),0)&lt;1),1,100))</f>
        <v/>
      </c>
      <c r="H864" t="str">
        <f>IF(A864="","",IFERROR(VALUE(SUBSTITUTE(TRIM(Input!I864&amp;""),"%","")),0)/IF(AND(IFERROR(VALUE(SUBSTITUTE(TRIM(Input!I864&amp;""),"%","")),0)&gt;0,IFERROR(VALUE(SUBSTITUTE(TRIM(Input!I864&amp;""),"%","")),0)&lt;1),1,100))</f>
        <v/>
      </c>
    </row>
    <row r="865" spans="1:8">
      <c r="A865" t="str">
        <f>IF(TRIM(Input!B865&amp;"")="","",UPPER(TRIM(Input!B865&amp;"")))</f>
        <v/>
      </c>
      <c r="B865" t="str">
        <f>IF(A865="","",IFERROR(VALUE(RIGHT(TRIM(Input!D865&amp;""),1)),0))</f>
        <v/>
      </c>
      <c r="C865" t="str">
        <f t="shared" si="13"/>
        <v/>
      </c>
      <c r="D865" t="str">
        <f>IF(A865="","",IFERROR(VALUE(SUBSTITUTE(TRIM(Input!E865&amp;""),"%","")),0)/IF(AND(IFERROR(VALUE(SUBSTITUTE(TRIM(Input!E865&amp;""),"%","")),0)&gt;0,IFERROR(VALUE(SUBSTITUTE(TRIM(Input!E865&amp;""),"%","")),0)&lt;1),1,100))</f>
        <v/>
      </c>
      <c r="E865" t="str">
        <f>IF(A865="","",IFERROR(VALUE(SUBSTITUTE(TRIM(Input!F865&amp;""),"%","")),0)/IF(AND(IFERROR(VALUE(SUBSTITUTE(TRIM(Input!F865&amp;""),"%","")),0)&gt;0,IFERROR(VALUE(SUBSTITUTE(TRIM(Input!F865&amp;""),"%","")),0)&lt;1),1,100))</f>
        <v/>
      </c>
      <c r="F865" t="str">
        <f>IF(A865="","",IFERROR(VALUE(SUBSTITUTE(TRIM(Input!G865&amp;""),"%","")),0)/IF(AND(IFERROR(VALUE(SUBSTITUTE(TRIM(Input!G865&amp;""),"%","")),0)&gt;0,IFERROR(VALUE(SUBSTITUTE(TRIM(Input!G865&amp;""),"%","")),0)&lt;1),1,100))</f>
        <v/>
      </c>
      <c r="G865" t="str">
        <f>IF(A865="","",IFERROR(VALUE(SUBSTITUTE(TRIM(Input!H865&amp;""),"%","")),0)/IF(AND(IFERROR(VALUE(SUBSTITUTE(TRIM(Input!H865&amp;""),"%","")),0)&gt;0,IFERROR(VALUE(SUBSTITUTE(TRIM(Input!H865&amp;""),"%","")),0)&lt;1),1,100))</f>
        <v/>
      </c>
      <c r="H865" t="str">
        <f>IF(A865="","",IFERROR(VALUE(SUBSTITUTE(TRIM(Input!I865&amp;""),"%","")),0)/IF(AND(IFERROR(VALUE(SUBSTITUTE(TRIM(Input!I865&amp;""),"%","")),0)&gt;0,IFERROR(VALUE(SUBSTITUTE(TRIM(Input!I865&amp;""),"%","")),0)&lt;1),1,100))</f>
        <v/>
      </c>
    </row>
    <row r="866" spans="1:8">
      <c r="A866" t="str">
        <f>IF(TRIM(Input!B866&amp;"")="","",UPPER(TRIM(Input!B866&amp;"")))</f>
        <v/>
      </c>
      <c r="B866" t="str">
        <f>IF(A866="","",IFERROR(VALUE(RIGHT(TRIM(Input!D866&amp;""),1)),0))</f>
        <v/>
      </c>
      <c r="C866" t="str">
        <f t="shared" si="13"/>
        <v/>
      </c>
      <c r="D866" t="str">
        <f>IF(A866="","",IFERROR(VALUE(SUBSTITUTE(TRIM(Input!E866&amp;""),"%","")),0)/IF(AND(IFERROR(VALUE(SUBSTITUTE(TRIM(Input!E866&amp;""),"%","")),0)&gt;0,IFERROR(VALUE(SUBSTITUTE(TRIM(Input!E866&amp;""),"%","")),0)&lt;1),1,100))</f>
        <v/>
      </c>
      <c r="E866" t="str">
        <f>IF(A866="","",IFERROR(VALUE(SUBSTITUTE(TRIM(Input!F866&amp;""),"%","")),0)/IF(AND(IFERROR(VALUE(SUBSTITUTE(TRIM(Input!F866&amp;""),"%","")),0)&gt;0,IFERROR(VALUE(SUBSTITUTE(TRIM(Input!F866&amp;""),"%","")),0)&lt;1),1,100))</f>
        <v/>
      </c>
      <c r="F866" t="str">
        <f>IF(A866="","",IFERROR(VALUE(SUBSTITUTE(TRIM(Input!G866&amp;""),"%","")),0)/IF(AND(IFERROR(VALUE(SUBSTITUTE(TRIM(Input!G866&amp;""),"%","")),0)&gt;0,IFERROR(VALUE(SUBSTITUTE(TRIM(Input!G866&amp;""),"%","")),0)&lt;1),1,100))</f>
        <v/>
      </c>
      <c r="G866" t="str">
        <f>IF(A866="","",IFERROR(VALUE(SUBSTITUTE(TRIM(Input!H866&amp;""),"%","")),0)/IF(AND(IFERROR(VALUE(SUBSTITUTE(TRIM(Input!H866&amp;""),"%","")),0)&gt;0,IFERROR(VALUE(SUBSTITUTE(TRIM(Input!H866&amp;""),"%","")),0)&lt;1),1,100))</f>
        <v/>
      </c>
      <c r="H866" t="str">
        <f>IF(A866="","",IFERROR(VALUE(SUBSTITUTE(TRIM(Input!I866&amp;""),"%","")),0)/IF(AND(IFERROR(VALUE(SUBSTITUTE(TRIM(Input!I866&amp;""),"%","")),0)&gt;0,IFERROR(VALUE(SUBSTITUTE(TRIM(Input!I866&amp;""),"%","")),0)&lt;1),1,100))</f>
        <v/>
      </c>
    </row>
    <row r="867" spans="1:8">
      <c r="A867" t="str">
        <f>IF(TRIM(Input!B867&amp;"")="","",UPPER(TRIM(Input!B867&amp;"")))</f>
        <v/>
      </c>
      <c r="B867" t="str">
        <f>IF(A867="","",IFERROR(VALUE(RIGHT(TRIM(Input!D867&amp;""),1)),0))</f>
        <v/>
      </c>
      <c r="C867" t="str">
        <f t="shared" si="13"/>
        <v/>
      </c>
      <c r="D867" t="str">
        <f>IF(A867="","",IFERROR(VALUE(SUBSTITUTE(TRIM(Input!E867&amp;""),"%","")),0)/IF(AND(IFERROR(VALUE(SUBSTITUTE(TRIM(Input!E867&amp;""),"%","")),0)&gt;0,IFERROR(VALUE(SUBSTITUTE(TRIM(Input!E867&amp;""),"%","")),0)&lt;1),1,100))</f>
        <v/>
      </c>
      <c r="E867" t="str">
        <f>IF(A867="","",IFERROR(VALUE(SUBSTITUTE(TRIM(Input!F867&amp;""),"%","")),0)/IF(AND(IFERROR(VALUE(SUBSTITUTE(TRIM(Input!F867&amp;""),"%","")),0)&gt;0,IFERROR(VALUE(SUBSTITUTE(TRIM(Input!F867&amp;""),"%","")),0)&lt;1),1,100))</f>
        <v/>
      </c>
      <c r="F867" t="str">
        <f>IF(A867="","",IFERROR(VALUE(SUBSTITUTE(TRIM(Input!G867&amp;""),"%","")),0)/IF(AND(IFERROR(VALUE(SUBSTITUTE(TRIM(Input!G867&amp;""),"%","")),0)&gt;0,IFERROR(VALUE(SUBSTITUTE(TRIM(Input!G867&amp;""),"%","")),0)&lt;1),1,100))</f>
        <v/>
      </c>
      <c r="G867" t="str">
        <f>IF(A867="","",IFERROR(VALUE(SUBSTITUTE(TRIM(Input!H867&amp;""),"%","")),0)/IF(AND(IFERROR(VALUE(SUBSTITUTE(TRIM(Input!H867&amp;""),"%","")),0)&gt;0,IFERROR(VALUE(SUBSTITUTE(TRIM(Input!H867&amp;""),"%","")),0)&lt;1),1,100))</f>
        <v/>
      </c>
      <c r="H867" t="str">
        <f>IF(A867="","",IFERROR(VALUE(SUBSTITUTE(TRIM(Input!I867&amp;""),"%","")),0)/IF(AND(IFERROR(VALUE(SUBSTITUTE(TRIM(Input!I867&amp;""),"%","")),0)&gt;0,IFERROR(VALUE(SUBSTITUTE(TRIM(Input!I867&amp;""),"%","")),0)&lt;1),1,100))</f>
        <v/>
      </c>
    </row>
    <row r="868" spans="1:8">
      <c r="A868" t="str">
        <f>IF(TRIM(Input!B868&amp;"")="","",UPPER(TRIM(Input!B868&amp;"")))</f>
        <v/>
      </c>
      <c r="B868" t="str">
        <f>IF(A868="","",IFERROR(VALUE(RIGHT(TRIM(Input!D868&amp;""),1)),0))</f>
        <v/>
      </c>
      <c r="C868" t="str">
        <f t="shared" si="13"/>
        <v/>
      </c>
      <c r="D868" t="str">
        <f>IF(A868="","",IFERROR(VALUE(SUBSTITUTE(TRIM(Input!E868&amp;""),"%","")),0)/IF(AND(IFERROR(VALUE(SUBSTITUTE(TRIM(Input!E868&amp;""),"%","")),0)&gt;0,IFERROR(VALUE(SUBSTITUTE(TRIM(Input!E868&amp;""),"%","")),0)&lt;1),1,100))</f>
        <v/>
      </c>
      <c r="E868" t="str">
        <f>IF(A868="","",IFERROR(VALUE(SUBSTITUTE(TRIM(Input!F868&amp;""),"%","")),0)/IF(AND(IFERROR(VALUE(SUBSTITUTE(TRIM(Input!F868&amp;""),"%","")),0)&gt;0,IFERROR(VALUE(SUBSTITUTE(TRIM(Input!F868&amp;""),"%","")),0)&lt;1),1,100))</f>
        <v/>
      </c>
      <c r="F868" t="str">
        <f>IF(A868="","",IFERROR(VALUE(SUBSTITUTE(TRIM(Input!G868&amp;""),"%","")),0)/IF(AND(IFERROR(VALUE(SUBSTITUTE(TRIM(Input!G868&amp;""),"%","")),0)&gt;0,IFERROR(VALUE(SUBSTITUTE(TRIM(Input!G868&amp;""),"%","")),0)&lt;1),1,100))</f>
        <v/>
      </c>
      <c r="G868" t="str">
        <f>IF(A868="","",IFERROR(VALUE(SUBSTITUTE(TRIM(Input!H868&amp;""),"%","")),0)/IF(AND(IFERROR(VALUE(SUBSTITUTE(TRIM(Input!H868&amp;""),"%","")),0)&gt;0,IFERROR(VALUE(SUBSTITUTE(TRIM(Input!H868&amp;""),"%","")),0)&lt;1),1,100))</f>
        <v/>
      </c>
      <c r="H868" t="str">
        <f>IF(A868="","",IFERROR(VALUE(SUBSTITUTE(TRIM(Input!I868&amp;""),"%","")),0)/IF(AND(IFERROR(VALUE(SUBSTITUTE(TRIM(Input!I868&amp;""),"%","")),0)&gt;0,IFERROR(VALUE(SUBSTITUTE(TRIM(Input!I868&amp;""),"%","")),0)&lt;1),1,100))</f>
        <v/>
      </c>
    </row>
    <row r="869" spans="1:8">
      <c r="A869" t="str">
        <f>IF(TRIM(Input!B869&amp;"")="","",UPPER(TRIM(Input!B869&amp;"")))</f>
        <v/>
      </c>
      <c r="B869" t="str">
        <f>IF(A869="","",IFERROR(VALUE(RIGHT(TRIM(Input!D869&amp;""),1)),0))</f>
        <v/>
      </c>
      <c r="C869" t="str">
        <f t="shared" si="13"/>
        <v/>
      </c>
      <c r="D869" t="str">
        <f>IF(A869="","",IFERROR(VALUE(SUBSTITUTE(TRIM(Input!E869&amp;""),"%","")),0)/IF(AND(IFERROR(VALUE(SUBSTITUTE(TRIM(Input!E869&amp;""),"%","")),0)&gt;0,IFERROR(VALUE(SUBSTITUTE(TRIM(Input!E869&amp;""),"%","")),0)&lt;1),1,100))</f>
        <v/>
      </c>
      <c r="E869" t="str">
        <f>IF(A869="","",IFERROR(VALUE(SUBSTITUTE(TRIM(Input!F869&amp;""),"%","")),0)/IF(AND(IFERROR(VALUE(SUBSTITUTE(TRIM(Input!F869&amp;""),"%","")),0)&gt;0,IFERROR(VALUE(SUBSTITUTE(TRIM(Input!F869&amp;""),"%","")),0)&lt;1),1,100))</f>
        <v/>
      </c>
      <c r="F869" t="str">
        <f>IF(A869="","",IFERROR(VALUE(SUBSTITUTE(TRIM(Input!G869&amp;""),"%","")),0)/IF(AND(IFERROR(VALUE(SUBSTITUTE(TRIM(Input!G869&amp;""),"%","")),0)&gt;0,IFERROR(VALUE(SUBSTITUTE(TRIM(Input!G869&amp;""),"%","")),0)&lt;1),1,100))</f>
        <v/>
      </c>
      <c r="G869" t="str">
        <f>IF(A869="","",IFERROR(VALUE(SUBSTITUTE(TRIM(Input!H869&amp;""),"%","")),0)/IF(AND(IFERROR(VALUE(SUBSTITUTE(TRIM(Input!H869&amp;""),"%","")),0)&gt;0,IFERROR(VALUE(SUBSTITUTE(TRIM(Input!H869&amp;""),"%","")),0)&lt;1),1,100))</f>
        <v/>
      </c>
      <c r="H869" t="str">
        <f>IF(A869="","",IFERROR(VALUE(SUBSTITUTE(TRIM(Input!I869&amp;""),"%","")),0)/IF(AND(IFERROR(VALUE(SUBSTITUTE(TRIM(Input!I869&amp;""),"%","")),0)&gt;0,IFERROR(VALUE(SUBSTITUTE(TRIM(Input!I869&amp;""),"%","")),0)&lt;1),1,100))</f>
        <v/>
      </c>
    </row>
    <row r="870" spans="1:8">
      <c r="A870" t="str">
        <f>IF(TRIM(Input!B870&amp;"")="","",UPPER(TRIM(Input!B870&amp;"")))</f>
        <v/>
      </c>
      <c r="B870" t="str">
        <f>IF(A870="","",IFERROR(VALUE(RIGHT(TRIM(Input!D870&amp;""),1)),0))</f>
        <v/>
      </c>
      <c r="C870" t="str">
        <f t="shared" si="13"/>
        <v/>
      </c>
      <c r="D870" t="str">
        <f>IF(A870="","",IFERROR(VALUE(SUBSTITUTE(TRIM(Input!E870&amp;""),"%","")),0)/IF(AND(IFERROR(VALUE(SUBSTITUTE(TRIM(Input!E870&amp;""),"%","")),0)&gt;0,IFERROR(VALUE(SUBSTITUTE(TRIM(Input!E870&amp;""),"%","")),0)&lt;1),1,100))</f>
        <v/>
      </c>
      <c r="E870" t="str">
        <f>IF(A870="","",IFERROR(VALUE(SUBSTITUTE(TRIM(Input!F870&amp;""),"%","")),0)/IF(AND(IFERROR(VALUE(SUBSTITUTE(TRIM(Input!F870&amp;""),"%","")),0)&gt;0,IFERROR(VALUE(SUBSTITUTE(TRIM(Input!F870&amp;""),"%","")),0)&lt;1),1,100))</f>
        <v/>
      </c>
      <c r="F870" t="str">
        <f>IF(A870="","",IFERROR(VALUE(SUBSTITUTE(TRIM(Input!G870&amp;""),"%","")),0)/IF(AND(IFERROR(VALUE(SUBSTITUTE(TRIM(Input!G870&amp;""),"%","")),0)&gt;0,IFERROR(VALUE(SUBSTITUTE(TRIM(Input!G870&amp;""),"%","")),0)&lt;1),1,100))</f>
        <v/>
      </c>
      <c r="G870" t="str">
        <f>IF(A870="","",IFERROR(VALUE(SUBSTITUTE(TRIM(Input!H870&amp;""),"%","")),0)/IF(AND(IFERROR(VALUE(SUBSTITUTE(TRIM(Input!H870&amp;""),"%","")),0)&gt;0,IFERROR(VALUE(SUBSTITUTE(TRIM(Input!H870&amp;""),"%","")),0)&lt;1),1,100))</f>
        <v/>
      </c>
      <c r="H870" t="str">
        <f>IF(A870="","",IFERROR(VALUE(SUBSTITUTE(TRIM(Input!I870&amp;""),"%","")),0)/IF(AND(IFERROR(VALUE(SUBSTITUTE(TRIM(Input!I870&amp;""),"%","")),0)&gt;0,IFERROR(VALUE(SUBSTITUTE(TRIM(Input!I870&amp;""),"%","")),0)&lt;1),1,100))</f>
        <v/>
      </c>
    </row>
    <row r="871" spans="1:8">
      <c r="A871" t="str">
        <f>IF(TRIM(Input!B871&amp;"")="","",UPPER(TRIM(Input!B871&amp;"")))</f>
        <v/>
      </c>
      <c r="B871" t="str">
        <f>IF(A871="","",IFERROR(VALUE(RIGHT(TRIM(Input!D871&amp;""),1)),0))</f>
        <v/>
      </c>
      <c r="C871" t="str">
        <f t="shared" si="13"/>
        <v/>
      </c>
      <c r="D871" t="str">
        <f>IF(A871="","",IFERROR(VALUE(SUBSTITUTE(TRIM(Input!E871&amp;""),"%","")),0)/IF(AND(IFERROR(VALUE(SUBSTITUTE(TRIM(Input!E871&amp;""),"%","")),0)&gt;0,IFERROR(VALUE(SUBSTITUTE(TRIM(Input!E871&amp;""),"%","")),0)&lt;1),1,100))</f>
        <v/>
      </c>
      <c r="E871" t="str">
        <f>IF(A871="","",IFERROR(VALUE(SUBSTITUTE(TRIM(Input!F871&amp;""),"%","")),0)/IF(AND(IFERROR(VALUE(SUBSTITUTE(TRIM(Input!F871&amp;""),"%","")),0)&gt;0,IFERROR(VALUE(SUBSTITUTE(TRIM(Input!F871&amp;""),"%","")),0)&lt;1),1,100))</f>
        <v/>
      </c>
      <c r="F871" t="str">
        <f>IF(A871="","",IFERROR(VALUE(SUBSTITUTE(TRIM(Input!G871&amp;""),"%","")),0)/IF(AND(IFERROR(VALUE(SUBSTITUTE(TRIM(Input!G871&amp;""),"%","")),0)&gt;0,IFERROR(VALUE(SUBSTITUTE(TRIM(Input!G871&amp;""),"%","")),0)&lt;1),1,100))</f>
        <v/>
      </c>
      <c r="G871" t="str">
        <f>IF(A871="","",IFERROR(VALUE(SUBSTITUTE(TRIM(Input!H871&amp;""),"%","")),0)/IF(AND(IFERROR(VALUE(SUBSTITUTE(TRIM(Input!H871&amp;""),"%","")),0)&gt;0,IFERROR(VALUE(SUBSTITUTE(TRIM(Input!H871&amp;""),"%","")),0)&lt;1),1,100))</f>
        <v/>
      </c>
      <c r="H871" t="str">
        <f>IF(A871="","",IFERROR(VALUE(SUBSTITUTE(TRIM(Input!I871&amp;""),"%","")),0)/IF(AND(IFERROR(VALUE(SUBSTITUTE(TRIM(Input!I871&amp;""),"%","")),0)&gt;0,IFERROR(VALUE(SUBSTITUTE(TRIM(Input!I871&amp;""),"%","")),0)&lt;1),1,100))</f>
        <v/>
      </c>
    </row>
    <row r="872" spans="1:8">
      <c r="A872" t="str">
        <f>IF(TRIM(Input!B872&amp;"")="","",UPPER(TRIM(Input!B872&amp;"")))</f>
        <v/>
      </c>
      <c r="B872" t="str">
        <f>IF(A872="","",IFERROR(VALUE(RIGHT(TRIM(Input!D872&amp;""),1)),0))</f>
        <v/>
      </c>
      <c r="C872" t="str">
        <f t="shared" si="13"/>
        <v/>
      </c>
      <c r="D872" t="str">
        <f>IF(A872="","",IFERROR(VALUE(SUBSTITUTE(TRIM(Input!E872&amp;""),"%","")),0)/IF(AND(IFERROR(VALUE(SUBSTITUTE(TRIM(Input!E872&amp;""),"%","")),0)&gt;0,IFERROR(VALUE(SUBSTITUTE(TRIM(Input!E872&amp;""),"%","")),0)&lt;1),1,100))</f>
        <v/>
      </c>
      <c r="E872" t="str">
        <f>IF(A872="","",IFERROR(VALUE(SUBSTITUTE(TRIM(Input!F872&amp;""),"%","")),0)/IF(AND(IFERROR(VALUE(SUBSTITUTE(TRIM(Input!F872&amp;""),"%","")),0)&gt;0,IFERROR(VALUE(SUBSTITUTE(TRIM(Input!F872&amp;""),"%","")),0)&lt;1),1,100))</f>
        <v/>
      </c>
      <c r="F872" t="str">
        <f>IF(A872="","",IFERROR(VALUE(SUBSTITUTE(TRIM(Input!G872&amp;""),"%","")),0)/IF(AND(IFERROR(VALUE(SUBSTITUTE(TRIM(Input!G872&amp;""),"%","")),0)&gt;0,IFERROR(VALUE(SUBSTITUTE(TRIM(Input!G872&amp;""),"%","")),0)&lt;1),1,100))</f>
        <v/>
      </c>
      <c r="G872" t="str">
        <f>IF(A872="","",IFERROR(VALUE(SUBSTITUTE(TRIM(Input!H872&amp;""),"%","")),0)/IF(AND(IFERROR(VALUE(SUBSTITUTE(TRIM(Input!H872&amp;""),"%","")),0)&gt;0,IFERROR(VALUE(SUBSTITUTE(TRIM(Input!H872&amp;""),"%","")),0)&lt;1),1,100))</f>
        <v/>
      </c>
      <c r="H872" t="str">
        <f>IF(A872="","",IFERROR(VALUE(SUBSTITUTE(TRIM(Input!I872&amp;""),"%","")),0)/IF(AND(IFERROR(VALUE(SUBSTITUTE(TRIM(Input!I872&amp;""),"%","")),0)&gt;0,IFERROR(VALUE(SUBSTITUTE(TRIM(Input!I872&amp;""),"%","")),0)&lt;1),1,100))</f>
        <v/>
      </c>
    </row>
    <row r="873" spans="1:8">
      <c r="A873" t="str">
        <f>IF(TRIM(Input!B873&amp;"")="","",UPPER(TRIM(Input!B873&amp;"")))</f>
        <v/>
      </c>
      <c r="B873" t="str">
        <f>IF(A873="","",IFERROR(VALUE(RIGHT(TRIM(Input!D873&amp;""),1)),0))</f>
        <v/>
      </c>
      <c r="C873" t="str">
        <f t="shared" si="13"/>
        <v/>
      </c>
      <c r="D873" t="str">
        <f>IF(A873="","",IFERROR(VALUE(SUBSTITUTE(TRIM(Input!E873&amp;""),"%","")),0)/IF(AND(IFERROR(VALUE(SUBSTITUTE(TRIM(Input!E873&amp;""),"%","")),0)&gt;0,IFERROR(VALUE(SUBSTITUTE(TRIM(Input!E873&amp;""),"%","")),0)&lt;1),1,100))</f>
        <v/>
      </c>
      <c r="E873" t="str">
        <f>IF(A873="","",IFERROR(VALUE(SUBSTITUTE(TRIM(Input!F873&amp;""),"%","")),0)/IF(AND(IFERROR(VALUE(SUBSTITUTE(TRIM(Input!F873&amp;""),"%","")),0)&gt;0,IFERROR(VALUE(SUBSTITUTE(TRIM(Input!F873&amp;""),"%","")),0)&lt;1),1,100))</f>
        <v/>
      </c>
      <c r="F873" t="str">
        <f>IF(A873="","",IFERROR(VALUE(SUBSTITUTE(TRIM(Input!G873&amp;""),"%","")),0)/IF(AND(IFERROR(VALUE(SUBSTITUTE(TRIM(Input!G873&amp;""),"%","")),0)&gt;0,IFERROR(VALUE(SUBSTITUTE(TRIM(Input!G873&amp;""),"%","")),0)&lt;1),1,100))</f>
        <v/>
      </c>
      <c r="G873" t="str">
        <f>IF(A873="","",IFERROR(VALUE(SUBSTITUTE(TRIM(Input!H873&amp;""),"%","")),0)/IF(AND(IFERROR(VALUE(SUBSTITUTE(TRIM(Input!H873&amp;""),"%","")),0)&gt;0,IFERROR(VALUE(SUBSTITUTE(TRIM(Input!H873&amp;""),"%","")),0)&lt;1),1,100))</f>
        <v/>
      </c>
      <c r="H873" t="str">
        <f>IF(A873="","",IFERROR(VALUE(SUBSTITUTE(TRIM(Input!I873&amp;""),"%","")),0)/IF(AND(IFERROR(VALUE(SUBSTITUTE(TRIM(Input!I873&amp;""),"%","")),0)&gt;0,IFERROR(VALUE(SUBSTITUTE(TRIM(Input!I873&amp;""),"%","")),0)&lt;1),1,100))</f>
        <v/>
      </c>
    </row>
    <row r="874" spans="1:8">
      <c r="A874" t="str">
        <f>IF(TRIM(Input!B874&amp;"")="","",UPPER(TRIM(Input!B874&amp;"")))</f>
        <v/>
      </c>
      <c r="B874" t="str">
        <f>IF(A874="","",IFERROR(VALUE(RIGHT(TRIM(Input!D874&amp;""),1)),0))</f>
        <v/>
      </c>
      <c r="C874" t="str">
        <f t="shared" si="13"/>
        <v/>
      </c>
      <c r="D874" t="str">
        <f>IF(A874="","",IFERROR(VALUE(SUBSTITUTE(TRIM(Input!E874&amp;""),"%","")),0)/IF(AND(IFERROR(VALUE(SUBSTITUTE(TRIM(Input!E874&amp;""),"%","")),0)&gt;0,IFERROR(VALUE(SUBSTITUTE(TRIM(Input!E874&amp;""),"%","")),0)&lt;1),1,100))</f>
        <v/>
      </c>
      <c r="E874" t="str">
        <f>IF(A874="","",IFERROR(VALUE(SUBSTITUTE(TRIM(Input!F874&amp;""),"%","")),0)/IF(AND(IFERROR(VALUE(SUBSTITUTE(TRIM(Input!F874&amp;""),"%","")),0)&gt;0,IFERROR(VALUE(SUBSTITUTE(TRIM(Input!F874&amp;""),"%","")),0)&lt;1),1,100))</f>
        <v/>
      </c>
      <c r="F874" t="str">
        <f>IF(A874="","",IFERROR(VALUE(SUBSTITUTE(TRIM(Input!G874&amp;""),"%","")),0)/IF(AND(IFERROR(VALUE(SUBSTITUTE(TRIM(Input!G874&amp;""),"%","")),0)&gt;0,IFERROR(VALUE(SUBSTITUTE(TRIM(Input!G874&amp;""),"%","")),0)&lt;1),1,100))</f>
        <v/>
      </c>
      <c r="G874" t="str">
        <f>IF(A874="","",IFERROR(VALUE(SUBSTITUTE(TRIM(Input!H874&amp;""),"%","")),0)/IF(AND(IFERROR(VALUE(SUBSTITUTE(TRIM(Input!H874&amp;""),"%","")),0)&gt;0,IFERROR(VALUE(SUBSTITUTE(TRIM(Input!H874&amp;""),"%","")),0)&lt;1),1,100))</f>
        <v/>
      </c>
      <c r="H874" t="str">
        <f>IF(A874="","",IFERROR(VALUE(SUBSTITUTE(TRIM(Input!I874&amp;""),"%","")),0)/IF(AND(IFERROR(VALUE(SUBSTITUTE(TRIM(Input!I874&amp;""),"%","")),0)&gt;0,IFERROR(VALUE(SUBSTITUTE(TRIM(Input!I874&amp;""),"%","")),0)&lt;1),1,100))</f>
        <v/>
      </c>
    </row>
    <row r="875" spans="1:8">
      <c r="A875" t="str">
        <f>IF(TRIM(Input!B875&amp;"")="","",UPPER(TRIM(Input!B875&amp;"")))</f>
        <v/>
      </c>
      <c r="B875" t="str">
        <f>IF(A875="","",IFERROR(VALUE(RIGHT(TRIM(Input!D875&amp;""),1)),0))</f>
        <v/>
      </c>
      <c r="C875" t="str">
        <f t="shared" si="13"/>
        <v/>
      </c>
      <c r="D875" t="str">
        <f>IF(A875="","",IFERROR(VALUE(SUBSTITUTE(TRIM(Input!E875&amp;""),"%","")),0)/IF(AND(IFERROR(VALUE(SUBSTITUTE(TRIM(Input!E875&amp;""),"%","")),0)&gt;0,IFERROR(VALUE(SUBSTITUTE(TRIM(Input!E875&amp;""),"%","")),0)&lt;1),1,100))</f>
        <v/>
      </c>
      <c r="E875" t="str">
        <f>IF(A875="","",IFERROR(VALUE(SUBSTITUTE(TRIM(Input!F875&amp;""),"%","")),0)/IF(AND(IFERROR(VALUE(SUBSTITUTE(TRIM(Input!F875&amp;""),"%","")),0)&gt;0,IFERROR(VALUE(SUBSTITUTE(TRIM(Input!F875&amp;""),"%","")),0)&lt;1),1,100))</f>
        <v/>
      </c>
      <c r="F875" t="str">
        <f>IF(A875="","",IFERROR(VALUE(SUBSTITUTE(TRIM(Input!G875&amp;""),"%","")),0)/IF(AND(IFERROR(VALUE(SUBSTITUTE(TRIM(Input!G875&amp;""),"%","")),0)&gt;0,IFERROR(VALUE(SUBSTITUTE(TRIM(Input!G875&amp;""),"%","")),0)&lt;1),1,100))</f>
        <v/>
      </c>
      <c r="G875" t="str">
        <f>IF(A875="","",IFERROR(VALUE(SUBSTITUTE(TRIM(Input!H875&amp;""),"%","")),0)/IF(AND(IFERROR(VALUE(SUBSTITUTE(TRIM(Input!H875&amp;""),"%","")),0)&gt;0,IFERROR(VALUE(SUBSTITUTE(TRIM(Input!H875&amp;""),"%","")),0)&lt;1),1,100))</f>
        <v/>
      </c>
      <c r="H875" t="str">
        <f>IF(A875="","",IFERROR(VALUE(SUBSTITUTE(TRIM(Input!I875&amp;""),"%","")),0)/IF(AND(IFERROR(VALUE(SUBSTITUTE(TRIM(Input!I875&amp;""),"%","")),0)&gt;0,IFERROR(VALUE(SUBSTITUTE(TRIM(Input!I875&amp;""),"%","")),0)&lt;1),1,100))</f>
        <v/>
      </c>
    </row>
    <row r="876" spans="1:8">
      <c r="A876" t="str">
        <f>IF(TRIM(Input!B876&amp;"")="","",UPPER(TRIM(Input!B876&amp;"")))</f>
        <v/>
      </c>
      <c r="B876" t="str">
        <f>IF(A876="","",IFERROR(VALUE(RIGHT(TRIM(Input!D876&amp;""),1)),0))</f>
        <v/>
      </c>
      <c r="C876" t="str">
        <f t="shared" si="13"/>
        <v/>
      </c>
      <c r="D876" t="str">
        <f>IF(A876="","",IFERROR(VALUE(SUBSTITUTE(TRIM(Input!E876&amp;""),"%","")),0)/IF(AND(IFERROR(VALUE(SUBSTITUTE(TRIM(Input!E876&amp;""),"%","")),0)&gt;0,IFERROR(VALUE(SUBSTITUTE(TRIM(Input!E876&amp;""),"%","")),0)&lt;1),1,100))</f>
        <v/>
      </c>
      <c r="E876" t="str">
        <f>IF(A876="","",IFERROR(VALUE(SUBSTITUTE(TRIM(Input!F876&amp;""),"%","")),0)/IF(AND(IFERROR(VALUE(SUBSTITUTE(TRIM(Input!F876&amp;""),"%","")),0)&gt;0,IFERROR(VALUE(SUBSTITUTE(TRIM(Input!F876&amp;""),"%","")),0)&lt;1),1,100))</f>
        <v/>
      </c>
      <c r="F876" t="str">
        <f>IF(A876="","",IFERROR(VALUE(SUBSTITUTE(TRIM(Input!G876&amp;""),"%","")),0)/IF(AND(IFERROR(VALUE(SUBSTITUTE(TRIM(Input!G876&amp;""),"%","")),0)&gt;0,IFERROR(VALUE(SUBSTITUTE(TRIM(Input!G876&amp;""),"%","")),0)&lt;1),1,100))</f>
        <v/>
      </c>
      <c r="G876" t="str">
        <f>IF(A876="","",IFERROR(VALUE(SUBSTITUTE(TRIM(Input!H876&amp;""),"%","")),0)/IF(AND(IFERROR(VALUE(SUBSTITUTE(TRIM(Input!H876&amp;""),"%","")),0)&gt;0,IFERROR(VALUE(SUBSTITUTE(TRIM(Input!H876&amp;""),"%","")),0)&lt;1),1,100))</f>
        <v/>
      </c>
      <c r="H876" t="str">
        <f>IF(A876="","",IFERROR(VALUE(SUBSTITUTE(TRIM(Input!I876&amp;""),"%","")),0)/IF(AND(IFERROR(VALUE(SUBSTITUTE(TRIM(Input!I876&amp;""),"%","")),0)&gt;0,IFERROR(VALUE(SUBSTITUTE(TRIM(Input!I876&amp;""),"%","")),0)&lt;1),1,100))</f>
        <v/>
      </c>
    </row>
    <row r="877" spans="1:8">
      <c r="A877" t="str">
        <f>IF(TRIM(Input!B877&amp;"")="","",UPPER(TRIM(Input!B877&amp;"")))</f>
        <v/>
      </c>
      <c r="B877" t="str">
        <f>IF(A877="","",IFERROR(VALUE(RIGHT(TRIM(Input!D877&amp;""),1)),0))</f>
        <v/>
      </c>
      <c r="C877" t="str">
        <f t="shared" si="13"/>
        <v/>
      </c>
      <c r="D877" t="str">
        <f>IF(A877="","",IFERROR(VALUE(SUBSTITUTE(TRIM(Input!E877&amp;""),"%","")),0)/IF(AND(IFERROR(VALUE(SUBSTITUTE(TRIM(Input!E877&amp;""),"%","")),0)&gt;0,IFERROR(VALUE(SUBSTITUTE(TRIM(Input!E877&amp;""),"%","")),0)&lt;1),1,100))</f>
        <v/>
      </c>
      <c r="E877" t="str">
        <f>IF(A877="","",IFERROR(VALUE(SUBSTITUTE(TRIM(Input!F877&amp;""),"%","")),0)/IF(AND(IFERROR(VALUE(SUBSTITUTE(TRIM(Input!F877&amp;""),"%","")),0)&gt;0,IFERROR(VALUE(SUBSTITUTE(TRIM(Input!F877&amp;""),"%","")),0)&lt;1),1,100))</f>
        <v/>
      </c>
      <c r="F877" t="str">
        <f>IF(A877="","",IFERROR(VALUE(SUBSTITUTE(TRIM(Input!G877&amp;""),"%","")),0)/IF(AND(IFERROR(VALUE(SUBSTITUTE(TRIM(Input!G877&amp;""),"%","")),0)&gt;0,IFERROR(VALUE(SUBSTITUTE(TRIM(Input!G877&amp;""),"%","")),0)&lt;1),1,100))</f>
        <v/>
      </c>
      <c r="G877" t="str">
        <f>IF(A877="","",IFERROR(VALUE(SUBSTITUTE(TRIM(Input!H877&amp;""),"%","")),0)/IF(AND(IFERROR(VALUE(SUBSTITUTE(TRIM(Input!H877&amp;""),"%","")),0)&gt;0,IFERROR(VALUE(SUBSTITUTE(TRIM(Input!H877&amp;""),"%","")),0)&lt;1),1,100))</f>
        <v/>
      </c>
      <c r="H877" t="str">
        <f>IF(A877="","",IFERROR(VALUE(SUBSTITUTE(TRIM(Input!I877&amp;""),"%","")),0)/IF(AND(IFERROR(VALUE(SUBSTITUTE(TRIM(Input!I877&amp;""),"%","")),0)&gt;0,IFERROR(VALUE(SUBSTITUTE(TRIM(Input!I877&amp;""),"%","")),0)&lt;1),1,100))</f>
        <v/>
      </c>
    </row>
    <row r="878" spans="1:8">
      <c r="A878" t="str">
        <f>IF(TRIM(Input!B878&amp;"")="","",UPPER(TRIM(Input!B878&amp;"")))</f>
        <v/>
      </c>
      <c r="B878" t="str">
        <f>IF(A878="","",IFERROR(VALUE(RIGHT(TRIM(Input!D878&amp;""),1)),0))</f>
        <v/>
      </c>
      <c r="C878" t="str">
        <f t="shared" si="13"/>
        <v/>
      </c>
      <c r="D878" t="str">
        <f>IF(A878="","",IFERROR(VALUE(SUBSTITUTE(TRIM(Input!E878&amp;""),"%","")),0)/IF(AND(IFERROR(VALUE(SUBSTITUTE(TRIM(Input!E878&amp;""),"%","")),0)&gt;0,IFERROR(VALUE(SUBSTITUTE(TRIM(Input!E878&amp;""),"%","")),0)&lt;1),1,100))</f>
        <v/>
      </c>
      <c r="E878" t="str">
        <f>IF(A878="","",IFERROR(VALUE(SUBSTITUTE(TRIM(Input!F878&amp;""),"%","")),0)/IF(AND(IFERROR(VALUE(SUBSTITUTE(TRIM(Input!F878&amp;""),"%","")),0)&gt;0,IFERROR(VALUE(SUBSTITUTE(TRIM(Input!F878&amp;""),"%","")),0)&lt;1),1,100))</f>
        <v/>
      </c>
      <c r="F878" t="str">
        <f>IF(A878="","",IFERROR(VALUE(SUBSTITUTE(TRIM(Input!G878&amp;""),"%","")),0)/IF(AND(IFERROR(VALUE(SUBSTITUTE(TRIM(Input!G878&amp;""),"%","")),0)&gt;0,IFERROR(VALUE(SUBSTITUTE(TRIM(Input!G878&amp;""),"%","")),0)&lt;1),1,100))</f>
        <v/>
      </c>
      <c r="G878" t="str">
        <f>IF(A878="","",IFERROR(VALUE(SUBSTITUTE(TRIM(Input!H878&amp;""),"%","")),0)/IF(AND(IFERROR(VALUE(SUBSTITUTE(TRIM(Input!H878&amp;""),"%","")),0)&gt;0,IFERROR(VALUE(SUBSTITUTE(TRIM(Input!H878&amp;""),"%","")),0)&lt;1),1,100))</f>
        <v/>
      </c>
      <c r="H878" t="str">
        <f>IF(A878="","",IFERROR(VALUE(SUBSTITUTE(TRIM(Input!I878&amp;""),"%","")),0)/IF(AND(IFERROR(VALUE(SUBSTITUTE(TRIM(Input!I878&amp;""),"%","")),0)&gt;0,IFERROR(VALUE(SUBSTITUTE(TRIM(Input!I878&amp;""),"%","")),0)&lt;1),1,100))</f>
        <v/>
      </c>
    </row>
    <row r="879" spans="1:8">
      <c r="A879" t="str">
        <f>IF(TRIM(Input!B879&amp;"")="","",UPPER(TRIM(Input!B879&amp;"")))</f>
        <v/>
      </c>
      <c r="B879" t="str">
        <f>IF(A879="","",IFERROR(VALUE(RIGHT(TRIM(Input!D879&amp;""),1)),0))</f>
        <v/>
      </c>
      <c r="C879" t="str">
        <f t="shared" si="13"/>
        <v/>
      </c>
      <c r="D879" t="str">
        <f>IF(A879="","",IFERROR(VALUE(SUBSTITUTE(TRIM(Input!E879&amp;""),"%","")),0)/IF(AND(IFERROR(VALUE(SUBSTITUTE(TRIM(Input!E879&amp;""),"%","")),0)&gt;0,IFERROR(VALUE(SUBSTITUTE(TRIM(Input!E879&amp;""),"%","")),0)&lt;1),1,100))</f>
        <v/>
      </c>
      <c r="E879" t="str">
        <f>IF(A879="","",IFERROR(VALUE(SUBSTITUTE(TRIM(Input!F879&amp;""),"%","")),0)/IF(AND(IFERROR(VALUE(SUBSTITUTE(TRIM(Input!F879&amp;""),"%","")),0)&gt;0,IFERROR(VALUE(SUBSTITUTE(TRIM(Input!F879&amp;""),"%","")),0)&lt;1),1,100))</f>
        <v/>
      </c>
      <c r="F879" t="str">
        <f>IF(A879="","",IFERROR(VALUE(SUBSTITUTE(TRIM(Input!G879&amp;""),"%","")),0)/IF(AND(IFERROR(VALUE(SUBSTITUTE(TRIM(Input!G879&amp;""),"%","")),0)&gt;0,IFERROR(VALUE(SUBSTITUTE(TRIM(Input!G879&amp;""),"%","")),0)&lt;1),1,100))</f>
        <v/>
      </c>
      <c r="G879" t="str">
        <f>IF(A879="","",IFERROR(VALUE(SUBSTITUTE(TRIM(Input!H879&amp;""),"%","")),0)/IF(AND(IFERROR(VALUE(SUBSTITUTE(TRIM(Input!H879&amp;""),"%","")),0)&gt;0,IFERROR(VALUE(SUBSTITUTE(TRIM(Input!H879&amp;""),"%","")),0)&lt;1),1,100))</f>
        <v/>
      </c>
      <c r="H879" t="str">
        <f>IF(A879="","",IFERROR(VALUE(SUBSTITUTE(TRIM(Input!I879&amp;""),"%","")),0)/IF(AND(IFERROR(VALUE(SUBSTITUTE(TRIM(Input!I879&amp;""),"%","")),0)&gt;0,IFERROR(VALUE(SUBSTITUTE(TRIM(Input!I879&amp;""),"%","")),0)&lt;1),1,100))</f>
        <v/>
      </c>
    </row>
    <row r="880" spans="1:8">
      <c r="A880" t="str">
        <f>IF(TRIM(Input!B880&amp;"")="","",UPPER(TRIM(Input!B880&amp;"")))</f>
        <v/>
      </c>
      <c r="B880" t="str">
        <f>IF(A880="","",IFERROR(VALUE(RIGHT(TRIM(Input!D880&amp;""),1)),0))</f>
        <v/>
      </c>
      <c r="C880" t="str">
        <f t="shared" si="13"/>
        <v/>
      </c>
      <c r="D880" t="str">
        <f>IF(A880="","",IFERROR(VALUE(SUBSTITUTE(TRIM(Input!E880&amp;""),"%","")),0)/IF(AND(IFERROR(VALUE(SUBSTITUTE(TRIM(Input!E880&amp;""),"%","")),0)&gt;0,IFERROR(VALUE(SUBSTITUTE(TRIM(Input!E880&amp;""),"%","")),0)&lt;1),1,100))</f>
        <v/>
      </c>
      <c r="E880" t="str">
        <f>IF(A880="","",IFERROR(VALUE(SUBSTITUTE(TRIM(Input!F880&amp;""),"%","")),0)/IF(AND(IFERROR(VALUE(SUBSTITUTE(TRIM(Input!F880&amp;""),"%","")),0)&gt;0,IFERROR(VALUE(SUBSTITUTE(TRIM(Input!F880&amp;""),"%","")),0)&lt;1),1,100))</f>
        <v/>
      </c>
      <c r="F880" t="str">
        <f>IF(A880="","",IFERROR(VALUE(SUBSTITUTE(TRIM(Input!G880&amp;""),"%","")),0)/IF(AND(IFERROR(VALUE(SUBSTITUTE(TRIM(Input!G880&amp;""),"%","")),0)&gt;0,IFERROR(VALUE(SUBSTITUTE(TRIM(Input!G880&amp;""),"%","")),0)&lt;1),1,100))</f>
        <v/>
      </c>
      <c r="G880" t="str">
        <f>IF(A880="","",IFERROR(VALUE(SUBSTITUTE(TRIM(Input!H880&amp;""),"%","")),0)/IF(AND(IFERROR(VALUE(SUBSTITUTE(TRIM(Input!H880&amp;""),"%","")),0)&gt;0,IFERROR(VALUE(SUBSTITUTE(TRIM(Input!H880&amp;""),"%","")),0)&lt;1),1,100))</f>
        <v/>
      </c>
      <c r="H880" t="str">
        <f>IF(A880="","",IFERROR(VALUE(SUBSTITUTE(TRIM(Input!I880&amp;""),"%","")),0)/IF(AND(IFERROR(VALUE(SUBSTITUTE(TRIM(Input!I880&amp;""),"%","")),0)&gt;0,IFERROR(VALUE(SUBSTITUTE(TRIM(Input!I880&amp;""),"%","")),0)&lt;1),1,100))</f>
        <v/>
      </c>
    </row>
    <row r="881" spans="1:8">
      <c r="A881" t="str">
        <f>IF(TRIM(Input!B881&amp;"")="","",UPPER(TRIM(Input!B881&amp;"")))</f>
        <v/>
      </c>
      <c r="B881" t="str">
        <f>IF(A881="","",IFERROR(VALUE(RIGHT(TRIM(Input!D881&amp;""),1)),0))</f>
        <v/>
      </c>
      <c r="C881" t="str">
        <f t="shared" si="13"/>
        <v/>
      </c>
      <c r="D881" t="str">
        <f>IF(A881="","",IFERROR(VALUE(SUBSTITUTE(TRIM(Input!E881&amp;""),"%","")),0)/IF(AND(IFERROR(VALUE(SUBSTITUTE(TRIM(Input!E881&amp;""),"%","")),0)&gt;0,IFERROR(VALUE(SUBSTITUTE(TRIM(Input!E881&amp;""),"%","")),0)&lt;1),1,100))</f>
        <v/>
      </c>
      <c r="E881" t="str">
        <f>IF(A881="","",IFERROR(VALUE(SUBSTITUTE(TRIM(Input!F881&amp;""),"%","")),0)/IF(AND(IFERROR(VALUE(SUBSTITUTE(TRIM(Input!F881&amp;""),"%","")),0)&gt;0,IFERROR(VALUE(SUBSTITUTE(TRIM(Input!F881&amp;""),"%","")),0)&lt;1),1,100))</f>
        <v/>
      </c>
      <c r="F881" t="str">
        <f>IF(A881="","",IFERROR(VALUE(SUBSTITUTE(TRIM(Input!G881&amp;""),"%","")),0)/IF(AND(IFERROR(VALUE(SUBSTITUTE(TRIM(Input!G881&amp;""),"%","")),0)&gt;0,IFERROR(VALUE(SUBSTITUTE(TRIM(Input!G881&amp;""),"%","")),0)&lt;1),1,100))</f>
        <v/>
      </c>
      <c r="G881" t="str">
        <f>IF(A881="","",IFERROR(VALUE(SUBSTITUTE(TRIM(Input!H881&amp;""),"%","")),0)/IF(AND(IFERROR(VALUE(SUBSTITUTE(TRIM(Input!H881&amp;""),"%","")),0)&gt;0,IFERROR(VALUE(SUBSTITUTE(TRIM(Input!H881&amp;""),"%","")),0)&lt;1),1,100))</f>
        <v/>
      </c>
      <c r="H881" t="str">
        <f>IF(A881="","",IFERROR(VALUE(SUBSTITUTE(TRIM(Input!I881&amp;""),"%","")),0)/IF(AND(IFERROR(VALUE(SUBSTITUTE(TRIM(Input!I881&amp;""),"%","")),0)&gt;0,IFERROR(VALUE(SUBSTITUTE(TRIM(Input!I881&amp;""),"%","")),0)&lt;1),1,100))</f>
        <v/>
      </c>
    </row>
    <row r="882" spans="1:8">
      <c r="A882" t="str">
        <f>IF(TRIM(Input!B882&amp;"")="","",UPPER(TRIM(Input!B882&amp;"")))</f>
        <v/>
      </c>
      <c r="B882" t="str">
        <f>IF(A882="","",IFERROR(VALUE(RIGHT(TRIM(Input!D882&amp;""),1)),0))</f>
        <v/>
      </c>
      <c r="C882" t="str">
        <f t="shared" si="13"/>
        <v/>
      </c>
      <c r="D882" t="str">
        <f>IF(A882="","",IFERROR(VALUE(SUBSTITUTE(TRIM(Input!E882&amp;""),"%","")),0)/IF(AND(IFERROR(VALUE(SUBSTITUTE(TRIM(Input!E882&amp;""),"%","")),0)&gt;0,IFERROR(VALUE(SUBSTITUTE(TRIM(Input!E882&amp;""),"%","")),0)&lt;1),1,100))</f>
        <v/>
      </c>
      <c r="E882" t="str">
        <f>IF(A882="","",IFERROR(VALUE(SUBSTITUTE(TRIM(Input!F882&amp;""),"%","")),0)/IF(AND(IFERROR(VALUE(SUBSTITUTE(TRIM(Input!F882&amp;""),"%","")),0)&gt;0,IFERROR(VALUE(SUBSTITUTE(TRIM(Input!F882&amp;""),"%","")),0)&lt;1),1,100))</f>
        <v/>
      </c>
      <c r="F882" t="str">
        <f>IF(A882="","",IFERROR(VALUE(SUBSTITUTE(TRIM(Input!G882&amp;""),"%","")),0)/IF(AND(IFERROR(VALUE(SUBSTITUTE(TRIM(Input!G882&amp;""),"%","")),0)&gt;0,IFERROR(VALUE(SUBSTITUTE(TRIM(Input!G882&amp;""),"%","")),0)&lt;1),1,100))</f>
        <v/>
      </c>
      <c r="G882" t="str">
        <f>IF(A882="","",IFERROR(VALUE(SUBSTITUTE(TRIM(Input!H882&amp;""),"%","")),0)/IF(AND(IFERROR(VALUE(SUBSTITUTE(TRIM(Input!H882&amp;""),"%","")),0)&gt;0,IFERROR(VALUE(SUBSTITUTE(TRIM(Input!H882&amp;""),"%","")),0)&lt;1),1,100))</f>
        <v/>
      </c>
      <c r="H882" t="str">
        <f>IF(A882="","",IFERROR(VALUE(SUBSTITUTE(TRIM(Input!I882&amp;""),"%","")),0)/IF(AND(IFERROR(VALUE(SUBSTITUTE(TRIM(Input!I882&amp;""),"%","")),0)&gt;0,IFERROR(VALUE(SUBSTITUTE(TRIM(Input!I882&amp;""),"%","")),0)&lt;1),1,100))</f>
        <v/>
      </c>
    </row>
    <row r="883" spans="1:8">
      <c r="A883" t="str">
        <f>IF(TRIM(Input!B883&amp;"")="","",UPPER(TRIM(Input!B883&amp;"")))</f>
        <v/>
      </c>
      <c r="B883" t="str">
        <f>IF(A883="","",IFERROR(VALUE(RIGHT(TRIM(Input!D883&amp;""),1)),0))</f>
        <v/>
      </c>
      <c r="C883" t="str">
        <f t="shared" si="13"/>
        <v/>
      </c>
      <c r="D883" t="str">
        <f>IF(A883="","",IFERROR(VALUE(SUBSTITUTE(TRIM(Input!E883&amp;""),"%","")),0)/IF(AND(IFERROR(VALUE(SUBSTITUTE(TRIM(Input!E883&amp;""),"%","")),0)&gt;0,IFERROR(VALUE(SUBSTITUTE(TRIM(Input!E883&amp;""),"%","")),0)&lt;1),1,100))</f>
        <v/>
      </c>
      <c r="E883" t="str">
        <f>IF(A883="","",IFERROR(VALUE(SUBSTITUTE(TRIM(Input!F883&amp;""),"%","")),0)/IF(AND(IFERROR(VALUE(SUBSTITUTE(TRIM(Input!F883&amp;""),"%","")),0)&gt;0,IFERROR(VALUE(SUBSTITUTE(TRIM(Input!F883&amp;""),"%","")),0)&lt;1),1,100))</f>
        <v/>
      </c>
      <c r="F883" t="str">
        <f>IF(A883="","",IFERROR(VALUE(SUBSTITUTE(TRIM(Input!G883&amp;""),"%","")),0)/IF(AND(IFERROR(VALUE(SUBSTITUTE(TRIM(Input!G883&amp;""),"%","")),0)&gt;0,IFERROR(VALUE(SUBSTITUTE(TRIM(Input!G883&amp;""),"%","")),0)&lt;1),1,100))</f>
        <v/>
      </c>
      <c r="G883" t="str">
        <f>IF(A883="","",IFERROR(VALUE(SUBSTITUTE(TRIM(Input!H883&amp;""),"%","")),0)/IF(AND(IFERROR(VALUE(SUBSTITUTE(TRIM(Input!H883&amp;""),"%","")),0)&gt;0,IFERROR(VALUE(SUBSTITUTE(TRIM(Input!H883&amp;""),"%","")),0)&lt;1),1,100))</f>
        <v/>
      </c>
      <c r="H883" t="str">
        <f>IF(A883="","",IFERROR(VALUE(SUBSTITUTE(TRIM(Input!I883&amp;""),"%","")),0)/IF(AND(IFERROR(VALUE(SUBSTITUTE(TRIM(Input!I883&amp;""),"%","")),0)&gt;0,IFERROR(VALUE(SUBSTITUTE(TRIM(Input!I883&amp;""),"%","")),0)&lt;1),1,100))</f>
        <v/>
      </c>
    </row>
    <row r="884" spans="1:8">
      <c r="A884" t="str">
        <f>IF(TRIM(Input!B884&amp;"")="","",UPPER(TRIM(Input!B884&amp;"")))</f>
        <v/>
      </c>
      <c r="B884" t="str">
        <f>IF(A884="","",IFERROR(VALUE(RIGHT(TRIM(Input!D884&amp;""),1)),0))</f>
        <v/>
      </c>
      <c r="C884" t="str">
        <f t="shared" si="13"/>
        <v/>
      </c>
      <c r="D884" t="str">
        <f>IF(A884="","",IFERROR(VALUE(SUBSTITUTE(TRIM(Input!E884&amp;""),"%","")),0)/IF(AND(IFERROR(VALUE(SUBSTITUTE(TRIM(Input!E884&amp;""),"%","")),0)&gt;0,IFERROR(VALUE(SUBSTITUTE(TRIM(Input!E884&amp;""),"%","")),0)&lt;1),1,100))</f>
        <v/>
      </c>
      <c r="E884" t="str">
        <f>IF(A884="","",IFERROR(VALUE(SUBSTITUTE(TRIM(Input!F884&amp;""),"%","")),0)/IF(AND(IFERROR(VALUE(SUBSTITUTE(TRIM(Input!F884&amp;""),"%","")),0)&gt;0,IFERROR(VALUE(SUBSTITUTE(TRIM(Input!F884&amp;""),"%","")),0)&lt;1),1,100))</f>
        <v/>
      </c>
      <c r="F884" t="str">
        <f>IF(A884="","",IFERROR(VALUE(SUBSTITUTE(TRIM(Input!G884&amp;""),"%","")),0)/IF(AND(IFERROR(VALUE(SUBSTITUTE(TRIM(Input!G884&amp;""),"%","")),0)&gt;0,IFERROR(VALUE(SUBSTITUTE(TRIM(Input!G884&amp;""),"%","")),0)&lt;1),1,100))</f>
        <v/>
      </c>
      <c r="G884" t="str">
        <f>IF(A884="","",IFERROR(VALUE(SUBSTITUTE(TRIM(Input!H884&amp;""),"%","")),0)/IF(AND(IFERROR(VALUE(SUBSTITUTE(TRIM(Input!H884&amp;""),"%","")),0)&gt;0,IFERROR(VALUE(SUBSTITUTE(TRIM(Input!H884&amp;""),"%","")),0)&lt;1),1,100))</f>
        <v/>
      </c>
      <c r="H884" t="str">
        <f>IF(A884="","",IFERROR(VALUE(SUBSTITUTE(TRIM(Input!I884&amp;""),"%","")),0)/IF(AND(IFERROR(VALUE(SUBSTITUTE(TRIM(Input!I884&amp;""),"%","")),0)&gt;0,IFERROR(VALUE(SUBSTITUTE(TRIM(Input!I884&amp;""),"%","")),0)&lt;1),1,100))</f>
        <v/>
      </c>
    </row>
    <row r="885" spans="1:8">
      <c r="A885" t="str">
        <f>IF(TRIM(Input!B885&amp;"")="","",UPPER(TRIM(Input!B885&amp;"")))</f>
        <v/>
      </c>
      <c r="B885" t="str">
        <f>IF(A885="","",IFERROR(VALUE(RIGHT(TRIM(Input!D885&amp;""),1)),0))</f>
        <v/>
      </c>
      <c r="C885" t="str">
        <f t="shared" si="13"/>
        <v/>
      </c>
      <c r="D885" t="str">
        <f>IF(A885="","",IFERROR(VALUE(SUBSTITUTE(TRIM(Input!E885&amp;""),"%","")),0)/IF(AND(IFERROR(VALUE(SUBSTITUTE(TRIM(Input!E885&amp;""),"%","")),0)&gt;0,IFERROR(VALUE(SUBSTITUTE(TRIM(Input!E885&amp;""),"%","")),0)&lt;1),1,100))</f>
        <v/>
      </c>
      <c r="E885" t="str">
        <f>IF(A885="","",IFERROR(VALUE(SUBSTITUTE(TRIM(Input!F885&amp;""),"%","")),0)/IF(AND(IFERROR(VALUE(SUBSTITUTE(TRIM(Input!F885&amp;""),"%","")),0)&gt;0,IFERROR(VALUE(SUBSTITUTE(TRIM(Input!F885&amp;""),"%","")),0)&lt;1),1,100))</f>
        <v/>
      </c>
      <c r="F885" t="str">
        <f>IF(A885="","",IFERROR(VALUE(SUBSTITUTE(TRIM(Input!G885&amp;""),"%","")),0)/IF(AND(IFERROR(VALUE(SUBSTITUTE(TRIM(Input!G885&amp;""),"%","")),0)&gt;0,IFERROR(VALUE(SUBSTITUTE(TRIM(Input!G885&amp;""),"%","")),0)&lt;1),1,100))</f>
        <v/>
      </c>
      <c r="G885" t="str">
        <f>IF(A885="","",IFERROR(VALUE(SUBSTITUTE(TRIM(Input!H885&amp;""),"%","")),0)/IF(AND(IFERROR(VALUE(SUBSTITUTE(TRIM(Input!H885&amp;""),"%","")),0)&gt;0,IFERROR(VALUE(SUBSTITUTE(TRIM(Input!H885&amp;""),"%","")),0)&lt;1),1,100))</f>
        <v/>
      </c>
      <c r="H885" t="str">
        <f>IF(A885="","",IFERROR(VALUE(SUBSTITUTE(TRIM(Input!I885&amp;""),"%","")),0)/IF(AND(IFERROR(VALUE(SUBSTITUTE(TRIM(Input!I885&amp;""),"%","")),0)&gt;0,IFERROR(VALUE(SUBSTITUTE(TRIM(Input!I885&amp;""),"%","")),0)&lt;1),1,100))</f>
        <v/>
      </c>
    </row>
    <row r="886" spans="1:8">
      <c r="A886" t="str">
        <f>IF(TRIM(Input!B886&amp;"")="","",UPPER(TRIM(Input!B886&amp;"")))</f>
        <v/>
      </c>
      <c r="B886" t="str">
        <f>IF(A886="","",IFERROR(VALUE(RIGHT(TRIM(Input!D886&amp;""),1)),0))</f>
        <v/>
      </c>
      <c r="C886" t="str">
        <f t="shared" si="13"/>
        <v/>
      </c>
      <c r="D886" t="str">
        <f>IF(A886="","",IFERROR(VALUE(SUBSTITUTE(TRIM(Input!E886&amp;""),"%","")),0)/IF(AND(IFERROR(VALUE(SUBSTITUTE(TRIM(Input!E886&amp;""),"%","")),0)&gt;0,IFERROR(VALUE(SUBSTITUTE(TRIM(Input!E886&amp;""),"%","")),0)&lt;1),1,100))</f>
        <v/>
      </c>
      <c r="E886" t="str">
        <f>IF(A886="","",IFERROR(VALUE(SUBSTITUTE(TRIM(Input!F886&amp;""),"%","")),0)/IF(AND(IFERROR(VALUE(SUBSTITUTE(TRIM(Input!F886&amp;""),"%","")),0)&gt;0,IFERROR(VALUE(SUBSTITUTE(TRIM(Input!F886&amp;""),"%","")),0)&lt;1),1,100))</f>
        <v/>
      </c>
      <c r="F886" t="str">
        <f>IF(A886="","",IFERROR(VALUE(SUBSTITUTE(TRIM(Input!G886&amp;""),"%","")),0)/IF(AND(IFERROR(VALUE(SUBSTITUTE(TRIM(Input!G886&amp;""),"%","")),0)&gt;0,IFERROR(VALUE(SUBSTITUTE(TRIM(Input!G886&amp;""),"%","")),0)&lt;1),1,100))</f>
        <v/>
      </c>
      <c r="G886" t="str">
        <f>IF(A886="","",IFERROR(VALUE(SUBSTITUTE(TRIM(Input!H886&amp;""),"%","")),0)/IF(AND(IFERROR(VALUE(SUBSTITUTE(TRIM(Input!H886&amp;""),"%","")),0)&gt;0,IFERROR(VALUE(SUBSTITUTE(TRIM(Input!H886&amp;""),"%","")),0)&lt;1),1,100))</f>
        <v/>
      </c>
      <c r="H886" t="str">
        <f>IF(A886="","",IFERROR(VALUE(SUBSTITUTE(TRIM(Input!I886&amp;""),"%","")),0)/IF(AND(IFERROR(VALUE(SUBSTITUTE(TRIM(Input!I886&amp;""),"%","")),0)&gt;0,IFERROR(VALUE(SUBSTITUTE(TRIM(Input!I886&amp;""),"%","")),0)&lt;1),1,100))</f>
        <v/>
      </c>
    </row>
    <row r="887" spans="1:8">
      <c r="A887" t="str">
        <f>IF(TRIM(Input!B887&amp;"")="","",UPPER(TRIM(Input!B887&amp;"")))</f>
        <v/>
      </c>
      <c r="B887" t="str">
        <f>IF(A887="","",IFERROR(VALUE(RIGHT(TRIM(Input!D887&amp;""),1)),0))</f>
        <v/>
      </c>
      <c r="C887" t="str">
        <f t="shared" si="13"/>
        <v/>
      </c>
      <c r="D887" t="str">
        <f>IF(A887="","",IFERROR(VALUE(SUBSTITUTE(TRIM(Input!E887&amp;""),"%","")),0)/IF(AND(IFERROR(VALUE(SUBSTITUTE(TRIM(Input!E887&amp;""),"%","")),0)&gt;0,IFERROR(VALUE(SUBSTITUTE(TRIM(Input!E887&amp;""),"%","")),0)&lt;1),1,100))</f>
        <v/>
      </c>
      <c r="E887" t="str">
        <f>IF(A887="","",IFERROR(VALUE(SUBSTITUTE(TRIM(Input!F887&amp;""),"%","")),0)/IF(AND(IFERROR(VALUE(SUBSTITUTE(TRIM(Input!F887&amp;""),"%","")),0)&gt;0,IFERROR(VALUE(SUBSTITUTE(TRIM(Input!F887&amp;""),"%","")),0)&lt;1),1,100))</f>
        <v/>
      </c>
      <c r="F887" t="str">
        <f>IF(A887="","",IFERROR(VALUE(SUBSTITUTE(TRIM(Input!G887&amp;""),"%","")),0)/IF(AND(IFERROR(VALUE(SUBSTITUTE(TRIM(Input!G887&amp;""),"%","")),0)&gt;0,IFERROR(VALUE(SUBSTITUTE(TRIM(Input!G887&amp;""),"%","")),0)&lt;1),1,100))</f>
        <v/>
      </c>
      <c r="G887" t="str">
        <f>IF(A887="","",IFERROR(VALUE(SUBSTITUTE(TRIM(Input!H887&amp;""),"%","")),0)/IF(AND(IFERROR(VALUE(SUBSTITUTE(TRIM(Input!H887&amp;""),"%","")),0)&gt;0,IFERROR(VALUE(SUBSTITUTE(TRIM(Input!H887&amp;""),"%","")),0)&lt;1),1,100))</f>
        <v/>
      </c>
      <c r="H887" t="str">
        <f>IF(A887="","",IFERROR(VALUE(SUBSTITUTE(TRIM(Input!I887&amp;""),"%","")),0)/IF(AND(IFERROR(VALUE(SUBSTITUTE(TRIM(Input!I887&amp;""),"%","")),0)&gt;0,IFERROR(VALUE(SUBSTITUTE(TRIM(Input!I887&amp;""),"%","")),0)&lt;1),1,100))</f>
        <v/>
      </c>
    </row>
    <row r="888" spans="1:8">
      <c r="A888" t="str">
        <f>IF(TRIM(Input!B888&amp;"")="","",UPPER(TRIM(Input!B888&amp;"")))</f>
        <v/>
      </c>
      <c r="B888" t="str">
        <f>IF(A888="","",IFERROR(VALUE(RIGHT(TRIM(Input!D888&amp;""),1)),0))</f>
        <v/>
      </c>
      <c r="C888" t="str">
        <f t="shared" si="13"/>
        <v/>
      </c>
      <c r="D888" t="str">
        <f>IF(A888="","",IFERROR(VALUE(SUBSTITUTE(TRIM(Input!E888&amp;""),"%","")),0)/IF(AND(IFERROR(VALUE(SUBSTITUTE(TRIM(Input!E888&amp;""),"%","")),0)&gt;0,IFERROR(VALUE(SUBSTITUTE(TRIM(Input!E888&amp;""),"%","")),0)&lt;1),1,100))</f>
        <v/>
      </c>
      <c r="E888" t="str">
        <f>IF(A888="","",IFERROR(VALUE(SUBSTITUTE(TRIM(Input!F888&amp;""),"%","")),0)/IF(AND(IFERROR(VALUE(SUBSTITUTE(TRIM(Input!F888&amp;""),"%","")),0)&gt;0,IFERROR(VALUE(SUBSTITUTE(TRIM(Input!F888&amp;""),"%","")),0)&lt;1),1,100))</f>
        <v/>
      </c>
      <c r="F888" t="str">
        <f>IF(A888="","",IFERROR(VALUE(SUBSTITUTE(TRIM(Input!G888&amp;""),"%","")),0)/IF(AND(IFERROR(VALUE(SUBSTITUTE(TRIM(Input!G888&amp;""),"%","")),0)&gt;0,IFERROR(VALUE(SUBSTITUTE(TRIM(Input!G888&amp;""),"%","")),0)&lt;1),1,100))</f>
        <v/>
      </c>
      <c r="G888" t="str">
        <f>IF(A888="","",IFERROR(VALUE(SUBSTITUTE(TRIM(Input!H888&amp;""),"%","")),0)/IF(AND(IFERROR(VALUE(SUBSTITUTE(TRIM(Input!H888&amp;""),"%","")),0)&gt;0,IFERROR(VALUE(SUBSTITUTE(TRIM(Input!H888&amp;""),"%","")),0)&lt;1),1,100))</f>
        <v/>
      </c>
      <c r="H888" t="str">
        <f>IF(A888="","",IFERROR(VALUE(SUBSTITUTE(TRIM(Input!I888&amp;""),"%","")),0)/IF(AND(IFERROR(VALUE(SUBSTITUTE(TRIM(Input!I888&amp;""),"%","")),0)&gt;0,IFERROR(VALUE(SUBSTITUTE(TRIM(Input!I888&amp;""),"%","")),0)&lt;1),1,100))</f>
        <v/>
      </c>
    </row>
    <row r="889" spans="1:8">
      <c r="A889" t="str">
        <f>IF(TRIM(Input!B889&amp;"")="","",UPPER(TRIM(Input!B889&amp;"")))</f>
        <v/>
      </c>
      <c r="B889" t="str">
        <f>IF(A889="","",IFERROR(VALUE(RIGHT(TRIM(Input!D889&amp;""),1)),0))</f>
        <v/>
      </c>
      <c r="C889" t="str">
        <f t="shared" si="13"/>
        <v/>
      </c>
      <c r="D889" t="str">
        <f>IF(A889="","",IFERROR(VALUE(SUBSTITUTE(TRIM(Input!E889&amp;""),"%","")),0)/IF(AND(IFERROR(VALUE(SUBSTITUTE(TRIM(Input!E889&amp;""),"%","")),0)&gt;0,IFERROR(VALUE(SUBSTITUTE(TRIM(Input!E889&amp;""),"%","")),0)&lt;1),1,100))</f>
        <v/>
      </c>
      <c r="E889" t="str">
        <f>IF(A889="","",IFERROR(VALUE(SUBSTITUTE(TRIM(Input!F889&amp;""),"%","")),0)/IF(AND(IFERROR(VALUE(SUBSTITUTE(TRIM(Input!F889&amp;""),"%","")),0)&gt;0,IFERROR(VALUE(SUBSTITUTE(TRIM(Input!F889&amp;""),"%","")),0)&lt;1),1,100))</f>
        <v/>
      </c>
      <c r="F889" t="str">
        <f>IF(A889="","",IFERROR(VALUE(SUBSTITUTE(TRIM(Input!G889&amp;""),"%","")),0)/IF(AND(IFERROR(VALUE(SUBSTITUTE(TRIM(Input!G889&amp;""),"%","")),0)&gt;0,IFERROR(VALUE(SUBSTITUTE(TRIM(Input!G889&amp;""),"%","")),0)&lt;1),1,100))</f>
        <v/>
      </c>
      <c r="G889" t="str">
        <f>IF(A889="","",IFERROR(VALUE(SUBSTITUTE(TRIM(Input!H889&amp;""),"%","")),0)/IF(AND(IFERROR(VALUE(SUBSTITUTE(TRIM(Input!H889&amp;""),"%","")),0)&gt;0,IFERROR(VALUE(SUBSTITUTE(TRIM(Input!H889&amp;""),"%","")),0)&lt;1),1,100))</f>
        <v/>
      </c>
      <c r="H889" t="str">
        <f>IF(A889="","",IFERROR(VALUE(SUBSTITUTE(TRIM(Input!I889&amp;""),"%","")),0)/IF(AND(IFERROR(VALUE(SUBSTITUTE(TRIM(Input!I889&amp;""),"%","")),0)&gt;0,IFERROR(VALUE(SUBSTITUTE(TRIM(Input!I889&amp;""),"%","")),0)&lt;1),1,100))</f>
        <v/>
      </c>
    </row>
    <row r="890" spans="1:8">
      <c r="A890" t="str">
        <f>IF(TRIM(Input!B890&amp;"")="","",UPPER(TRIM(Input!B890&amp;"")))</f>
        <v/>
      </c>
      <c r="B890" t="str">
        <f>IF(A890="","",IFERROR(VALUE(RIGHT(TRIM(Input!D890&amp;""),1)),0))</f>
        <v/>
      </c>
      <c r="C890" t="str">
        <f t="shared" si="13"/>
        <v/>
      </c>
      <c r="D890" t="str">
        <f>IF(A890="","",IFERROR(VALUE(SUBSTITUTE(TRIM(Input!E890&amp;""),"%","")),0)/IF(AND(IFERROR(VALUE(SUBSTITUTE(TRIM(Input!E890&amp;""),"%","")),0)&gt;0,IFERROR(VALUE(SUBSTITUTE(TRIM(Input!E890&amp;""),"%","")),0)&lt;1),1,100))</f>
        <v/>
      </c>
      <c r="E890" t="str">
        <f>IF(A890="","",IFERROR(VALUE(SUBSTITUTE(TRIM(Input!F890&amp;""),"%","")),0)/IF(AND(IFERROR(VALUE(SUBSTITUTE(TRIM(Input!F890&amp;""),"%","")),0)&gt;0,IFERROR(VALUE(SUBSTITUTE(TRIM(Input!F890&amp;""),"%","")),0)&lt;1),1,100))</f>
        <v/>
      </c>
      <c r="F890" t="str">
        <f>IF(A890="","",IFERROR(VALUE(SUBSTITUTE(TRIM(Input!G890&amp;""),"%","")),0)/IF(AND(IFERROR(VALUE(SUBSTITUTE(TRIM(Input!G890&amp;""),"%","")),0)&gt;0,IFERROR(VALUE(SUBSTITUTE(TRIM(Input!G890&amp;""),"%","")),0)&lt;1),1,100))</f>
        <v/>
      </c>
      <c r="G890" t="str">
        <f>IF(A890="","",IFERROR(VALUE(SUBSTITUTE(TRIM(Input!H890&amp;""),"%","")),0)/IF(AND(IFERROR(VALUE(SUBSTITUTE(TRIM(Input!H890&amp;""),"%","")),0)&gt;0,IFERROR(VALUE(SUBSTITUTE(TRIM(Input!H890&amp;""),"%","")),0)&lt;1),1,100))</f>
        <v/>
      </c>
      <c r="H890" t="str">
        <f>IF(A890="","",IFERROR(VALUE(SUBSTITUTE(TRIM(Input!I890&amp;""),"%","")),0)/IF(AND(IFERROR(VALUE(SUBSTITUTE(TRIM(Input!I890&amp;""),"%","")),0)&gt;0,IFERROR(VALUE(SUBSTITUTE(TRIM(Input!I890&amp;""),"%","")),0)&lt;1),1,100))</f>
        <v/>
      </c>
    </row>
    <row r="891" spans="1:8">
      <c r="A891" t="str">
        <f>IF(TRIM(Input!B891&amp;"")="","",UPPER(TRIM(Input!B891&amp;"")))</f>
        <v/>
      </c>
      <c r="B891" t="str">
        <f>IF(A891="","",IFERROR(VALUE(RIGHT(TRIM(Input!D891&amp;""),1)),0))</f>
        <v/>
      </c>
      <c r="C891" t="str">
        <f t="shared" si="13"/>
        <v/>
      </c>
      <c r="D891" t="str">
        <f>IF(A891="","",IFERROR(VALUE(SUBSTITUTE(TRIM(Input!E891&amp;""),"%","")),0)/IF(AND(IFERROR(VALUE(SUBSTITUTE(TRIM(Input!E891&amp;""),"%","")),0)&gt;0,IFERROR(VALUE(SUBSTITUTE(TRIM(Input!E891&amp;""),"%","")),0)&lt;1),1,100))</f>
        <v/>
      </c>
      <c r="E891" t="str">
        <f>IF(A891="","",IFERROR(VALUE(SUBSTITUTE(TRIM(Input!F891&amp;""),"%","")),0)/IF(AND(IFERROR(VALUE(SUBSTITUTE(TRIM(Input!F891&amp;""),"%","")),0)&gt;0,IFERROR(VALUE(SUBSTITUTE(TRIM(Input!F891&amp;""),"%","")),0)&lt;1),1,100))</f>
        <v/>
      </c>
      <c r="F891" t="str">
        <f>IF(A891="","",IFERROR(VALUE(SUBSTITUTE(TRIM(Input!G891&amp;""),"%","")),0)/IF(AND(IFERROR(VALUE(SUBSTITUTE(TRIM(Input!G891&amp;""),"%","")),0)&gt;0,IFERROR(VALUE(SUBSTITUTE(TRIM(Input!G891&amp;""),"%","")),0)&lt;1),1,100))</f>
        <v/>
      </c>
      <c r="G891" t="str">
        <f>IF(A891="","",IFERROR(VALUE(SUBSTITUTE(TRIM(Input!H891&amp;""),"%","")),0)/IF(AND(IFERROR(VALUE(SUBSTITUTE(TRIM(Input!H891&amp;""),"%","")),0)&gt;0,IFERROR(VALUE(SUBSTITUTE(TRIM(Input!H891&amp;""),"%","")),0)&lt;1),1,100))</f>
        <v/>
      </c>
      <c r="H891" t="str">
        <f>IF(A891="","",IFERROR(VALUE(SUBSTITUTE(TRIM(Input!I891&amp;""),"%","")),0)/IF(AND(IFERROR(VALUE(SUBSTITUTE(TRIM(Input!I891&amp;""),"%","")),0)&gt;0,IFERROR(VALUE(SUBSTITUTE(TRIM(Input!I891&amp;""),"%","")),0)&lt;1),1,100))</f>
        <v/>
      </c>
    </row>
    <row r="892" spans="1:8">
      <c r="A892" t="str">
        <f>IF(TRIM(Input!B892&amp;"")="","",UPPER(TRIM(Input!B892&amp;"")))</f>
        <v/>
      </c>
      <c r="B892" t="str">
        <f>IF(A892="","",IFERROR(VALUE(RIGHT(TRIM(Input!D892&amp;""),1)),0))</f>
        <v/>
      </c>
      <c r="C892" t="str">
        <f t="shared" si="13"/>
        <v/>
      </c>
      <c r="D892" t="str">
        <f>IF(A892="","",IFERROR(VALUE(SUBSTITUTE(TRIM(Input!E892&amp;""),"%","")),0)/IF(AND(IFERROR(VALUE(SUBSTITUTE(TRIM(Input!E892&amp;""),"%","")),0)&gt;0,IFERROR(VALUE(SUBSTITUTE(TRIM(Input!E892&amp;""),"%","")),0)&lt;1),1,100))</f>
        <v/>
      </c>
      <c r="E892" t="str">
        <f>IF(A892="","",IFERROR(VALUE(SUBSTITUTE(TRIM(Input!F892&amp;""),"%","")),0)/IF(AND(IFERROR(VALUE(SUBSTITUTE(TRIM(Input!F892&amp;""),"%","")),0)&gt;0,IFERROR(VALUE(SUBSTITUTE(TRIM(Input!F892&amp;""),"%","")),0)&lt;1),1,100))</f>
        <v/>
      </c>
      <c r="F892" t="str">
        <f>IF(A892="","",IFERROR(VALUE(SUBSTITUTE(TRIM(Input!G892&amp;""),"%","")),0)/IF(AND(IFERROR(VALUE(SUBSTITUTE(TRIM(Input!G892&amp;""),"%","")),0)&gt;0,IFERROR(VALUE(SUBSTITUTE(TRIM(Input!G892&amp;""),"%","")),0)&lt;1),1,100))</f>
        <v/>
      </c>
      <c r="G892" t="str">
        <f>IF(A892="","",IFERROR(VALUE(SUBSTITUTE(TRIM(Input!H892&amp;""),"%","")),0)/IF(AND(IFERROR(VALUE(SUBSTITUTE(TRIM(Input!H892&amp;""),"%","")),0)&gt;0,IFERROR(VALUE(SUBSTITUTE(TRIM(Input!H892&amp;""),"%","")),0)&lt;1),1,100))</f>
        <v/>
      </c>
      <c r="H892" t="str">
        <f>IF(A892="","",IFERROR(VALUE(SUBSTITUTE(TRIM(Input!I892&amp;""),"%","")),0)/IF(AND(IFERROR(VALUE(SUBSTITUTE(TRIM(Input!I892&amp;""),"%","")),0)&gt;0,IFERROR(VALUE(SUBSTITUTE(TRIM(Input!I892&amp;""),"%","")),0)&lt;1),1,100))</f>
        <v/>
      </c>
    </row>
    <row r="893" spans="1:8">
      <c r="A893" t="str">
        <f>IF(TRIM(Input!B893&amp;"")="","",UPPER(TRIM(Input!B893&amp;"")))</f>
        <v/>
      </c>
      <c r="B893" t="str">
        <f>IF(A893="","",IFERROR(VALUE(RIGHT(TRIM(Input!D893&amp;""),1)),0))</f>
        <v/>
      </c>
      <c r="C893" t="str">
        <f t="shared" si="13"/>
        <v/>
      </c>
      <c r="D893" t="str">
        <f>IF(A893="","",IFERROR(VALUE(SUBSTITUTE(TRIM(Input!E893&amp;""),"%","")),0)/IF(AND(IFERROR(VALUE(SUBSTITUTE(TRIM(Input!E893&amp;""),"%","")),0)&gt;0,IFERROR(VALUE(SUBSTITUTE(TRIM(Input!E893&amp;""),"%","")),0)&lt;1),1,100))</f>
        <v/>
      </c>
      <c r="E893" t="str">
        <f>IF(A893="","",IFERROR(VALUE(SUBSTITUTE(TRIM(Input!F893&amp;""),"%","")),0)/IF(AND(IFERROR(VALUE(SUBSTITUTE(TRIM(Input!F893&amp;""),"%","")),0)&gt;0,IFERROR(VALUE(SUBSTITUTE(TRIM(Input!F893&amp;""),"%","")),0)&lt;1),1,100))</f>
        <v/>
      </c>
      <c r="F893" t="str">
        <f>IF(A893="","",IFERROR(VALUE(SUBSTITUTE(TRIM(Input!G893&amp;""),"%","")),0)/IF(AND(IFERROR(VALUE(SUBSTITUTE(TRIM(Input!G893&amp;""),"%","")),0)&gt;0,IFERROR(VALUE(SUBSTITUTE(TRIM(Input!G893&amp;""),"%","")),0)&lt;1),1,100))</f>
        <v/>
      </c>
      <c r="G893" t="str">
        <f>IF(A893="","",IFERROR(VALUE(SUBSTITUTE(TRIM(Input!H893&amp;""),"%","")),0)/IF(AND(IFERROR(VALUE(SUBSTITUTE(TRIM(Input!H893&amp;""),"%","")),0)&gt;0,IFERROR(VALUE(SUBSTITUTE(TRIM(Input!H893&amp;""),"%","")),0)&lt;1),1,100))</f>
        <v/>
      </c>
      <c r="H893" t="str">
        <f>IF(A893="","",IFERROR(VALUE(SUBSTITUTE(TRIM(Input!I893&amp;""),"%","")),0)/IF(AND(IFERROR(VALUE(SUBSTITUTE(TRIM(Input!I893&amp;""),"%","")),0)&gt;0,IFERROR(VALUE(SUBSTITUTE(TRIM(Input!I893&amp;""),"%","")),0)&lt;1),1,100))</f>
        <v/>
      </c>
    </row>
    <row r="894" spans="1:8">
      <c r="A894" t="str">
        <f>IF(TRIM(Input!B894&amp;"")="","",UPPER(TRIM(Input!B894&amp;"")))</f>
        <v/>
      </c>
      <c r="B894" t="str">
        <f>IF(A894="","",IFERROR(VALUE(RIGHT(TRIM(Input!D894&amp;""),1)),0))</f>
        <v/>
      </c>
      <c r="C894" t="str">
        <f t="shared" si="13"/>
        <v/>
      </c>
      <c r="D894" t="str">
        <f>IF(A894="","",IFERROR(VALUE(SUBSTITUTE(TRIM(Input!E894&amp;""),"%","")),0)/IF(AND(IFERROR(VALUE(SUBSTITUTE(TRIM(Input!E894&amp;""),"%","")),0)&gt;0,IFERROR(VALUE(SUBSTITUTE(TRIM(Input!E894&amp;""),"%","")),0)&lt;1),1,100))</f>
        <v/>
      </c>
      <c r="E894" t="str">
        <f>IF(A894="","",IFERROR(VALUE(SUBSTITUTE(TRIM(Input!F894&amp;""),"%","")),0)/IF(AND(IFERROR(VALUE(SUBSTITUTE(TRIM(Input!F894&amp;""),"%","")),0)&gt;0,IFERROR(VALUE(SUBSTITUTE(TRIM(Input!F894&amp;""),"%","")),0)&lt;1),1,100))</f>
        <v/>
      </c>
      <c r="F894" t="str">
        <f>IF(A894="","",IFERROR(VALUE(SUBSTITUTE(TRIM(Input!G894&amp;""),"%","")),0)/IF(AND(IFERROR(VALUE(SUBSTITUTE(TRIM(Input!G894&amp;""),"%","")),0)&gt;0,IFERROR(VALUE(SUBSTITUTE(TRIM(Input!G894&amp;""),"%","")),0)&lt;1),1,100))</f>
        <v/>
      </c>
      <c r="G894" t="str">
        <f>IF(A894="","",IFERROR(VALUE(SUBSTITUTE(TRIM(Input!H894&amp;""),"%","")),0)/IF(AND(IFERROR(VALUE(SUBSTITUTE(TRIM(Input!H894&amp;""),"%","")),0)&gt;0,IFERROR(VALUE(SUBSTITUTE(TRIM(Input!H894&amp;""),"%","")),0)&lt;1),1,100))</f>
        <v/>
      </c>
      <c r="H894" t="str">
        <f>IF(A894="","",IFERROR(VALUE(SUBSTITUTE(TRIM(Input!I894&amp;""),"%","")),0)/IF(AND(IFERROR(VALUE(SUBSTITUTE(TRIM(Input!I894&amp;""),"%","")),0)&gt;0,IFERROR(VALUE(SUBSTITUTE(TRIM(Input!I894&amp;""),"%","")),0)&lt;1),1,100))</f>
        <v/>
      </c>
    </row>
    <row r="895" spans="1:8">
      <c r="A895" t="str">
        <f>IF(TRIM(Input!B895&amp;"")="","",UPPER(TRIM(Input!B895&amp;"")))</f>
        <v/>
      </c>
      <c r="B895" t="str">
        <f>IF(A895="","",IFERROR(VALUE(RIGHT(TRIM(Input!D895&amp;""),1)),0))</f>
        <v/>
      </c>
      <c r="C895" t="str">
        <f t="shared" si="13"/>
        <v/>
      </c>
      <c r="D895" t="str">
        <f>IF(A895="","",IFERROR(VALUE(SUBSTITUTE(TRIM(Input!E895&amp;""),"%","")),0)/IF(AND(IFERROR(VALUE(SUBSTITUTE(TRIM(Input!E895&amp;""),"%","")),0)&gt;0,IFERROR(VALUE(SUBSTITUTE(TRIM(Input!E895&amp;""),"%","")),0)&lt;1),1,100))</f>
        <v/>
      </c>
      <c r="E895" t="str">
        <f>IF(A895="","",IFERROR(VALUE(SUBSTITUTE(TRIM(Input!F895&amp;""),"%","")),0)/IF(AND(IFERROR(VALUE(SUBSTITUTE(TRIM(Input!F895&amp;""),"%","")),0)&gt;0,IFERROR(VALUE(SUBSTITUTE(TRIM(Input!F895&amp;""),"%","")),0)&lt;1),1,100))</f>
        <v/>
      </c>
      <c r="F895" t="str">
        <f>IF(A895="","",IFERROR(VALUE(SUBSTITUTE(TRIM(Input!G895&amp;""),"%","")),0)/IF(AND(IFERROR(VALUE(SUBSTITUTE(TRIM(Input!G895&amp;""),"%","")),0)&gt;0,IFERROR(VALUE(SUBSTITUTE(TRIM(Input!G895&amp;""),"%","")),0)&lt;1),1,100))</f>
        <v/>
      </c>
      <c r="G895" t="str">
        <f>IF(A895="","",IFERROR(VALUE(SUBSTITUTE(TRIM(Input!H895&amp;""),"%","")),0)/IF(AND(IFERROR(VALUE(SUBSTITUTE(TRIM(Input!H895&amp;""),"%","")),0)&gt;0,IFERROR(VALUE(SUBSTITUTE(TRIM(Input!H895&amp;""),"%","")),0)&lt;1),1,100))</f>
        <v/>
      </c>
      <c r="H895" t="str">
        <f>IF(A895="","",IFERROR(VALUE(SUBSTITUTE(TRIM(Input!I895&amp;""),"%","")),0)/IF(AND(IFERROR(VALUE(SUBSTITUTE(TRIM(Input!I895&amp;""),"%","")),0)&gt;0,IFERROR(VALUE(SUBSTITUTE(TRIM(Input!I895&amp;""),"%","")),0)&lt;1),1,100))</f>
        <v/>
      </c>
    </row>
    <row r="896" spans="1:8">
      <c r="A896" t="str">
        <f>IF(TRIM(Input!B896&amp;"")="","",UPPER(TRIM(Input!B896&amp;"")))</f>
        <v/>
      </c>
      <c r="B896" t="str">
        <f>IF(A896="","",IFERROR(VALUE(RIGHT(TRIM(Input!D896&amp;""),1)),0))</f>
        <v/>
      </c>
      <c r="C896" t="str">
        <f t="shared" si="13"/>
        <v/>
      </c>
      <c r="D896" t="str">
        <f>IF(A896="","",IFERROR(VALUE(SUBSTITUTE(TRIM(Input!E896&amp;""),"%","")),0)/IF(AND(IFERROR(VALUE(SUBSTITUTE(TRIM(Input!E896&amp;""),"%","")),0)&gt;0,IFERROR(VALUE(SUBSTITUTE(TRIM(Input!E896&amp;""),"%","")),0)&lt;1),1,100))</f>
        <v/>
      </c>
      <c r="E896" t="str">
        <f>IF(A896="","",IFERROR(VALUE(SUBSTITUTE(TRIM(Input!F896&amp;""),"%","")),0)/IF(AND(IFERROR(VALUE(SUBSTITUTE(TRIM(Input!F896&amp;""),"%","")),0)&gt;0,IFERROR(VALUE(SUBSTITUTE(TRIM(Input!F896&amp;""),"%","")),0)&lt;1),1,100))</f>
        <v/>
      </c>
      <c r="F896" t="str">
        <f>IF(A896="","",IFERROR(VALUE(SUBSTITUTE(TRIM(Input!G896&amp;""),"%","")),0)/IF(AND(IFERROR(VALUE(SUBSTITUTE(TRIM(Input!G896&amp;""),"%","")),0)&gt;0,IFERROR(VALUE(SUBSTITUTE(TRIM(Input!G896&amp;""),"%","")),0)&lt;1),1,100))</f>
        <v/>
      </c>
      <c r="G896" t="str">
        <f>IF(A896="","",IFERROR(VALUE(SUBSTITUTE(TRIM(Input!H896&amp;""),"%","")),0)/IF(AND(IFERROR(VALUE(SUBSTITUTE(TRIM(Input!H896&amp;""),"%","")),0)&gt;0,IFERROR(VALUE(SUBSTITUTE(TRIM(Input!H896&amp;""),"%","")),0)&lt;1),1,100))</f>
        <v/>
      </c>
      <c r="H896" t="str">
        <f>IF(A896="","",IFERROR(VALUE(SUBSTITUTE(TRIM(Input!I896&amp;""),"%","")),0)/IF(AND(IFERROR(VALUE(SUBSTITUTE(TRIM(Input!I896&amp;""),"%","")),0)&gt;0,IFERROR(VALUE(SUBSTITUTE(TRIM(Input!I896&amp;""),"%","")),0)&lt;1),1,100))</f>
        <v/>
      </c>
    </row>
    <row r="897" spans="1:8">
      <c r="A897" t="str">
        <f>IF(TRIM(Input!B897&amp;"")="","",UPPER(TRIM(Input!B897&amp;"")))</f>
        <v/>
      </c>
      <c r="B897" t="str">
        <f>IF(A897="","",IFERROR(VALUE(RIGHT(TRIM(Input!D897&amp;""),1)),0))</f>
        <v/>
      </c>
      <c r="C897" t="str">
        <f t="shared" si="13"/>
        <v/>
      </c>
      <c r="D897" t="str">
        <f>IF(A897="","",IFERROR(VALUE(SUBSTITUTE(TRIM(Input!E897&amp;""),"%","")),0)/IF(AND(IFERROR(VALUE(SUBSTITUTE(TRIM(Input!E897&amp;""),"%","")),0)&gt;0,IFERROR(VALUE(SUBSTITUTE(TRIM(Input!E897&amp;""),"%","")),0)&lt;1),1,100))</f>
        <v/>
      </c>
      <c r="E897" t="str">
        <f>IF(A897="","",IFERROR(VALUE(SUBSTITUTE(TRIM(Input!F897&amp;""),"%","")),0)/IF(AND(IFERROR(VALUE(SUBSTITUTE(TRIM(Input!F897&amp;""),"%","")),0)&gt;0,IFERROR(VALUE(SUBSTITUTE(TRIM(Input!F897&amp;""),"%","")),0)&lt;1),1,100))</f>
        <v/>
      </c>
      <c r="F897" t="str">
        <f>IF(A897="","",IFERROR(VALUE(SUBSTITUTE(TRIM(Input!G897&amp;""),"%","")),0)/IF(AND(IFERROR(VALUE(SUBSTITUTE(TRIM(Input!G897&amp;""),"%","")),0)&gt;0,IFERROR(VALUE(SUBSTITUTE(TRIM(Input!G897&amp;""),"%","")),0)&lt;1),1,100))</f>
        <v/>
      </c>
      <c r="G897" t="str">
        <f>IF(A897="","",IFERROR(VALUE(SUBSTITUTE(TRIM(Input!H897&amp;""),"%","")),0)/IF(AND(IFERROR(VALUE(SUBSTITUTE(TRIM(Input!H897&amp;""),"%","")),0)&gt;0,IFERROR(VALUE(SUBSTITUTE(TRIM(Input!H897&amp;""),"%","")),0)&lt;1),1,100))</f>
        <v/>
      </c>
      <c r="H897" t="str">
        <f>IF(A897="","",IFERROR(VALUE(SUBSTITUTE(TRIM(Input!I897&amp;""),"%","")),0)/IF(AND(IFERROR(VALUE(SUBSTITUTE(TRIM(Input!I897&amp;""),"%","")),0)&gt;0,IFERROR(VALUE(SUBSTITUTE(TRIM(Input!I897&amp;""),"%","")),0)&lt;1),1,100))</f>
        <v/>
      </c>
    </row>
    <row r="898" spans="1:8">
      <c r="A898" t="str">
        <f>IF(TRIM(Input!B898&amp;"")="","",UPPER(TRIM(Input!B898&amp;"")))</f>
        <v/>
      </c>
      <c r="B898" t="str">
        <f>IF(A898="","",IFERROR(VALUE(RIGHT(TRIM(Input!D898&amp;""),1)),0))</f>
        <v/>
      </c>
      <c r="C898" t="str">
        <f t="shared" ref="C898:C961" si="14">IF(A898="","",A898&amp;"|"&amp;B898)</f>
        <v/>
      </c>
      <c r="D898" t="str">
        <f>IF(A898="","",IFERROR(VALUE(SUBSTITUTE(TRIM(Input!E898&amp;""),"%","")),0)/IF(AND(IFERROR(VALUE(SUBSTITUTE(TRIM(Input!E898&amp;""),"%","")),0)&gt;0,IFERROR(VALUE(SUBSTITUTE(TRIM(Input!E898&amp;""),"%","")),0)&lt;1),1,100))</f>
        <v/>
      </c>
      <c r="E898" t="str">
        <f>IF(A898="","",IFERROR(VALUE(SUBSTITUTE(TRIM(Input!F898&amp;""),"%","")),0)/IF(AND(IFERROR(VALUE(SUBSTITUTE(TRIM(Input!F898&amp;""),"%","")),0)&gt;0,IFERROR(VALUE(SUBSTITUTE(TRIM(Input!F898&amp;""),"%","")),0)&lt;1),1,100))</f>
        <v/>
      </c>
      <c r="F898" t="str">
        <f>IF(A898="","",IFERROR(VALUE(SUBSTITUTE(TRIM(Input!G898&amp;""),"%","")),0)/IF(AND(IFERROR(VALUE(SUBSTITUTE(TRIM(Input!G898&amp;""),"%","")),0)&gt;0,IFERROR(VALUE(SUBSTITUTE(TRIM(Input!G898&amp;""),"%","")),0)&lt;1),1,100))</f>
        <v/>
      </c>
      <c r="G898" t="str">
        <f>IF(A898="","",IFERROR(VALUE(SUBSTITUTE(TRIM(Input!H898&amp;""),"%","")),0)/IF(AND(IFERROR(VALUE(SUBSTITUTE(TRIM(Input!H898&amp;""),"%","")),0)&gt;0,IFERROR(VALUE(SUBSTITUTE(TRIM(Input!H898&amp;""),"%","")),0)&lt;1),1,100))</f>
        <v/>
      </c>
      <c r="H898" t="str">
        <f>IF(A898="","",IFERROR(VALUE(SUBSTITUTE(TRIM(Input!I898&amp;""),"%","")),0)/IF(AND(IFERROR(VALUE(SUBSTITUTE(TRIM(Input!I898&amp;""),"%","")),0)&gt;0,IFERROR(VALUE(SUBSTITUTE(TRIM(Input!I898&amp;""),"%","")),0)&lt;1),1,100))</f>
        <v/>
      </c>
    </row>
    <row r="899" spans="1:8">
      <c r="A899" t="str">
        <f>IF(TRIM(Input!B899&amp;"")="","",UPPER(TRIM(Input!B899&amp;"")))</f>
        <v/>
      </c>
      <c r="B899" t="str">
        <f>IF(A899="","",IFERROR(VALUE(RIGHT(TRIM(Input!D899&amp;""),1)),0))</f>
        <v/>
      </c>
      <c r="C899" t="str">
        <f t="shared" si="14"/>
        <v/>
      </c>
      <c r="D899" t="str">
        <f>IF(A899="","",IFERROR(VALUE(SUBSTITUTE(TRIM(Input!E899&amp;""),"%","")),0)/IF(AND(IFERROR(VALUE(SUBSTITUTE(TRIM(Input!E899&amp;""),"%","")),0)&gt;0,IFERROR(VALUE(SUBSTITUTE(TRIM(Input!E899&amp;""),"%","")),0)&lt;1),1,100))</f>
        <v/>
      </c>
      <c r="E899" t="str">
        <f>IF(A899="","",IFERROR(VALUE(SUBSTITUTE(TRIM(Input!F899&amp;""),"%","")),0)/IF(AND(IFERROR(VALUE(SUBSTITUTE(TRIM(Input!F899&amp;""),"%","")),0)&gt;0,IFERROR(VALUE(SUBSTITUTE(TRIM(Input!F899&amp;""),"%","")),0)&lt;1),1,100))</f>
        <v/>
      </c>
      <c r="F899" t="str">
        <f>IF(A899="","",IFERROR(VALUE(SUBSTITUTE(TRIM(Input!G899&amp;""),"%","")),0)/IF(AND(IFERROR(VALUE(SUBSTITUTE(TRIM(Input!G899&amp;""),"%","")),0)&gt;0,IFERROR(VALUE(SUBSTITUTE(TRIM(Input!G899&amp;""),"%","")),0)&lt;1),1,100))</f>
        <v/>
      </c>
      <c r="G899" t="str">
        <f>IF(A899="","",IFERROR(VALUE(SUBSTITUTE(TRIM(Input!H899&amp;""),"%","")),0)/IF(AND(IFERROR(VALUE(SUBSTITUTE(TRIM(Input!H899&amp;""),"%","")),0)&gt;0,IFERROR(VALUE(SUBSTITUTE(TRIM(Input!H899&amp;""),"%","")),0)&lt;1),1,100))</f>
        <v/>
      </c>
      <c r="H899" t="str">
        <f>IF(A899="","",IFERROR(VALUE(SUBSTITUTE(TRIM(Input!I899&amp;""),"%","")),0)/IF(AND(IFERROR(VALUE(SUBSTITUTE(TRIM(Input!I899&amp;""),"%","")),0)&gt;0,IFERROR(VALUE(SUBSTITUTE(TRIM(Input!I899&amp;""),"%","")),0)&lt;1),1,100))</f>
        <v/>
      </c>
    </row>
    <row r="900" spans="1:8">
      <c r="A900" t="str">
        <f>IF(TRIM(Input!B900&amp;"")="","",UPPER(TRIM(Input!B900&amp;"")))</f>
        <v/>
      </c>
      <c r="B900" t="str">
        <f>IF(A900="","",IFERROR(VALUE(RIGHT(TRIM(Input!D900&amp;""),1)),0))</f>
        <v/>
      </c>
      <c r="C900" t="str">
        <f t="shared" si="14"/>
        <v/>
      </c>
      <c r="D900" t="str">
        <f>IF(A900="","",IFERROR(VALUE(SUBSTITUTE(TRIM(Input!E900&amp;""),"%","")),0)/IF(AND(IFERROR(VALUE(SUBSTITUTE(TRIM(Input!E900&amp;""),"%","")),0)&gt;0,IFERROR(VALUE(SUBSTITUTE(TRIM(Input!E900&amp;""),"%","")),0)&lt;1),1,100))</f>
        <v/>
      </c>
      <c r="E900" t="str">
        <f>IF(A900="","",IFERROR(VALUE(SUBSTITUTE(TRIM(Input!F900&amp;""),"%","")),0)/IF(AND(IFERROR(VALUE(SUBSTITUTE(TRIM(Input!F900&amp;""),"%","")),0)&gt;0,IFERROR(VALUE(SUBSTITUTE(TRIM(Input!F900&amp;""),"%","")),0)&lt;1),1,100))</f>
        <v/>
      </c>
      <c r="F900" t="str">
        <f>IF(A900="","",IFERROR(VALUE(SUBSTITUTE(TRIM(Input!G900&amp;""),"%","")),0)/IF(AND(IFERROR(VALUE(SUBSTITUTE(TRIM(Input!G900&amp;""),"%","")),0)&gt;0,IFERROR(VALUE(SUBSTITUTE(TRIM(Input!G900&amp;""),"%","")),0)&lt;1),1,100))</f>
        <v/>
      </c>
      <c r="G900" t="str">
        <f>IF(A900="","",IFERROR(VALUE(SUBSTITUTE(TRIM(Input!H900&amp;""),"%","")),0)/IF(AND(IFERROR(VALUE(SUBSTITUTE(TRIM(Input!H900&amp;""),"%","")),0)&gt;0,IFERROR(VALUE(SUBSTITUTE(TRIM(Input!H900&amp;""),"%","")),0)&lt;1),1,100))</f>
        <v/>
      </c>
      <c r="H900" t="str">
        <f>IF(A900="","",IFERROR(VALUE(SUBSTITUTE(TRIM(Input!I900&amp;""),"%","")),0)/IF(AND(IFERROR(VALUE(SUBSTITUTE(TRIM(Input!I900&amp;""),"%","")),0)&gt;0,IFERROR(VALUE(SUBSTITUTE(TRIM(Input!I900&amp;""),"%","")),0)&lt;1),1,100))</f>
        <v/>
      </c>
    </row>
    <row r="901" spans="1:8">
      <c r="A901" t="str">
        <f>IF(TRIM(Input!B901&amp;"")="","",UPPER(TRIM(Input!B901&amp;"")))</f>
        <v/>
      </c>
      <c r="B901" t="str">
        <f>IF(A901="","",IFERROR(VALUE(RIGHT(TRIM(Input!D901&amp;""),1)),0))</f>
        <v/>
      </c>
      <c r="C901" t="str">
        <f t="shared" si="14"/>
        <v/>
      </c>
      <c r="D901" t="str">
        <f>IF(A901="","",IFERROR(VALUE(SUBSTITUTE(TRIM(Input!E901&amp;""),"%","")),0)/IF(AND(IFERROR(VALUE(SUBSTITUTE(TRIM(Input!E901&amp;""),"%","")),0)&gt;0,IFERROR(VALUE(SUBSTITUTE(TRIM(Input!E901&amp;""),"%","")),0)&lt;1),1,100))</f>
        <v/>
      </c>
      <c r="E901" t="str">
        <f>IF(A901="","",IFERROR(VALUE(SUBSTITUTE(TRIM(Input!F901&amp;""),"%","")),0)/IF(AND(IFERROR(VALUE(SUBSTITUTE(TRIM(Input!F901&amp;""),"%","")),0)&gt;0,IFERROR(VALUE(SUBSTITUTE(TRIM(Input!F901&amp;""),"%","")),0)&lt;1),1,100))</f>
        <v/>
      </c>
      <c r="F901" t="str">
        <f>IF(A901="","",IFERROR(VALUE(SUBSTITUTE(TRIM(Input!G901&amp;""),"%","")),0)/IF(AND(IFERROR(VALUE(SUBSTITUTE(TRIM(Input!G901&amp;""),"%","")),0)&gt;0,IFERROR(VALUE(SUBSTITUTE(TRIM(Input!G901&amp;""),"%","")),0)&lt;1),1,100))</f>
        <v/>
      </c>
      <c r="G901" t="str">
        <f>IF(A901="","",IFERROR(VALUE(SUBSTITUTE(TRIM(Input!H901&amp;""),"%","")),0)/IF(AND(IFERROR(VALUE(SUBSTITUTE(TRIM(Input!H901&amp;""),"%","")),0)&gt;0,IFERROR(VALUE(SUBSTITUTE(TRIM(Input!H901&amp;""),"%","")),0)&lt;1),1,100))</f>
        <v/>
      </c>
      <c r="H901" t="str">
        <f>IF(A901="","",IFERROR(VALUE(SUBSTITUTE(TRIM(Input!I901&amp;""),"%","")),0)/IF(AND(IFERROR(VALUE(SUBSTITUTE(TRIM(Input!I901&amp;""),"%","")),0)&gt;0,IFERROR(VALUE(SUBSTITUTE(TRIM(Input!I901&amp;""),"%","")),0)&lt;1),1,100))</f>
        <v/>
      </c>
    </row>
    <row r="902" spans="1:8">
      <c r="A902" t="str">
        <f>IF(TRIM(Input!B902&amp;"")="","",UPPER(TRIM(Input!B902&amp;"")))</f>
        <v/>
      </c>
      <c r="B902" t="str">
        <f>IF(A902="","",IFERROR(VALUE(RIGHT(TRIM(Input!D902&amp;""),1)),0))</f>
        <v/>
      </c>
      <c r="C902" t="str">
        <f t="shared" si="14"/>
        <v/>
      </c>
      <c r="D902" t="str">
        <f>IF(A902="","",IFERROR(VALUE(SUBSTITUTE(TRIM(Input!E902&amp;""),"%","")),0)/IF(AND(IFERROR(VALUE(SUBSTITUTE(TRIM(Input!E902&amp;""),"%","")),0)&gt;0,IFERROR(VALUE(SUBSTITUTE(TRIM(Input!E902&amp;""),"%","")),0)&lt;1),1,100))</f>
        <v/>
      </c>
      <c r="E902" t="str">
        <f>IF(A902="","",IFERROR(VALUE(SUBSTITUTE(TRIM(Input!F902&amp;""),"%","")),0)/IF(AND(IFERROR(VALUE(SUBSTITUTE(TRIM(Input!F902&amp;""),"%","")),0)&gt;0,IFERROR(VALUE(SUBSTITUTE(TRIM(Input!F902&amp;""),"%","")),0)&lt;1),1,100))</f>
        <v/>
      </c>
      <c r="F902" t="str">
        <f>IF(A902="","",IFERROR(VALUE(SUBSTITUTE(TRIM(Input!G902&amp;""),"%","")),0)/IF(AND(IFERROR(VALUE(SUBSTITUTE(TRIM(Input!G902&amp;""),"%","")),0)&gt;0,IFERROR(VALUE(SUBSTITUTE(TRIM(Input!G902&amp;""),"%","")),0)&lt;1),1,100))</f>
        <v/>
      </c>
      <c r="G902" t="str">
        <f>IF(A902="","",IFERROR(VALUE(SUBSTITUTE(TRIM(Input!H902&amp;""),"%","")),0)/IF(AND(IFERROR(VALUE(SUBSTITUTE(TRIM(Input!H902&amp;""),"%","")),0)&gt;0,IFERROR(VALUE(SUBSTITUTE(TRIM(Input!H902&amp;""),"%","")),0)&lt;1),1,100))</f>
        <v/>
      </c>
      <c r="H902" t="str">
        <f>IF(A902="","",IFERROR(VALUE(SUBSTITUTE(TRIM(Input!I902&amp;""),"%","")),0)/IF(AND(IFERROR(VALUE(SUBSTITUTE(TRIM(Input!I902&amp;""),"%","")),0)&gt;0,IFERROR(VALUE(SUBSTITUTE(TRIM(Input!I902&amp;""),"%","")),0)&lt;1),1,100))</f>
        <v/>
      </c>
    </row>
    <row r="903" spans="1:8">
      <c r="A903" t="str">
        <f>IF(TRIM(Input!B903&amp;"")="","",UPPER(TRIM(Input!B903&amp;"")))</f>
        <v/>
      </c>
      <c r="B903" t="str">
        <f>IF(A903="","",IFERROR(VALUE(RIGHT(TRIM(Input!D903&amp;""),1)),0))</f>
        <v/>
      </c>
      <c r="C903" t="str">
        <f t="shared" si="14"/>
        <v/>
      </c>
      <c r="D903" t="str">
        <f>IF(A903="","",IFERROR(VALUE(SUBSTITUTE(TRIM(Input!E903&amp;""),"%","")),0)/IF(AND(IFERROR(VALUE(SUBSTITUTE(TRIM(Input!E903&amp;""),"%","")),0)&gt;0,IFERROR(VALUE(SUBSTITUTE(TRIM(Input!E903&amp;""),"%","")),0)&lt;1),1,100))</f>
        <v/>
      </c>
      <c r="E903" t="str">
        <f>IF(A903="","",IFERROR(VALUE(SUBSTITUTE(TRIM(Input!F903&amp;""),"%","")),0)/IF(AND(IFERROR(VALUE(SUBSTITUTE(TRIM(Input!F903&amp;""),"%","")),0)&gt;0,IFERROR(VALUE(SUBSTITUTE(TRIM(Input!F903&amp;""),"%","")),0)&lt;1),1,100))</f>
        <v/>
      </c>
      <c r="F903" t="str">
        <f>IF(A903="","",IFERROR(VALUE(SUBSTITUTE(TRIM(Input!G903&amp;""),"%","")),0)/IF(AND(IFERROR(VALUE(SUBSTITUTE(TRIM(Input!G903&amp;""),"%","")),0)&gt;0,IFERROR(VALUE(SUBSTITUTE(TRIM(Input!G903&amp;""),"%","")),0)&lt;1),1,100))</f>
        <v/>
      </c>
      <c r="G903" t="str">
        <f>IF(A903="","",IFERROR(VALUE(SUBSTITUTE(TRIM(Input!H903&amp;""),"%","")),0)/IF(AND(IFERROR(VALUE(SUBSTITUTE(TRIM(Input!H903&amp;""),"%","")),0)&gt;0,IFERROR(VALUE(SUBSTITUTE(TRIM(Input!H903&amp;""),"%","")),0)&lt;1),1,100))</f>
        <v/>
      </c>
      <c r="H903" t="str">
        <f>IF(A903="","",IFERROR(VALUE(SUBSTITUTE(TRIM(Input!I903&amp;""),"%","")),0)/IF(AND(IFERROR(VALUE(SUBSTITUTE(TRIM(Input!I903&amp;""),"%","")),0)&gt;0,IFERROR(VALUE(SUBSTITUTE(TRIM(Input!I903&amp;""),"%","")),0)&lt;1),1,100))</f>
        <v/>
      </c>
    </row>
    <row r="904" spans="1:8">
      <c r="A904" t="str">
        <f>IF(TRIM(Input!B904&amp;"")="","",UPPER(TRIM(Input!B904&amp;"")))</f>
        <v/>
      </c>
      <c r="B904" t="str">
        <f>IF(A904="","",IFERROR(VALUE(RIGHT(TRIM(Input!D904&amp;""),1)),0))</f>
        <v/>
      </c>
      <c r="C904" t="str">
        <f t="shared" si="14"/>
        <v/>
      </c>
      <c r="D904" t="str">
        <f>IF(A904="","",IFERROR(VALUE(SUBSTITUTE(TRIM(Input!E904&amp;""),"%","")),0)/IF(AND(IFERROR(VALUE(SUBSTITUTE(TRIM(Input!E904&amp;""),"%","")),0)&gt;0,IFERROR(VALUE(SUBSTITUTE(TRIM(Input!E904&amp;""),"%","")),0)&lt;1),1,100))</f>
        <v/>
      </c>
      <c r="E904" t="str">
        <f>IF(A904="","",IFERROR(VALUE(SUBSTITUTE(TRIM(Input!F904&amp;""),"%","")),0)/IF(AND(IFERROR(VALUE(SUBSTITUTE(TRIM(Input!F904&amp;""),"%","")),0)&gt;0,IFERROR(VALUE(SUBSTITUTE(TRIM(Input!F904&amp;""),"%","")),0)&lt;1),1,100))</f>
        <v/>
      </c>
      <c r="F904" t="str">
        <f>IF(A904="","",IFERROR(VALUE(SUBSTITUTE(TRIM(Input!G904&amp;""),"%","")),0)/IF(AND(IFERROR(VALUE(SUBSTITUTE(TRIM(Input!G904&amp;""),"%","")),0)&gt;0,IFERROR(VALUE(SUBSTITUTE(TRIM(Input!G904&amp;""),"%","")),0)&lt;1),1,100))</f>
        <v/>
      </c>
      <c r="G904" t="str">
        <f>IF(A904="","",IFERROR(VALUE(SUBSTITUTE(TRIM(Input!H904&amp;""),"%","")),0)/IF(AND(IFERROR(VALUE(SUBSTITUTE(TRIM(Input!H904&amp;""),"%","")),0)&gt;0,IFERROR(VALUE(SUBSTITUTE(TRIM(Input!H904&amp;""),"%","")),0)&lt;1),1,100))</f>
        <v/>
      </c>
      <c r="H904" t="str">
        <f>IF(A904="","",IFERROR(VALUE(SUBSTITUTE(TRIM(Input!I904&amp;""),"%","")),0)/IF(AND(IFERROR(VALUE(SUBSTITUTE(TRIM(Input!I904&amp;""),"%","")),0)&gt;0,IFERROR(VALUE(SUBSTITUTE(TRIM(Input!I904&amp;""),"%","")),0)&lt;1),1,100))</f>
        <v/>
      </c>
    </row>
    <row r="905" spans="1:8">
      <c r="A905" t="str">
        <f>IF(TRIM(Input!B905&amp;"")="","",UPPER(TRIM(Input!B905&amp;"")))</f>
        <v/>
      </c>
      <c r="B905" t="str">
        <f>IF(A905="","",IFERROR(VALUE(RIGHT(TRIM(Input!D905&amp;""),1)),0))</f>
        <v/>
      </c>
      <c r="C905" t="str">
        <f t="shared" si="14"/>
        <v/>
      </c>
      <c r="D905" t="str">
        <f>IF(A905="","",IFERROR(VALUE(SUBSTITUTE(TRIM(Input!E905&amp;""),"%","")),0)/IF(AND(IFERROR(VALUE(SUBSTITUTE(TRIM(Input!E905&amp;""),"%","")),0)&gt;0,IFERROR(VALUE(SUBSTITUTE(TRIM(Input!E905&amp;""),"%","")),0)&lt;1),1,100))</f>
        <v/>
      </c>
      <c r="E905" t="str">
        <f>IF(A905="","",IFERROR(VALUE(SUBSTITUTE(TRIM(Input!F905&amp;""),"%","")),0)/IF(AND(IFERROR(VALUE(SUBSTITUTE(TRIM(Input!F905&amp;""),"%","")),0)&gt;0,IFERROR(VALUE(SUBSTITUTE(TRIM(Input!F905&amp;""),"%","")),0)&lt;1),1,100))</f>
        <v/>
      </c>
      <c r="F905" t="str">
        <f>IF(A905="","",IFERROR(VALUE(SUBSTITUTE(TRIM(Input!G905&amp;""),"%","")),0)/IF(AND(IFERROR(VALUE(SUBSTITUTE(TRIM(Input!G905&amp;""),"%","")),0)&gt;0,IFERROR(VALUE(SUBSTITUTE(TRIM(Input!G905&amp;""),"%","")),0)&lt;1),1,100))</f>
        <v/>
      </c>
      <c r="G905" t="str">
        <f>IF(A905="","",IFERROR(VALUE(SUBSTITUTE(TRIM(Input!H905&amp;""),"%","")),0)/IF(AND(IFERROR(VALUE(SUBSTITUTE(TRIM(Input!H905&amp;""),"%","")),0)&gt;0,IFERROR(VALUE(SUBSTITUTE(TRIM(Input!H905&amp;""),"%","")),0)&lt;1),1,100))</f>
        <v/>
      </c>
      <c r="H905" t="str">
        <f>IF(A905="","",IFERROR(VALUE(SUBSTITUTE(TRIM(Input!I905&amp;""),"%","")),0)/IF(AND(IFERROR(VALUE(SUBSTITUTE(TRIM(Input!I905&amp;""),"%","")),0)&gt;0,IFERROR(VALUE(SUBSTITUTE(TRIM(Input!I905&amp;""),"%","")),0)&lt;1),1,100))</f>
        <v/>
      </c>
    </row>
    <row r="906" spans="1:8">
      <c r="A906" t="str">
        <f>IF(TRIM(Input!B906&amp;"")="","",UPPER(TRIM(Input!B906&amp;"")))</f>
        <v/>
      </c>
      <c r="B906" t="str">
        <f>IF(A906="","",IFERROR(VALUE(RIGHT(TRIM(Input!D906&amp;""),1)),0))</f>
        <v/>
      </c>
      <c r="C906" t="str">
        <f t="shared" si="14"/>
        <v/>
      </c>
      <c r="D906" t="str">
        <f>IF(A906="","",IFERROR(VALUE(SUBSTITUTE(TRIM(Input!E906&amp;""),"%","")),0)/IF(AND(IFERROR(VALUE(SUBSTITUTE(TRIM(Input!E906&amp;""),"%","")),0)&gt;0,IFERROR(VALUE(SUBSTITUTE(TRIM(Input!E906&amp;""),"%","")),0)&lt;1),1,100))</f>
        <v/>
      </c>
      <c r="E906" t="str">
        <f>IF(A906="","",IFERROR(VALUE(SUBSTITUTE(TRIM(Input!F906&amp;""),"%","")),0)/IF(AND(IFERROR(VALUE(SUBSTITUTE(TRIM(Input!F906&amp;""),"%","")),0)&gt;0,IFERROR(VALUE(SUBSTITUTE(TRIM(Input!F906&amp;""),"%","")),0)&lt;1),1,100))</f>
        <v/>
      </c>
      <c r="F906" t="str">
        <f>IF(A906="","",IFERROR(VALUE(SUBSTITUTE(TRIM(Input!G906&amp;""),"%","")),0)/IF(AND(IFERROR(VALUE(SUBSTITUTE(TRIM(Input!G906&amp;""),"%","")),0)&gt;0,IFERROR(VALUE(SUBSTITUTE(TRIM(Input!G906&amp;""),"%","")),0)&lt;1),1,100))</f>
        <v/>
      </c>
      <c r="G906" t="str">
        <f>IF(A906="","",IFERROR(VALUE(SUBSTITUTE(TRIM(Input!H906&amp;""),"%","")),0)/IF(AND(IFERROR(VALUE(SUBSTITUTE(TRIM(Input!H906&amp;""),"%","")),0)&gt;0,IFERROR(VALUE(SUBSTITUTE(TRIM(Input!H906&amp;""),"%","")),0)&lt;1),1,100))</f>
        <v/>
      </c>
      <c r="H906" t="str">
        <f>IF(A906="","",IFERROR(VALUE(SUBSTITUTE(TRIM(Input!I906&amp;""),"%","")),0)/IF(AND(IFERROR(VALUE(SUBSTITUTE(TRIM(Input!I906&amp;""),"%","")),0)&gt;0,IFERROR(VALUE(SUBSTITUTE(TRIM(Input!I906&amp;""),"%","")),0)&lt;1),1,100))</f>
        <v/>
      </c>
    </row>
    <row r="907" spans="1:8">
      <c r="A907" t="str">
        <f>IF(TRIM(Input!B907&amp;"")="","",UPPER(TRIM(Input!B907&amp;"")))</f>
        <v/>
      </c>
      <c r="B907" t="str">
        <f>IF(A907="","",IFERROR(VALUE(RIGHT(TRIM(Input!D907&amp;""),1)),0))</f>
        <v/>
      </c>
      <c r="C907" t="str">
        <f t="shared" si="14"/>
        <v/>
      </c>
      <c r="D907" t="str">
        <f>IF(A907="","",IFERROR(VALUE(SUBSTITUTE(TRIM(Input!E907&amp;""),"%","")),0)/IF(AND(IFERROR(VALUE(SUBSTITUTE(TRIM(Input!E907&amp;""),"%","")),0)&gt;0,IFERROR(VALUE(SUBSTITUTE(TRIM(Input!E907&amp;""),"%","")),0)&lt;1),1,100))</f>
        <v/>
      </c>
      <c r="E907" t="str">
        <f>IF(A907="","",IFERROR(VALUE(SUBSTITUTE(TRIM(Input!F907&amp;""),"%","")),0)/IF(AND(IFERROR(VALUE(SUBSTITUTE(TRIM(Input!F907&amp;""),"%","")),0)&gt;0,IFERROR(VALUE(SUBSTITUTE(TRIM(Input!F907&amp;""),"%","")),0)&lt;1),1,100))</f>
        <v/>
      </c>
      <c r="F907" t="str">
        <f>IF(A907="","",IFERROR(VALUE(SUBSTITUTE(TRIM(Input!G907&amp;""),"%","")),0)/IF(AND(IFERROR(VALUE(SUBSTITUTE(TRIM(Input!G907&amp;""),"%","")),0)&gt;0,IFERROR(VALUE(SUBSTITUTE(TRIM(Input!G907&amp;""),"%","")),0)&lt;1),1,100))</f>
        <v/>
      </c>
      <c r="G907" t="str">
        <f>IF(A907="","",IFERROR(VALUE(SUBSTITUTE(TRIM(Input!H907&amp;""),"%","")),0)/IF(AND(IFERROR(VALUE(SUBSTITUTE(TRIM(Input!H907&amp;""),"%","")),0)&gt;0,IFERROR(VALUE(SUBSTITUTE(TRIM(Input!H907&amp;""),"%","")),0)&lt;1),1,100))</f>
        <v/>
      </c>
      <c r="H907" t="str">
        <f>IF(A907="","",IFERROR(VALUE(SUBSTITUTE(TRIM(Input!I907&amp;""),"%","")),0)/IF(AND(IFERROR(VALUE(SUBSTITUTE(TRIM(Input!I907&amp;""),"%","")),0)&gt;0,IFERROR(VALUE(SUBSTITUTE(TRIM(Input!I907&amp;""),"%","")),0)&lt;1),1,100))</f>
        <v/>
      </c>
    </row>
    <row r="908" spans="1:8">
      <c r="A908" t="str">
        <f>IF(TRIM(Input!B908&amp;"")="","",UPPER(TRIM(Input!B908&amp;"")))</f>
        <v/>
      </c>
      <c r="B908" t="str">
        <f>IF(A908="","",IFERROR(VALUE(RIGHT(TRIM(Input!D908&amp;""),1)),0))</f>
        <v/>
      </c>
      <c r="C908" t="str">
        <f t="shared" si="14"/>
        <v/>
      </c>
      <c r="D908" t="str">
        <f>IF(A908="","",IFERROR(VALUE(SUBSTITUTE(TRIM(Input!E908&amp;""),"%","")),0)/IF(AND(IFERROR(VALUE(SUBSTITUTE(TRIM(Input!E908&amp;""),"%","")),0)&gt;0,IFERROR(VALUE(SUBSTITUTE(TRIM(Input!E908&amp;""),"%","")),0)&lt;1),1,100))</f>
        <v/>
      </c>
      <c r="E908" t="str">
        <f>IF(A908="","",IFERROR(VALUE(SUBSTITUTE(TRIM(Input!F908&amp;""),"%","")),0)/IF(AND(IFERROR(VALUE(SUBSTITUTE(TRIM(Input!F908&amp;""),"%","")),0)&gt;0,IFERROR(VALUE(SUBSTITUTE(TRIM(Input!F908&amp;""),"%","")),0)&lt;1),1,100))</f>
        <v/>
      </c>
      <c r="F908" t="str">
        <f>IF(A908="","",IFERROR(VALUE(SUBSTITUTE(TRIM(Input!G908&amp;""),"%","")),0)/IF(AND(IFERROR(VALUE(SUBSTITUTE(TRIM(Input!G908&amp;""),"%","")),0)&gt;0,IFERROR(VALUE(SUBSTITUTE(TRIM(Input!G908&amp;""),"%","")),0)&lt;1),1,100))</f>
        <v/>
      </c>
      <c r="G908" t="str">
        <f>IF(A908="","",IFERROR(VALUE(SUBSTITUTE(TRIM(Input!H908&amp;""),"%","")),0)/IF(AND(IFERROR(VALUE(SUBSTITUTE(TRIM(Input!H908&amp;""),"%","")),0)&gt;0,IFERROR(VALUE(SUBSTITUTE(TRIM(Input!H908&amp;""),"%","")),0)&lt;1),1,100))</f>
        <v/>
      </c>
      <c r="H908" t="str">
        <f>IF(A908="","",IFERROR(VALUE(SUBSTITUTE(TRIM(Input!I908&amp;""),"%","")),0)/IF(AND(IFERROR(VALUE(SUBSTITUTE(TRIM(Input!I908&amp;""),"%","")),0)&gt;0,IFERROR(VALUE(SUBSTITUTE(TRIM(Input!I908&amp;""),"%","")),0)&lt;1),1,100))</f>
        <v/>
      </c>
    </row>
    <row r="909" spans="1:8">
      <c r="A909" t="str">
        <f>IF(TRIM(Input!B909&amp;"")="","",UPPER(TRIM(Input!B909&amp;"")))</f>
        <v/>
      </c>
      <c r="B909" t="str">
        <f>IF(A909="","",IFERROR(VALUE(RIGHT(TRIM(Input!D909&amp;""),1)),0))</f>
        <v/>
      </c>
      <c r="C909" t="str">
        <f t="shared" si="14"/>
        <v/>
      </c>
      <c r="D909" t="str">
        <f>IF(A909="","",IFERROR(VALUE(SUBSTITUTE(TRIM(Input!E909&amp;""),"%","")),0)/IF(AND(IFERROR(VALUE(SUBSTITUTE(TRIM(Input!E909&amp;""),"%","")),0)&gt;0,IFERROR(VALUE(SUBSTITUTE(TRIM(Input!E909&amp;""),"%","")),0)&lt;1),1,100))</f>
        <v/>
      </c>
      <c r="E909" t="str">
        <f>IF(A909="","",IFERROR(VALUE(SUBSTITUTE(TRIM(Input!F909&amp;""),"%","")),0)/IF(AND(IFERROR(VALUE(SUBSTITUTE(TRIM(Input!F909&amp;""),"%","")),0)&gt;0,IFERROR(VALUE(SUBSTITUTE(TRIM(Input!F909&amp;""),"%","")),0)&lt;1),1,100))</f>
        <v/>
      </c>
      <c r="F909" t="str">
        <f>IF(A909="","",IFERROR(VALUE(SUBSTITUTE(TRIM(Input!G909&amp;""),"%","")),0)/IF(AND(IFERROR(VALUE(SUBSTITUTE(TRIM(Input!G909&amp;""),"%","")),0)&gt;0,IFERROR(VALUE(SUBSTITUTE(TRIM(Input!G909&amp;""),"%","")),0)&lt;1),1,100))</f>
        <v/>
      </c>
      <c r="G909" t="str">
        <f>IF(A909="","",IFERROR(VALUE(SUBSTITUTE(TRIM(Input!H909&amp;""),"%","")),0)/IF(AND(IFERROR(VALUE(SUBSTITUTE(TRIM(Input!H909&amp;""),"%","")),0)&gt;0,IFERROR(VALUE(SUBSTITUTE(TRIM(Input!H909&amp;""),"%","")),0)&lt;1),1,100))</f>
        <v/>
      </c>
      <c r="H909" t="str">
        <f>IF(A909="","",IFERROR(VALUE(SUBSTITUTE(TRIM(Input!I909&amp;""),"%","")),0)/IF(AND(IFERROR(VALUE(SUBSTITUTE(TRIM(Input!I909&amp;""),"%","")),0)&gt;0,IFERROR(VALUE(SUBSTITUTE(TRIM(Input!I909&amp;""),"%","")),0)&lt;1),1,100))</f>
        <v/>
      </c>
    </row>
    <row r="910" spans="1:8">
      <c r="A910" t="str">
        <f>IF(TRIM(Input!B910&amp;"")="","",UPPER(TRIM(Input!B910&amp;"")))</f>
        <v/>
      </c>
      <c r="B910" t="str">
        <f>IF(A910="","",IFERROR(VALUE(RIGHT(TRIM(Input!D910&amp;""),1)),0))</f>
        <v/>
      </c>
      <c r="C910" t="str">
        <f t="shared" si="14"/>
        <v/>
      </c>
      <c r="D910" t="str">
        <f>IF(A910="","",IFERROR(VALUE(SUBSTITUTE(TRIM(Input!E910&amp;""),"%","")),0)/IF(AND(IFERROR(VALUE(SUBSTITUTE(TRIM(Input!E910&amp;""),"%","")),0)&gt;0,IFERROR(VALUE(SUBSTITUTE(TRIM(Input!E910&amp;""),"%","")),0)&lt;1),1,100))</f>
        <v/>
      </c>
      <c r="E910" t="str">
        <f>IF(A910="","",IFERROR(VALUE(SUBSTITUTE(TRIM(Input!F910&amp;""),"%","")),0)/IF(AND(IFERROR(VALUE(SUBSTITUTE(TRIM(Input!F910&amp;""),"%","")),0)&gt;0,IFERROR(VALUE(SUBSTITUTE(TRIM(Input!F910&amp;""),"%","")),0)&lt;1),1,100))</f>
        <v/>
      </c>
      <c r="F910" t="str">
        <f>IF(A910="","",IFERROR(VALUE(SUBSTITUTE(TRIM(Input!G910&amp;""),"%","")),0)/IF(AND(IFERROR(VALUE(SUBSTITUTE(TRIM(Input!G910&amp;""),"%","")),0)&gt;0,IFERROR(VALUE(SUBSTITUTE(TRIM(Input!G910&amp;""),"%","")),0)&lt;1),1,100))</f>
        <v/>
      </c>
      <c r="G910" t="str">
        <f>IF(A910="","",IFERROR(VALUE(SUBSTITUTE(TRIM(Input!H910&amp;""),"%","")),0)/IF(AND(IFERROR(VALUE(SUBSTITUTE(TRIM(Input!H910&amp;""),"%","")),0)&gt;0,IFERROR(VALUE(SUBSTITUTE(TRIM(Input!H910&amp;""),"%","")),0)&lt;1),1,100))</f>
        <v/>
      </c>
      <c r="H910" t="str">
        <f>IF(A910="","",IFERROR(VALUE(SUBSTITUTE(TRIM(Input!I910&amp;""),"%","")),0)/IF(AND(IFERROR(VALUE(SUBSTITUTE(TRIM(Input!I910&amp;""),"%","")),0)&gt;0,IFERROR(VALUE(SUBSTITUTE(TRIM(Input!I910&amp;""),"%","")),0)&lt;1),1,100))</f>
        <v/>
      </c>
    </row>
    <row r="911" spans="1:8">
      <c r="A911" t="str">
        <f>IF(TRIM(Input!B911&amp;"")="","",UPPER(TRIM(Input!B911&amp;"")))</f>
        <v/>
      </c>
      <c r="B911" t="str">
        <f>IF(A911="","",IFERROR(VALUE(RIGHT(TRIM(Input!D911&amp;""),1)),0))</f>
        <v/>
      </c>
      <c r="C911" t="str">
        <f t="shared" si="14"/>
        <v/>
      </c>
      <c r="D911" t="str">
        <f>IF(A911="","",IFERROR(VALUE(SUBSTITUTE(TRIM(Input!E911&amp;""),"%","")),0)/IF(AND(IFERROR(VALUE(SUBSTITUTE(TRIM(Input!E911&amp;""),"%","")),0)&gt;0,IFERROR(VALUE(SUBSTITUTE(TRIM(Input!E911&amp;""),"%","")),0)&lt;1),1,100))</f>
        <v/>
      </c>
      <c r="E911" t="str">
        <f>IF(A911="","",IFERROR(VALUE(SUBSTITUTE(TRIM(Input!F911&amp;""),"%","")),0)/IF(AND(IFERROR(VALUE(SUBSTITUTE(TRIM(Input!F911&amp;""),"%","")),0)&gt;0,IFERROR(VALUE(SUBSTITUTE(TRIM(Input!F911&amp;""),"%","")),0)&lt;1),1,100))</f>
        <v/>
      </c>
      <c r="F911" t="str">
        <f>IF(A911="","",IFERROR(VALUE(SUBSTITUTE(TRIM(Input!G911&amp;""),"%","")),0)/IF(AND(IFERROR(VALUE(SUBSTITUTE(TRIM(Input!G911&amp;""),"%","")),0)&gt;0,IFERROR(VALUE(SUBSTITUTE(TRIM(Input!G911&amp;""),"%","")),0)&lt;1),1,100))</f>
        <v/>
      </c>
      <c r="G911" t="str">
        <f>IF(A911="","",IFERROR(VALUE(SUBSTITUTE(TRIM(Input!H911&amp;""),"%","")),0)/IF(AND(IFERROR(VALUE(SUBSTITUTE(TRIM(Input!H911&amp;""),"%","")),0)&gt;0,IFERROR(VALUE(SUBSTITUTE(TRIM(Input!H911&amp;""),"%","")),0)&lt;1),1,100))</f>
        <v/>
      </c>
      <c r="H911" t="str">
        <f>IF(A911="","",IFERROR(VALUE(SUBSTITUTE(TRIM(Input!I911&amp;""),"%","")),0)/IF(AND(IFERROR(VALUE(SUBSTITUTE(TRIM(Input!I911&amp;""),"%","")),0)&gt;0,IFERROR(VALUE(SUBSTITUTE(TRIM(Input!I911&amp;""),"%","")),0)&lt;1),1,100))</f>
        <v/>
      </c>
    </row>
    <row r="912" spans="1:8">
      <c r="A912" t="str">
        <f>IF(TRIM(Input!B912&amp;"")="","",UPPER(TRIM(Input!B912&amp;"")))</f>
        <v/>
      </c>
      <c r="B912" t="str">
        <f>IF(A912="","",IFERROR(VALUE(RIGHT(TRIM(Input!D912&amp;""),1)),0))</f>
        <v/>
      </c>
      <c r="C912" t="str">
        <f t="shared" si="14"/>
        <v/>
      </c>
      <c r="D912" t="str">
        <f>IF(A912="","",IFERROR(VALUE(SUBSTITUTE(TRIM(Input!E912&amp;""),"%","")),0)/IF(AND(IFERROR(VALUE(SUBSTITUTE(TRIM(Input!E912&amp;""),"%","")),0)&gt;0,IFERROR(VALUE(SUBSTITUTE(TRIM(Input!E912&amp;""),"%","")),0)&lt;1),1,100))</f>
        <v/>
      </c>
      <c r="E912" t="str">
        <f>IF(A912="","",IFERROR(VALUE(SUBSTITUTE(TRIM(Input!F912&amp;""),"%","")),0)/IF(AND(IFERROR(VALUE(SUBSTITUTE(TRIM(Input!F912&amp;""),"%","")),0)&gt;0,IFERROR(VALUE(SUBSTITUTE(TRIM(Input!F912&amp;""),"%","")),0)&lt;1),1,100))</f>
        <v/>
      </c>
      <c r="F912" t="str">
        <f>IF(A912="","",IFERROR(VALUE(SUBSTITUTE(TRIM(Input!G912&amp;""),"%","")),0)/IF(AND(IFERROR(VALUE(SUBSTITUTE(TRIM(Input!G912&amp;""),"%","")),0)&gt;0,IFERROR(VALUE(SUBSTITUTE(TRIM(Input!G912&amp;""),"%","")),0)&lt;1),1,100))</f>
        <v/>
      </c>
      <c r="G912" t="str">
        <f>IF(A912="","",IFERROR(VALUE(SUBSTITUTE(TRIM(Input!H912&amp;""),"%","")),0)/IF(AND(IFERROR(VALUE(SUBSTITUTE(TRIM(Input!H912&amp;""),"%","")),0)&gt;0,IFERROR(VALUE(SUBSTITUTE(TRIM(Input!H912&amp;""),"%","")),0)&lt;1),1,100))</f>
        <v/>
      </c>
      <c r="H912" t="str">
        <f>IF(A912="","",IFERROR(VALUE(SUBSTITUTE(TRIM(Input!I912&amp;""),"%","")),0)/IF(AND(IFERROR(VALUE(SUBSTITUTE(TRIM(Input!I912&amp;""),"%","")),0)&gt;0,IFERROR(VALUE(SUBSTITUTE(TRIM(Input!I912&amp;""),"%","")),0)&lt;1),1,100))</f>
        <v/>
      </c>
    </row>
    <row r="913" spans="1:8">
      <c r="A913" t="str">
        <f>IF(TRIM(Input!B913&amp;"")="","",UPPER(TRIM(Input!B913&amp;"")))</f>
        <v/>
      </c>
      <c r="B913" t="str">
        <f>IF(A913="","",IFERROR(VALUE(RIGHT(TRIM(Input!D913&amp;""),1)),0))</f>
        <v/>
      </c>
      <c r="C913" t="str">
        <f t="shared" si="14"/>
        <v/>
      </c>
      <c r="D913" t="str">
        <f>IF(A913="","",IFERROR(VALUE(SUBSTITUTE(TRIM(Input!E913&amp;""),"%","")),0)/IF(AND(IFERROR(VALUE(SUBSTITUTE(TRIM(Input!E913&amp;""),"%","")),0)&gt;0,IFERROR(VALUE(SUBSTITUTE(TRIM(Input!E913&amp;""),"%","")),0)&lt;1),1,100))</f>
        <v/>
      </c>
      <c r="E913" t="str">
        <f>IF(A913="","",IFERROR(VALUE(SUBSTITUTE(TRIM(Input!F913&amp;""),"%","")),0)/IF(AND(IFERROR(VALUE(SUBSTITUTE(TRIM(Input!F913&amp;""),"%","")),0)&gt;0,IFERROR(VALUE(SUBSTITUTE(TRIM(Input!F913&amp;""),"%","")),0)&lt;1),1,100))</f>
        <v/>
      </c>
      <c r="F913" t="str">
        <f>IF(A913="","",IFERROR(VALUE(SUBSTITUTE(TRIM(Input!G913&amp;""),"%","")),0)/IF(AND(IFERROR(VALUE(SUBSTITUTE(TRIM(Input!G913&amp;""),"%","")),0)&gt;0,IFERROR(VALUE(SUBSTITUTE(TRIM(Input!G913&amp;""),"%","")),0)&lt;1),1,100))</f>
        <v/>
      </c>
      <c r="G913" t="str">
        <f>IF(A913="","",IFERROR(VALUE(SUBSTITUTE(TRIM(Input!H913&amp;""),"%","")),0)/IF(AND(IFERROR(VALUE(SUBSTITUTE(TRIM(Input!H913&amp;""),"%","")),0)&gt;0,IFERROR(VALUE(SUBSTITUTE(TRIM(Input!H913&amp;""),"%","")),0)&lt;1),1,100))</f>
        <v/>
      </c>
      <c r="H913" t="str">
        <f>IF(A913="","",IFERROR(VALUE(SUBSTITUTE(TRIM(Input!I913&amp;""),"%","")),0)/IF(AND(IFERROR(VALUE(SUBSTITUTE(TRIM(Input!I913&amp;""),"%","")),0)&gt;0,IFERROR(VALUE(SUBSTITUTE(TRIM(Input!I913&amp;""),"%","")),0)&lt;1),1,100))</f>
        <v/>
      </c>
    </row>
    <row r="914" spans="1:8">
      <c r="A914" t="str">
        <f>IF(TRIM(Input!B914&amp;"")="","",UPPER(TRIM(Input!B914&amp;"")))</f>
        <v/>
      </c>
      <c r="B914" t="str">
        <f>IF(A914="","",IFERROR(VALUE(RIGHT(TRIM(Input!D914&amp;""),1)),0))</f>
        <v/>
      </c>
      <c r="C914" t="str">
        <f t="shared" si="14"/>
        <v/>
      </c>
      <c r="D914" t="str">
        <f>IF(A914="","",IFERROR(VALUE(SUBSTITUTE(TRIM(Input!E914&amp;""),"%","")),0)/IF(AND(IFERROR(VALUE(SUBSTITUTE(TRIM(Input!E914&amp;""),"%","")),0)&gt;0,IFERROR(VALUE(SUBSTITUTE(TRIM(Input!E914&amp;""),"%","")),0)&lt;1),1,100))</f>
        <v/>
      </c>
      <c r="E914" t="str">
        <f>IF(A914="","",IFERROR(VALUE(SUBSTITUTE(TRIM(Input!F914&amp;""),"%","")),0)/IF(AND(IFERROR(VALUE(SUBSTITUTE(TRIM(Input!F914&amp;""),"%","")),0)&gt;0,IFERROR(VALUE(SUBSTITUTE(TRIM(Input!F914&amp;""),"%","")),0)&lt;1),1,100))</f>
        <v/>
      </c>
      <c r="F914" t="str">
        <f>IF(A914="","",IFERROR(VALUE(SUBSTITUTE(TRIM(Input!G914&amp;""),"%","")),0)/IF(AND(IFERROR(VALUE(SUBSTITUTE(TRIM(Input!G914&amp;""),"%","")),0)&gt;0,IFERROR(VALUE(SUBSTITUTE(TRIM(Input!G914&amp;""),"%","")),0)&lt;1),1,100))</f>
        <v/>
      </c>
      <c r="G914" t="str">
        <f>IF(A914="","",IFERROR(VALUE(SUBSTITUTE(TRIM(Input!H914&amp;""),"%","")),0)/IF(AND(IFERROR(VALUE(SUBSTITUTE(TRIM(Input!H914&amp;""),"%","")),0)&gt;0,IFERROR(VALUE(SUBSTITUTE(TRIM(Input!H914&amp;""),"%","")),0)&lt;1),1,100))</f>
        <v/>
      </c>
      <c r="H914" t="str">
        <f>IF(A914="","",IFERROR(VALUE(SUBSTITUTE(TRIM(Input!I914&amp;""),"%","")),0)/IF(AND(IFERROR(VALUE(SUBSTITUTE(TRIM(Input!I914&amp;""),"%","")),0)&gt;0,IFERROR(VALUE(SUBSTITUTE(TRIM(Input!I914&amp;""),"%","")),0)&lt;1),1,100))</f>
        <v/>
      </c>
    </row>
    <row r="915" spans="1:8">
      <c r="A915" t="str">
        <f>IF(TRIM(Input!B915&amp;"")="","",UPPER(TRIM(Input!B915&amp;"")))</f>
        <v/>
      </c>
      <c r="B915" t="str">
        <f>IF(A915="","",IFERROR(VALUE(RIGHT(TRIM(Input!D915&amp;""),1)),0))</f>
        <v/>
      </c>
      <c r="C915" t="str">
        <f t="shared" si="14"/>
        <v/>
      </c>
      <c r="D915" t="str">
        <f>IF(A915="","",IFERROR(VALUE(SUBSTITUTE(TRIM(Input!E915&amp;""),"%","")),0)/IF(AND(IFERROR(VALUE(SUBSTITUTE(TRIM(Input!E915&amp;""),"%","")),0)&gt;0,IFERROR(VALUE(SUBSTITUTE(TRIM(Input!E915&amp;""),"%","")),0)&lt;1),1,100))</f>
        <v/>
      </c>
      <c r="E915" t="str">
        <f>IF(A915="","",IFERROR(VALUE(SUBSTITUTE(TRIM(Input!F915&amp;""),"%","")),0)/IF(AND(IFERROR(VALUE(SUBSTITUTE(TRIM(Input!F915&amp;""),"%","")),0)&gt;0,IFERROR(VALUE(SUBSTITUTE(TRIM(Input!F915&amp;""),"%","")),0)&lt;1),1,100))</f>
        <v/>
      </c>
      <c r="F915" t="str">
        <f>IF(A915="","",IFERROR(VALUE(SUBSTITUTE(TRIM(Input!G915&amp;""),"%","")),0)/IF(AND(IFERROR(VALUE(SUBSTITUTE(TRIM(Input!G915&amp;""),"%","")),0)&gt;0,IFERROR(VALUE(SUBSTITUTE(TRIM(Input!G915&amp;""),"%","")),0)&lt;1),1,100))</f>
        <v/>
      </c>
      <c r="G915" t="str">
        <f>IF(A915="","",IFERROR(VALUE(SUBSTITUTE(TRIM(Input!H915&amp;""),"%","")),0)/IF(AND(IFERROR(VALUE(SUBSTITUTE(TRIM(Input!H915&amp;""),"%","")),0)&gt;0,IFERROR(VALUE(SUBSTITUTE(TRIM(Input!H915&amp;""),"%","")),0)&lt;1),1,100))</f>
        <v/>
      </c>
      <c r="H915" t="str">
        <f>IF(A915="","",IFERROR(VALUE(SUBSTITUTE(TRIM(Input!I915&amp;""),"%","")),0)/IF(AND(IFERROR(VALUE(SUBSTITUTE(TRIM(Input!I915&amp;""),"%","")),0)&gt;0,IFERROR(VALUE(SUBSTITUTE(TRIM(Input!I915&amp;""),"%","")),0)&lt;1),1,100))</f>
        <v/>
      </c>
    </row>
    <row r="916" spans="1:8">
      <c r="A916" t="str">
        <f>IF(TRIM(Input!B916&amp;"")="","",UPPER(TRIM(Input!B916&amp;"")))</f>
        <v/>
      </c>
      <c r="B916" t="str">
        <f>IF(A916="","",IFERROR(VALUE(RIGHT(TRIM(Input!D916&amp;""),1)),0))</f>
        <v/>
      </c>
      <c r="C916" t="str">
        <f t="shared" si="14"/>
        <v/>
      </c>
      <c r="D916" t="str">
        <f>IF(A916="","",IFERROR(VALUE(SUBSTITUTE(TRIM(Input!E916&amp;""),"%","")),0)/IF(AND(IFERROR(VALUE(SUBSTITUTE(TRIM(Input!E916&amp;""),"%","")),0)&gt;0,IFERROR(VALUE(SUBSTITUTE(TRIM(Input!E916&amp;""),"%","")),0)&lt;1),1,100))</f>
        <v/>
      </c>
      <c r="E916" t="str">
        <f>IF(A916="","",IFERROR(VALUE(SUBSTITUTE(TRIM(Input!F916&amp;""),"%","")),0)/IF(AND(IFERROR(VALUE(SUBSTITUTE(TRIM(Input!F916&amp;""),"%","")),0)&gt;0,IFERROR(VALUE(SUBSTITUTE(TRIM(Input!F916&amp;""),"%","")),0)&lt;1),1,100))</f>
        <v/>
      </c>
      <c r="F916" t="str">
        <f>IF(A916="","",IFERROR(VALUE(SUBSTITUTE(TRIM(Input!G916&amp;""),"%","")),0)/IF(AND(IFERROR(VALUE(SUBSTITUTE(TRIM(Input!G916&amp;""),"%","")),0)&gt;0,IFERROR(VALUE(SUBSTITUTE(TRIM(Input!G916&amp;""),"%","")),0)&lt;1),1,100))</f>
        <v/>
      </c>
      <c r="G916" t="str">
        <f>IF(A916="","",IFERROR(VALUE(SUBSTITUTE(TRIM(Input!H916&amp;""),"%","")),0)/IF(AND(IFERROR(VALUE(SUBSTITUTE(TRIM(Input!H916&amp;""),"%","")),0)&gt;0,IFERROR(VALUE(SUBSTITUTE(TRIM(Input!H916&amp;""),"%","")),0)&lt;1),1,100))</f>
        <v/>
      </c>
      <c r="H916" t="str">
        <f>IF(A916="","",IFERROR(VALUE(SUBSTITUTE(TRIM(Input!I916&amp;""),"%","")),0)/IF(AND(IFERROR(VALUE(SUBSTITUTE(TRIM(Input!I916&amp;""),"%","")),0)&gt;0,IFERROR(VALUE(SUBSTITUTE(TRIM(Input!I916&amp;""),"%","")),0)&lt;1),1,100))</f>
        <v/>
      </c>
    </row>
    <row r="917" spans="1:8">
      <c r="A917" t="str">
        <f>IF(TRIM(Input!B917&amp;"")="","",UPPER(TRIM(Input!B917&amp;"")))</f>
        <v/>
      </c>
      <c r="B917" t="str">
        <f>IF(A917="","",IFERROR(VALUE(RIGHT(TRIM(Input!D917&amp;""),1)),0))</f>
        <v/>
      </c>
      <c r="C917" t="str">
        <f t="shared" si="14"/>
        <v/>
      </c>
      <c r="D917" t="str">
        <f>IF(A917="","",IFERROR(VALUE(SUBSTITUTE(TRIM(Input!E917&amp;""),"%","")),0)/IF(AND(IFERROR(VALUE(SUBSTITUTE(TRIM(Input!E917&amp;""),"%","")),0)&gt;0,IFERROR(VALUE(SUBSTITUTE(TRIM(Input!E917&amp;""),"%","")),0)&lt;1),1,100))</f>
        <v/>
      </c>
      <c r="E917" t="str">
        <f>IF(A917="","",IFERROR(VALUE(SUBSTITUTE(TRIM(Input!F917&amp;""),"%","")),0)/IF(AND(IFERROR(VALUE(SUBSTITUTE(TRIM(Input!F917&amp;""),"%","")),0)&gt;0,IFERROR(VALUE(SUBSTITUTE(TRIM(Input!F917&amp;""),"%","")),0)&lt;1),1,100))</f>
        <v/>
      </c>
      <c r="F917" t="str">
        <f>IF(A917="","",IFERROR(VALUE(SUBSTITUTE(TRIM(Input!G917&amp;""),"%","")),0)/IF(AND(IFERROR(VALUE(SUBSTITUTE(TRIM(Input!G917&amp;""),"%","")),0)&gt;0,IFERROR(VALUE(SUBSTITUTE(TRIM(Input!G917&amp;""),"%","")),0)&lt;1),1,100))</f>
        <v/>
      </c>
      <c r="G917" t="str">
        <f>IF(A917="","",IFERROR(VALUE(SUBSTITUTE(TRIM(Input!H917&amp;""),"%","")),0)/IF(AND(IFERROR(VALUE(SUBSTITUTE(TRIM(Input!H917&amp;""),"%","")),0)&gt;0,IFERROR(VALUE(SUBSTITUTE(TRIM(Input!H917&amp;""),"%","")),0)&lt;1),1,100))</f>
        <v/>
      </c>
      <c r="H917" t="str">
        <f>IF(A917="","",IFERROR(VALUE(SUBSTITUTE(TRIM(Input!I917&amp;""),"%","")),0)/IF(AND(IFERROR(VALUE(SUBSTITUTE(TRIM(Input!I917&amp;""),"%","")),0)&gt;0,IFERROR(VALUE(SUBSTITUTE(TRIM(Input!I917&amp;""),"%","")),0)&lt;1),1,100))</f>
        <v/>
      </c>
    </row>
    <row r="918" spans="1:8">
      <c r="A918" t="str">
        <f>IF(TRIM(Input!B918&amp;"")="","",UPPER(TRIM(Input!B918&amp;"")))</f>
        <v/>
      </c>
      <c r="B918" t="str">
        <f>IF(A918="","",IFERROR(VALUE(RIGHT(TRIM(Input!D918&amp;""),1)),0))</f>
        <v/>
      </c>
      <c r="C918" t="str">
        <f t="shared" si="14"/>
        <v/>
      </c>
      <c r="D918" t="str">
        <f>IF(A918="","",IFERROR(VALUE(SUBSTITUTE(TRIM(Input!E918&amp;""),"%","")),0)/IF(AND(IFERROR(VALUE(SUBSTITUTE(TRIM(Input!E918&amp;""),"%","")),0)&gt;0,IFERROR(VALUE(SUBSTITUTE(TRIM(Input!E918&amp;""),"%","")),0)&lt;1),1,100))</f>
        <v/>
      </c>
      <c r="E918" t="str">
        <f>IF(A918="","",IFERROR(VALUE(SUBSTITUTE(TRIM(Input!F918&amp;""),"%","")),0)/IF(AND(IFERROR(VALUE(SUBSTITUTE(TRIM(Input!F918&amp;""),"%","")),0)&gt;0,IFERROR(VALUE(SUBSTITUTE(TRIM(Input!F918&amp;""),"%","")),0)&lt;1),1,100))</f>
        <v/>
      </c>
      <c r="F918" t="str">
        <f>IF(A918="","",IFERROR(VALUE(SUBSTITUTE(TRIM(Input!G918&amp;""),"%","")),0)/IF(AND(IFERROR(VALUE(SUBSTITUTE(TRIM(Input!G918&amp;""),"%","")),0)&gt;0,IFERROR(VALUE(SUBSTITUTE(TRIM(Input!G918&amp;""),"%","")),0)&lt;1),1,100))</f>
        <v/>
      </c>
      <c r="G918" t="str">
        <f>IF(A918="","",IFERROR(VALUE(SUBSTITUTE(TRIM(Input!H918&amp;""),"%","")),0)/IF(AND(IFERROR(VALUE(SUBSTITUTE(TRIM(Input!H918&amp;""),"%","")),0)&gt;0,IFERROR(VALUE(SUBSTITUTE(TRIM(Input!H918&amp;""),"%","")),0)&lt;1),1,100))</f>
        <v/>
      </c>
      <c r="H918" t="str">
        <f>IF(A918="","",IFERROR(VALUE(SUBSTITUTE(TRIM(Input!I918&amp;""),"%","")),0)/IF(AND(IFERROR(VALUE(SUBSTITUTE(TRIM(Input!I918&amp;""),"%","")),0)&gt;0,IFERROR(VALUE(SUBSTITUTE(TRIM(Input!I918&amp;""),"%","")),0)&lt;1),1,100))</f>
        <v/>
      </c>
    </row>
    <row r="919" spans="1:8">
      <c r="A919" t="str">
        <f>IF(TRIM(Input!B919&amp;"")="","",UPPER(TRIM(Input!B919&amp;"")))</f>
        <v/>
      </c>
      <c r="B919" t="str">
        <f>IF(A919="","",IFERROR(VALUE(RIGHT(TRIM(Input!D919&amp;""),1)),0))</f>
        <v/>
      </c>
      <c r="C919" t="str">
        <f t="shared" si="14"/>
        <v/>
      </c>
      <c r="D919" t="str">
        <f>IF(A919="","",IFERROR(VALUE(SUBSTITUTE(TRIM(Input!E919&amp;""),"%","")),0)/IF(AND(IFERROR(VALUE(SUBSTITUTE(TRIM(Input!E919&amp;""),"%","")),0)&gt;0,IFERROR(VALUE(SUBSTITUTE(TRIM(Input!E919&amp;""),"%","")),0)&lt;1),1,100))</f>
        <v/>
      </c>
      <c r="E919" t="str">
        <f>IF(A919="","",IFERROR(VALUE(SUBSTITUTE(TRIM(Input!F919&amp;""),"%","")),0)/IF(AND(IFERROR(VALUE(SUBSTITUTE(TRIM(Input!F919&amp;""),"%","")),0)&gt;0,IFERROR(VALUE(SUBSTITUTE(TRIM(Input!F919&amp;""),"%","")),0)&lt;1),1,100))</f>
        <v/>
      </c>
      <c r="F919" t="str">
        <f>IF(A919="","",IFERROR(VALUE(SUBSTITUTE(TRIM(Input!G919&amp;""),"%","")),0)/IF(AND(IFERROR(VALUE(SUBSTITUTE(TRIM(Input!G919&amp;""),"%","")),0)&gt;0,IFERROR(VALUE(SUBSTITUTE(TRIM(Input!G919&amp;""),"%","")),0)&lt;1),1,100))</f>
        <v/>
      </c>
      <c r="G919" t="str">
        <f>IF(A919="","",IFERROR(VALUE(SUBSTITUTE(TRIM(Input!H919&amp;""),"%","")),0)/IF(AND(IFERROR(VALUE(SUBSTITUTE(TRIM(Input!H919&amp;""),"%","")),0)&gt;0,IFERROR(VALUE(SUBSTITUTE(TRIM(Input!H919&amp;""),"%","")),0)&lt;1),1,100))</f>
        <v/>
      </c>
      <c r="H919" t="str">
        <f>IF(A919="","",IFERROR(VALUE(SUBSTITUTE(TRIM(Input!I919&amp;""),"%","")),0)/IF(AND(IFERROR(VALUE(SUBSTITUTE(TRIM(Input!I919&amp;""),"%","")),0)&gt;0,IFERROR(VALUE(SUBSTITUTE(TRIM(Input!I919&amp;""),"%","")),0)&lt;1),1,100))</f>
        <v/>
      </c>
    </row>
    <row r="920" spans="1:8">
      <c r="A920" t="str">
        <f>IF(TRIM(Input!B920&amp;"")="","",UPPER(TRIM(Input!B920&amp;"")))</f>
        <v/>
      </c>
      <c r="B920" t="str">
        <f>IF(A920="","",IFERROR(VALUE(RIGHT(TRIM(Input!D920&amp;""),1)),0))</f>
        <v/>
      </c>
      <c r="C920" t="str">
        <f t="shared" si="14"/>
        <v/>
      </c>
      <c r="D920" t="str">
        <f>IF(A920="","",IFERROR(VALUE(SUBSTITUTE(TRIM(Input!E920&amp;""),"%","")),0)/IF(AND(IFERROR(VALUE(SUBSTITUTE(TRIM(Input!E920&amp;""),"%","")),0)&gt;0,IFERROR(VALUE(SUBSTITUTE(TRIM(Input!E920&amp;""),"%","")),0)&lt;1),1,100))</f>
        <v/>
      </c>
      <c r="E920" t="str">
        <f>IF(A920="","",IFERROR(VALUE(SUBSTITUTE(TRIM(Input!F920&amp;""),"%","")),0)/IF(AND(IFERROR(VALUE(SUBSTITUTE(TRIM(Input!F920&amp;""),"%","")),0)&gt;0,IFERROR(VALUE(SUBSTITUTE(TRIM(Input!F920&amp;""),"%","")),0)&lt;1),1,100))</f>
        <v/>
      </c>
      <c r="F920" t="str">
        <f>IF(A920="","",IFERROR(VALUE(SUBSTITUTE(TRIM(Input!G920&amp;""),"%","")),0)/IF(AND(IFERROR(VALUE(SUBSTITUTE(TRIM(Input!G920&amp;""),"%","")),0)&gt;0,IFERROR(VALUE(SUBSTITUTE(TRIM(Input!G920&amp;""),"%","")),0)&lt;1),1,100))</f>
        <v/>
      </c>
      <c r="G920" t="str">
        <f>IF(A920="","",IFERROR(VALUE(SUBSTITUTE(TRIM(Input!H920&amp;""),"%","")),0)/IF(AND(IFERROR(VALUE(SUBSTITUTE(TRIM(Input!H920&amp;""),"%","")),0)&gt;0,IFERROR(VALUE(SUBSTITUTE(TRIM(Input!H920&amp;""),"%","")),0)&lt;1),1,100))</f>
        <v/>
      </c>
      <c r="H920" t="str">
        <f>IF(A920="","",IFERROR(VALUE(SUBSTITUTE(TRIM(Input!I920&amp;""),"%","")),0)/IF(AND(IFERROR(VALUE(SUBSTITUTE(TRIM(Input!I920&amp;""),"%","")),0)&gt;0,IFERROR(VALUE(SUBSTITUTE(TRIM(Input!I920&amp;""),"%","")),0)&lt;1),1,100))</f>
        <v/>
      </c>
    </row>
    <row r="921" spans="1:8">
      <c r="A921" t="str">
        <f>IF(TRIM(Input!B921&amp;"")="","",UPPER(TRIM(Input!B921&amp;"")))</f>
        <v/>
      </c>
      <c r="B921" t="str">
        <f>IF(A921="","",IFERROR(VALUE(RIGHT(TRIM(Input!D921&amp;""),1)),0))</f>
        <v/>
      </c>
      <c r="C921" t="str">
        <f t="shared" si="14"/>
        <v/>
      </c>
      <c r="D921" t="str">
        <f>IF(A921="","",IFERROR(VALUE(SUBSTITUTE(TRIM(Input!E921&amp;""),"%","")),0)/IF(AND(IFERROR(VALUE(SUBSTITUTE(TRIM(Input!E921&amp;""),"%","")),0)&gt;0,IFERROR(VALUE(SUBSTITUTE(TRIM(Input!E921&amp;""),"%","")),0)&lt;1),1,100))</f>
        <v/>
      </c>
      <c r="E921" t="str">
        <f>IF(A921="","",IFERROR(VALUE(SUBSTITUTE(TRIM(Input!F921&amp;""),"%","")),0)/IF(AND(IFERROR(VALUE(SUBSTITUTE(TRIM(Input!F921&amp;""),"%","")),0)&gt;0,IFERROR(VALUE(SUBSTITUTE(TRIM(Input!F921&amp;""),"%","")),0)&lt;1),1,100))</f>
        <v/>
      </c>
      <c r="F921" t="str">
        <f>IF(A921="","",IFERROR(VALUE(SUBSTITUTE(TRIM(Input!G921&amp;""),"%","")),0)/IF(AND(IFERROR(VALUE(SUBSTITUTE(TRIM(Input!G921&amp;""),"%","")),0)&gt;0,IFERROR(VALUE(SUBSTITUTE(TRIM(Input!G921&amp;""),"%","")),0)&lt;1),1,100))</f>
        <v/>
      </c>
      <c r="G921" t="str">
        <f>IF(A921="","",IFERROR(VALUE(SUBSTITUTE(TRIM(Input!H921&amp;""),"%","")),0)/IF(AND(IFERROR(VALUE(SUBSTITUTE(TRIM(Input!H921&amp;""),"%","")),0)&gt;0,IFERROR(VALUE(SUBSTITUTE(TRIM(Input!H921&amp;""),"%","")),0)&lt;1),1,100))</f>
        <v/>
      </c>
      <c r="H921" t="str">
        <f>IF(A921="","",IFERROR(VALUE(SUBSTITUTE(TRIM(Input!I921&amp;""),"%","")),0)/IF(AND(IFERROR(VALUE(SUBSTITUTE(TRIM(Input!I921&amp;""),"%","")),0)&gt;0,IFERROR(VALUE(SUBSTITUTE(TRIM(Input!I921&amp;""),"%","")),0)&lt;1),1,100))</f>
        <v/>
      </c>
    </row>
    <row r="922" spans="1:8">
      <c r="A922" t="str">
        <f>IF(TRIM(Input!B922&amp;"")="","",UPPER(TRIM(Input!B922&amp;"")))</f>
        <v/>
      </c>
      <c r="B922" t="str">
        <f>IF(A922="","",IFERROR(VALUE(RIGHT(TRIM(Input!D922&amp;""),1)),0))</f>
        <v/>
      </c>
      <c r="C922" t="str">
        <f t="shared" si="14"/>
        <v/>
      </c>
      <c r="D922" t="str">
        <f>IF(A922="","",IFERROR(VALUE(SUBSTITUTE(TRIM(Input!E922&amp;""),"%","")),0)/IF(AND(IFERROR(VALUE(SUBSTITUTE(TRIM(Input!E922&amp;""),"%","")),0)&gt;0,IFERROR(VALUE(SUBSTITUTE(TRIM(Input!E922&amp;""),"%","")),0)&lt;1),1,100))</f>
        <v/>
      </c>
      <c r="E922" t="str">
        <f>IF(A922="","",IFERROR(VALUE(SUBSTITUTE(TRIM(Input!F922&amp;""),"%","")),0)/IF(AND(IFERROR(VALUE(SUBSTITUTE(TRIM(Input!F922&amp;""),"%","")),0)&gt;0,IFERROR(VALUE(SUBSTITUTE(TRIM(Input!F922&amp;""),"%","")),0)&lt;1),1,100))</f>
        <v/>
      </c>
      <c r="F922" t="str">
        <f>IF(A922="","",IFERROR(VALUE(SUBSTITUTE(TRIM(Input!G922&amp;""),"%","")),0)/IF(AND(IFERROR(VALUE(SUBSTITUTE(TRIM(Input!G922&amp;""),"%","")),0)&gt;0,IFERROR(VALUE(SUBSTITUTE(TRIM(Input!G922&amp;""),"%","")),0)&lt;1),1,100))</f>
        <v/>
      </c>
      <c r="G922" t="str">
        <f>IF(A922="","",IFERROR(VALUE(SUBSTITUTE(TRIM(Input!H922&amp;""),"%","")),0)/IF(AND(IFERROR(VALUE(SUBSTITUTE(TRIM(Input!H922&amp;""),"%","")),0)&gt;0,IFERROR(VALUE(SUBSTITUTE(TRIM(Input!H922&amp;""),"%","")),0)&lt;1),1,100))</f>
        <v/>
      </c>
      <c r="H922" t="str">
        <f>IF(A922="","",IFERROR(VALUE(SUBSTITUTE(TRIM(Input!I922&amp;""),"%","")),0)/IF(AND(IFERROR(VALUE(SUBSTITUTE(TRIM(Input!I922&amp;""),"%","")),0)&gt;0,IFERROR(VALUE(SUBSTITUTE(TRIM(Input!I922&amp;""),"%","")),0)&lt;1),1,100))</f>
        <v/>
      </c>
    </row>
    <row r="923" spans="1:8">
      <c r="A923" t="str">
        <f>IF(TRIM(Input!B923&amp;"")="","",UPPER(TRIM(Input!B923&amp;"")))</f>
        <v/>
      </c>
      <c r="B923" t="str">
        <f>IF(A923="","",IFERROR(VALUE(RIGHT(TRIM(Input!D923&amp;""),1)),0))</f>
        <v/>
      </c>
      <c r="C923" t="str">
        <f t="shared" si="14"/>
        <v/>
      </c>
      <c r="D923" t="str">
        <f>IF(A923="","",IFERROR(VALUE(SUBSTITUTE(TRIM(Input!E923&amp;""),"%","")),0)/IF(AND(IFERROR(VALUE(SUBSTITUTE(TRIM(Input!E923&amp;""),"%","")),0)&gt;0,IFERROR(VALUE(SUBSTITUTE(TRIM(Input!E923&amp;""),"%","")),0)&lt;1),1,100))</f>
        <v/>
      </c>
      <c r="E923" t="str">
        <f>IF(A923="","",IFERROR(VALUE(SUBSTITUTE(TRIM(Input!F923&amp;""),"%","")),0)/IF(AND(IFERROR(VALUE(SUBSTITUTE(TRIM(Input!F923&amp;""),"%","")),0)&gt;0,IFERROR(VALUE(SUBSTITUTE(TRIM(Input!F923&amp;""),"%","")),0)&lt;1),1,100))</f>
        <v/>
      </c>
      <c r="F923" t="str">
        <f>IF(A923="","",IFERROR(VALUE(SUBSTITUTE(TRIM(Input!G923&amp;""),"%","")),0)/IF(AND(IFERROR(VALUE(SUBSTITUTE(TRIM(Input!G923&amp;""),"%","")),0)&gt;0,IFERROR(VALUE(SUBSTITUTE(TRIM(Input!G923&amp;""),"%","")),0)&lt;1),1,100))</f>
        <v/>
      </c>
      <c r="G923" t="str">
        <f>IF(A923="","",IFERROR(VALUE(SUBSTITUTE(TRIM(Input!H923&amp;""),"%","")),0)/IF(AND(IFERROR(VALUE(SUBSTITUTE(TRIM(Input!H923&amp;""),"%","")),0)&gt;0,IFERROR(VALUE(SUBSTITUTE(TRIM(Input!H923&amp;""),"%","")),0)&lt;1),1,100))</f>
        <v/>
      </c>
      <c r="H923" t="str">
        <f>IF(A923="","",IFERROR(VALUE(SUBSTITUTE(TRIM(Input!I923&amp;""),"%","")),0)/IF(AND(IFERROR(VALUE(SUBSTITUTE(TRIM(Input!I923&amp;""),"%","")),0)&gt;0,IFERROR(VALUE(SUBSTITUTE(TRIM(Input!I923&amp;""),"%","")),0)&lt;1),1,100))</f>
        <v/>
      </c>
    </row>
    <row r="924" spans="1:8">
      <c r="A924" t="str">
        <f>IF(TRIM(Input!B924&amp;"")="","",UPPER(TRIM(Input!B924&amp;"")))</f>
        <v/>
      </c>
      <c r="B924" t="str">
        <f>IF(A924="","",IFERROR(VALUE(RIGHT(TRIM(Input!D924&amp;""),1)),0))</f>
        <v/>
      </c>
      <c r="C924" t="str">
        <f t="shared" si="14"/>
        <v/>
      </c>
      <c r="D924" t="str">
        <f>IF(A924="","",IFERROR(VALUE(SUBSTITUTE(TRIM(Input!E924&amp;""),"%","")),0)/IF(AND(IFERROR(VALUE(SUBSTITUTE(TRIM(Input!E924&amp;""),"%","")),0)&gt;0,IFERROR(VALUE(SUBSTITUTE(TRIM(Input!E924&amp;""),"%","")),0)&lt;1),1,100))</f>
        <v/>
      </c>
      <c r="E924" t="str">
        <f>IF(A924="","",IFERROR(VALUE(SUBSTITUTE(TRIM(Input!F924&amp;""),"%","")),0)/IF(AND(IFERROR(VALUE(SUBSTITUTE(TRIM(Input!F924&amp;""),"%","")),0)&gt;0,IFERROR(VALUE(SUBSTITUTE(TRIM(Input!F924&amp;""),"%","")),0)&lt;1),1,100))</f>
        <v/>
      </c>
      <c r="F924" t="str">
        <f>IF(A924="","",IFERROR(VALUE(SUBSTITUTE(TRIM(Input!G924&amp;""),"%","")),0)/IF(AND(IFERROR(VALUE(SUBSTITUTE(TRIM(Input!G924&amp;""),"%","")),0)&gt;0,IFERROR(VALUE(SUBSTITUTE(TRIM(Input!G924&amp;""),"%","")),0)&lt;1),1,100))</f>
        <v/>
      </c>
      <c r="G924" t="str">
        <f>IF(A924="","",IFERROR(VALUE(SUBSTITUTE(TRIM(Input!H924&amp;""),"%","")),0)/IF(AND(IFERROR(VALUE(SUBSTITUTE(TRIM(Input!H924&amp;""),"%","")),0)&gt;0,IFERROR(VALUE(SUBSTITUTE(TRIM(Input!H924&amp;""),"%","")),0)&lt;1),1,100))</f>
        <v/>
      </c>
      <c r="H924" t="str">
        <f>IF(A924="","",IFERROR(VALUE(SUBSTITUTE(TRIM(Input!I924&amp;""),"%","")),0)/IF(AND(IFERROR(VALUE(SUBSTITUTE(TRIM(Input!I924&amp;""),"%","")),0)&gt;0,IFERROR(VALUE(SUBSTITUTE(TRIM(Input!I924&amp;""),"%","")),0)&lt;1),1,100))</f>
        <v/>
      </c>
    </row>
    <row r="925" spans="1:8">
      <c r="A925" t="str">
        <f>IF(TRIM(Input!B925&amp;"")="","",UPPER(TRIM(Input!B925&amp;"")))</f>
        <v/>
      </c>
      <c r="B925" t="str">
        <f>IF(A925="","",IFERROR(VALUE(RIGHT(TRIM(Input!D925&amp;""),1)),0))</f>
        <v/>
      </c>
      <c r="C925" t="str">
        <f t="shared" si="14"/>
        <v/>
      </c>
      <c r="D925" t="str">
        <f>IF(A925="","",IFERROR(VALUE(SUBSTITUTE(TRIM(Input!E925&amp;""),"%","")),0)/IF(AND(IFERROR(VALUE(SUBSTITUTE(TRIM(Input!E925&amp;""),"%","")),0)&gt;0,IFERROR(VALUE(SUBSTITUTE(TRIM(Input!E925&amp;""),"%","")),0)&lt;1),1,100))</f>
        <v/>
      </c>
      <c r="E925" t="str">
        <f>IF(A925="","",IFERROR(VALUE(SUBSTITUTE(TRIM(Input!F925&amp;""),"%","")),0)/IF(AND(IFERROR(VALUE(SUBSTITUTE(TRIM(Input!F925&amp;""),"%","")),0)&gt;0,IFERROR(VALUE(SUBSTITUTE(TRIM(Input!F925&amp;""),"%","")),0)&lt;1),1,100))</f>
        <v/>
      </c>
      <c r="F925" t="str">
        <f>IF(A925="","",IFERROR(VALUE(SUBSTITUTE(TRIM(Input!G925&amp;""),"%","")),0)/IF(AND(IFERROR(VALUE(SUBSTITUTE(TRIM(Input!G925&amp;""),"%","")),0)&gt;0,IFERROR(VALUE(SUBSTITUTE(TRIM(Input!G925&amp;""),"%","")),0)&lt;1),1,100))</f>
        <v/>
      </c>
      <c r="G925" t="str">
        <f>IF(A925="","",IFERROR(VALUE(SUBSTITUTE(TRIM(Input!H925&amp;""),"%","")),0)/IF(AND(IFERROR(VALUE(SUBSTITUTE(TRIM(Input!H925&amp;""),"%","")),0)&gt;0,IFERROR(VALUE(SUBSTITUTE(TRIM(Input!H925&amp;""),"%","")),0)&lt;1),1,100))</f>
        <v/>
      </c>
      <c r="H925" t="str">
        <f>IF(A925="","",IFERROR(VALUE(SUBSTITUTE(TRIM(Input!I925&amp;""),"%","")),0)/IF(AND(IFERROR(VALUE(SUBSTITUTE(TRIM(Input!I925&amp;""),"%","")),0)&gt;0,IFERROR(VALUE(SUBSTITUTE(TRIM(Input!I925&amp;""),"%","")),0)&lt;1),1,100))</f>
        <v/>
      </c>
    </row>
    <row r="926" spans="1:8">
      <c r="A926" t="str">
        <f>IF(TRIM(Input!B926&amp;"")="","",UPPER(TRIM(Input!B926&amp;"")))</f>
        <v/>
      </c>
      <c r="B926" t="str">
        <f>IF(A926="","",IFERROR(VALUE(RIGHT(TRIM(Input!D926&amp;""),1)),0))</f>
        <v/>
      </c>
      <c r="C926" t="str">
        <f t="shared" si="14"/>
        <v/>
      </c>
      <c r="D926" t="str">
        <f>IF(A926="","",IFERROR(VALUE(SUBSTITUTE(TRIM(Input!E926&amp;""),"%","")),0)/IF(AND(IFERROR(VALUE(SUBSTITUTE(TRIM(Input!E926&amp;""),"%","")),0)&gt;0,IFERROR(VALUE(SUBSTITUTE(TRIM(Input!E926&amp;""),"%","")),0)&lt;1),1,100))</f>
        <v/>
      </c>
      <c r="E926" t="str">
        <f>IF(A926="","",IFERROR(VALUE(SUBSTITUTE(TRIM(Input!F926&amp;""),"%","")),0)/IF(AND(IFERROR(VALUE(SUBSTITUTE(TRIM(Input!F926&amp;""),"%","")),0)&gt;0,IFERROR(VALUE(SUBSTITUTE(TRIM(Input!F926&amp;""),"%","")),0)&lt;1),1,100))</f>
        <v/>
      </c>
      <c r="F926" t="str">
        <f>IF(A926="","",IFERROR(VALUE(SUBSTITUTE(TRIM(Input!G926&amp;""),"%","")),0)/IF(AND(IFERROR(VALUE(SUBSTITUTE(TRIM(Input!G926&amp;""),"%","")),0)&gt;0,IFERROR(VALUE(SUBSTITUTE(TRIM(Input!G926&amp;""),"%","")),0)&lt;1),1,100))</f>
        <v/>
      </c>
      <c r="G926" t="str">
        <f>IF(A926="","",IFERROR(VALUE(SUBSTITUTE(TRIM(Input!H926&amp;""),"%","")),0)/IF(AND(IFERROR(VALUE(SUBSTITUTE(TRIM(Input!H926&amp;""),"%","")),0)&gt;0,IFERROR(VALUE(SUBSTITUTE(TRIM(Input!H926&amp;""),"%","")),0)&lt;1),1,100))</f>
        <v/>
      </c>
      <c r="H926" t="str">
        <f>IF(A926="","",IFERROR(VALUE(SUBSTITUTE(TRIM(Input!I926&amp;""),"%","")),0)/IF(AND(IFERROR(VALUE(SUBSTITUTE(TRIM(Input!I926&amp;""),"%","")),0)&gt;0,IFERROR(VALUE(SUBSTITUTE(TRIM(Input!I926&amp;""),"%","")),0)&lt;1),1,100))</f>
        <v/>
      </c>
    </row>
    <row r="927" spans="1:8">
      <c r="A927" t="str">
        <f>IF(TRIM(Input!B927&amp;"")="","",UPPER(TRIM(Input!B927&amp;"")))</f>
        <v/>
      </c>
      <c r="B927" t="str">
        <f>IF(A927="","",IFERROR(VALUE(RIGHT(TRIM(Input!D927&amp;""),1)),0))</f>
        <v/>
      </c>
      <c r="C927" t="str">
        <f t="shared" si="14"/>
        <v/>
      </c>
      <c r="D927" t="str">
        <f>IF(A927="","",IFERROR(VALUE(SUBSTITUTE(TRIM(Input!E927&amp;""),"%","")),0)/IF(AND(IFERROR(VALUE(SUBSTITUTE(TRIM(Input!E927&amp;""),"%","")),0)&gt;0,IFERROR(VALUE(SUBSTITUTE(TRIM(Input!E927&amp;""),"%","")),0)&lt;1),1,100))</f>
        <v/>
      </c>
      <c r="E927" t="str">
        <f>IF(A927="","",IFERROR(VALUE(SUBSTITUTE(TRIM(Input!F927&amp;""),"%","")),0)/IF(AND(IFERROR(VALUE(SUBSTITUTE(TRIM(Input!F927&amp;""),"%","")),0)&gt;0,IFERROR(VALUE(SUBSTITUTE(TRIM(Input!F927&amp;""),"%","")),0)&lt;1),1,100))</f>
        <v/>
      </c>
      <c r="F927" t="str">
        <f>IF(A927="","",IFERROR(VALUE(SUBSTITUTE(TRIM(Input!G927&amp;""),"%","")),0)/IF(AND(IFERROR(VALUE(SUBSTITUTE(TRIM(Input!G927&amp;""),"%","")),0)&gt;0,IFERROR(VALUE(SUBSTITUTE(TRIM(Input!G927&amp;""),"%","")),0)&lt;1),1,100))</f>
        <v/>
      </c>
      <c r="G927" t="str">
        <f>IF(A927="","",IFERROR(VALUE(SUBSTITUTE(TRIM(Input!H927&amp;""),"%","")),0)/IF(AND(IFERROR(VALUE(SUBSTITUTE(TRIM(Input!H927&amp;""),"%","")),0)&gt;0,IFERROR(VALUE(SUBSTITUTE(TRIM(Input!H927&amp;""),"%","")),0)&lt;1),1,100))</f>
        <v/>
      </c>
      <c r="H927" t="str">
        <f>IF(A927="","",IFERROR(VALUE(SUBSTITUTE(TRIM(Input!I927&amp;""),"%","")),0)/IF(AND(IFERROR(VALUE(SUBSTITUTE(TRIM(Input!I927&amp;""),"%","")),0)&gt;0,IFERROR(VALUE(SUBSTITUTE(TRIM(Input!I927&amp;""),"%","")),0)&lt;1),1,100))</f>
        <v/>
      </c>
    </row>
    <row r="928" spans="1:8">
      <c r="A928" t="str">
        <f>IF(TRIM(Input!B928&amp;"")="","",UPPER(TRIM(Input!B928&amp;"")))</f>
        <v/>
      </c>
      <c r="B928" t="str">
        <f>IF(A928="","",IFERROR(VALUE(RIGHT(TRIM(Input!D928&amp;""),1)),0))</f>
        <v/>
      </c>
      <c r="C928" t="str">
        <f t="shared" si="14"/>
        <v/>
      </c>
      <c r="D928" t="str">
        <f>IF(A928="","",IFERROR(VALUE(SUBSTITUTE(TRIM(Input!E928&amp;""),"%","")),0)/IF(AND(IFERROR(VALUE(SUBSTITUTE(TRIM(Input!E928&amp;""),"%","")),0)&gt;0,IFERROR(VALUE(SUBSTITUTE(TRIM(Input!E928&amp;""),"%","")),0)&lt;1),1,100))</f>
        <v/>
      </c>
      <c r="E928" t="str">
        <f>IF(A928="","",IFERROR(VALUE(SUBSTITUTE(TRIM(Input!F928&amp;""),"%","")),0)/IF(AND(IFERROR(VALUE(SUBSTITUTE(TRIM(Input!F928&amp;""),"%","")),0)&gt;0,IFERROR(VALUE(SUBSTITUTE(TRIM(Input!F928&amp;""),"%","")),0)&lt;1),1,100))</f>
        <v/>
      </c>
      <c r="F928" t="str">
        <f>IF(A928="","",IFERROR(VALUE(SUBSTITUTE(TRIM(Input!G928&amp;""),"%","")),0)/IF(AND(IFERROR(VALUE(SUBSTITUTE(TRIM(Input!G928&amp;""),"%","")),0)&gt;0,IFERROR(VALUE(SUBSTITUTE(TRIM(Input!G928&amp;""),"%","")),0)&lt;1),1,100))</f>
        <v/>
      </c>
      <c r="G928" t="str">
        <f>IF(A928="","",IFERROR(VALUE(SUBSTITUTE(TRIM(Input!H928&amp;""),"%","")),0)/IF(AND(IFERROR(VALUE(SUBSTITUTE(TRIM(Input!H928&amp;""),"%","")),0)&gt;0,IFERROR(VALUE(SUBSTITUTE(TRIM(Input!H928&amp;""),"%","")),0)&lt;1),1,100))</f>
        <v/>
      </c>
      <c r="H928" t="str">
        <f>IF(A928="","",IFERROR(VALUE(SUBSTITUTE(TRIM(Input!I928&amp;""),"%","")),0)/IF(AND(IFERROR(VALUE(SUBSTITUTE(TRIM(Input!I928&amp;""),"%","")),0)&gt;0,IFERROR(VALUE(SUBSTITUTE(TRIM(Input!I928&amp;""),"%","")),0)&lt;1),1,100))</f>
        <v/>
      </c>
    </row>
    <row r="929" spans="1:8">
      <c r="A929" t="str">
        <f>IF(TRIM(Input!B929&amp;"")="","",UPPER(TRIM(Input!B929&amp;"")))</f>
        <v/>
      </c>
      <c r="B929" t="str">
        <f>IF(A929="","",IFERROR(VALUE(RIGHT(TRIM(Input!D929&amp;""),1)),0))</f>
        <v/>
      </c>
      <c r="C929" t="str">
        <f t="shared" si="14"/>
        <v/>
      </c>
      <c r="D929" t="str">
        <f>IF(A929="","",IFERROR(VALUE(SUBSTITUTE(TRIM(Input!E929&amp;""),"%","")),0)/IF(AND(IFERROR(VALUE(SUBSTITUTE(TRIM(Input!E929&amp;""),"%","")),0)&gt;0,IFERROR(VALUE(SUBSTITUTE(TRIM(Input!E929&amp;""),"%","")),0)&lt;1),1,100))</f>
        <v/>
      </c>
      <c r="E929" t="str">
        <f>IF(A929="","",IFERROR(VALUE(SUBSTITUTE(TRIM(Input!F929&amp;""),"%","")),0)/IF(AND(IFERROR(VALUE(SUBSTITUTE(TRIM(Input!F929&amp;""),"%","")),0)&gt;0,IFERROR(VALUE(SUBSTITUTE(TRIM(Input!F929&amp;""),"%","")),0)&lt;1),1,100))</f>
        <v/>
      </c>
      <c r="F929" t="str">
        <f>IF(A929="","",IFERROR(VALUE(SUBSTITUTE(TRIM(Input!G929&amp;""),"%","")),0)/IF(AND(IFERROR(VALUE(SUBSTITUTE(TRIM(Input!G929&amp;""),"%","")),0)&gt;0,IFERROR(VALUE(SUBSTITUTE(TRIM(Input!G929&amp;""),"%","")),0)&lt;1),1,100))</f>
        <v/>
      </c>
      <c r="G929" t="str">
        <f>IF(A929="","",IFERROR(VALUE(SUBSTITUTE(TRIM(Input!H929&amp;""),"%","")),0)/IF(AND(IFERROR(VALUE(SUBSTITUTE(TRIM(Input!H929&amp;""),"%","")),0)&gt;0,IFERROR(VALUE(SUBSTITUTE(TRIM(Input!H929&amp;""),"%","")),0)&lt;1),1,100))</f>
        <v/>
      </c>
      <c r="H929" t="str">
        <f>IF(A929="","",IFERROR(VALUE(SUBSTITUTE(TRIM(Input!I929&amp;""),"%","")),0)/IF(AND(IFERROR(VALUE(SUBSTITUTE(TRIM(Input!I929&amp;""),"%","")),0)&gt;0,IFERROR(VALUE(SUBSTITUTE(TRIM(Input!I929&amp;""),"%","")),0)&lt;1),1,100))</f>
        <v/>
      </c>
    </row>
    <row r="930" spans="1:8">
      <c r="A930" t="str">
        <f>IF(TRIM(Input!B930&amp;"")="","",UPPER(TRIM(Input!B930&amp;"")))</f>
        <v/>
      </c>
      <c r="B930" t="str">
        <f>IF(A930="","",IFERROR(VALUE(RIGHT(TRIM(Input!D930&amp;""),1)),0))</f>
        <v/>
      </c>
      <c r="C930" t="str">
        <f t="shared" si="14"/>
        <v/>
      </c>
      <c r="D930" t="str">
        <f>IF(A930="","",IFERROR(VALUE(SUBSTITUTE(TRIM(Input!E930&amp;""),"%","")),0)/IF(AND(IFERROR(VALUE(SUBSTITUTE(TRIM(Input!E930&amp;""),"%","")),0)&gt;0,IFERROR(VALUE(SUBSTITUTE(TRIM(Input!E930&amp;""),"%","")),0)&lt;1),1,100))</f>
        <v/>
      </c>
      <c r="E930" t="str">
        <f>IF(A930="","",IFERROR(VALUE(SUBSTITUTE(TRIM(Input!F930&amp;""),"%","")),0)/IF(AND(IFERROR(VALUE(SUBSTITUTE(TRIM(Input!F930&amp;""),"%","")),0)&gt;0,IFERROR(VALUE(SUBSTITUTE(TRIM(Input!F930&amp;""),"%","")),0)&lt;1),1,100))</f>
        <v/>
      </c>
      <c r="F930" t="str">
        <f>IF(A930="","",IFERROR(VALUE(SUBSTITUTE(TRIM(Input!G930&amp;""),"%","")),0)/IF(AND(IFERROR(VALUE(SUBSTITUTE(TRIM(Input!G930&amp;""),"%","")),0)&gt;0,IFERROR(VALUE(SUBSTITUTE(TRIM(Input!G930&amp;""),"%","")),0)&lt;1),1,100))</f>
        <v/>
      </c>
      <c r="G930" t="str">
        <f>IF(A930="","",IFERROR(VALUE(SUBSTITUTE(TRIM(Input!H930&amp;""),"%","")),0)/IF(AND(IFERROR(VALUE(SUBSTITUTE(TRIM(Input!H930&amp;""),"%","")),0)&gt;0,IFERROR(VALUE(SUBSTITUTE(TRIM(Input!H930&amp;""),"%","")),0)&lt;1),1,100))</f>
        <v/>
      </c>
      <c r="H930" t="str">
        <f>IF(A930="","",IFERROR(VALUE(SUBSTITUTE(TRIM(Input!I930&amp;""),"%","")),0)/IF(AND(IFERROR(VALUE(SUBSTITUTE(TRIM(Input!I930&amp;""),"%","")),0)&gt;0,IFERROR(VALUE(SUBSTITUTE(TRIM(Input!I930&amp;""),"%","")),0)&lt;1),1,100))</f>
        <v/>
      </c>
    </row>
    <row r="931" spans="1:8">
      <c r="A931" t="str">
        <f>IF(TRIM(Input!B931&amp;"")="","",UPPER(TRIM(Input!B931&amp;"")))</f>
        <v/>
      </c>
      <c r="B931" t="str">
        <f>IF(A931="","",IFERROR(VALUE(RIGHT(TRIM(Input!D931&amp;""),1)),0))</f>
        <v/>
      </c>
      <c r="C931" t="str">
        <f t="shared" si="14"/>
        <v/>
      </c>
      <c r="D931" t="str">
        <f>IF(A931="","",IFERROR(VALUE(SUBSTITUTE(TRIM(Input!E931&amp;""),"%","")),0)/IF(AND(IFERROR(VALUE(SUBSTITUTE(TRIM(Input!E931&amp;""),"%","")),0)&gt;0,IFERROR(VALUE(SUBSTITUTE(TRIM(Input!E931&amp;""),"%","")),0)&lt;1),1,100))</f>
        <v/>
      </c>
      <c r="E931" t="str">
        <f>IF(A931="","",IFERROR(VALUE(SUBSTITUTE(TRIM(Input!F931&amp;""),"%","")),0)/IF(AND(IFERROR(VALUE(SUBSTITUTE(TRIM(Input!F931&amp;""),"%","")),0)&gt;0,IFERROR(VALUE(SUBSTITUTE(TRIM(Input!F931&amp;""),"%","")),0)&lt;1),1,100))</f>
        <v/>
      </c>
      <c r="F931" t="str">
        <f>IF(A931="","",IFERROR(VALUE(SUBSTITUTE(TRIM(Input!G931&amp;""),"%","")),0)/IF(AND(IFERROR(VALUE(SUBSTITUTE(TRIM(Input!G931&amp;""),"%","")),0)&gt;0,IFERROR(VALUE(SUBSTITUTE(TRIM(Input!G931&amp;""),"%","")),0)&lt;1),1,100))</f>
        <v/>
      </c>
      <c r="G931" t="str">
        <f>IF(A931="","",IFERROR(VALUE(SUBSTITUTE(TRIM(Input!H931&amp;""),"%","")),0)/IF(AND(IFERROR(VALUE(SUBSTITUTE(TRIM(Input!H931&amp;""),"%","")),0)&gt;0,IFERROR(VALUE(SUBSTITUTE(TRIM(Input!H931&amp;""),"%","")),0)&lt;1),1,100))</f>
        <v/>
      </c>
      <c r="H931" t="str">
        <f>IF(A931="","",IFERROR(VALUE(SUBSTITUTE(TRIM(Input!I931&amp;""),"%","")),0)/IF(AND(IFERROR(VALUE(SUBSTITUTE(TRIM(Input!I931&amp;""),"%","")),0)&gt;0,IFERROR(VALUE(SUBSTITUTE(TRIM(Input!I931&amp;""),"%","")),0)&lt;1),1,100))</f>
        <v/>
      </c>
    </row>
    <row r="932" spans="1:8">
      <c r="A932" t="str">
        <f>IF(TRIM(Input!B932&amp;"")="","",UPPER(TRIM(Input!B932&amp;"")))</f>
        <v/>
      </c>
      <c r="B932" t="str">
        <f>IF(A932="","",IFERROR(VALUE(RIGHT(TRIM(Input!D932&amp;""),1)),0))</f>
        <v/>
      </c>
      <c r="C932" t="str">
        <f t="shared" si="14"/>
        <v/>
      </c>
      <c r="D932" t="str">
        <f>IF(A932="","",IFERROR(VALUE(SUBSTITUTE(TRIM(Input!E932&amp;""),"%","")),0)/IF(AND(IFERROR(VALUE(SUBSTITUTE(TRIM(Input!E932&amp;""),"%","")),0)&gt;0,IFERROR(VALUE(SUBSTITUTE(TRIM(Input!E932&amp;""),"%","")),0)&lt;1),1,100))</f>
        <v/>
      </c>
      <c r="E932" t="str">
        <f>IF(A932="","",IFERROR(VALUE(SUBSTITUTE(TRIM(Input!F932&amp;""),"%","")),0)/IF(AND(IFERROR(VALUE(SUBSTITUTE(TRIM(Input!F932&amp;""),"%","")),0)&gt;0,IFERROR(VALUE(SUBSTITUTE(TRIM(Input!F932&amp;""),"%","")),0)&lt;1),1,100))</f>
        <v/>
      </c>
      <c r="F932" t="str">
        <f>IF(A932="","",IFERROR(VALUE(SUBSTITUTE(TRIM(Input!G932&amp;""),"%","")),0)/IF(AND(IFERROR(VALUE(SUBSTITUTE(TRIM(Input!G932&amp;""),"%","")),0)&gt;0,IFERROR(VALUE(SUBSTITUTE(TRIM(Input!G932&amp;""),"%","")),0)&lt;1),1,100))</f>
        <v/>
      </c>
      <c r="G932" t="str">
        <f>IF(A932="","",IFERROR(VALUE(SUBSTITUTE(TRIM(Input!H932&amp;""),"%","")),0)/IF(AND(IFERROR(VALUE(SUBSTITUTE(TRIM(Input!H932&amp;""),"%","")),0)&gt;0,IFERROR(VALUE(SUBSTITUTE(TRIM(Input!H932&amp;""),"%","")),0)&lt;1),1,100))</f>
        <v/>
      </c>
      <c r="H932" t="str">
        <f>IF(A932="","",IFERROR(VALUE(SUBSTITUTE(TRIM(Input!I932&amp;""),"%","")),0)/IF(AND(IFERROR(VALUE(SUBSTITUTE(TRIM(Input!I932&amp;""),"%","")),0)&gt;0,IFERROR(VALUE(SUBSTITUTE(TRIM(Input!I932&amp;""),"%","")),0)&lt;1),1,100))</f>
        <v/>
      </c>
    </row>
    <row r="933" spans="1:8">
      <c r="A933" t="str">
        <f>IF(TRIM(Input!B933&amp;"")="","",UPPER(TRIM(Input!B933&amp;"")))</f>
        <v/>
      </c>
      <c r="B933" t="str">
        <f>IF(A933="","",IFERROR(VALUE(RIGHT(TRIM(Input!D933&amp;""),1)),0))</f>
        <v/>
      </c>
      <c r="C933" t="str">
        <f t="shared" si="14"/>
        <v/>
      </c>
      <c r="D933" t="str">
        <f>IF(A933="","",IFERROR(VALUE(SUBSTITUTE(TRIM(Input!E933&amp;""),"%","")),0)/IF(AND(IFERROR(VALUE(SUBSTITUTE(TRIM(Input!E933&amp;""),"%","")),0)&gt;0,IFERROR(VALUE(SUBSTITUTE(TRIM(Input!E933&amp;""),"%","")),0)&lt;1),1,100))</f>
        <v/>
      </c>
      <c r="E933" t="str">
        <f>IF(A933="","",IFERROR(VALUE(SUBSTITUTE(TRIM(Input!F933&amp;""),"%","")),0)/IF(AND(IFERROR(VALUE(SUBSTITUTE(TRIM(Input!F933&amp;""),"%","")),0)&gt;0,IFERROR(VALUE(SUBSTITUTE(TRIM(Input!F933&amp;""),"%","")),0)&lt;1),1,100))</f>
        <v/>
      </c>
      <c r="F933" t="str">
        <f>IF(A933="","",IFERROR(VALUE(SUBSTITUTE(TRIM(Input!G933&amp;""),"%","")),0)/IF(AND(IFERROR(VALUE(SUBSTITUTE(TRIM(Input!G933&amp;""),"%","")),0)&gt;0,IFERROR(VALUE(SUBSTITUTE(TRIM(Input!G933&amp;""),"%","")),0)&lt;1),1,100))</f>
        <v/>
      </c>
      <c r="G933" t="str">
        <f>IF(A933="","",IFERROR(VALUE(SUBSTITUTE(TRIM(Input!H933&amp;""),"%","")),0)/IF(AND(IFERROR(VALUE(SUBSTITUTE(TRIM(Input!H933&amp;""),"%","")),0)&gt;0,IFERROR(VALUE(SUBSTITUTE(TRIM(Input!H933&amp;""),"%","")),0)&lt;1),1,100))</f>
        <v/>
      </c>
      <c r="H933" t="str">
        <f>IF(A933="","",IFERROR(VALUE(SUBSTITUTE(TRIM(Input!I933&amp;""),"%","")),0)/IF(AND(IFERROR(VALUE(SUBSTITUTE(TRIM(Input!I933&amp;""),"%","")),0)&gt;0,IFERROR(VALUE(SUBSTITUTE(TRIM(Input!I933&amp;""),"%","")),0)&lt;1),1,100))</f>
        <v/>
      </c>
    </row>
    <row r="934" spans="1:8">
      <c r="A934" t="str">
        <f>IF(TRIM(Input!B934&amp;"")="","",UPPER(TRIM(Input!B934&amp;"")))</f>
        <v/>
      </c>
      <c r="B934" t="str">
        <f>IF(A934="","",IFERROR(VALUE(RIGHT(TRIM(Input!D934&amp;""),1)),0))</f>
        <v/>
      </c>
      <c r="C934" t="str">
        <f t="shared" si="14"/>
        <v/>
      </c>
      <c r="D934" t="str">
        <f>IF(A934="","",IFERROR(VALUE(SUBSTITUTE(TRIM(Input!E934&amp;""),"%","")),0)/IF(AND(IFERROR(VALUE(SUBSTITUTE(TRIM(Input!E934&amp;""),"%","")),0)&gt;0,IFERROR(VALUE(SUBSTITUTE(TRIM(Input!E934&amp;""),"%","")),0)&lt;1),1,100))</f>
        <v/>
      </c>
      <c r="E934" t="str">
        <f>IF(A934="","",IFERROR(VALUE(SUBSTITUTE(TRIM(Input!F934&amp;""),"%","")),0)/IF(AND(IFERROR(VALUE(SUBSTITUTE(TRIM(Input!F934&amp;""),"%","")),0)&gt;0,IFERROR(VALUE(SUBSTITUTE(TRIM(Input!F934&amp;""),"%","")),0)&lt;1),1,100))</f>
        <v/>
      </c>
      <c r="F934" t="str">
        <f>IF(A934="","",IFERROR(VALUE(SUBSTITUTE(TRIM(Input!G934&amp;""),"%","")),0)/IF(AND(IFERROR(VALUE(SUBSTITUTE(TRIM(Input!G934&amp;""),"%","")),0)&gt;0,IFERROR(VALUE(SUBSTITUTE(TRIM(Input!G934&amp;""),"%","")),0)&lt;1),1,100))</f>
        <v/>
      </c>
      <c r="G934" t="str">
        <f>IF(A934="","",IFERROR(VALUE(SUBSTITUTE(TRIM(Input!H934&amp;""),"%","")),0)/IF(AND(IFERROR(VALUE(SUBSTITUTE(TRIM(Input!H934&amp;""),"%","")),0)&gt;0,IFERROR(VALUE(SUBSTITUTE(TRIM(Input!H934&amp;""),"%","")),0)&lt;1),1,100))</f>
        <v/>
      </c>
      <c r="H934" t="str">
        <f>IF(A934="","",IFERROR(VALUE(SUBSTITUTE(TRIM(Input!I934&amp;""),"%","")),0)/IF(AND(IFERROR(VALUE(SUBSTITUTE(TRIM(Input!I934&amp;""),"%","")),0)&gt;0,IFERROR(VALUE(SUBSTITUTE(TRIM(Input!I934&amp;""),"%","")),0)&lt;1),1,100))</f>
        <v/>
      </c>
    </row>
    <row r="935" spans="1:8">
      <c r="A935" t="str">
        <f>IF(TRIM(Input!B935&amp;"")="","",UPPER(TRIM(Input!B935&amp;"")))</f>
        <v/>
      </c>
      <c r="B935" t="str">
        <f>IF(A935="","",IFERROR(VALUE(RIGHT(TRIM(Input!D935&amp;""),1)),0))</f>
        <v/>
      </c>
      <c r="C935" t="str">
        <f t="shared" si="14"/>
        <v/>
      </c>
      <c r="D935" t="str">
        <f>IF(A935="","",IFERROR(VALUE(SUBSTITUTE(TRIM(Input!E935&amp;""),"%","")),0)/IF(AND(IFERROR(VALUE(SUBSTITUTE(TRIM(Input!E935&amp;""),"%","")),0)&gt;0,IFERROR(VALUE(SUBSTITUTE(TRIM(Input!E935&amp;""),"%","")),0)&lt;1),1,100))</f>
        <v/>
      </c>
      <c r="E935" t="str">
        <f>IF(A935="","",IFERROR(VALUE(SUBSTITUTE(TRIM(Input!F935&amp;""),"%","")),0)/IF(AND(IFERROR(VALUE(SUBSTITUTE(TRIM(Input!F935&amp;""),"%","")),0)&gt;0,IFERROR(VALUE(SUBSTITUTE(TRIM(Input!F935&amp;""),"%","")),0)&lt;1),1,100))</f>
        <v/>
      </c>
      <c r="F935" t="str">
        <f>IF(A935="","",IFERROR(VALUE(SUBSTITUTE(TRIM(Input!G935&amp;""),"%","")),0)/IF(AND(IFERROR(VALUE(SUBSTITUTE(TRIM(Input!G935&amp;""),"%","")),0)&gt;0,IFERROR(VALUE(SUBSTITUTE(TRIM(Input!G935&amp;""),"%","")),0)&lt;1),1,100))</f>
        <v/>
      </c>
      <c r="G935" t="str">
        <f>IF(A935="","",IFERROR(VALUE(SUBSTITUTE(TRIM(Input!H935&amp;""),"%","")),0)/IF(AND(IFERROR(VALUE(SUBSTITUTE(TRIM(Input!H935&amp;""),"%","")),0)&gt;0,IFERROR(VALUE(SUBSTITUTE(TRIM(Input!H935&amp;""),"%","")),0)&lt;1),1,100))</f>
        <v/>
      </c>
      <c r="H935" t="str">
        <f>IF(A935="","",IFERROR(VALUE(SUBSTITUTE(TRIM(Input!I935&amp;""),"%","")),0)/IF(AND(IFERROR(VALUE(SUBSTITUTE(TRIM(Input!I935&amp;""),"%","")),0)&gt;0,IFERROR(VALUE(SUBSTITUTE(TRIM(Input!I935&amp;""),"%","")),0)&lt;1),1,100))</f>
        <v/>
      </c>
    </row>
    <row r="936" spans="1:8">
      <c r="A936" t="str">
        <f>IF(TRIM(Input!B936&amp;"")="","",UPPER(TRIM(Input!B936&amp;"")))</f>
        <v/>
      </c>
      <c r="B936" t="str">
        <f>IF(A936="","",IFERROR(VALUE(RIGHT(TRIM(Input!D936&amp;""),1)),0))</f>
        <v/>
      </c>
      <c r="C936" t="str">
        <f t="shared" si="14"/>
        <v/>
      </c>
      <c r="D936" t="str">
        <f>IF(A936="","",IFERROR(VALUE(SUBSTITUTE(TRIM(Input!E936&amp;""),"%","")),0)/IF(AND(IFERROR(VALUE(SUBSTITUTE(TRIM(Input!E936&amp;""),"%","")),0)&gt;0,IFERROR(VALUE(SUBSTITUTE(TRIM(Input!E936&amp;""),"%","")),0)&lt;1),1,100))</f>
        <v/>
      </c>
      <c r="E936" t="str">
        <f>IF(A936="","",IFERROR(VALUE(SUBSTITUTE(TRIM(Input!F936&amp;""),"%","")),0)/IF(AND(IFERROR(VALUE(SUBSTITUTE(TRIM(Input!F936&amp;""),"%","")),0)&gt;0,IFERROR(VALUE(SUBSTITUTE(TRIM(Input!F936&amp;""),"%","")),0)&lt;1),1,100))</f>
        <v/>
      </c>
      <c r="F936" t="str">
        <f>IF(A936="","",IFERROR(VALUE(SUBSTITUTE(TRIM(Input!G936&amp;""),"%","")),0)/IF(AND(IFERROR(VALUE(SUBSTITUTE(TRIM(Input!G936&amp;""),"%","")),0)&gt;0,IFERROR(VALUE(SUBSTITUTE(TRIM(Input!G936&amp;""),"%","")),0)&lt;1),1,100))</f>
        <v/>
      </c>
      <c r="G936" t="str">
        <f>IF(A936="","",IFERROR(VALUE(SUBSTITUTE(TRIM(Input!H936&amp;""),"%","")),0)/IF(AND(IFERROR(VALUE(SUBSTITUTE(TRIM(Input!H936&amp;""),"%","")),0)&gt;0,IFERROR(VALUE(SUBSTITUTE(TRIM(Input!H936&amp;""),"%","")),0)&lt;1),1,100))</f>
        <v/>
      </c>
      <c r="H936" t="str">
        <f>IF(A936="","",IFERROR(VALUE(SUBSTITUTE(TRIM(Input!I936&amp;""),"%","")),0)/IF(AND(IFERROR(VALUE(SUBSTITUTE(TRIM(Input!I936&amp;""),"%","")),0)&gt;0,IFERROR(VALUE(SUBSTITUTE(TRIM(Input!I936&amp;""),"%","")),0)&lt;1),1,100))</f>
        <v/>
      </c>
    </row>
    <row r="937" spans="1:8">
      <c r="A937" t="str">
        <f>IF(TRIM(Input!B937&amp;"")="","",UPPER(TRIM(Input!B937&amp;"")))</f>
        <v/>
      </c>
      <c r="B937" t="str">
        <f>IF(A937="","",IFERROR(VALUE(RIGHT(TRIM(Input!D937&amp;""),1)),0))</f>
        <v/>
      </c>
      <c r="C937" t="str">
        <f t="shared" si="14"/>
        <v/>
      </c>
      <c r="D937" t="str">
        <f>IF(A937="","",IFERROR(VALUE(SUBSTITUTE(TRIM(Input!E937&amp;""),"%","")),0)/IF(AND(IFERROR(VALUE(SUBSTITUTE(TRIM(Input!E937&amp;""),"%","")),0)&gt;0,IFERROR(VALUE(SUBSTITUTE(TRIM(Input!E937&amp;""),"%","")),0)&lt;1),1,100))</f>
        <v/>
      </c>
      <c r="E937" t="str">
        <f>IF(A937="","",IFERROR(VALUE(SUBSTITUTE(TRIM(Input!F937&amp;""),"%","")),0)/IF(AND(IFERROR(VALUE(SUBSTITUTE(TRIM(Input!F937&amp;""),"%","")),0)&gt;0,IFERROR(VALUE(SUBSTITUTE(TRIM(Input!F937&amp;""),"%","")),0)&lt;1),1,100))</f>
        <v/>
      </c>
      <c r="F937" t="str">
        <f>IF(A937="","",IFERROR(VALUE(SUBSTITUTE(TRIM(Input!G937&amp;""),"%","")),0)/IF(AND(IFERROR(VALUE(SUBSTITUTE(TRIM(Input!G937&amp;""),"%","")),0)&gt;0,IFERROR(VALUE(SUBSTITUTE(TRIM(Input!G937&amp;""),"%","")),0)&lt;1),1,100))</f>
        <v/>
      </c>
      <c r="G937" t="str">
        <f>IF(A937="","",IFERROR(VALUE(SUBSTITUTE(TRIM(Input!H937&amp;""),"%","")),0)/IF(AND(IFERROR(VALUE(SUBSTITUTE(TRIM(Input!H937&amp;""),"%","")),0)&gt;0,IFERROR(VALUE(SUBSTITUTE(TRIM(Input!H937&amp;""),"%","")),0)&lt;1),1,100))</f>
        <v/>
      </c>
      <c r="H937" t="str">
        <f>IF(A937="","",IFERROR(VALUE(SUBSTITUTE(TRIM(Input!I937&amp;""),"%","")),0)/IF(AND(IFERROR(VALUE(SUBSTITUTE(TRIM(Input!I937&amp;""),"%","")),0)&gt;0,IFERROR(VALUE(SUBSTITUTE(TRIM(Input!I937&amp;""),"%","")),0)&lt;1),1,100))</f>
        <v/>
      </c>
    </row>
    <row r="938" spans="1:8">
      <c r="A938" t="str">
        <f>IF(TRIM(Input!B938&amp;"")="","",UPPER(TRIM(Input!B938&amp;"")))</f>
        <v/>
      </c>
      <c r="B938" t="str">
        <f>IF(A938="","",IFERROR(VALUE(RIGHT(TRIM(Input!D938&amp;""),1)),0))</f>
        <v/>
      </c>
      <c r="C938" t="str">
        <f t="shared" si="14"/>
        <v/>
      </c>
      <c r="D938" t="str">
        <f>IF(A938="","",IFERROR(VALUE(SUBSTITUTE(TRIM(Input!E938&amp;""),"%","")),0)/IF(AND(IFERROR(VALUE(SUBSTITUTE(TRIM(Input!E938&amp;""),"%","")),0)&gt;0,IFERROR(VALUE(SUBSTITUTE(TRIM(Input!E938&amp;""),"%","")),0)&lt;1),1,100))</f>
        <v/>
      </c>
      <c r="E938" t="str">
        <f>IF(A938="","",IFERROR(VALUE(SUBSTITUTE(TRIM(Input!F938&amp;""),"%","")),0)/IF(AND(IFERROR(VALUE(SUBSTITUTE(TRIM(Input!F938&amp;""),"%","")),0)&gt;0,IFERROR(VALUE(SUBSTITUTE(TRIM(Input!F938&amp;""),"%","")),0)&lt;1),1,100))</f>
        <v/>
      </c>
      <c r="F938" t="str">
        <f>IF(A938="","",IFERROR(VALUE(SUBSTITUTE(TRIM(Input!G938&amp;""),"%","")),0)/IF(AND(IFERROR(VALUE(SUBSTITUTE(TRIM(Input!G938&amp;""),"%","")),0)&gt;0,IFERROR(VALUE(SUBSTITUTE(TRIM(Input!G938&amp;""),"%","")),0)&lt;1),1,100))</f>
        <v/>
      </c>
      <c r="G938" t="str">
        <f>IF(A938="","",IFERROR(VALUE(SUBSTITUTE(TRIM(Input!H938&amp;""),"%","")),0)/IF(AND(IFERROR(VALUE(SUBSTITUTE(TRIM(Input!H938&amp;""),"%","")),0)&gt;0,IFERROR(VALUE(SUBSTITUTE(TRIM(Input!H938&amp;""),"%","")),0)&lt;1),1,100))</f>
        <v/>
      </c>
      <c r="H938" t="str">
        <f>IF(A938="","",IFERROR(VALUE(SUBSTITUTE(TRIM(Input!I938&amp;""),"%","")),0)/IF(AND(IFERROR(VALUE(SUBSTITUTE(TRIM(Input!I938&amp;""),"%","")),0)&gt;0,IFERROR(VALUE(SUBSTITUTE(TRIM(Input!I938&amp;""),"%","")),0)&lt;1),1,100))</f>
        <v/>
      </c>
    </row>
    <row r="939" spans="1:8">
      <c r="A939" t="str">
        <f>IF(TRIM(Input!B939&amp;"")="","",UPPER(TRIM(Input!B939&amp;"")))</f>
        <v/>
      </c>
      <c r="B939" t="str">
        <f>IF(A939="","",IFERROR(VALUE(RIGHT(TRIM(Input!D939&amp;""),1)),0))</f>
        <v/>
      </c>
      <c r="C939" t="str">
        <f t="shared" si="14"/>
        <v/>
      </c>
      <c r="D939" t="str">
        <f>IF(A939="","",IFERROR(VALUE(SUBSTITUTE(TRIM(Input!E939&amp;""),"%","")),0)/IF(AND(IFERROR(VALUE(SUBSTITUTE(TRIM(Input!E939&amp;""),"%","")),0)&gt;0,IFERROR(VALUE(SUBSTITUTE(TRIM(Input!E939&amp;""),"%","")),0)&lt;1),1,100))</f>
        <v/>
      </c>
      <c r="E939" t="str">
        <f>IF(A939="","",IFERROR(VALUE(SUBSTITUTE(TRIM(Input!F939&amp;""),"%","")),0)/IF(AND(IFERROR(VALUE(SUBSTITUTE(TRIM(Input!F939&amp;""),"%","")),0)&gt;0,IFERROR(VALUE(SUBSTITUTE(TRIM(Input!F939&amp;""),"%","")),0)&lt;1),1,100))</f>
        <v/>
      </c>
      <c r="F939" t="str">
        <f>IF(A939="","",IFERROR(VALUE(SUBSTITUTE(TRIM(Input!G939&amp;""),"%","")),0)/IF(AND(IFERROR(VALUE(SUBSTITUTE(TRIM(Input!G939&amp;""),"%","")),0)&gt;0,IFERROR(VALUE(SUBSTITUTE(TRIM(Input!G939&amp;""),"%","")),0)&lt;1),1,100))</f>
        <v/>
      </c>
      <c r="G939" t="str">
        <f>IF(A939="","",IFERROR(VALUE(SUBSTITUTE(TRIM(Input!H939&amp;""),"%","")),0)/IF(AND(IFERROR(VALUE(SUBSTITUTE(TRIM(Input!H939&amp;""),"%","")),0)&gt;0,IFERROR(VALUE(SUBSTITUTE(TRIM(Input!H939&amp;""),"%","")),0)&lt;1),1,100))</f>
        <v/>
      </c>
      <c r="H939" t="str">
        <f>IF(A939="","",IFERROR(VALUE(SUBSTITUTE(TRIM(Input!I939&amp;""),"%","")),0)/IF(AND(IFERROR(VALUE(SUBSTITUTE(TRIM(Input!I939&amp;""),"%","")),0)&gt;0,IFERROR(VALUE(SUBSTITUTE(TRIM(Input!I939&amp;""),"%","")),0)&lt;1),1,100))</f>
        <v/>
      </c>
    </row>
    <row r="940" spans="1:8">
      <c r="A940" t="str">
        <f>IF(TRIM(Input!B940&amp;"")="","",UPPER(TRIM(Input!B940&amp;"")))</f>
        <v/>
      </c>
      <c r="B940" t="str">
        <f>IF(A940="","",IFERROR(VALUE(RIGHT(TRIM(Input!D940&amp;""),1)),0))</f>
        <v/>
      </c>
      <c r="C940" t="str">
        <f t="shared" si="14"/>
        <v/>
      </c>
      <c r="D940" t="str">
        <f>IF(A940="","",IFERROR(VALUE(SUBSTITUTE(TRIM(Input!E940&amp;""),"%","")),0)/IF(AND(IFERROR(VALUE(SUBSTITUTE(TRIM(Input!E940&amp;""),"%","")),0)&gt;0,IFERROR(VALUE(SUBSTITUTE(TRIM(Input!E940&amp;""),"%","")),0)&lt;1),1,100))</f>
        <v/>
      </c>
      <c r="E940" t="str">
        <f>IF(A940="","",IFERROR(VALUE(SUBSTITUTE(TRIM(Input!F940&amp;""),"%","")),0)/IF(AND(IFERROR(VALUE(SUBSTITUTE(TRIM(Input!F940&amp;""),"%","")),0)&gt;0,IFERROR(VALUE(SUBSTITUTE(TRIM(Input!F940&amp;""),"%","")),0)&lt;1),1,100))</f>
        <v/>
      </c>
      <c r="F940" t="str">
        <f>IF(A940="","",IFERROR(VALUE(SUBSTITUTE(TRIM(Input!G940&amp;""),"%","")),0)/IF(AND(IFERROR(VALUE(SUBSTITUTE(TRIM(Input!G940&amp;""),"%","")),0)&gt;0,IFERROR(VALUE(SUBSTITUTE(TRIM(Input!G940&amp;""),"%","")),0)&lt;1),1,100))</f>
        <v/>
      </c>
      <c r="G940" t="str">
        <f>IF(A940="","",IFERROR(VALUE(SUBSTITUTE(TRIM(Input!H940&amp;""),"%","")),0)/IF(AND(IFERROR(VALUE(SUBSTITUTE(TRIM(Input!H940&amp;""),"%","")),0)&gt;0,IFERROR(VALUE(SUBSTITUTE(TRIM(Input!H940&amp;""),"%","")),0)&lt;1),1,100))</f>
        <v/>
      </c>
      <c r="H940" t="str">
        <f>IF(A940="","",IFERROR(VALUE(SUBSTITUTE(TRIM(Input!I940&amp;""),"%","")),0)/IF(AND(IFERROR(VALUE(SUBSTITUTE(TRIM(Input!I940&amp;""),"%","")),0)&gt;0,IFERROR(VALUE(SUBSTITUTE(TRIM(Input!I940&amp;""),"%","")),0)&lt;1),1,100))</f>
        <v/>
      </c>
    </row>
    <row r="941" spans="1:8">
      <c r="A941" t="str">
        <f>IF(TRIM(Input!B941&amp;"")="","",UPPER(TRIM(Input!B941&amp;"")))</f>
        <v/>
      </c>
      <c r="B941" t="str">
        <f>IF(A941="","",IFERROR(VALUE(RIGHT(TRIM(Input!D941&amp;""),1)),0))</f>
        <v/>
      </c>
      <c r="C941" t="str">
        <f t="shared" si="14"/>
        <v/>
      </c>
      <c r="D941" t="str">
        <f>IF(A941="","",IFERROR(VALUE(SUBSTITUTE(TRIM(Input!E941&amp;""),"%","")),0)/IF(AND(IFERROR(VALUE(SUBSTITUTE(TRIM(Input!E941&amp;""),"%","")),0)&gt;0,IFERROR(VALUE(SUBSTITUTE(TRIM(Input!E941&amp;""),"%","")),0)&lt;1),1,100))</f>
        <v/>
      </c>
      <c r="E941" t="str">
        <f>IF(A941="","",IFERROR(VALUE(SUBSTITUTE(TRIM(Input!F941&amp;""),"%","")),0)/IF(AND(IFERROR(VALUE(SUBSTITUTE(TRIM(Input!F941&amp;""),"%","")),0)&gt;0,IFERROR(VALUE(SUBSTITUTE(TRIM(Input!F941&amp;""),"%","")),0)&lt;1),1,100))</f>
        <v/>
      </c>
      <c r="F941" t="str">
        <f>IF(A941="","",IFERROR(VALUE(SUBSTITUTE(TRIM(Input!G941&amp;""),"%","")),0)/IF(AND(IFERROR(VALUE(SUBSTITUTE(TRIM(Input!G941&amp;""),"%","")),0)&gt;0,IFERROR(VALUE(SUBSTITUTE(TRIM(Input!G941&amp;""),"%","")),0)&lt;1),1,100))</f>
        <v/>
      </c>
      <c r="G941" t="str">
        <f>IF(A941="","",IFERROR(VALUE(SUBSTITUTE(TRIM(Input!H941&amp;""),"%","")),0)/IF(AND(IFERROR(VALUE(SUBSTITUTE(TRIM(Input!H941&amp;""),"%","")),0)&gt;0,IFERROR(VALUE(SUBSTITUTE(TRIM(Input!H941&amp;""),"%","")),0)&lt;1),1,100))</f>
        <v/>
      </c>
      <c r="H941" t="str">
        <f>IF(A941="","",IFERROR(VALUE(SUBSTITUTE(TRIM(Input!I941&amp;""),"%","")),0)/IF(AND(IFERROR(VALUE(SUBSTITUTE(TRIM(Input!I941&amp;""),"%","")),0)&gt;0,IFERROR(VALUE(SUBSTITUTE(TRIM(Input!I941&amp;""),"%","")),0)&lt;1),1,100))</f>
        <v/>
      </c>
    </row>
    <row r="942" spans="1:8">
      <c r="A942" t="str">
        <f>IF(TRIM(Input!B942&amp;"")="","",UPPER(TRIM(Input!B942&amp;"")))</f>
        <v/>
      </c>
      <c r="B942" t="str">
        <f>IF(A942="","",IFERROR(VALUE(RIGHT(TRIM(Input!D942&amp;""),1)),0))</f>
        <v/>
      </c>
      <c r="C942" t="str">
        <f t="shared" si="14"/>
        <v/>
      </c>
      <c r="D942" t="str">
        <f>IF(A942="","",IFERROR(VALUE(SUBSTITUTE(TRIM(Input!E942&amp;""),"%","")),0)/IF(AND(IFERROR(VALUE(SUBSTITUTE(TRIM(Input!E942&amp;""),"%","")),0)&gt;0,IFERROR(VALUE(SUBSTITUTE(TRIM(Input!E942&amp;""),"%","")),0)&lt;1),1,100))</f>
        <v/>
      </c>
      <c r="E942" t="str">
        <f>IF(A942="","",IFERROR(VALUE(SUBSTITUTE(TRIM(Input!F942&amp;""),"%","")),0)/IF(AND(IFERROR(VALUE(SUBSTITUTE(TRIM(Input!F942&amp;""),"%","")),0)&gt;0,IFERROR(VALUE(SUBSTITUTE(TRIM(Input!F942&amp;""),"%","")),0)&lt;1),1,100))</f>
        <v/>
      </c>
      <c r="F942" t="str">
        <f>IF(A942="","",IFERROR(VALUE(SUBSTITUTE(TRIM(Input!G942&amp;""),"%","")),0)/IF(AND(IFERROR(VALUE(SUBSTITUTE(TRIM(Input!G942&amp;""),"%","")),0)&gt;0,IFERROR(VALUE(SUBSTITUTE(TRIM(Input!G942&amp;""),"%","")),0)&lt;1),1,100))</f>
        <v/>
      </c>
      <c r="G942" t="str">
        <f>IF(A942="","",IFERROR(VALUE(SUBSTITUTE(TRIM(Input!H942&amp;""),"%","")),0)/IF(AND(IFERROR(VALUE(SUBSTITUTE(TRIM(Input!H942&amp;""),"%","")),0)&gt;0,IFERROR(VALUE(SUBSTITUTE(TRIM(Input!H942&amp;""),"%","")),0)&lt;1),1,100))</f>
        <v/>
      </c>
      <c r="H942" t="str">
        <f>IF(A942="","",IFERROR(VALUE(SUBSTITUTE(TRIM(Input!I942&amp;""),"%","")),0)/IF(AND(IFERROR(VALUE(SUBSTITUTE(TRIM(Input!I942&amp;""),"%","")),0)&gt;0,IFERROR(VALUE(SUBSTITUTE(TRIM(Input!I942&amp;""),"%","")),0)&lt;1),1,100))</f>
        <v/>
      </c>
    </row>
    <row r="943" spans="1:8">
      <c r="A943" t="str">
        <f>IF(TRIM(Input!B943&amp;"")="","",UPPER(TRIM(Input!B943&amp;"")))</f>
        <v/>
      </c>
      <c r="B943" t="str">
        <f>IF(A943="","",IFERROR(VALUE(RIGHT(TRIM(Input!D943&amp;""),1)),0))</f>
        <v/>
      </c>
      <c r="C943" t="str">
        <f t="shared" si="14"/>
        <v/>
      </c>
      <c r="D943" t="str">
        <f>IF(A943="","",IFERROR(VALUE(SUBSTITUTE(TRIM(Input!E943&amp;""),"%","")),0)/IF(AND(IFERROR(VALUE(SUBSTITUTE(TRIM(Input!E943&amp;""),"%","")),0)&gt;0,IFERROR(VALUE(SUBSTITUTE(TRIM(Input!E943&amp;""),"%","")),0)&lt;1),1,100))</f>
        <v/>
      </c>
      <c r="E943" t="str">
        <f>IF(A943="","",IFERROR(VALUE(SUBSTITUTE(TRIM(Input!F943&amp;""),"%","")),0)/IF(AND(IFERROR(VALUE(SUBSTITUTE(TRIM(Input!F943&amp;""),"%","")),0)&gt;0,IFERROR(VALUE(SUBSTITUTE(TRIM(Input!F943&amp;""),"%","")),0)&lt;1),1,100))</f>
        <v/>
      </c>
      <c r="F943" t="str">
        <f>IF(A943="","",IFERROR(VALUE(SUBSTITUTE(TRIM(Input!G943&amp;""),"%","")),0)/IF(AND(IFERROR(VALUE(SUBSTITUTE(TRIM(Input!G943&amp;""),"%","")),0)&gt;0,IFERROR(VALUE(SUBSTITUTE(TRIM(Input!G943&amp;""),"%","")),0)&lt;1),1,100))</f>
        <v/>
      </c>
      <c r="G943" t="str">
        <f>IF(A943="","",IFERROR(VALUE(SUBSTITUTE(TRIM(Input!H943&amp;""),"%","")),0)/IF(AND(IFERROR(VALUE(SUBSTITUTE(TRIM(Input!H943&amp;""),"%","")),0)&gt;0,IFERROR(VALUE(SUBSTITUTE(TRIM(Input!H943&amp;""),"%","")),0)&lt;1),1,100))</f>
        <v/>
      </c>
      <c r="H943" t="str">
        <f>IF(A943="","",IFERROR(VALUE(SUBSTITUTE(TRIM(Input!I943&amp;""),"%","")),0)/IF(AND(IFERROR(VALUE(SUBSTITUTE(TRIM(Input!I943&amp;""),"%","")),0)&gt;0,IFERROR(VALUE(SUBSTITUTE(TRIM(Input!I943&amp;""),"%","")),0)&lt;1),1,100))</f>
        <v/>
      </c>
    </row>
    <row r="944" spans="1:8">
      <c r="A944" t="str">
        <f>IF(TRIM(Input!B944&amp;"")="","",UPPER(TRIM(Input!B944&amp;"")))</f>
        <v/>
      </c>
      <c r="B944" t="str">
        <f>IF(A944="","",IFERROR(VALUE(RIGHT(TRIM(Input!D944&amp;""),1)),0))</f>
        <v/>
      </c>
      <c r="C944" t="str">
        <f t="shared" si="14"/>
        <v/>
      </c>
      <c r="D944" t="str">
        <f>IF(A944="","",IFERROR(VALUE(SUBSTITUTE(TRIM(Input!E944&amp;""),"%","")),0)/IF(AND(IFERROR(VALUE(SUBSTITUTE(TRIM(Input!E944&amp;""),"%","")),0)&gt;0,IFERROR(VALUE(SUBSTITUTE(TRIM(Input!E944&amp;""),"%","")),0)&lt;1),1,100))</f>
        <v/>
      </c>
      <c r="E944" t="str">
        <f>IF(A944="","",IFERROR(VALUE(SUBSTITUTE(TRIM(Input!F944&amp;""),"%","")),0)/IF(AND(IFERROR(VALUE(SUBSTITUTE(TRIM(Input!F944&amp;""),"%","")),0)&gt;0,IFERROR(VALUE(SUBSTITUTE(TRIM(Input!F944&amp;""),"%","")),0)&lt;1),1,100))</f>
        <v/>
      </c>
      <c r="F944" t="str">
        <f>IF(A944="","",IFERROR(VALUE(SUBSTITUTE(TRIM(Input!G944&amp;""),"%","")),0)/IF(AND(IFERROR(VALUE(SUBSTITUTE(TRIM(Input!G944&amp;""),"%","")),0)&gt;0,IFERROR(VALUE(SUBSTITUTE(TRIM(Input!G944&amp;""),"%","")),0)&lt;1),1,100))</f>
        <v/>
      </c>
      <c r="G944" t="str">
        <f>IF(A944="","",IFERROR(VALUE(SUBSTITUTE(TRIM(Input!H944&amp;""),"%","")),0)/IF(AND(IFERROR(VALUE(SUBSTITUTE(TRIM(Input!H944&amp;""),"%","")),0)&gt;0,IFERROR(VALUE(SUBSTITUTE(TRIM(Input!H944&amp;""),"%","")),0)&lt;1),1,100))</f>
        <v/>
      </c>
      <c r="H944" t="str">
        <f>IF(A944="","",IFERROR(VALUE(SUBSTITUTE(TRIM(Input!I944&amp;""),"%","")),0)/IF(AND(IFERROR(VALUE(SUBSTITUTE(TRIM(Input!I944&amp;""),"%","")),0)&gt;0,IFERROR(VALUE(SUBSTITUTE(TRIM(Input!I944&amp;""),"%","")),0)&lt;1),1,100))</f>
        <v/>
      </c>
    </row>
    <row r="945" spans="1:8">
      <c r="A945" t="str">
        <f>IF(TRIM(Input!B945&amp;"")="","",UPPER(TRIM(Input!B945&amp;"")))</f>
        <v/>
      </c>
      <c r="B945" t="str">
        <f>IF(A945="","",IFERROR(VALUE(RIGHT(TRIM(Input!D945&amp;""),1)),0))</f>
        <v/>
      </c>
      <c r="C945" t="str">
        <f t="shared" si="14"/>
        <v/>
      </c>
      <c r="D945" t="str">
        <f>IF(A945="","",IFERROR(VALUE(SUBSTITUTE(TRIM(Input!E945&amp;""),"%","")),0)/IF(AND(IFERROR(VALUE(SUBSTITUTE(TRIM(Input!E945&amp;""),"%","")),0)&gt;0,IFERROR(VALUE(SUBSTITUTE(TRIM(Input!E945&amp;""),"%","")),0)&lt;1),1,100))</f>
        <v/>
      </c>
      <c r="E945" t="str">
        <f>IF(A945="","",IFERROR(VALUE(SUBSTITUTE(TRIM(Input!F945&amp;""),"%","")),0)/IF(AND(IFERROR(VALUE(SUBSTITUTE(TRIM(Input!F945&amp;""),"%","")),0)&gt;0,IFERROR(VALUE(SUBSTITUTE(TRIM(Input!F945&amp;""),"%","")),0)&lt;1),1,100))</f>
        <v/>
      </c>
      <c r="F945" t="str">
        <f>IF(A945="","",IFERROR(VALUE(SUBSTITUTE(TRIM(Input!G945&amp;""),"%","")),0)/IF(AND(IFERROR(VALUE(SUBSTITUTE(TRIM(Input!G945&amp;""),"%","")),0)&gt;0,IFERROR(VALUE(SUBSTITUTE(TRIM(Input!G945&amp;""),"%","")),0)&lt;1),1,100))</f>
        <v/>
      </c>
      <c r="G945" t="str">
        <f>IF(A945="","",IFERROR(VALUE(SUBSTITUTE(TRIM(Input!H945&amp;""),"%","")),0)/IF(AND(IFERROR(VALUE(SUBSTITUTE(TRIM(Input!H945&amp;""),"%","")),0)&gt;0,IFERROR(VALUE(SUBSTITUTE(TRIM(Input!H945&amp;""),"%","")),0)&lt;1),1,100))</f>
        <v/>
      </c>
      <c r="H945" t="str">
        <f>IF(A945="","",IFERROR(VALUE(SUBSTITUTE(TRIM(Input!I945&amp;""),"%","")),0)/IF(AND(IFERROR(VALUE(SUBSTITUTE(TRIM(Input!I945&amp;""),"%","")),0)&gt;0,IFERROR(VALUE(SUBSTITUTE(TRIM(Input!I945&amp;""),"%","")),0)&lt;1),1,100))</f>
        <v/>
      </c>
    </row>
    <row r="946" spans="1:8">
      <c r="A946" t="str">
        <f>IF(TRIM(Input!B946&amp;"")="","",UPPER(TRIM(Input!B946&amp;"")))</f>
        <v/>
      </c>
      <c r="B946" t="str">
        <f>IF(A946="","",IFERROR(VALUE(RIGHT(TRIM(Input!D946&amp;""),1)),0))</f>
        <v/>
      </c>
      <c r="C946" t="str">
        <f t="shared" si="14"/>
        <v/>
      </c>
      <c r="D946" t="str">
        <f>IF(A946="","",IFERROR(VALUE(SUBSTITUTE(TRIM(Input!E946&amp;""),"%","")),0)/IF(AND(IFERROR(VALUE(SUBSTITUTE(TRIM(Input!E946&amp;""),"%","")),0)&gt;0,IFERROR(VALUE(SUBSTITUTE(TRIM(Input!E946&amp;""),"%","")),0)&lt;1),1,100))</f>
        <v/>
      </c>
      <c r="E946" t="str">
        <f>IF(A946="","",IFERROR(VALUE(SUBSTITUTE(TRIM(Input!F946&amp;""),"%","")),0)/IF(AND(IFERROR(VALUE(SUBSTITUTE(TRIM(Input!F946&amp;""),"%","")),0)&gt;0,IFERROR(VALUE(SUBSTITUTE(TRIM(Input!F946&amp;""),"%","")),0)&lt;1),1,100))</f>
        <v/>
      </c>
      <c r="F946" t="str">
        <f>IF(A946="","",IFERROR(VALUE(SUBSTITUTE(TRIM(Input!G946&amp;""),"%","")),0)/IF(AND(IFERROR(VALUE(SUBSTITUTE(TRIM(Input!G946&amp;""),"%","")),0)&gt;0,IFERROR(VALUE(SUBSTITUTE(TRIM(Input!G946&amp;""),"%","")),0)&lt;1),1,100))</f>
        <v/>
      </c>
      <c r="G946" t="str">
        <f>IF(A946="","",IFERROR(VALUE(SUBSTITUTE(TRIM(Input!H946&amp;""),"%","")),0)/IF(AND(IFERROR(VALUE(SUBSTITUTE(TRIM(Input!H946&amp;""),"%","")),0)&gt;0,IFERROR(VALUE(SUBSTITUTE(TRIM(Input!H946&amp;""),"%","")),0)&lt;1),1,100))</f>
        <v/>
      </c>
      <c r="H946" t="str">
        <f>IF(A946="","",IFERROR(VALUE(SUBSTITUTE(TRIM(Input!I946&amp;""),"%","")),0)/IF(AND(IFERROR(VALUE(SUBSTITUTE(TRIM(Input!I946&amp;""),"%","")),0)&gt;0,IFERROR(VALUE(SUBSTITUTE(TRIM(Input!I946&amp;""),"%","")),0)&lt;1),1,100))</f>
        <v/>
      </c>
    </row>
    <row r="947" spans="1:8">
      <c r="A947" t="str">
        <f>IF(TRIM(Input!B947&amp;"")="","",UPPER(TRIM(Input!B947&amp;"")))</f>
        <v/>
      </c>
      <c r="B947" t="str">
        <f>IF(A947="","",IFERROR(VALUE(RIGHT(TRIM(Input!D947&amp;""),1)),0))</f>
        <v/>
      </c>
      <c r="C947" t="str">
        <f t="shared" si="14"/>
        <v/>
      </c>
      <c r="D947" t="str">
        <f>IF(A947="","",IFERROR(VALUE(SUBSTITUTE(TRIM(Input!E947&amp;""),"%","")),0)/IF(AND(IFERROR(VALUE(SUBSTITUTE(TRIM(Input!E947&amp;""),"%","")),0)&gt;0,IFERROR(VALUE(SUBSTITUTE(TRIM(Input!E947&amp;""),"%","")),0)&lt;1),1,100))</f>
        <v/>
      </c>
      <c r="E947" t="str">
        <f>IF(A947="","",IFERROR(VALUE(SUBSTITUTE(TRIM(Input!F947&amp;""),"%","")),0)/IF(AND(IFERROR(VALUE(SUBSTITUTE(TRIM(Input!F947&amp;""),"%","")),0)&gt;0,IFERROR(VALUE(SUBSTITUTE(TRIM(Input!F947&amp;""),"%","")),0)&lt;1),1,100))</f>
        <v/>
      </c>
      <c r="F947" t="str">
        <f>IF(A947="","",IFERROR(VALUE(SUBSTITUTE(TRIM(Input!G947&amp;""),"%","")),0)/IF(AND(IFERROR(VALUE(SUBSTITUTE(TRIM(Input!G947&amp;""),"%","")),0)&gt;0,IFERROR(VALUE(SUBSTITUTE(TRIM(Input!G947&amp;""),"%","")),0)&lt;1),1,100))</f>
        <v/>
      </c>
      <c r="G947" t="str">
        <f>IF(A947="","",IFERROR(VALUE(SUBSTITUTE(TRIM(Input!H947&amp;""),"%","")),0)/IF(AND(IFERROR(VALUE(SUBSTITUTE(TRIM(Input!H947&amp;""),"%","")),0)&gt;0,IFERROR(VALUE(SUBSTITUTE(TRIM(Input!H947&amp;""),"%","")),0)&lt;1),1,100))</f>
        <v/>
      </c>
      <c r="H947" t="str">
        <f>IF(A947="","",IFERROR(VALUE(SUBSTITUTE(TRIM(Input!I947&amp;""),"%","")),0)/IF(AND(IFERROR(VALUE(SUBSTITUTE(TRIM(Input!I947&amp;""),"%","")),0)&gt;0,IFERROR(VALUE(SUBSTITUTE(TRIM(Input!I947&amp;""),"%","")),0)&lt;1),1,100))</f>
        <v/>
      </c>
    </row>
    <row r="948" spans="1:8">
      <c r="A948" t="str">
        <f>IF(TRIM(Input!B948&amp;"")="","",UPPER(TRIM(Input!B948&amp;"")))</f>
        <v/>
      </c>
      <c r="B948" t="str">
        <f>IF(A948="","",IFERROR(VALUE(RIGHT(TRIM(Input!D948&amp;""),1)),0))</f>
        <v/>
      </c>
      <c r="C948" t="str">
        <f t="shared" si="14"/>
        <v/>
      </c>
      <c r="D948" t="str">
        <f>IF(A948="","",IFERROR(VALUE(SUBSTITUTE(TRIM(Input!E948&amp;""),"%","")),0)/IF(AND(IFERROR(VALUE(SUBSTITUTE(TRIM(Input!E948&amp;""),"%","")),0)&gt;0,IFERROR(VALUE(SUBSTITUTE(TRIM(Input!E948&amp;""),"%","")),0)&lt;1),1,100))</f>
        <v/>
      </c>
      <c r="E948" t="str">
        <f>IF(A948="","",IFERROR(VALUE(SUBSTITUTE(TRIM(Input!F948&amp;""),"%","")),0)/IF(AND(IFERROR(VALUE(SUBSTITUTE(TRIM(Input!F948&amp;""),"%","")),0)&gt;0,IFERROR(VALUE(SUBSTITUTE(TRIM(Input!F948&amp;""),"%","")),0)&lt;1),1,100))</f>
        <v/>
      </c>
      <c r="F948" t="str">
        <f>IF(A948="","",IFERROR(VALUE(SUBSTITUTE(TRIM(Input!G948&amp;""),"%","")),0)/IF(AND(IFERROR(VALUE(SUBSTITUTE(TRIM(Input!G948&amp;""),"%","")),0)&gt;0,IFERROR(VALUE(SUBSTITUTE(TRIM(Input!G948&amp;""),"%","")),0)&lt;1),1,100))</f>
        <v/>
      </c>
      <c r="G948" t="str">
        <f>IF(A948="","",IFERROR(VALUE(SUBSTITUTE(TRIM(Input!H948&amp;""),"%","")),0)/IF(AND(IFERROR(VALUE(SUBSTITUTE(TRIM(Input!H948&amp;""),"%","")),0)&gt;0,IFERROR(VALUE(SUBSTITUTE(TRIM(Input!H948&amp;""),"%","")),0)&lt;1),1,100))</f>
        <v/>
      </c>
      <c r="H948" t="str">
        <f>IF(A948="","",IFERROR(VALUE(SUBSTITUTE(TRIM(Input!I948&amp;""),"%","")),0)/IF(AND(IFERROR(VALUE(SUBSTITUTE(TRIM(Input!I948&amp;""),"%","")),0)&gt;0,IFERROR(VALUE(SUBSTITUTE(TRIM(Input!I948&amp;""),"%","")),0)&lt;1),1,100))</f>
        <v/>
      </c>
    </row>
    <row r="949" spans="1:8">
      <c r="A949" t="str">
        <f>IF(TRIM(Input!B949&amp;"")="","",UPPER(TRIM(Input!B949&amp;"")))</f>
        <v/>
      </c>
      <c r="B949" t="str">
        <f>IF(A949="","",IFERROR(VALUE(RIGHT(TRIM(Input!D949&amp;""),1)),0))</f>
        <v/>
      </c>
      <c r="C949" t="str">
        <f t="shared" si="14"/>
        <v/>
      </c>
      <c r="D949" t="str">
        <f>IF(A949="","",IFERROR(VALUE(SUBSTITUTE(TRIM(Input!E949&amp;""),"%","")),0)/IF(AND(IFERROR(VALUE(SUBSTITUTE(TRIM(Input!E949&amp;""),"%","")),0)&gt;0,IFERROR(VALUE(SUBSTITUTE(TRIM(Input!E949&amp;""),"%","")),0)&lt;1),1,100))</f>
        <v/>
      </c>
      <c r="E949" t="str">
        <f>IF(A949="","",IFERROR(VALUE(SUBSTITUTE(TRIM(Input!F949&amp;""),"%","")),0)/IF(AND(IFERROR(VALUE(SUBSTITUTE(TRIM(Input!F949&amp;""),"%","")),0)&gt;0,IFERROR(VALUE(SUBSTITUTE(TRIM(Input!F949&amp;""),"%","")),0)&lt;1),1,100))</f>
        <v/>
      </c>
      <c r="F949" t="str">
        <f>IF(A949="","",IFERROR(VALUE(SUBSTITUTE(TRIM(Input!G949&amp;""),"%","")),0)/IF(AND(IFERROR(VALUE(SUBSTITUTE(TRIM(Input!G949&amp;""),"%","")),0)&gt;0,IFERROR(VALUE(SUBSTITUTE(TRIM(Input!G949&amp;""),"%","")),0)&lt;1),1,100))</f>
        <v/>
      </c>
      <c r="G949" t="str">
        <f>IF(A949="","",IFERROR(VALUE(SUBSTITUTE(TRIM(Input!H949&amp;""),"%","")),0)/IF(AND(IFERROR(VALUE(SUBSTITUTE(TRIM(Input!H949&amp;""),"%","")),0)&gt;0,IFERROR(VALUE(SUBSTITUTE(TRIM(Input!H949&amp;""),"%","")),0)&lt;1),1,100))</f>
        <v/>
      </c>
      <c r="H949" t="str">
        <f>IF(A949="","",IFERROR(VALUE(SUBSTITUTE(TRIM(Input!I949&amp;""),"%","")),0)/IF(AND(IFERROR(VALUE(SUBSTITUTE(TRIM(Input!I949&amp;""),"%","")),0)&gt;0,IFERROR(VALUE(SUBSTITUTE(TRIM(Input!I949&amp;""),"%","")),0)&lt;1),1,100))</f>
        <v/>
      </c>
    </row>
    <row r="950" spans="1:8">
      <c r="A950" t="str">
        <f>IF(TRIM(Input!B950&amp;"")="","",UPPER(TRIM(Input!B950&amp;"")))</f>
        <v/>
      </c>
      <c r="B950" t="str">
        <f>IF(A950="","",IFERROR(VALUE(RIGHT(TRIM(Input!D950&amp;""),1)),0))</f>
        <v/>
      </c>
      <c r="C950" t="str">
        <f t="shared" si="14"/>
        <v/>
      </c>
      <c r="D950" t="str">
        <f>IF(A950="","",IFERROR(VALUE(SUBSTITUTE(TRIM(Input!E950&amp;""),"%","")),0)/IF(AND(IFERROR(VALUE(SUBSTITUTE(TRIM(Input!E950&amp;""),"%","")),0)&gt;0,IFERROR(VALUE(SUBSTITUTE(TRIM(Input!E950&amp;""),"%","")),0)&lt;1),1,100))</f>
        <v/>
      </c>
      <c r="E950" t="str">
        <f>IF(A950="","",IFERROR(VALUE(SUBSTITUTE(TRIM(Input!F950&amp;""),"%","")),0)/IF(AND(IFERROR(VALUE(SUBSTITUTE(TRIM(Input!F950&amp;""),"%","")),0)&gt;0,IFERROR(VALUE(SUBSTITUTE(TRIM(Input!F950&amp;""),"%","")),0)&lt;1),1,100))</f>
        <v/>
      </c>
      <c r="F950" t="str">
        <f>IF(A950="","",IFERROR(VALUE(SUBSTITUTE(TRIM(Input!G950&amp;""),"%","")),0)/IF(AND(IFERROR(VALUE(SUBSTITUTE(TRIM(Input!G950&amp;""),"%","")),0)&gt;0,IFERROR(VALUE(SUBSTITUTE(TRIM(Input!G950&amp;""),"%","")),0)&lt;1),1,100))</f>
        <v/>
      </c>
      <c r="G950" t="str">
        <f>IF(A950="","",IFERROR(VALUE(SUBSTITUTE(TRIM(Input!H950&amp;""),"%","")),0)/IF(AND(IFERROR(VALUE(SUBSTITUTE(TRIM(Input!H950&amp;""),"%","")),0)&gt;0,IFERROR(VALUE(SUBSTITUTE(TRIM(Input!H950&amp;""),"%","")),0)&lt;1),1,100))</f>
        <v/>
      </c>
      <c r="H950" t="str">
        <f>IF(A950="","",IFERROR(VALUE(SUBSTITUTE(TRIM(Input!I950&amp;""),"%","")),0)/IF(AND(IFERROR(VALUE(SUBSTITUTE(TRIM(Input!I950&amp;""),"%","")),0)&gt;0,IFERROR(VALUE(SUBSTITUTE(TRIM(Input!I950&amp;""),"%","")),0)&lt;1),1,100))</f>
        <v/>
      </c>
    </row>
    <row r="951" spans="1:8">
      <c r="A951" t="str">
        <f>IF(TRIM(Input!B951&amp;"")="","",UPPER(TRIM(Input!B951&amp;"")))</f>
        <v/>
      </c>
      <c r="B951" t="str">
        <f>IF(A951="","",IFERROR(VALUE(RIGHT(TRIM(Input!D951&amp;""),1)),0))</f>
        <v/>
      </c>
      <c r="C951" t="str">
        <f t="shared" si="14"/>
        <v/>
      </c>
      <c r="D951" t="str">
        <f>IF(A951="","",IFERROR(VALUE(SUBSTITUTE(TRIM(Input!E951&amp;""),"%","")),0)/IF(AND(IFERROR(VALUE(SUBSTITUTE(TRIM(Input!E951&amp;""),"%","")),0)&gt;0,IFERROR(VALUE(SUBSTITUTE(TRIM(Input!E951&amp;""),"%","")),0)&lt;1),1,100))</f>
        <v/>
      </c>
      <c r="E951" t="str">
        <f>IF(A951="","",IFERROR(VALUE(SUBSTITUTE(TRIM(Input!F951&amp;""),"%","")),0)/IF(AND(IFERROR(VALUE(SUBSTITUTE(TRIM(Input!F951&amp;""),"%","")),0)&gt;0,IFERROR(VALUE(SUBSTITUTE(TRIM(Input!F951&amp;""),"%","")),0)&lt;1),1,100))</f>
        <v/>
      </c>
      <c r="F951" t="str">
        <f>IF(A951="","",IFERROR(VALUE(SUBSTITUTE(TRIM(Input!G951&amp;""),"%","")),0)/IF(AND(IFERROR(VALUE(SUBSTITUTE(TRIM(Input!G951&amp;""),"%","")),0)&gt;0,IFERROR(VALUE(SUBSTITUTE(TRIM(Input!G951&amp;""),"%","")),0)&lt;1),1,100))</f>
        <v/>
      </c>
      <c r="G951" t="str">
        <f>IF(A951="","",IFERROR(VALUE(SUBSTITUTE(TRIM(Input!H951&amp;""),"%","")),0)/IF(AND(IFERROR(VALUE(SUBSTITUTE(TRIM(Input!H951&amp;""),"%","")),0)&gt;0,IFERROR(VALUE(SUBSTITUTE(TRIM(Input!H951&amp;""),"%","")),0)&lt;1),1,100))</f>
        <v/>
      </c>
      <c r="H951" t="str">
        <f>IF(A951="","",IFERROR(VALUE(SUBSTITUTE(TRIM(Input!I951&amp;""),"%","")),0)/IF(AND(IFERROR(VALUE(SUBSTITUTE(TRIM(Input!I951&amp;""),"%","")),0)&gt;0,IFERROR(VALUE(SUBSTITUTE(TRIM(Input!I951&amp;""),"%","")),0)&lt;1),1,100))</f>
        <v/>
      </c>
    </row>
    <row r="952" spans="1:8">
      <c r="A952" t="str">
        <f>IF(TRIM(Input!B952&amp;"")="","",UPPER(TRIM(Input!B952&amp;"")))</f>
        <v/>
      </c>
      <c r="B952" t="str">
        <f>IF(A952="","",IFERROR(VALUE(RIGHT(TRIM(Input!D952&amp;""),1)),0))</f>
        <v/>
      </c>
      <c r="C952" t="str">
        <f t="shared" si="14"/>
        <v/>
      </c>
      <c r="D952" t="str">
        <f>IF(A952="","",IFERROR(VALUE(SUBSTITUTE(TRIM(Input!E952&amp;""),"%","")),0)/IF(AND(IFERROR(VALUE(SUBSTITUTE(TRIM(Input!E952&amp;""),"%","")),0)&gt;0,IFERROR(VALUE(SUBSTITUTE(TRIM(Input!E952&amp;""),"%","")),0)&lt;1),1,100))</f>
        <v/>
      </c>
      <c r="E952" t="str">
        <f>IF(A952="","",IFERROR(VALUE(SUBSTITUTE(TRIM(Input!F952&amp;""),"%","")),0)/IF(AND(IFERROR(VALUE(SUBSTITUTE(TRIM(Input!F952&amp;""),"%","")),0)&gt;0,IFERROR(VALUE(SUBSTITUTE(TRIM(Input!F952&amp;""),"%","")),0)&lt;1),1,100))</f>
        <v/>
      </c>
      <c r="F952" t="str">
        <f>IF(A952="","",IFERROR(VALUE(SUBSTITUTE(TRIM(Input!G952&amp;""),"%","")),0)/IF(AND(IFERROR(VALUE(SUBSTITUTE(TRIM(Input!G952&amp;""),"%","")),0)&gt;0,IFERROR(VALUE(SUBSTITUTE(TRIM(Input!G952&amp;""),"%","")),0)&lt;1),1,100))</f>
        <v/>
      </c>
      <c r="G952" t="str">
        <f>IF(A952="","",IFERROR(VALUE(SUBSTITUTE(TRIM(Input!H952&amp;""),"%","")),0)/IF(AND(IFERROR(VALUE(SUBSTITUTE(TRIM(Input!H952&amp;""),"%","")),0)&gt;0,IFERROR(VALUE(SUBSTITUTE(TRIM(Input!H952&amp;""),"%","")),0)&lt;1),1,100))</f>
        <v/>
      </c>
      <c r="H952" t="str">
        <f>IF(A952="","",IFERROR(VALUE(SUBSTITUTE(TRIM(Input!I952&amp;""),"%","")),0)/IF(AND(IFERROR(VALUE(SUBSTITUTE(TRIM(Input!I952&amp;""),"%","")),0)&gt;0,IFERROR(VALUE(SUBSTITUTE(TRIM(Input!I952&amp;""),"%","")),0)&lt;1),1,100))</f>
        <v/>
      </c>
    </row>
    <row r="953" spans="1:8">
      <c r="A953" t="str">
        <f>IF(TRIM(Input!B953&amp;"")="","",UPPER(TRIM(Input!B953&amp;"")))</f>
        <v/>
      </c>
      <c r="B953" t="str">
        <f>IF(A953="","",IFERROR(VALUE(RIGHT(TRIM(Input!D953&amp;""),1)),0))</f>
        <v/>
      </c>
      <c r="C953" t="str">
        <f t="shared" si="14"/>
        <v/>
      </c>
      <c r="D953" t="str">
        <f>IF(A953="","",IFERROR(VALUE(SUBSTITUTE(TRIM(Input!E953&amp;""),"%","")),0)/IF(AND(IFERROR(VALUE(SUBSTITUTE(TRIM(Input!E953&amp;""),"%","")),0)&gt;0,IFERROR(VALUE(SUBSTITUTE(TRIM(Input!E953&amp;""),"%","")),0)&lt;1),1,100))</f>
        <v/>
      </c>
      <c r="E953" t="str">
        <f>IF(A953="","",IFERROR(VALUE(SUBSTITUTE(TRIM(Input!F953&amp;""),"%","")),0)/IF(AND(IFERROR(VALUE(SUBSTITUTE(TRIM(Input!F953&amp;""),"%","")),0)&gt;0,IFERROR(VALUE(SUBSTITUTE(TRIM(Input!F953&amp;""),"%","")),0)&lt;1),1,100))</f>
        <v/>
      </c>
      <c r="F953" t="str">
        <f>IF(A953="","",IFERROR(VALUE(SUBSTITUTE(TRIM(Input!G953&amp;""),"%","")),0)/IF(AND(IFERROR(VALUE(SUBSTITUTE(TRIM(Input!G953&amp;""),"%","")),0)&gt;0,IFERROR(VALUE(SUBSTITUTE(TRIM(Input!G953&amp;""),"%","")),0)&lt;1),1,100))</f>
        <v/>
      </c>
      <c r="G953" t="str">
        <f>IF(A953="","",IFERROR(VALUE(SUBSTITUTE(TRIM(Input!H953&amp;""),"%","")),0)/IF(AND(IFERROR(VALUE(SUBSTITUTE(TRIM(Input!H953&amp;""),"%","")),0)&gt;0,IFERROR(VALUE(SUBSTITUTE(TRIM(Input!H953&amp;""),"%","")),0)&lt;1),1,100))</f>
        <v/>
      </c>
      <c r="H953" t="str">
        <f>IF(A953="","",IFERROR(VALUE(SUBSTITUTE(TRIM(Input!I953&amp;""),"%","")),0)/IF(AND(IFERROR(VALUE(SUBSTITUTE(TRIM(Input!I953&amp;""),"%","")),0)&gt;0,IFERROR(VALUE(SUBSTITUTE(TRIM(Input!I953&amp;""),"%","")),0)&lt;1),1,100))</f>
        <v/>
      </c>
    </row>
    <row r="954" spans="1:8">
      <c r="A954" t="str">
        <f>IF(TRIM(Input!B954&amp;"")="","",UPPER(TRIM(Input!B954&amp;"")))</f>
        <v/>
      </c>
      <c r="B954" t="str">
        <f>IF(A954="","",IFERROR(VALUE(RIGHT(TRIM(Input!D954&amp;""),1)),0))</f>
        <v/>
      </c>
      <c r="C954" t="str">
        <f t="shared" si="14"/>
        <v/>
      </c>
      <c r="D954" t="str">
        <f>IF(A954="","",IFERROR(VALUE(SUBSTITUTE(TRIM(Input!E954&amp;""),"%","")),0)/IF(AND(IFERROR(VALUE(SUBSTITUTE(TRIM(Input!E954&amp;""),"%","")),0)&gt;0,IFERROR(VALUE(SUBSTITUTE(TRIM(Input!E954&amp;""),"%","")),0)&lt;1),1,100))</f>
        <v/>
      </c>
      <c r="E954" t="str">
        <f>IF(A954="","",IFERROR(VALUE(SUBSTITUTE(TRIM(Input!F954&amp;""),"%","")),0)/IF(AND(IFERROR(VALUE(SUBSTITUTE(TRIM(Input!F954&amp;""),"%","")),0)&gt;0,IFERROR(VALUE(SUBSTITUTE(TRIM(Input!F954&amp;""),"%","")),0)&lt;1),1,100))</f>
        <v/>
      </c>
      <c r="F954" t="str">
        <f>IF(A954="","",IFERROR(VALUE(SUBSTITUTE(TRIM(Input!G954&amp;""),"%","")),0)/IF(AND(IFERROR(VALUE(SUBSTITUTE(TRIM(Input!G954&amp;""),"%","")),0)&gt;0,IFERROR(VALUE(SUBSTITUTE(TRIM(Input!G954&amp;""),"%","")),0)&lt;1),1,100))</f>
        <v/>
      </c>
      <c r="G954" t="str">
        <f>IF(A954="","",IFERROR(VALUE(SUBSTITUTE(TRIM(Input!H954&amp;""),"%","")),0)/IF(AND(IFERROR(VALUE(SUBSTITUTE(TRIM(Input!H954&amp;""),"%","")),0)&gt;0,IFERROR(VALUE(SUBSTITUTE(TRIM(Input!H954&amp;""),"%","")),0)&lt;1),1,100))</f>
        <v/>
      </c>
      <c r="H954" t="str">
        <f>IF(A954="","",IFERROR(VALUE(SUBSTITUTE(TRIM(Input!I954&amp;""),"%","")),0)/IF(AND(IFERROR(VALUE(SUBSTITUTE(TRIM(Input!I954&amp;""),"%","")),0)&gt;0,IFERROR(VALUE(SUBSTITUTE(TRIM(Input!I954&amp;""),"%","")),0)&lt;1),1,100))</f>
        <v/>
      </c>
    </row>
    <row r="955" spans="1:8">
      <c r="A955" t="str">
        <f>IF(TRIM(Input!B955&amp;"")="","",UPPER(TRIM(Input!B955&amp;"")))</f>
        <v/>
      </c>
      <c r="B955" t="str">
        <f>IF(A955="","",IFERROR(VALUE(RIGHT(TRIM(Input!D955&amp;""),1)),0))</f>
        <v/>
      </c>
      <c r="C955" t="str">
        <f t="shared" si="14"/>
        <v/>
      </c>
      <c r="D955" t="str">
        <f>IF(A955="","",IFERROR(VALUE(SUBSTITUTE(TRIM(Input!E955&amp;""),"%","")),0)/IF(AND(IFERROR(VALUE(SUBSTITUTE(TRIM(Input!E955&amp;""),"%","")),0)&gt;0,IFERROR(VALUE(SUBSTITUTE(TRIM(Input!E955&amp;""),"%","")),0)&lt;1),1,100))</f>
        <v/>
      </c>
      <c r="E955" t="str">
        <f>IF(A955="","",IFERROR(VALUE(SUBSTITUTE(TRIM(Input!F955&amp;""),"%","")),0)/IF(AND(IFERROR(VALUE(SUBSTITUTE(TRIM(Input!F955&amp;""),"%","")),0)&gt;0,IFERROR(VALUE(SUBSTITUTE(TRIM(Input!F955&amp;""),"%","")),0)&lt;1),1,100))</f>
        <v/>
      </c>
      <c r="F955" t="str">
        <f>IF(A955="","",IFERROR(VALUE(SUBSTITUTE(TRIM(Input!G955&amp;""),"%","")),0)/IF(AND(IFERROR(VALUE(SUBSTITUTE(TRIM(Input!G955&amp;""),"%","")),0)&gt;0,IFERROR(VALUE(SUBSTITUTE(TRIM(Input!G955&amp;""),"%","")),0)&lt;1),1,100))</f>
        <v/>
      </c>
      <c r="G955" t="str">
        <f>IF(A955="","",IFERROR(VALUE(SUBSTITUTE(TRIM(Input!H955&amp;""),"%","")),0)/IF(AND(IFERROR(VALUE(SUBSTITUTE(TRIM(Input!H955&amp;""),"%","")),0)&gt;0,IFERROR(VALUE(SUBSTITUTE(TRIM(Input!H955&amp;""),"%","")),0)&lt;1),1,100))</f>
        <v/>
      </c>
      <c r="H955" t="str">
        <f>IF(A955="","",IFERROR(VALUE(SUBSTITUTE(TRIM(Input!I955&amp;""),"%","")),0)/IF(AND(IFERROR(VALUE(SUBSTITUTE(TRIM(Input!I955&amp;""),"%","")),0)&gt;0,IFERROR(VALUE(SUBSTITUTE(TRIM(Input!I955&amp;""),"%","")),0)&lt;1),1,100))</f>
        <v/>
      </c>
    </row>
    <row r="956" spans="1:8">
      <c r="A956" t="str">
        <f>IF(TRIM(Input!B956&amp;"")="","",UPPER(TRIM(Input!B956&amp;"")))</f>
        <v/>
      </c>
      <c r="B956" t="str">
        <f>IF(A956="","",IFERROR(VALUE(RIGHT(TRIM(Input!D956&amp;""),1)),0))</f>
        <v/>
      </c>
      <c r="C956" t="str">
        <f t="shared" si="14"/>
        <v/>
      </c>
      <c r="D956" t="str">
        <f>IF(A956="","",IFERROR(VALUE(SUBSTITUTE(TRIM(Input!E956&amp;""),"%","")),0)/IF(AND(IFERROR(VALUE(SUBSTITUTE(TRIM(Input!E956&amp;""),"%","")),0)&gt;0,IFERROR(VALUE(SUBSTITUTE(TRIM(Input!E956&amp;""),"%","")),0)&lt;1),1,100))</f>
        <v/>
      </c>
      <c r="E956" t="str">
        <f>IF(A956="","",IFERROR(VALUE(SUBSTITUTE(TRIM(Input!F956&amp;""),"%","")),0)/IF(AND(IFERROR(VALUE(SUBSTITUTE(TRIM(Input!F956&amp;""),"%","")),0)&gt;0,IFERROR(VALUE(SUBSTITUTE(TRIM(Input!F956&amp;""),"%","")),0)&lt;1),1,100))</f>
        <v/>
      </c>
      <c r="F956" t="str">
        <f>IF(A956="","",IFERROR(VALUE(SUBSTITUTE(TRIM(Input!G956&amp;""),"%","")),0)/IF(AND(IFERROR(VALUE(SUBSTITUTE(TRIM(Input!G956&amp;""),"%","")),0)&gt;0,IFERROR(VALUE(SUBSTITUTE(TRIM(Input!G956&amp;""),"%","")),0)&lt;1),1,100))</f>
        <v/>
      </c>
      <c r="G956" t="str">
        <f>IF(A956="","",IFERROR(VALUE(SUBSTITUTE(TRIM(Input!H956&amp;""),"%","")),0)/IF(AND(IFERROR(VALUE(SUBSTITUTE(TRIM(Input!H956&amp;""),"%","")),0)&gt;0,IFERROR(VALUE(SUBSTITUTE(TRIM(Input!H956&amp;""),"%","")),0)&lt;1),1,100))</f>
        <v/>
      </c>
      <c r="H956" t="str">
        <f>IF(A956="","",IFERROR(VALUE(SUBSTITUTE(TRIM(Input!I956&amp;""),"%","")),0)/IF(AND(IFERROR(VALUE(SUBSTITUTE(TRIM(Input!I956&amp;""),"%","")),0)&gt;0,IFERROR(VALUE(SUBSTITUTE(TRIM(Input!I956&amp;""),"%","")),0)&lt;1),1,100))</f>
        <v/>
      </c>
    </row>
    <row r="957" spans="1:8">
      <c r="A957" t="str">
        <f>IF(TRIM(Input!B957&amp;"")="","",UPPER(TRIM(Input!B957&amp;"")))</f>
        <v/>
      </c>
      <c r="B957" t="str">
        <f>IF(A957="","",IFERROR(VALUE(RIGHT(TRIM(Input!D957&amp;""),1)),0))</f>
        <v/>
      </c>
      <c r="C957" t="str">
        <f t="shared" si="14"/>
        <v/>
      </c>
      <c r="D957" t="str">
        <f>IF(A957="","",IFERROR(VALUE(SUBSTITUTE(TRIM(Input!E957&amp;""),"%","")),0)/IF(AND(IFERROR(VALUE(SUBSTITUTE(TRIM(Input!E957&amp;""),"%","")),0)&gt;0,IFERROR(VALUE(SUBSTITUTE(TRIM(Input!E957&amp;""),"%","")),0)&lt;1),1,100))</f>
        <v/>
      </c>
      <c r="E957" t="str">
        <f>IF(A957="","",IFERROR(VALUE(SUBSTITUTE(TRIM(Input!F957&amp;""),"%","")),0)/IF(AND(IFERROR(VALUE(SUBSTITUTE(TRIM(Input!F957&amp;""),"%","")),0)&gt;0,IFERROR(VALUE(SUBSTITUTE(TRIM(Input!F957&amp;""),"%","")),0)&lt;1),1,100))</f>
        <v/>
      </c>
      <c r="F957" t="str">
        <f>IF(A957="","",IFERROR(VALUE(SUBSTITUTE(TRIM(Input!G957&amp;""),"%","")),0)/IF(AND(IFERROR(VALUE(SUBSTITUTE(TRIM(Input!G957&amp;""),"%","")),0)&gt;0,IFERROR(VALUE(SUBSTITUTE(TRIM(Input!G957&amp;""),"%","")),0)&lt;1),1,100))</f>
        <v/>
      </c>
      <c r="G957" t="str">
        <f>IF(A957="","",IFERROR(VALUE(SUBSTITUTE(TRIM(Input!H957&amp;""),"%","")),0)/IF(AND(IFERROR(VALUE(SUBSTITUTE(TRIM(Input!H957&amp;""),"%","")),0)&gt;0,IFERROR(VALUE(SUBSTITUTE(TRIM(Input!H957&amp;""),"%","")),0)&lt;1),1,100))</f>
        <v/>
      </c>
      <c r="H957" t="str">
        <f>IF(A957="","",IFERROR(VALUE(SUBSTITUTE(TRIM(Input!I957&amp;""),"%","")),0)/IF(AND(IFERROR(VALUE(SUBSTITUTE(TRIM(Input!I957&amp;""),"%","")),0)&gt;0,IFERROR(VALUE(SUBSTITUTE(TRIM(Input!I957&amp;""),"%","")),0)&lt;1),1,100))</f>
        <v/>
      </c>
    </row>
    <row r="958" spans="1:8">
      <c r="A958" t="str">
        <f>IF(TRIM(Input!B958&amp;"")="","",UPPER(TRIM(Input!B958&amp;"")))</f>
        <v/>
      </c>
      <c r="B958" t="str">
        <f>IF(A958="","",IFERROR(VALUE(RIGHT(TRIM(Input!D958&amp;""),1)),0))</f>
        <v/>
      </c>
      <c r="C958" t="str">
        <f t="shared" si="14"/>
        <v/>
      </c>
      <c r="D958" t="str">
        <f>IF(A958="","",IFERROR(VALUE(SUBSTITUTE(TRIM(Input!E958&amp;""),"%","")),0)/IF(AND(IFERROR(VALUE(SUBSTITUTE(TRIM(Input!E958&amp;""),"%","")),0)&gt;0,IFERROR(VALUE(SUBSTITUTE(TRIM(Input!E958&amp;""),"%","")),0)&lt;1),1,100))</f>
        <v/>
      </c>
      <c r="E958" t="str">
        <f>IF(A958="","",IFERROR(VALUE(SUBSTITUTE(TRIM(Input!F958&amp;""),"%","")),0)/IF(AND(IFERROR(VALUE(SUBSTITUTE(TRIM(Input!F958&amp;""),"%","")),0)&gt;0,IFERROR(VALUE(SUBSTITUTE(TRIM(Input!F958&amp;""),"%","")),0)&lt;1),1,100))</f>
        <v/>
      </c>
      <c r="F958" t="str">
        <f>IF(A958="","",IFERROR(VALUE(SUBSTITUTE(TRIM(Input!G958&amp;""),"%","")),0)/IF(AND(IFERROR(VALUE(SUBSTITUTE(TRIM(Input!G958&amp;""),"%","")),0)&gt;0,IFERROR(VALUE(SUBSTITUTE(TRIM(Input!G958&amp;""),"%","")),0)&lt;1),1,100))</f>
        <v/>
      </c>
      <c r="G958" t="str">
        <f>IF(A958="","",IFERROR(VALUE(SUBSTITUTE(TRIM(Input!H958&amp;""),"%","")),0)/IF(AND(IFERROR(VALUE(SUBSTITUTE(TRIM(Input!H958&amp;""),"%","")),0)&gt;0,IFERROR(VALUE(SUBSTITUTE(TRIM(Input!H958&amp;""),"%","")),0)&lt;1),1,100))</f>
        <v/>
      </c>
      <c r="H958" t="str">
        <f>IF(A958="","",IFERROR(VALUE(SUBSTITUTE(TRIM(Input!I958&amp;""),"%","")),0)/IF(AND(IFERROR(VALUE(SUBSTITUTE(TRIM(Input!I958&amp;""),"%","")),0)&gt;0,IFERROR(VALUE(SUBSTITUTE(TRIM(Input!I958&amp;""),"%","")),0)&lt;1),1,100))</f>
        <v/>
      </c>
    </row>
    <row r="959" spans="1:8">
      <c r="A959" t="str">
        <f>IF(TRIM(Input!B959&amp;"")="","",UPPER(TRIM(Input!B959&amp;"")))</f>
        <v/>
      </c>
      <c r="B959" t="str">
        <f>IF(A959="","",IFERROR(VALUE(RIGHT(TRIM(Input!D959&amp;""),1)),0))</f>
        <v/>
      </c>
      <c r="C959" t="str">
        <f t="shared" si="14"/>
        <v/>
      </c>
      <c r="D959" t="str">
        <f>IF(A959="","",IFERROR(VALUE(SUBSTITUTE(TRIM(Input!E959&amp;""),"%","")),0)/IF(AND(IFERROR(VALUE(SUBSTITUTE(TRIM(Input!E959&amp;""),"%","")),0)&gt;0,IFERROR(VALUE(SUBSTITUTE(TRIM(Input!E959&amp;""),"%","")),0)&lt;1),1,100))</f>
        <v/>
      </c>
      <c r="E959" t="str">
        <f>IF(A959="","",IFERROR(VALUE(SUBSTITUTE(TRIM(Input!F959&amp;""),"%","")),0)/IF(AND(IFERROR(VALUE(SUBSTITUTE(TRIM(Input!F959&amp;""),"%","")),0)&gt;0,IFERROR(VALUE(SUBSTITUTE(TRIM(Input!F959&amp;""),"%","")),0)&lt;1),1,100))</f>
        <v/>
      </c>
      <c r="F959" t="str">
        <f>IF(A959="","",IFERROR(VALUE(SUBSTITUTE(TRIM(Input!G959&amp;""),"%","")),0)/IF(AND(IFERROR(VALUE(SUBSTITUTE(TRIM(Input!G959&amp;""),"%","")),0)&gt;0,IFERROR(VALUE(SUBSTITUTE(TRIM(Input!G959&amp;""),"%","")),0)&lt;1),1,100))</f>
        <v/>
      </c>
      <c r="G959" t="str">
        <f>IF(A959="","",IFERROR(VALUE(SUBSTITUTE(TRIM(Input!H959&amp;""),"%","")),0)/IF(AND(IFERROR(VALUE(SUBSTITUTE(TRIM(Input!H959&amp;""),"%","")),0)&gt;0,IFERROR(VALUE(SUBSTITUTE(TRIM(Input!H959&amp;""),"%","")),0)&lt;1),1,100))</f>
        <v/>
      </c>
      <c r="H959" t="str">
        <f>IF(A959="","",IFERROR(VALUE(SUBSTITUTE(TRIM(Input!I959&amp;""),"%","")),0)/IF(AND(IFERROR(VALUE(SUBSTITUTE(TRIM(Input!I959&amp;""),"%","")),0)&gt;0,IFERROR(VALUE(SUBSTITUTE(TRIM(Input!I959&amp;""),"%","")),0)&lt;1),1,100))</f>
        <v/>
      </c>
    </row>
    <row r="960" spans="1:8">
      <c r="A960" t="str">
        <f>IF(TRIM(Input!B960&amp;"")="","",UPPER(TRIM(Input!B960&amp;"")))</f>
        <v/>
      </c>
      <c r="B960" t="str">
        <f>IF(A960="","",IFERROR(VALUE(RIGHT(TRIM(Input!D960&amp;""),1)),0))</f>
        <v/>
      </c>
      <c r="C960" t="str">
        <f t="shared" si="14"/>
        <v/>
      </c>
      <c r="D960" t="str">
        <f>IF(A960="","",IFERROR(VALUE(SUBSTITUTE(TRIM(Input!E960&amp;""),"%","")),0)/IF(AND(IFERROR(VALUE(SUBSTITUTE(TRIM(Input!E960&amp;""),"%","")),0)&gt;0,IFERROR(VALUE(SUBSTITUTE(TRIM(Input!E960&amp;""),"%","")),0)&lt;1),1,100))</f>
        <v/>
      </c>
      <c r="E960" t="str">
        <f>IF(A960="","",IFERROR(VALUE(SUBSTITUTE(TRIM(Input!F960&amp;""),"%","")),0)/IF(AND(IFERROR(VALUE(SUBSTITUTE(TRIM(Input!F960&amp;""),"%","")),0)&gt;0,IFERROR(VALUE(SUBSTITUTE(TRIM(Input!F960&amp;""),"%","")),0)&lt;1),1,100))</f>
        <v/>
      </c>
      <c r="F960" t="str">
        <f>IF(A960="","",IFERROR(VALUE(SUBSTITUTE(TRIM(Input!G960&amp;""),"%","")),0)/IF(AND(IFERROR(VALUE(SUBSTITUTE(TRIM(Input!G960&amp;""),"%","")),0)&gt;0,IFERROR(VALUE(SUBSTITUTE(TRIM(Input!G960&amp;""),"%","")),0)&lt;1),1,100))</f>
        <v/>
      </c>
      <c r="G960" t="str">
        <f>IF(A960="","",IFERROR(VALUE(SUBSTITUTE(TRIM(Input!H960&amp;""),"%","")),0)/IF(AND(IFERROR(VALUE(SUBSTITUTE(TRIM(Input!H960&amp;""),"%","")),0)&gt;0,IFERROR(VALUE(SUBSTITUTE(TRIM(Input!H960&amp;""),"%","")),0)&lt;1),1,100))</f>
        <v/>
      </c>
      <c r="H960" t="str">
        <f>IF(A960="","",IFERROR(VALUE(SUBSTITUTE(TRIM(Input!I960&amp;""),"%","")),0)/IF(AND(IFERROR(VALUE(SUBSTITUTE(TRIM(Input!I960&amp;""),"%","")),0)&gt;0,IFERROR(VALUE(SUBSTITUTE(TRIM(Input!I960&amp;""),"%","")),0)&lt;1),1,100))</f>
        <v/>
      </c>
    </row>
    <row r="961" spans="1:8">
      <c r="A961" t="str">
        <f>IF(TRIM(Input!B961&amp;"")="","",UPPER(TRIM(Input!B961&amp;"")))</f>
        <v/>
      </c>
      <c r="B961" t="str">
        <f>IF(A961="","",IFERROR(VALUE(RIGHT(TRIM(Input!D961&amp;""),1)),0))</f>
        <v/>
      </c>
      <c r="C961" t="str">
        <f t="shared" si="14"/>
        <v/>
      </c>
      <c r="D961" t="str">
        <f>IF(A961="","",IFERROR(VALUE(SUBSTITUTE(TRIM(Input!E961&amp;""),"%","")),0)/IF(AND(IFERROR(VALUE(SUBSTITUTE(TRIM(Input!E961&amp;""),"%","")),0)&gt;0,IFERROR(VALUE(SUBSTITUTE(TRIM(Input!E961&amp;""),"%","")),0)&lt;1),1,100))</f>
        <v/>
      </c>
      <c r="E961" t="str">
        <f>IF(A961="","",IFERROR(VALUE(SUBSTITUTE(TRIM(Input!F961&amp;""),"%","")),0)/IF(AND(IFERROR(VALUE(SUBSTITUTE(TRIM(Input!F961&amp;""),"%","")),0)&gt;0,IFERROR(VALUE(SUBSTITUTE(TRIM(Input!F961&amp;""),"%","")),0)&lt;1),1,100))</f>
        <v/>
      </c>
      <c r="F961" t="str">
        <f>IF(A961="","",IFERROR(VALUE(SUBSTITUTE(TRIM(Input!G961&amp;""),"%","")),0)/IF(AND(IFERROR(VALUE(SUBSTITUTE(TRIM(Input!G961&amp;""),"%","")),0)&gt;0,IFERROR(VALUE(SUBSTITUTE(TRIM(Input!G961&amp;""),"%","")),0)&lt;1),1,100))</f>
        <v/>
      </c>
      <c r="G961" t="str">
        <f>IF(A961="","",IFERROR(VALUE(SUBSTITUTE(TRIM(Input!H961&amp;""),"%","")),0)/IF(AND(IFERROR(VALUE(SUBSTITUTE(TRIM(Input!H961&amp;""),"%","")),0)&gt;0,IFERROR(VALUE(SUBSTITUTE(TRIM(Input!H961&amp;""),"%","")),0)&lt;1),1,100))</f>
        <v/>
      </c>
      <c r="H961" t="str">
        <f>IF(A961="","",IFERROR(VALUE(SUBSTITUTE(TRIM(Input!I961&amp;""),"%","")),0)/IF(AND(IFERROR(VALUE(SUBSTITUTE(TRIM(Input!I961&amp;""),"%","")),0)&gt;0,IFERROR(VALUE(SUBSTITUTE(TRIM(Input!I961&amp;""),"%","")),0)&lt;1),1,100))</f>
        <v/>
      </c>
    </row>
    <row r="962" spans="1:8">
      <c r="A962" t="str">
        <f>IF(TRIM(Input!B962&amp;"")="","",UPPER(TRIM(Input!B962&amp;"")))</f>
        <v/>
      </c>
      <c r="B962" t="str">
        <f>IF(A962="","",IFERROR(VALUE(RIGHT(TRIM(Input!D962&amp;""),1)),0))</f>
        <v/>
      </c>
      <c r="C962" t="str">
        <f t="shared" ref="C962:C1025" si="15">IF(A962="","",A962&amp;"|"&amp;B962)</f>
        <v/>
      </c>
      <c r="D962" t="str">
        <f>IF(A962="","",IFERROR(VALUE(SUBSTITUTE(TRIM(Input!E962&amp;""),"%","")),0)/IF(AND(IFERROR(VALUE(SUBSTITUTE(TRIM(Input!E962&amp;""),"%","")),0)&gt;0,IFERROR(VALUE(SUBSTITUTE(TRIM(Input!E962&amp;""),"%","")),0)&lt;1),1,100))</f>
        <v/>
      </c>
      <c r="E962" t="str">
        <f>IF(A962="","",IFERROR(VALUE(SUBSTITUTE(TRIM(Input!F962&amp;""),"%","")),0)/IF(AND(IFERROR(VALUE(SUBSTITUTE(TRIM(Input!F962&amp;""),"%","")),0)&gt;0,IFERROR(VALUE(SUBSTITUTE(TRIM(Input!F962&amp;""),"%","")),0)&lt;1),1,100))</f>
        <v/>
      </c>
      <c r="F962" t="str">
        <f>IF(A962="","",IFERROR(VALUE(SUBSTITUTE(TRIM(Input!G962&amp;""),"%","")),0)/IF(AND(IFERROR(VALUE(SUBSTITUTE(TRIM(Input!G962&amp;""),"%","")),0)&gt;0,IFERROR(VALUE(SUBSTITUTE(TRIM(Input!G962&amp;""),"%","")),0)&lt;1),1,100))</f>
        <v/>
      </c>
      <c r="G962" t="str">
        <f>IF(A962="","",IFERROR(VALUE(SUBSTITUTE(TRIM(Input!H962&amp;""),"%","")),0)/IF(AND(IFERROR(VALUE(SUBSTITUTE(TRIM(Input!H962&amp;""),"%","")),0)&gt;0,IFERROR(VALUE(SUBSTITUTE(TRIM(Input!H962&amp;""),"%","")),0)&lt;1),1,100))</f>
        <v/>
      </c>
      <c r="H962" t="str">
        <f>IF(A962="","",IFERROR(VALUE(SUBSTITUTE(TRIM(Input!I962&amp;""),"%","")),0)/IF(AND(IFERROR(VALUE(SUBSTITUTE(TRIM(Input!I962&amp;""),"%","")),0)&gt;0,IFERROR(VALUE(SUBSTITUTE(TRIM(Input!I962&amp;""),"%","")),0)&lt;1),1,100))</f>
        <v/>
      </c>
    </row>
    <row r="963" spans="1:8">
      <c r="A963" t="str">
        <f>IF(TRIM(Input!B963&amp;"")="","",UPPER(TRIM(Input!B963&amp;"")))</f>
        <v/>
      </c>
      <c r="B963" t="str">
        <f>IF(A963="","",IFERROR(VALUE(RIGHT(TRIM(Input!D963&amp;""),1)),0))</f>
        <v/>
      </c>
      <c r="C963" t="str">
        <f t="shared" si="15"/>
        <v/>
      </c>
      <c r="D963" t="str">
        <f>IF(A963="","",IFERROR(VALUE(SUBSTITUTE(TRIM(Input!E963&amp;""),"%","")),0)/IF(AND(IFERROR(VALUE(SUBSTITUTE(TRIM(Input!E963&amp;""),"%","")),0)&gt;0,IFERROR(VALUE(SUBSTITUTE(TRIM(Input!E963&amp;""),"%","")),0)&lt;1),1,100))</f>
        <v/>
      </c>
      <c r="E963" t="str">
        <f>IF(A963="","",IFERROR(VALUE(SUBSTITUTE(TRIM(Input!F963&amp;""),"%","")),0)/IF(AND(IFERROR(VALUE(SUBSTITUTE(TRIM(Input!F963&amp;""),"%","")),0)&gt;0,IFERROR(VALUE(SUBSTITUTE(TRIM(Input!F963&amp;""),"%","")),0)&lt;1),1,100))</f>
        <v/>
      </c>
      <c r="F963" t="str">
        <f>IF(A963="","",IFERROR(VALUE(SUBSTITUTE(TRIM(Input!G963&amp;""),"%","")),0)/IF(AND(IFERROR(VALUE(SUBSTITUTE(TRIM(Input!G963&amp;""),"%","")),0)&gt;0,IFERROR(VALUE(SUBSTITUTE(TRIM(Input!G963&amp;""),"%","")),0)&lt;1),1,100))</f>
        <v/>
      </c>
      <c r="G963" t="str">
        <f>IF(A963="","",IFERROR(VALUE(SUBSTITUTE(TRIM(Input!H963&amp;""),"%","")),0)/IF(AND(IFERROR(VALUE(SUBSTITUTE(TRIM(Input!H963&amp;""),"%","")),0)&gt;0,IFERROR(VALUE(SUBSTITUTE(TRIM(Input!H963&amp;""),"%","")),0)&lt;1),1,100))</f>
        <v/>
      </c>
      <c r="H963" t="str">
        <f>IF(A963="","",IFERROR(VALUE(SUBSTITUTE(TRIM(Input!I963&amp;""),"%","")),0)/IF(AND(IFERROR(VALUE(SUBSTITUTE(TRIM(Input!I963&amp;""),"%","")),0)&gt;0,IFERROR(VALUE(SUBSTITUTE(TRIM(Input!I963&amp;""),"%","")),0)&lt;1),1,100))</f>
        <v/>
      </c>
    </row>
    <row r="964" spans="1:8">
      <c r="A964" t="str">
        <f>IF(TRIM(Input!B964&amp;"")="","",UPPER(TRIM(Input!B964&amp;"")))</f>
        <v/>
      </c>
      <c r="B964" t="str">
        <f>IF(A964="","",IFERROR(VALUE(RIGHT(TRIM(Input!D964&amp;""),1)),0))</f>
        <v/>
      </c>
      <c r="C964" t="str">
        <f t="shared" si="15"/>
        <v/>
      </c>
      <c r="D964" t="str">
        <f>IF(A964="","",IFERROR(VALUE(SUBSTITUTE(TRIM(Input!E964&amp;""),"%","")),0)/IF(AND(IFERROR(VALUE(SUBSTITUTE(TRIM(Input!E964&amp;""),"%","")),0)&gt;0,IFERROR(VALUE(SUBSTITUTE(TRIM(Input!E964&amp;""),"%","")),0)&lt;1),1,100))</f>
        <v/>
      </c>
      <c r="E964" t="str">
        <f>IF(A964="","",IFERROR(VALUE(SUBSTITUTE(TRIM(Input!F964&amp;""),"%","")),0)/IF(AND(IFERROR(VALUE(SUBSTITUTE(TRIM(Input!F964&amp;""),"%","")),0)&gt;0,IFERROR(VALUE(SUBSTITUTE(TRIM(Input!F964&amp;""),"%","")),0)&lt;1),1,100))</f>
        <v/>
      </c>
      <c r="F964" t="str">
        <f>IF(A964="","",IFERROR(VALUE(SUBSTITUTE(TRIM(Input!G964&amp;""),"%","")),0)/IF(AND(IFERROR(VALUE(SUBSTITUTE(TRIM(Input!G964&amp;""),"%","")),0)&gt;0,IFERROR(VALUE(SUBSTITUTE(TRIM(Input!G964&amp;""),"%","")),0)&lt;1),1,100))</f>
        <v/>
      </c>
      <c r="G964" t="str">
        <f>IF(A964="","",IFERROR(VALUE(SUBSTITUTE(TRIM(Input!H964&amp;""),"%","")),0)/IF(AND(IFERROR(VALUE(SUBSTITUTE(TRIM(Input!H964&amp;""),"%","")),0)&gt;0,IFERROR(VALUE(SUBSTITUTE(TRIM(Input!H964&amp;""),"%","")),0)&lt;1),1,100))</f>
        <v/>
      </c>
      <c r="H964" t="str">
        <f>IF(A964="","",IFERROR(VALUE(SUBSTITUTE(TRIM(Input!I964&amp;""),"%","")),0)/IF(AND(IFERROR(VALUE(SUBSTITUTE(TRIM(Input!I964&amp;""),"%","")),0)&gt;0,IFERROR(VALUE(SUBSTITUTE(TRIM(Input!I964&amp;""),"%","")),0)&lt;1),1,100))</f>
        <v/>
      </c>
    </row>
    <row r="965" spans="1:8">
      <c r="A965" t="str">
        <f>IF(TRIM(Input!B965&amp;"")="","",UPPER(TRIM(Input!B965&amp;"")))</f>
        <v/>
      </c>
      <c r="B965" t="str">
        <f>IF(A965="","",IFERROR(VALUE(RIGHT(TRIM(Input!D965&amp;""),1)),0))</f>
        <v/>
      </c>
      <c r="C965" t="str">
        <f t="shared" si="15"/>
        <v/>
      </c>
      <c r="D965" t="str">
        <f>IF(A965="","",IFERROR(VALUE(SUBSTITUTE(TRIM(Input!E965&amp;""),"%","")),0)/IF(AND(IFERROR(VALUE(SUBSTITUTE(TRIM(Input!E965&amp;""),"%","")),0)&gt;0,IFERROR(VALUE(SUBSTITUTE(TRIM(Input!E965&amp;""),"%","")),0)&lt;1),1,100))</f>
        <v/>
      </c>
      <c r="E965" t="str">
        <f>IF(A965="","",IFERROR(VALUE(SUBSTITUTE(TRIM(Input!F965&amp;""),"%","")),0)/IF(AND(IFERROR(VALUE(SUBSTITUTE(TRIM(Input!F965&amp;""),"%","")),0)&gt;0,IFERROR(VALUE(SUBSTITUTE(TRIM(Input!F965&amp;""),"%","")),0)&lt;1),1,100))</f>
        <v/>
      </c>
      <c r="F965" t="str">
        <f>IF(A965="","",IFERROR(VALUE(SUBSTITUTE(TRIM(Input!G965&amp;""),"%","")),0)/IF(AND(IFERROR(VALUE(SUBSTITUTE(TRIM(Input!G965&amp;""),"%","")),0)&gt;0,IFERROR(VALUE(SUBSTITUTE(TRIM(Input!G965&amp;""),"%","")),0)&lt;1),1,100))</f>
        <v/>
      </c>
      <c r="G965" t="str">
        <f>IF(A965="","",IFERROR(VALUE(SUBSTITUTE(TRIM(Input!H965&amp;""),"%","")),0)/IF(AND(IFERROR(VALUE(SUBSTITUTE(TRIM(Input!H965&amp;""),"%","")),0)&gt;0,IFERROR(VALUE(SUBSTITUTE(TRIM(Input!H965&amp;""),"%","")),0)&lt;1),1,100))</f>
        <v/>
      </c>
      <c r="H965" t="str">
        <f>IF(A965="","",IFERROR(VALUE(SUBSTITUTE(TRIM(Input!I965&amp;""),"%","")),0)/IF(AND(IFERROR(VALUE(SUBSTITUTE(TRIM(Input!I965&amp;""),"%","")),0)&gt;0,IFERROR(VALUE(SUBSTITUTE(TRIM(Input!I965&amp;""),"%","")),0)&lt;1),1,100))</f>
        <v/>
      </c>
    </row>
    <row r="966" spans="1:8">
      <c r="A966" t="str">
        <f>IF(TRIM(Input!B966&amp;"")="","",UPPER(TRIM(Input!B966&amp;"")))</f>
        <v/>
      </c>
      <c r="B966" t="str">
        <f>IF(A966="","",IFERROR(VALUE(RIGHT(TRIM(Input!D966&amp;""),1)),0))</f>
        <v/>
      </c>
      <c r="C966" t="str">
        <f t="shared" si="15"/>
        <v/>
      </c>
      <c r="D966" t="str">
        <f>IF(A966="","",IFERROR(VALUE(SUBSTITUTE(TRIM(Input!E966&amp;""),"%","")),0)/IF(AND(IFERROR(VALUE(SUBSTITUTE(TRIM(Input!E966&amp;""),"%","")),0)&gt;0,IFERROR(VALUE(SUBSTITUTE(TRIM(Input!E966&amp;""),"%","")),0)&lt;1),1,100))</f>
        <v/>
      </c>
      <c r="E966" t="str">
        <f>IF(A966="","",IFERROR(VALUE(SUBSTITUTE(TRIM(Input!F966&amp;""),"%","")),0)/IF(AND(IFERROR(VALUE(SUBSTITUTE(TRIM(Input!F966&amp;""),"%","")),0)&gt;0,IFERROR(VALUE(SUBSTITUTE(TRIM(Input!F966&amp;""),"%","")),0)&lt;1),1,100))</f>
        <v/>
      </c>
      <c r="F966" t="str">
        <f>IF(A966="","",IFERROR(VALUE(SUBSTITUTE(TRIM(Input!G966&amp;""),"%","")),0)/IF(AND(IFERROR(VALUE(SUBSTITUTE(TRIM(Input!G966&amp;""),"%","")),0)&gt;0,IFERROR(VALUE(SUBSTITUTE(TRIM(Input!G966&amp;""),"%","")),0)&lt;1),1,100))</f>
        <v/>
      </c>
      <c r="G966" t="str">
        <f>IF(A966="","",IFERROR(VALUE(SUBSTITUTE(TRIM(Input!H966&amp;""),"%","")),0)/IF(AND(IFERROR(VALUE(SUBSTITUTE(TRIM(Input!H966&amp;""),"%","")),0)&gt;0,IFERROR(VALUE(SUBSTITUTE(TRIM(Input!H966&amp;""),"%","")),0)&lt;1),1,100))</f>
        <v/>
      </c>
      <c r="H966" t="str">
        <f>IF(A966="","",IFERROR(VALUE(SUBSTITUTE(TRIM(Input!I966&amp;""),"%","")),0)/IF(AND(IFERROR(VALUE(SUBSTITUTE(TRIM(Input!I966&amp;""),"%","")),0)&gt;0,IFERROR(VALUE(SUBSTITUTE(TRIM(Input!I966&amp;""),"%","")),0)&lt;1),1,100))</f>
        <v/>
      </c>
    </row>
    <row r="967" spans="1:8">
      <c r="A967" t="str">
        <f>IF(TRIM(Input!B967&amp;"")="","",UPPER(TRIM(Input!B967&amp;"")))</f>
        <v/>
      </c>
      <c r="B967" t="str">
        <f>IF(A967="","",IFERROR(VALUE(RIGHT(TRIM(Input!D967&amp;""),1)),0))</f>
        <v/>
      </c>
      <c r="C967" t="str">
        <f t="shared" si="15"/>
        <v/>
      </c>
      <c r="D967" t="str">
        <f>IF(A967="","",IFERROR(VALUE(SUBSTITUTE(TRIM(Input!E967&amp;""),"%","")),0)/IF(AND(IFERROR(VALUE(SUBSTITUTE(TRIM(Input!E967&amp;""),"%","")),0)&gt;0,IFERROR(VALUE(SUBSTITUTE(TRIM(Input!E967&amp;""),"%","")),0)&lt;1),1,100))</f>
        <v/>
      </c>
      <c r="E967" t="str">
        <f>IF(A967="","",IFERROR(VALUE(SUBSTITUTE(TRIM(Input!F967&amp;""),"%","")),0)/IF(AND(IFERROR(VALUE(SUBSTITUTE(TRIM(Input!F967&amp;""),"%","")),0)&gt;0,IFERROR(VALUE(SUBSTITUTE(TRIM(Input!F967&amp;""),"%","")),0)&lt;1),1,100))</f>
        <v/>
      </c>
      <c r="F967" t="str">
        <f>IF(A967="","",IFERROR(VALUE(SUBSTITUTE(TRIM(Input!G967&amp;""),"%","")),0)/IF(AND(IFERROR(VALUE(SUBSTITUTE(TRIM(Input!G967&amp;""),"%","")),0)&gt;0,IFERROR(VALUE(SUBSTITUTE(TRIM(Input!G967&amp;""),"%","")),0)&lt;1),1,100))</f>
        <v/>
      </c>
      <c r="G967" t="str">
        <f>IF(A967="","",IFERROR(VALUE(SUBSTITUTE(TRIM(Input!H967&amp;""),"%","")),0)/IF(AND(IFERROR(VALUE(SUBSTITUTE(TRIM(Input!H967&amp;""),"%","")),0)&gt;0,IFERROR(VALUE(SUBSTITUTE(TRIM(Input!H967&amp;""),"%","")),0)&lt;1),1,100))</f>
        <v/>
      </c>
      <c r="H967" t="str">
        <f>IF(A967="","",IFERROR(VALUE(SUBSTITUTE(TRIM(Input!I967&amp;""),"%","")),0)/IF(AND(IFERROR(VALUE(SUBSTITUTE(TRIM(Input!I967&amp;""),"%","")),0)&gt;0,IFERROR(VALUE(SUBSTITUTE(TRIM(Input!I967&amp;""),"%","")),0)&lt;1),1,100))</f>
        <v/>
      </c>
    </row>
    <row r="968" spans="1:8">
      <c r="A968" t="str">
        <f>IF(TRIM(Input!B968&amp;"")="","",UPPER(TRIM(Input!B968&amp;"")))</f>
        <v/>
      </c>
      <c r="B968" t="str">
        <f>IF(A968="","",IFERROR(VALUE(RIGHT(TRIM(Input!D968&amp;""),1)),0))</f>
        <v/>
      </c>
      <c r="C968" t="str">
        <f t="shared" si="15"/>
        <v/>
      </c>
      <c r="D968" t="str">
        <f>IF(A968="","",IFERROR(VALUE(SUBSTITUTE(TRIM(Input!E968&amp;""),"%","")),0)/IF(AND(IFERROR(VALUE(SUBSTITUTE(TRIM(Input!E968&amp;""),"%","")),0)&gt;0,IFERROR(VALUE(SUBSTITUTE(TRIM(Input!E968&amp;""),"%","")),0)&lt;1),1,100))</f>
        <v/>
      </c>
      <c r="E968" t="str">
        <f>IF(A968="","",IFERROR(VALUE(SUBSTITUTE(TRIM(Input!F968&amp;""),"%","")),0)/IF(AND(IFERROR(VALUE(SUBSTITUTE(TRIM(Input!F968&amp;""),"%","")),0)&gt;0,IFERROR(VALUE(SUBSTITUTE(TRIM(Input!F968&amp;""),"%","")),0)&lt;1),1,100))</f>
        <v/>
      </c>
      <c r="F968" t="str">
        <f>IF(A968="","",IFERROR(VALUE(SUBSTITUTE(TRIM(Input!G968&amp;""),"%","")),0)/IF(AND(IFERROR(VALUE(SUBSTITUTE(TRIM(Input!G968&amp;""),"%","")),0)&gt;0,IFERROR(VALUE(SUBSTITUTE(TRIM(Input!G968&amp;""),"%","")),0)&lt;1),1,100))</f>
        <v/>
      </c>
      <c r="G968" t="str">
        <f>IF(A968="","",IFERROR(VALUE(SUBSTITUTE(TRIM(Input!H968&amp;""),"%","")),0)/IF(AND(IFERROR(VALUE(SUBSTITUTE(TRIM(Input!H968&amp;""),"%","")),0)&gt;0,IFERROR(VALUE(SUBSTITUTE(TRIM(Input!H968&amp;""),"%","")),0)&lt;1),1,100))</f>
        <v/>
      </c>
      <c r="H968" t="str">
        <f>IF(A968="","",IFERROR(VALUE(SUBSTITUTE(TRIM(Input!I968&amp;""),"%","")),0)/IF(AND(IFERROR(VALUE(SUBSTITUTE(TRIM(Input!I968&amp;""),"%","")),0)&gt;0,IFERROR(VALUE(SUBSTITUTE(TRIM(Input!I968&amp;""),"%","")),0)&lt;1),1,100))</f>
        <v/>
      </c>
    </row>
    <row r="969" spans="1:8">
      <c r="A969" t="str">
        <f>IF(TRIM(Input!B969&amp;"")="","",UPPER(TRIM(Input!B969&amp;"")))</f>
        <v/>
      </c>
      <c r="B969" t="str">
        <f>IF(A969="","",IFERROR(VALUE(RIGHT(TRIM(Input!D969&amp;""),1)),0))</f>
        <v/>
      </c>
      <c r="C969" t="str">
        <f t="shared" si="15"/>
        <v/>
      </c>
      <c r="D969" t="str">
        <f>IF(A969="","",IFERROR(VALUE(SUBSTITUTE(TRIM(Input!E969&amp;""),"%","")),0)/IF(AND(IFERROR(VALUE(SUBSTITUTE(TRIM(Input!E969&amp;""),"%","")),0)&gt;0,IFERROR(VALUE(SUBSTITUTE(TRIM(Input!E969&amp;""),"%","")),0)&lt;1),1,100))</f>
        <v/>
      </c>
      <c r="E969" t="str">
        <f>IF(A969="","",IFERROR(VALUE(SUBSTITUTE(TRIM(Input!F969&amp;""),"%","")),0)/IF(AND(IFERROR(VALUE(SUBSTITUTE(TRIM(Input!F969&amp;""),"%","")),0)&gt;0,IFERROR(VALUE(SUBSTITUTE(TRIM(Input!F969&amp;""),"%","")),0)&lt;1),1,100))</f>
        <v/>
      </c>
      <c r="F969" t="str">
        <f>IF(A969="","",IFERROR(VALUE(SUBSTITUTE(TRIM(Input!G969&amp;""),"%","")),0)/IF(AND(IFERROR(VALUE(SUBSTITUTE(TRIM(Input!G969&amp;""),"%","")),0)&gt;0,IFERROR(VALUE(SUBSTITUTE(TRIM(Input!G969&amp;""),"%","")),0)&lt;1),1,100))</f>
        <v/>
      </c>
      <c r="G969" t="str">
        <f>IF(A969="","",IFERROR(VALUE(SUBSTITUTE(TRIM(Input!H969&amp;""),"%","")),0)/IF(AND(IFERROR(VALUE(SUBSTITUTE(TRIM(Input!H969&amp;""),"%","")),0)&gt;0,IFERROR(VALUE(SUBSTITUTE(TRIM(Input!H969&amp;""),"%","")),0)&lt;1),1,100))</f>
        <v/>
      </c>
      <c r="H969" t="str">
        <f>IF(A969="","",IFERROR(VALUE(SUBSTITUTE(TRIM(Input!I969&amp;""),"%","")),0)/IF(AND(IFERROR(VALUE(SUBSTITUTE(TRIM(Input!I969&amp;""),"%","")),0)&gt;0,IFERROR(VALUE(SUBSTITUTE(TRIM(Input!I969&amp;""),"%","")),0)&lt;1),1,100))</f>
        <v/>
      </c>
    </row>
    <row r="970" spans="1:8">
      <c r="A970" t="str">
        <f>IF(TRIM(Input!B970&amp;"")="","",UPPER(TRIM(Input!B970&amp;"")))</f>
        <v/>
      </c>
      <c r="B970" t="str">
        <f>IF(A970="","",IFERROR(VALUE(RIGHT(TRIM(Input!D970&amp;""),1)),0))</f>
        <v/>
      </c>
      <c r="C970" t="str">
        <f t="shared" si="15"/>
        <v/>
      </c>
      <c r="D970" t="str">
        <f>IF(A970="","",IFERROR(VALUE(SUBSTITUTE(TRIM(Input!E970&amp;""),"%","")),0)/IF(AND(IFERROR(VALUE(SUBSTITUTE(TRIM(Input!E970&amp;""),"%","")),0)&gt;0,IFERROR(VALUE(SUBSTITUTE(TRIM(Input!E970&amp;""),"%","")),0)&lt;1),1,100))</f>
        <v/>
      </c>
      <c r="E970" t="str">
        <f>IF(A970="","",IFERROR(VALUE(SUBSTITUTE(TRIM(Input!F970&amp;""),"%","")),0)/IF(AND(IFERROR(VALUE(SUBSTITUTE(TRIM(Input!F970&amp;""),"%","")),0)&gt;0,IFERROR(VALUE(SUBSTITUTE(TRIM(Input!F970&amp;""),"%","")),0)&lt;1),1,100))</f>
        <v/>
      </c>
      <c r="F970" t="str">
        <f>IF(A970="","",IFERROR(VALUE(SUBSTITUTE(TRIM(Input!G970&amp;""),"%","")),0)/IF(AND(IFERROR(VALUE(SUBSTITUTE(TRIM(Input!G970&amp;""),"%","")),0)&gt;0,IFERROR(VALUE(SUBSTITUTE(TRIM(Input!G970&amp;""),"%","")),0)&lt;1),1,100))</f>
        <v/>
      </c>
      <c r="G970" t="str">
        <f>IF(A970="","",IFERROR(VALUE(SUBSTITUTE(TRIM(Input!H970&amp;""),"%","")),0)/IF(AND(IFERROR(VALUE(SUBSTITUTE(TRIM(Input!H970&amp;""),"%","")),0)&gt;0,IFERROR(VALUE(SUBSTITUTE(TRIM(Input!H970&amp;""),"%","")),0)&lt;1),1,100))</f>
        <v/>
      </c>
      <c r="H970" t="str">
        <f>IF(A970="","",IFERROR(VALUE(SUBSTITUTE(TRIM(Input!I970&amp;""),"%","")),0)/IF(AND(IFERROR(VALUE(SUBSTITUTE(TRIM(Input!I970&amp;""),"%","")),0)&gt;0,IFERROR(VALUE(SUBSTITUTE(TRIM(Input!I970&amp;""),"%","")),0)&lt;1),1,100))</f>
        <v/>
      </c>
    </row>
    <row r="971" spans="1:8">
      <c r="A971" t="str">
        <f>IF(TRIM(Input!B971&amp;"")="","",UPPER(TRIM(Input!B971&amp;"")))</f>
        <v/>
      </c>
      <c r="B971" t="str">
        <f>IF(A971="","",IFERROR(VALUE(RIGHT(TRIM(Input!D971&amp;""),1)),0))</f>
        <v/>
      </c>
      <c r="C971" t="str">
        <f t="shared" si="15"/>
        <v/>
      </c>
      <c r="D971" t="str">
        <f>IF(A971="","",IFERROR(VALUE(SUBSTITUTE(TRIM(Input!E971&amp;""),"%","")),0)/IF(AND(IFERROR(VALUE(SUBSTITUTE(TRIM(Input!E971&amp;""),"%","")),0)&gt;0,IFERROR(VALUE(SUBSTITUTE(TRIM(Input!E971&amp;""),"%","")),0)&lt;1),1,100))</f>
        <v/>
      </c>
      <c r="E971" t="str">
        <f>IF(A971="","",IFERROR(VALUE(SUBSTITUTE(TRIM(Input!F971&amp;""),"%","")),0)/IF(AND(IFERROR(VALUE(SUBSTITUTE(TRIM(Input!F971&amp;""),"%","")),0)&gt;0,IFERROR(VALUE(SUBSTITUTE(TRIM(Input!F971&amp;""),"%","")),0)&lt;1),1,100))</f>
        <v/>
      </c>
      <c r="F971" t="str">
        <f>IF(A971="","",IFERROR(VALUE(SUBSTITUTE(TRIM(Input!G971&amp;""),"%","")),0)/IF(AND(IFERROR(VALUE(SUBSTITUTE(TRIM(Input!G971&amp;""),"%","")),0)&gt;0,IFERROR(VALUE(SUBSTITUTE(TRIM(Input!G971&amp;""),"%","")),0)&lt;1),1,100))</f>
        <v/>
      </c>
      <c r="G971" t="str">
        <f>IF(A971="","",IFERROR(VALUE(SUBSTITUTE(TRIM(Input!H971&amp;""),"%","")),0)/IF(AND(IFERROR(VALUE(SUBSTITUTE(TRIM(Input!H971&amp;""),"%","")),0)&gt;0,IFERROR(VALUE(SUBSTITUTE(TRIM(Input!H971&amp;""),"%","")),0)&lt;1),1,100))</f>
        <v/>
      </c>
      <c r="H971" t="str">
        <f>IF(A971="","",IFERROR(VALUE(SUBSTITUTE(TRIM(Input!I971&amp;""),"%","")),0)/IF(AND(IFERROR(VALUE(SUBSTITUTE(TRIM(Input!I971&amp;""),"%","")),0)&gt;0,IFERROR(VALUE(SUBSTITUTE(TRIM(Input!I971&amp;""),"%","")),0)&lt;1),1,100))</f>
        <v/>
      </c>
    </row>
    <row r="972" spans="1:8">
      <c r="A972" t="str">
        <f>IF(TRIM(Input!B972&amp;"")="","",UPPER(TRIM(Input!B972&amp;"")))</f>
        <v/>
      </c>
      <c r="B972" t="str">
        <f>IF(A972="","",IFERROR(VALUE(RIGHT(TRIM(Input!D972&amp;""),1)),0))</f>
        <v/>
      </c>
      <c r="C972" t="str">
        <f t="shared" si="15"/>
        <v/>
      </c>
      <c r="D972" t="str">
        <f>IF(A972="","",IFERROR(VALUE(SUBSTITUTE(TRIM(Input!E972&amp;""),"%","")),0)/IF(AND(IFERROR(VALUE(SUBSTITUTE(TRIM(Input!E972&amp;""),"%","")),0)&gt;0,IFERROR(VALUE(SUBSTITUTE(TRIM(Input!E972&amp;""),"%","")),0)&lt;1),1,100))</f>
        <v/>
      </c>
      <c r="E972" t="str">
        <f>IF(A972="","",IFERROR(VALUE(SUBSTITUTE(TRIM(Input!F972&amp;""),"%","")),0)/IF(AND(IFERROR(VALUE(SUBSTITUTE(TRIM(Input!F972&amp;""),"%","")),0)&gt;0,IFERROR(VALUE(SUBSTITUTE(TRIM(Input!F972&amp;""),"%","")),0)&lt;1),1,100))</f>
        <v/>
      </c>
      <c r="F972" t="str">
        <f>IF(A972="","",IFERROR(VALUE(SUBSTITUTE(TRIM(Input!G972&amp;""),"%","")),0)/IF(AND(IFERROR(VALUE(SUBSTITUTE(TRIM(Input!G972&amp;""),"%","")),0)&gt;0,IFERROR(VALUE(SUBSTITUTE(TRIM(Input!G972&amp;""),"%","")),0)&lt;1),1,100))</f>
        <v/>
      </c>
      <c r="G972" t="str">
        <f>IF(A972="","",IFERROR(VALUE(SUBSTITUTE(TRIM(Input!H972&amp;""),"%","")),0)/IF(AND(IFERROR(VALUE(SUBSTITUTE(TRIM(Input!H972&amp;""),"%","")),0)&gt;0,IFERROR(VALUE(SUBSTITUTE(TRIM(Input!H972&amp;""),"%","")),0)&lt;1),1,100))</f>
        <v/>
      </c>
      <c r="H972" t="str">
        <f>IF(A972="","",IFERROR(VALUE(SUBSTITUTE(TRIM(Input!I972&amp;""),"%","")),0)/IF(AND(IFERROR(VALUE(SUBSTITUTE(TRIM(Input!I972&amp;""),"%","")),0)&gt;0,IFERROR(VALUE(SUBSTITUTE(TRIM(Input!I972&amp;""),"%","")),0)&lt;1),1,100))</f>
        <v/>
      </c>
    </row>
    <row r="973" spans="1:8">
      <c r="A973" t="str">
        <f>IF(TRIM(Input!B973&amp;"")="","",UPPER(TRIM(Input!B973&amp;"")))</f>
        <v/>
      </c>
      <c r="B973" t="str">
        <f>IF(A973="","",IFERROR(VALUE(RIGHT(TRIM(Input!D973&amp;""),1)),0))</f>
        <v/>
      </c>
      <c r="C973" t="str">
        <f t="shared" si="15"/>
        <v/>
      </c>
      <c r="D973" t="str">
        <f>IF(A973="","",IFERROR(VALUE(SUBSTITUTE(TRIM(Input!E973&amp;""),"%","")),0)/IF(AND(IFERROR(VALUE(SUBSTITUTE(TRIM(Input!E973&amp;""),"%","")),0)&gt;0,IFERROR(VALUE(SUBSTITUTE(TRIM(Input!E973&amp;""),"%","")),0)&lt;1),1,100))</f>
        <v/>
      </c>
      <c r="E973" t="str">
        <f>IF(A973="","",IFERROR(VALUE(SUBSTITUTE(TRIM(Input!F973&amp;""),"%","")),0)/IF(AND(IFERROR(VALUE(SUBSTITUTE(TRIM(Input!F973&amp;""),"%","")),0)&gt;0,IFERROR(VALUE(SUBSTITUTE(TRIM(Input!F973&amp;""),"%","")),0)&lt;1),1,100))</f>
        <v/>
      </c>
      <c r="F973" t="str">
        <f>IF(A973="","",IFERROR(VALUE(SUBSTITUTE(TRIM(Input!G973&amp;""),"%","")),0)/IF(AND(IFERROR(VALUE(SUBSTITUTE(TRIM(Input!G973&amp;""),"%","")),0)&gt;0,IFERROR(VALUE(SUBSTITUTE(TRIM(Input!G973&amp;""),"%","")),0)&lt;1),1,100))</f>
        <v/>
      </c>
      <c r="G973" t="str">
        <f>IF(A973="","",IFERROR(VALUE(SUBSTITUTE(TRIM(Input!H973&amp;""),"%","")),0)/IF(AND(IFERROR(VALUE(SUBSTITUTE(TRIM(Input!H973&amp;""),"%","")),0)&gt;0,IFERROR(VALUE(SUBSTITUTE(TRIM(Input!H973&amp;""),"%","")),0)&lt;1),1,100))</f>
        <v/>
      </c>
      <c r="H973" t="str">
        <f>IF(A973="","",IFERROR(VALUE(SUBSTITUTE(TRIM(Input!I973&amp;""),"%","")),0)/IF(AND(IFERROR(VALUE(SUBSTITUTE(TRIM(Input!I973&amp;""),"%","")),0)&gt;0,IFERROR(VALUE(SUBSTITUTE(TRIM(Input!I973&amp;""),"%","")),0)&lt;1),1,100))</f>
        <v/>
      </c>
    </row>
    <row r="974" spans="1:8">
      <c r="A974" t="str">
        <f>IF(TRIM(Input!B974&amp;"")="","",UPPER(TRIM(Input!B974&amp;"")))</f>
        <v/>
      </c>
      <c r="B974" t="str">
        <f>IF(A974="","",IFERROR(VALUE(RIGHT(TRIM(Input!D974&amp;""),1)),0))</f>
        <v/>
      </c>
      <c r="C974" t="str">
        <f t="shared" si="15"/>
        <v/>
      </c>
      <c r="D974" t="str">
        <f>IF(A974="","",IFERROR(VALUE(SUBSTITUTE(TRIM(Input!E974&amp;""),"%","")),0)/IF(AND(IFERROR(VALUE(SUBSTITUTE(TRIM(Input!E974&amp;""),"%","")),0)&gt;0,IFERROR(VALUE(SUBSTITUTE(TRIM(Input!E974&amp;""),"%","")),0)&lt;1),1,100))</f>
        <v/>
      </c>
      <c r="E974" t="str">
        <f>IF(A974="","",IFERROR(VALUE(SUBSTITUTE(TRIM(Input!F974&amp;""),"%","")),0)/IF(AND(IFERROR(VALUE(SUBSTITUTE(TRIM(Input!F974&amp;""),"%","")),0)&gt;0,IFERROR(VALUE(SUBSTITUTE(TRIM(Input!F974&amp;""),"%","")),0)&lt;1),1,100))</f>
        <v/>
      </c>
      <c r="F974" t="str">
        <f>IF(A974="","",IFERROR(VALUE(SUBSTITUTE(TRIM(Input!G974&amp;""),"%","")),0)/IF(AND(IFERROR(VALUE(SUBSTITUTE(TRIM(Input!G974&amp;""),"%","")),0)&gt;0,IFERROR(VALUE(SUBSTITUTE(TRIM(Input!G974&amp;""),"%","")),0)&lt;1),1,100))</f>
        <v/>
      </c>
      <c r="G974" t="str">
        <f>IF(A974="","",IFERROR(VALUE(SUBSTITUTE(TRIM(Input!H974&amp;""),"%","")),0)/IF(AND(IFERROR(VALUE(SUBSTITUTE(TRIM(Input!H974&amp;""),"%","")),0)&gt;0,IFERROR(VALUE(SUBSTITUTE(TRIM(Input!H974&amp;""),"%","")),0)&lt;1),1,100))</f>
        <v/>
      </c>
      <c r="H974" t="str">
        <f>IF(A974="","",IFERROR(VALUE(SUBSTITUTE(TRIM(Input!I974&amp;""),"%","")),0)/IF(AND(IFERROR(VALUE(SUBSTITUTE(TRIM(Input!I974&amp;""),"%","")),0)&gt;0,IFERROR(VALUE(SUBSTITUTE(TRIM(Input!I974&amp;""),"%","")),0)&lt;1),1,100))</f>
        <v/>
      </c>
    </row>
    <row r="975" spans="1:8">
      <c r="A975" t="str">
        <f>IF(TRIM(Input!B975&amp;"")="","",UPPER(TRIM(Input!B975&amp;"")))</f>
        <v/>
      </c>
      <c r="B975" t="str">
        <f>IF(A975="","",IFERROR(VALUE(RIGHT(TRIM(Input!D975&amp;""),1)),0))</f>
        <v/>
      </c>
      <c r="C975" t="str">
        <f t="shared" si="15"/>
        <v/>
      </c>
      <c r="D975" t="str">
        <f>IF(A975="","",IFERROR(VALUE(SUBSTITUTE(TRIM(Input!E975&amp;""),"%","")),0)/IF(AND(IFERROR(VALUE(SUBSTITUTE(TRIM(Input!E975&amp;""),"%","")),0)&gt;0,IFERROR(VALUE(SUBSTITUTE(TRIM(Input!E975&amp;""),"%","")),0)&lt;1),1,100))</f>
        <v/>
      </c>
      <c r="E975" t="str">
        <f>IF(A975="","",IFERROR(VALUE(SUBSTITUTE(TRIM(Input!F975&amp;""),"%","")),0)/IF(AND(IFERROR(VALUE(SUBSTITUTE(TRIM(Input!F975&amp;""),"%","")),0)&gt;0,IFERROR(VALUE(SUBSTITUTE(TRIM(Input!F975&amp;""),"%","")),0)&lt;1),1,100))</f>
        <v/>
      </c>
      <c r="F975" t="str">
        <f>IF(A975="","",IFERROR(VALUE(SUBSTITUTE(TRIM(Input!G975&amp;""),"%","")),0)/IF(AND(IFERROR(VALUE(SUBSTITUTE(TRIM(Input!G975&amp;""),"%","")),0)&gt;0,IFERROR(VALUE(SUBSTITUTE(TRIM(Input!G975&amp;""),"%","")),0)&lt;1),1,100))</f>
        <v/>
      </c>
      <c r="G975" t="str">
        <f>IF(A975="","",IFERROR(VALUE(SUBSTITUTE(TRIM(Input!H975&amp;""),"%","")),0)/IF(AND(IFERROR(VALUE(SUBSTITUTE(TRIM(Input!H975&amp;""),"%","")),0)&gt;0,IFERROR(VALUE(SUBSTITUTE(TRIM(Input!H975&amp;""),"%","")),0)&lt;1),1,100))</f>
        <v/>
      </c>
      <c r="H975" t="str">
        <f>IF(A975="","",IFERROR(VALUE(SUBSTITUTE(TRIM(Input!I975&amp;""),"%","")),0)/IF(AND(IFERROR(VALUE(SUBSTITUTE(TRIM(Input!I975&amp;""),"%","")),0)&gt;0,IFERROR(VALUE(SUBSTITUTE(TRIM(Input!I975&amp;""),"%","")),0)&lt;1),1,100))</f>
        <v/>
      </c>
    </row>
    <row r="976" spans="1:8">
      <c r="A976" t="str">
        <f>IF(TRIM(Input!B976&amp;"")="","",UPPER(TRIM(Input!B976&amp;"")))</f>
        <v/>
      </c>
      <c r="B976" t="str">
        <f>IF(A976="","",IFERROR(VALUE(RIGHT(TRIM(Input!D976&amp;""),1)),0))</f>
        <v/>
      </c>
      <c r="C976" t="str">
        <f t="shared" si="15"/>
        <v/>
      </c>
      <c r="D976" t="str">
        <f>IF(A976="","",IFERROR(VALUE(SUBSTITUTE(TRIM(Input!E976&amp;""),"%","")),0)/IF(AND(IFERROR(VALUE(SUBSTITUTE(TRIM(Input!E976&amp;""),"%","")),0)&gt;0,IFERROR(VALUE(SUBSTITUTE(TRIM(Input!E976&amp;""),"%","")),0)&lt;1),1,100))</f>
        <v/>
      </c>
      <c r="E976" t="str">
        <f>IF(A976="","",IFERROR(VALUE(SUBSTITUTE(TRIM(Input!F976&amp;""),"%","")),0)/IF(AND(IFERROR(VALUE(SUBSTITUTE(TRIM(Input!F976&amp;""),"%","")),0)&gt;0,IFERROR(VALUE(SUBSTITUTE(TRIM(Input!F976&amp;""),"%","")),0)&lt;1),1,100))</f>
        <v/>
      </c>
      <c r="F976" t="str">
        <f>IF(A976="","",IFERROR(VALUE(SUBSTITUTE(TRIM(Input!G976&amp;""),"%","")),0)/IF(AND(IFERROR(VALUE(SUBSTITUTE(TRIM(Input!G976&amp;""),"%","")),0)&gt;0,IFERROR(VALUE(SUBSTITUTE(TRIM(Input!G976&amp;""),"%","")),0)&lt;1),1,100))</f>
        <v/>
      </c>
      <c r="G976" t="str">
        <f>IF(A976="","",IFERROR(VALUE(SUBSTITUTE(TRIM(Input!H976&amp;""),"%","")),0)/IF(AND(IFERROR(VALUE(SUBSTITUTE(TRIM(Input!H976&amp;""),"%","")),0)&gt;0,IFERROR(VALUE(SUBSTITUTE(TRIM(Input!H976&amp;""),"%","")),0)&lt;1),1,100))</f>
        <v/>
      </c>
      <c r="H976" t="str">
        <f>IF(A976="","",IFERROR(VALUE(SUBSTITUTE(TRIM(Input!I976&amp;""),"%","")),0)/IF(AND(IFERROR(VALUE(SUBSTITUTE(TRIM(Input!I976&amp;""),"%","")),0)&gt;0,IFERROR(VALUE(SUBSTITUTE(TRIM(Input!I976&amp;""),"%","")),0)&lt;1),1,100))</f>
        <v/>
      </c>
    </row>
    <row r="977" spans="1:8">
      <c r="A977" t="str">
        <f>IF(TRIM(Input!B977&amp;"")="","",UPPER(TRIM(Input!B977&amp;"")))</f>
        <v/>
      </c>
      <c r="B977" t="str">
        <f>IF(A977="","",IFERROR(VALUE(RIGHT(TRIM(Input!D977&amp;""),1)),0))</f>
        <v/>
      </c>
      <c r="C977" t="str">
        <f t="shared" si="15"/>
        <v/>
      </c>
      <c r="D977" t="str">
        <f>IF(A977="","",IFERROR(VALUE(SUBSTITUTE(TRIM(Input!E977&amp;""),"%","")),0)/IF(AND(IFERROR(VALUE(SUBSTITUTE(TRIM(Input!E977&amp;""),"%","")),0)&gt;0,IFERROR(VALUE(SUBSTITUTE(TRIM(Input!E977&amp;""),"%","")),0)&lt;1),1,100))</f>
        <v/>
      </c>
      <c r="E977" t="str">
        <f>IF(A977="","",IFERROR(VALUE(SUBSTITUTE(TRIM(Input!F977&amp;""),"%","")),0)/IF(AND(IFERROR(VALUE(SUBSTITUTE(TRIM(Input!F977&amp;""),"%","")),0)&gt;0,IFERROR(VALUE(SUBSTITUTE(TRIM(Input!F977&amp;""),"%","")),0)&lt;1),1,100))</f>
        <v/>
      </c>
      <c r="F977" t="str">
        <f>IF(A977="","",IFERROR(VALUE(SUBSTITUTE(TRIM(Input!G977&amp;""),"%","")),0)/IF(AND(IFERROR(VALUE(SUBSTITUTE(TRIM(Input!G977&amp;""),"%","")),0)&gt;0,IFERROR(VALUE(SUBSTITUTE(TRIM(Input!G977&amp;""),"%","")),0)&lt;1),1,100))</f>
        <v/>
      </c>
      <c r="G977" t="str">
        <f>IF(A977="","",IFERROR(VALUE(SUBSTITUTE(TRIM(Input!H977&amp;""),"%","")),0)/IF(AND(IFERROR(VALUE(SUBSTITUTE(TRIM(Input!H977&amp;""),"%","")),0)&gt;0,IFERROR(VALUE(SUBSTITUTE(TRIM(Input!H977&amp;""),"%","")),0)&lt;1),1,100))</f>
        <v/>
      </c>
      <c r="H977" t="str">
        <f>IF(A977="","",IFERROR(VALUE(SUBSTITUTE(TRIM(Input!I977&amp;""),"%","")),0)/IF(AND(IFERROR(VALUE(SUBSTITUTE(TRIM(Input!I977&amp;""),"%","")),0)&gt;0,IFERROR(VALUE(SUBSTITUTE(TRIM(Input!I977&amp;""),"%","")),0)&lt;1),1,100))</f>
        <v/>
      </c>
    </row>
    <row r="978" spans="1:8">
      <c r="A978" t="str">
        <f>IF(TRIM(Input!B978&amp;"")="","",UPPER(TRIM(Input!B978&amp;"")))</f>
        <v/>
      </c>
      <c r="B978" t="str">
        <f>IF(A978="","",IFERROR(VALUE(RIGHT(TRIM(Input!D978&amp;""),1)),0))</f>
        <v/>
      </c>
      <c r="C978" t="str">
        <f t="shared" si="15"/>
        <v/>
      </c>
      <c r="D978" t="str">
        <f>IF(A978="","",IFERROR(VALUE(SUBSTITUTE(TRIM(Input!E978&amp;""),"%","")),0)/IF(AND(IFERROR(VALUE(SUBSTITUTE(TRIM(Input!E978&amp;""),"%","")),0)&gt;0,IFERROR(VALUE(SUBSTITUTE(TRIM(Input!E978&amp;""),"%","")),0)&lt;1),1,100))</f>
        <v/>
      </c>
      <c r="E978" t="str">
        <f>IF(A978="","",IFERROR(VALUE(SUBSTITUTE(TRIM(Input!F978&amp;""),"%","")),0)/IF(AND(IFERROR(VALUE(SUBSTITUTE(TRIM(Input!F978&amp;""),"%","")),0)&gt;0,IFERROR(VALUE(SUBSTITUTE(TRIM(Input!F978&amp;""),"%","")),0)&lt;1),1,100))</f>
        <v/>
      </c>
      <c r="F978" t="str">
        <f>IF(A978="","",IFERROR(VALUE(SUBSTITUTE(TRIM(Input!G978&amp;""),"%","")),0)/IF(AND(IFERROR(VALUE(SUBSTITUTE(TRIM(Input!G978&amp;""),"%","")),0)&gt;0,IFERROR(VALUE(SUBSTITUTE(TRIM(Input!G978&amp;""),"%","")),0)&lt;1),1,100))</f>
        <v/>
      </c>
      <c r="G978" t="str">
        <f>IF(A978="","",IFERROR(VALUE(SUBSTITUTE(TRIM(Input!H978&amp;""),"%","")),0)/IF(AND(IFERROR(VALUE(SUBSTITUTE(TRIM(Input!H978&amp;""),"%","")),0)&gt;0,IFERROR(VALUE(SUBSTITUTE(TRIM(Input!H978&amp;""),"%","")),0)&lt;1),1,100))</f>
        <v/>
      </c>
      <c r="H978" t="str">
        <f>IF(A978="","",IFERROR(VALUE(SUBSTITUTE(TRIM(Input!I978&amp;""),"%","")),0)/IF(AND(IFERROR(VALUE(SUBSTITUTE(TRIM(Input!I978&amp;""),"%","")),0)&gt;0,IFERROR(VALUE(SUBSTITUTE(TRIM(Input!I978&amp;""),"%","")),0)&lt;1),1,100))</f>
        <v/>
      </c>
    </row>
    <row r="979" spans="1:8">
      <c r="A979" t="str">
        <f>IF(TRIM(Input!B979&amp;"")="","",UPPER(TRIM(Input!B979&amp;"")))</f>
        <v/>
      </c>
      <c r="B979" t="str">
        <f>IF(A979="","",IFERROR(VALUE(RIGHT(TRIM(Input!D979&amp;""),1)),0))</f>
        <v/>
      </c>
      <c r="C979" t="str">
        <f t="shared" si="15"/>
        <v/>
      </c>
      <c r="D979" t="str">
        <f>IF(A979="","",IFERROR(VALUE(SUBSTITUTE(TRIM(Input!E979&amp;""),"%","")),0)/IF(AND(IFERROR(VALUE(SUBSTITUTE(TRIM(Input!E979&amp;""),"%","")),0)&gt;0,IFERROR(VALUE(SUBSTITUTE(TRIM(Input!E979&amp;""),"%","")),0)&lt;1),1,100))</f>
        <v/>
      </c>
      <c r="E979" t="str">
        <f>IF(A979="","",IFERROR(VALUE(SUBSTITUTE(TRIM(Input!F979&amp;""),"%","")),0)/IF(AND(IFERROR(VALUE(SUBSTITUTE(TRIM(Input!F979&amp;""),"%","")),0)&gt;0,IFERROR(VALUE(SUBSTITUTE(TRIM(Input!F979&amp;""),"%","")),0)&lt;1),1,100))</f>
        <v/>
      </c>
      <c r="F979" t="str">
        <f>IF(A979="","",IFERROR(VALUE(SUBSTITUTE(TRIM(Input!G979&amp;""),"%","")),0)/IF(AND(IFERROR(VALUE(SUBSTITUTE(TRIM(Input!G979&amp;""),"%","")),0)&gt;0,IFERROR(VALUE(SUBSTITUTE(TRIM(Input!G979&amp;""),"%","")),0)&lt;1),1,100))</f>
        <v/>
      </c>
      <c r="G979" t="str">
        <f>IF(A979="","",IFERROR(VALUE(SUBSTITUTE(TRIM(Input!H979&amp;""),"%","")),0)/IF(AND(IFERROR(VALUE(SUBSTITUTE(TRIM(Input!H979&amp;""),"%","")),0)&gt;0,IFERROR(VALUE(SUBSTITUTE(TRIM(Input!H979&amp;""),"%","")),0)&lt;1),1,100))</f>
        <v/>
      </c>
      <c r="H979" t="str">
        <f>IF(A979="","",IFERROR(VALUE(SUBSTITUTE(TRIM(Input!I979&amp;""),"%","")),0)/IF(AND(IFERROR(VALUE(SUBSTITUTE(TRIM(Input!I979&amp;""),"%","")),0)&gt;0,IFERROR(VALUE(SUBSTITUTE(TRIM(Input!I979&amp;""),"%","")),0)&lt;1),1,100))</f>
        <v/>
      </c>
    </row>
    <row r="980" spans="1:8">
      <c r="A980" t="str">
        <f>IF(TRIM(Input!B980&amp;"")="","",UPPER(TRIM(Input!B980&amp;"")))</f>
        <v/>
      </c>
      <c r="B980" t="str">
        <f>IF(A980="","",IFERROR(VALUE(RIGHT(TRIM(Input!D980&amp;""),1)),0))</f>
        <v/>
      </c>
      <c r="C980" t="str">
        <f t="shared" si="15"/>
        <v/>
      </c>
      <c r="D980" t="str">
        <f>IF(A980="","",IFERROR(VALUE(SUBSTITUTE(TRIM(Input!E980&amp;""),"%","")),0)/IF(AND(IFERROR(VALUE(SUBSTITUTE(TRIM(Input!E980&amp;""),"%","")),0)&gt;0,IFERROR(VALUE(SUBSTITUTE(TRIM(Input!E980&amp;""),"%","")),0)&lt;1),1,100))</f>
        <v/>
      </c>
      <c r="E980" t="str">
        <f>IF(A980="","",IFERROR(VALUE(SUBSTITUTE(TRIM(Input!F980&amp;""),"%","")),0)/IF(AND(IFERROR(VALUE(SUBSTITUTE(TRIM(Input!F980&amp;""),"%","")),0)&gt;0,IFERROR(VALUE(SUBSTITUTE(TRIM(Input!F980&amp;""),"%","")),0)&lt;1),1,100))</f>
        <v/>
      </c>
      <c r="F980" t="str">
        <f>IF(A980="","",IFERROR(VALUE(SUBSTITUTE(TRIM(Input!G980&amp;""),"%","")),0)/IF(AND(IFERROR(VALUE(SUBSTITUTE(TRIM(Input!G980&amp;""),"%","")),0)&gt;0,IFERROR(VALUE(SUBSTITUTE(TRIM(Input!G980&amp;""),"%","")),0)&lt;1),1,100))</f>
        <v/>
      </c>
      <c r="G980" t="str">
        <f>IF(A980="","",IFERROR(VALUE(SUBSTITUTE(TRIM(Input!H980&amp;""),"%","")),0)/IF(AND(IFERROR(VALUE(SUBSTITUTE(TRIM(Input!H980&amp;""),"%","")),0)&gt;0,IFERROR(VALUE(SUBSTITUTE(TRIM(Input!H980&amp;""),"%","")),0)&lt;1),1,100))</f>
        <v/>
      </c>
      <c r="H980" t="str">
        <f>IF(A980="","",IFERROR(VALUE(SUBSTITUTE(TRIM(Input!I980&amp;""),"%","")),0)/IF(AND(IFERROR(VALUE(SUBSTITUTE(TRIM(Input!I980&amp;""),"%","")),0)&gt;0,IFERROR(VALUE(SUBSTITUTE(TRIM(Input!I980&amp;""),"%","")),0)&lt;1),1,100))</f>
        <v/>
      </c>
    </row>
    <row r="981" spans="1:8">
      <c r="A981" t="str">
        <f>IF(TRIM(Input!B981&amp;"")="","",UPPER(TRIM(Input!B981&amp;"")))</f>
        <v/>
      </c>
      <c r="B981" t="str">
        <f>IF(A981="","",IFERROR(VALUE(RIGHT(TRIM(Input!D981&amp;""),1)),0))</f>
        <v/>
      </c>
      <c r="C981" t="str">
        <f t="shared" si="15"/>
        <v/>
      </c>
      <c r="D981" t="str">
        <f>IF(A981="","",IFERROR(VALUE(SUBSTITUTE(TRIM(Input!E981&amp;""),"%","")),0)/IF(AND(IFERROR(VALUE(SUBSTITUTE(TRIM(Input!E981&amp;""),"%","")),0)&gt;0,IFERROR(VALUE(SUBSTITUTE(TRIM(Input!E981&amp;""),"%","")),0)&lt;1),1,100))</f>
        <v/>
      </c>
      <c r="E981" t="str">
        <f>IF(A981="","",IFERROR(VALUE(SUBSTITUTE(TRIM(Input!F981&amp;""),"%","")),0)/IF(AND(IFERROR(VALUE(SUBSTITUTE(TRIM(Input!F981&amp;""),"%","")),0)&gt;0,IFERROR(VALUE(SUBSTITUTE(TRIM(Input!F981&amp;""),"%","")),0)&lt;1),1,100))</f>
        <v/>
      </c>
      <c r="F981" t="str">
        <f>IF(A981="","",IFERROR(VALUE(SUBSTITUTE(TRIM(Input!G981&amp;""),"%","")),0)/IF(AND(IFERROR(VALUE(SUBSTITUTE(TRIM(Input!G981&amp;""),"%","")),0)&gt;0,IFERROR(VALUE(SUBSTITUTE(TRIM(Input!G981&amp;""),"%","")),0)&lt;1),1,100))</f>
        <v/>
      </c>
      <c r="G981" t="str">
        <f>IF(A981="","",IFERROR(VALUE(SUBSTITUTE(TRIM(Input!H981&amp;""),"%","")),0)/IF(AND(IFERROR(VALUE(SUBSTITUTE(TRIM(Input!H981&amp;""),"%","")),0)&gt;0,IFERROR(VALUE(SUBSTITUTE(TRIM(Input!H981&amp;""),"%","")),0)&lt;1),1,100))</f>
        <v/>
      </c>
      <c r="H981" t="str">
        <f>IF(A981="","",IFERROR(VALUE(SUBSTITUTE(TRIM(Input!I981&amp;""),"%","")),0)/IF(AND(IFERROR(VALUE(SUBSTITUTE(TRIM(Input!I981&amp;""),"%","")),0)&gt;0,IFERROR(VALUE(SUBSTITUTE(TRIM(Input!I981&amp;""),"%","")),0)&lt;1),1,100))</f>
        <v/>
      </c>
    </row>
    <row r="982" spans="1:8">
      <c r="A982" t="str">
        <f>IF(TRIM(Input!B982&amp;"")="","",UPPER(TRIM(Input!B982&amp;"")))</f>
        <v/>
      </c>
      <c r="B982" t="str">
        <f>IF(A982="","",IFERROR(VALUE(RIGHT(TRIM(Input!D982&amp;""),1)),0))</f>
        <v/>
      </c>
      <c r="C982" t="str">
        <f t="shared" si="15"/>
        <v/>
      </c>
      <c r="D982" t="str">
        <f>IF(A982="","",IFERROR(VALUE(SUBSTITUTE(TRIM(Input!E982&amp;""),"%","")),0)/IF(AND(IFERROR(VALUE(SUBSTITUTE(TRIM(Input!E982&amp;""),"%","")),0)&gt;0,IFERROR(VALUE(SUBSTITUTE(TRIM(Input!E982&amp;""),"%","")),0)&lt;1),1,100))</f>
        <v/>
      </c>
      <c r="E982" t="str">
        <f>IF(A982="","",IFERROR(VALUE(SUBSTITUTE(TRIM(Input!F982&amp;""),"%","")),0)/IF(AND(IFERROR(VALUE(SUBSTITUTE(TRIM(Input!F982&amp;""),"%","")),0)&gt;0,IFERROR(VALUE(SUBSTITUTE(TRIM(Input!F982&amp;""),"%","")),0)&lt;1),1,100))</f>
        <v/>
      </c>
      <c r="F982" t="str">
        <f>IF(A982="","",IFERROR(VALUE(SUBSTITUTE(TRIM(Input!G982&amp;""),"%","")),0)/IF(AND(IFERROR(VALUE(SUBSTITUTE(TRIM(Input!G982&amp;""),"%","")),0)&gt;0,IFERROR(VALUE(SUBSTITUTE(TRIM(Input!G982&amp;""),"%","")),0)&lt;1),1,100))</f>
        <v/>
      </c>
      <c r="G982" t="str">
        <f>IF(A982="","",IFERROR(VALUE(SUBSTITUTE(TRIM(Input!H982&amp;""),"%","")),0)/IF(AND(IFERROR(VALUE(SUBSTITUTE(TRIM(Input!H982&amp;""),"%","")),0)&gt;0,IFERROR(VALUE(SUBSTITUTE(TRIM(Input!H982&amp;""),"%","")),0)&lt;1),1,100))</f>
        <v/>
      </c>
      <c r="H982" t="str">
        <f>IF(A982="","",IFERROR(VALUE(SUBSTITUTE(TRIM(Input!I982&amp;""),"%","")),0)/IF(AND(IFERROR(VALUE(SUBSTITUTE(TRIM(Input!I982&amp;""),"%","")),0)&gt;0,IFERROR(VALUE(SUBSTITUTE(TRIM(Input!I982&amp;""),"%","")),0)&lt;1),1,100))</f>
        <v/>
      </c>
    </row>
    <row r="983" spans="1:8">
      <c r="A983" t="str">
        <f>IF(TRIM(Input!B983&amp;"")="","",UPPER(TRIM(Input!B983&amp;"")))</f>
        <v/>
      </c>
      <c r="B983" t="str">
        <f>IF(A983="","",IFERROR(VALUE(RIGHT(TRIM(Input!D983&amp;""),1)),0))</f>
        <v/>
      </c>
      <c r="C983" t="str">
        <f t="shared" si="15"/>
        <v/>
      </c>
      <c r="D983" t="str">
        <f>IF(A983="","",IFERROR(VALUE(SUBSTITUTE(TRIM(Input!E983&amp;""),"%","")),0)/IF(AND(IFERROR(VALUE(SUBSTITUTE(TRIM(Input!E983&amp;""),"%","")),0)&gt;0,IFERROR(VALUE(SUBSTITUTE(TRIM(Input!E983&amp;""),"%","")),0)&lt;1),1,100))</f>
        <v/>
      </c>
      <c r="E983" t="str">
        <f>IF(A983="","",IFERROR(VALUE(SUBSTITUTE(TRIM(Input!F983&amp;""),"%","")),0)/IF(AND(IFERROR(VALUE(SUBSTITUTE(TRIM(Input!F983&amp;""),"%","")),0)&gt;0,IFERROR(VALUE(SUBSTITUTE(TRIM(Input!F983&amp;""),"%","")),0)&lt;1),1,100))</f>
        <v/>
      </c>
      <c r="F983" t="str">
        <f>IF(A983="","",IFERROR(VALUE(SUBSTITUTE(TRIM(Input!G983&amp;""),"%","")),0)/IF(AND(IFERROR(VALUE(SUBSTITUTE(TRIM(Input!G983&amp;""),"%","")),0)&gt;0,IFERROR(VALUE(SUBSTITUTE(TRIM(Input!G983&amp;""),"%","")),0)&lt;1),1,100))</f>
        <v/>
      </c>
      <c r="G983" t="str">
        <f>IF(A983="","",IFERROR(VALUE(SUBSTITUTE(TRIM(Input!H983&amp;""),"%","")),0)/IF(AND(IFERROR(VALUE(SUBSTITUTE(TRIM(Input!H983&amp;""),"%","")),0)&gt;0,IFERROR(VALUE(SUBSTITUTE(TRIM(Input!H983&amp;""),"%","")),0)&lt;1),1,100))</f>
        <v/>
      </c>
      <c r="H983" t="str">
        <f>IF(A983="","",IFERROR(VALUE(SUBSTITUTE(TRIM(Input!I983&amp;""),"%","")),0)/IF(AND(IFERROR(VALUE(SUBSTITUTE(TRIM(Input!I983&amp;""),"%","")),0)&gt;0,IFERROR(VALUE(SUBSTITUTE(TRIM(Input!I983&amp;""),"%","")),0)&lt;1),1,100))</f>
        <v/>
      </c>
    </row>
    <row r="984" spans="1:8">
      <c r="A984" t="str">
        <f>IF(TRIM(Input!B984&amp;"")="","",UPPER(TRIM(Input!B984&amp;"")))</f>
        <v/>
      </c>
      <c r="B984" t="str">
        <f>IF(A984="","",IFERROR(VALUE(RIGHT(TRIM(Input!D984&amp;""),1)),0))</f>
        <v/>
      </c>
      <c r="C984" t="str">
        <f t="shared" si="15"/>
        <v/>
      </c>
      <c r="D984" t="str">
        <f>IF(A984="","",IFERROR(VALUE(SUBSTITUTE(TRIM(Input!E984&amp;""),"%","")),0)/IF(AND(IFERROR(VALUE(SUBSTITUTE(TRIM(Input!E984&amp;""),"%","")),0)&gt;0,IFERROR(VALUE(SUBSTITUTE(TRIM(Input!E984&amp;""),"%","")),0)&lt;1),1,100))</f>
        <v/>
      </c>
      <c r="E984" t="str">
        <f>IF(A984="","",IFERROR(VALUE(SUBSTITUTE(TRIM(Input!F984&amp;""),"%","")),0)/IF(AND(IFERROR(VALUE(SUBSTITUTE(TRIM(Input!F984&amp;""),"%","")),0)&gt;0,IFERROR(VALUE(SUBSTITUTE(TRIM(Input!F984&amp;""),"%","")),0)&lt;1),1,100))</f>
        <v/>
      </c>
      <c r="F984" t="str">
        <f>IF(A984="","",IFERROR(VALUE(SUBSTITUTE(TRIM(Input!G984&amp;""),"%","")),0)/IF(AND(IFERROR(VALUE(SUBSTITUTE(TRIM(Input!G984&amp;""),"%","")),0)&gt;0,IFERROR(VALUE(SUBSTITUTE(TRIM(Input!G984&amp;""),"%","")),0)&lt;1),1,100))</f>
        <v/>
      </c>
      <c r="G984" t="str">
        <f>IF(A984="","",IFERROR(VALUE(SUBSTITUTE(TRIM(Input!H984&amp;""),"%","")),0)/IF(AND(IFERROR(VALUE(SUBSTITUTE(TRIM(Input!H984&amp;""),"%","")),0)&gt;0,IFERROR(VALUE(SUBSTITUTE(TRIM(Input!H984&amp;""),"%","")),0)&lt;1),1,100))</f>
        <v/>
      </c>
      <c r="H984" t="str">
        <f>IF(A984="","",IFERROR(VALUE(SUBSTITUTE(TRIM(Input!I984&amp;""),"%","")),0)/IF(AND(IFERROR(VALUE(SUBSTITUTE(TRIM(Input!I984&amp;""),"%","")),0)&gt;0,IFERROR(VALUE(SUBSTITUTE(TRIM(Input!I984&amp;""),"%","")),0)&lt;1),1,100))</f>
        <v/>
      </c>
    </row>
    <row r="985" spans="1:8">
      <c r="A985" t="str">
        <f>IF(TRIM(Input!B985&amp;"")="","",UPPER(TRIM(Input!B985&amp;"")))</f>
        <v/>
      </c>
      <c r="B985" t="str">
        <f>IF(A985="","",IFERROR(VALUE(RIGHT(TRIM(Input!D985&amp;""),1)),0))</f>
        <v/>
      </c>
      <c r="C985" t="str">
        <f t="shared" si="15"/>
        <v/>
      </c>
      <c r="D985" t="str">
        <f>IF(A985="","",IFERROR(VALUE(SUBSTITUTE(TRIM(Input!E985&amp;""),"%","")),0)/IF(AND(IFERROR(VALUE(SUBSTITUTE(TRIM(Input!E985&amp;""),"%","")),0)&gt;0,IFERROR(VALUE(SUBSTITUTE(TRIM(Input!E985&amp;""),"%","")),0)&lt;1),1,100))</f>
        <v/>
      </c>
      <c r="E985" t="str">
        <f>IF(A985="","",IFERROR(VALUE(SUBSTITUTE(TRIM(Input!F985&amp;""),"%","")),0)/IF(AND(IFERROR(VALUE(SUBSTITUTE(TRIM(Input!F985&amp;""),"%","")),0)&gt;0,IFERROR(VALUE(SUBSTITUTE(TRIM(Input!F985&amp;""),"%","")),0)&lt;1),1,100))</f>
        <v/>
      </c>
      <c r="F985" t="str">
        <f>IF(A985="","",IFERROR(VALUE(SUBSTITUTE(TRIM(Input!G985&amp;""),"%","")),0)/IF(AND(IFERROR(VALUE(SUBSTITUTE(TRIM(Input!G985&amp;""),"%","")),0)&gt;0,IFERROR(VALUE(SUBSTITUTE(TRIM(Input!G985&amp;""),"%","")),0)&lt;1),1,100))</f>
        <v/>
      </c>
      <c r="G985" t="str">
        <f>IF(A985="","",IFERROR(VALUE(SUBSTITUTE(TRIM(Input!H985&amp;""),"%","")),0)/IF(AND(IFERROR(VALUE(SUBSTITUTE(TRIM(Input!H985&amp;""),"%","")),0)&gt;0,IFERROR(VALUE(SUBSTITUTE(TRIM(Input!H985&amp;""),"%","")),0)&lt;1),1,100))</f>
        <v/>
      </c>
      <c r="H985" t="str">
        <f>IF(A985="","",IFERROR(VALUE(SUBSTITUTE(TRIM(Input!I985&amp;""),"%","")),0)/IF(AND(IFERROR(VALUE(SUBSTITUTE(TRIM(Input!I985&amp;""),"%","")),0)&gt;0,IFERROR(VALUE(SUBSTITUTE(TRIM(Input!I985&amp;""),"%","")),0)&lt;1),1,100))</f>
        <v/>
      </c>
    </row>
    <row r="986" spans="1:8">
      <c r="A986" t="str">
        <f>IF(TRIM(Input!B986&amp;"")="","",UPPER(TRIM(Input!B986&amp;"")))</f>
        <v/>
      </c>
      <c r="B986" t="str">
        <f>IF(A986="","",IFERROR(VALUE(RIGHT(TRIM(Input!D986&amp;""),1)),0))</f>
        <v/>
      </c>
      <c r="C986" t="str">
        <f t="shared" si="15"/>
        <v/>
      </c>
      <c r="D986" t="str">
        <f>IF(A986="","",IFERROR(VALUE(SUBSTITUTE(TRIM(Input!E986&amp;""),"%","")),0)/IF(AND(IFERROR(VALUE(SUBSTITUTE(TRIM(Input!E986&amp;""),"%","")),0)&gt;0,IFERROR(VALUE(SUBSTITUTE(TRIM(Input!E986&amp;""),"%","")),0)&lt;1),1,100))</f>
        <v/>
      </c>
      <c r="E986" t="str">
        <f>IF(A986="","",IFERROR(VALUE(SUBSTITUTE(TRIM(Input!F986&amp;""),"%","")),0)/IF(AND(IFERROR(VALUE(SUBSTITUTE(TRIM(Input!F986&amp;""),"%","")),0)&gt;0,IFERROR(VALUE(SUBSTITUTE(TRIM(Input!F986&amp;""),"%","")),0)&lt;1),1,100))</f>
        <v/>
      </c>
      <c r="F986" t="str">
        <f>IF(A986="","",IFERROR(VALUE(SUBSTITUTE(TRIM(Input!G986&amp;""),"%","")),0)/IF(AND(IFERROR(VALUE(SUBSTITUTE(TRIM(Input!G986&amp;""),"%","")),0)&gt;0,IFERROR(VALUE(SUBSTITUTE(TRIM(Input!G986&amp;""),"%","")),0)&lt;1),1,100))</f>
        <v/>
      </c>
      <c r="G986" t="str">
        <f>IF(A986="","",IFERROR(VALUE(SUBSTITUTE(TRIM(Input!H986&amp;""),"%","")),0)/IF(AND(IFERROR(VALUE(SUBSTITUTE(TRIM(Input!H986&amp;""),"%","")),0)&gt;0,IFERROR(VALUE(SUBSTITUTE(TRIM(Input!H986&amp;""),"%","")),0)&lt;1),1,100))</f>
        <v/>
      </c>
      <c r="H986" t="str">
        <f>IF(A986="","",IFERROR(VALUE(SUBSTITUTE(TRIM(Input!I986&amp;""),"%","")),0)/IF(AND(IFERROR(VALUE(SUBSTITUTE(TRIM(Input!I986&amp;""),"%","")),0)&gt;0,IFERROR(VALUE(SUBSTITUTE(TRIM(Input!I986&amp;""),"%","")),0)&lt;1),1,100))</f>
        <v/>
      </c>
    </row>
    <row r="987" spans="1:8">
      <c r="A987" t="str">
        <f>IF(TRIM(Input!B987&amp;"")="","",UPPER(TRIM(Input!B987&amp;"")))</f>
        <v/>
      </c>
      <c r="B987" t="str">
        <f>IF(A987="","",IFERROR(VALUE(RIGHT(TRIM(Input!D987&amp;""),1)),0))</f>
        <v/>
      </c>
      <c r="C987" t="str">
        <f t="shared" si="15"/>
        <v/>
      </c>
      <c r="D987" t="str">
        <f>IF(A987="","",IFERROR(VALUE(SUBSTITUTE(TRIM(Input!E987&amp;""),"%","")),0)/IF(AND(IFERROR(VALUE(SUBSTITUTE(TRIM(Input!E987&amp;""),"%","")),0)&gt;0,IFERROR(VALUE(SUBSTITUTE(TRIM(Input!E987&amp;""),"%","")),0)&lt;1),1,100))</f>
        <v/>
      </c>
      <c r="E987" t="str">
        <f>IF(A987="","",IFERROR(VALUE(SUBSTITUTE(TRIM(Input!F987&amp;""),"%","")),0)/IF(AND(IFERROR(VALUE(SUBSTITUTE(TRIM(Input!F987&amp;""),"%","")),0)&gt;0,IFERROR(VALUE(SUBSTITUTE(TRIM(Input!F987&amp;""),"%","")),0)&lt;1),1,100))</f>
        <v/>
      </c>
      <c r="F987" t="str">
        <f>IF(A987="","",IFERROR(VALUE(SUBSTITUTE(TRIM(Input!G987&amp;""),"%","")),0)/IF(AND(IFERROR(VALUE(SUBSTITUTE(TRIM(Input!G987&amp;""),"%","")),0)&gt;0,IFERROR(VALUE(SUBSTITUTE(TRIM(Input!G987&amp;""),"%","")),0)&lt;1),1,100))</f>
        <v/>
      </c>
      <c r="G987" t="str">
        <f>IF(A987="","",IFERROR(VALUE(SUBSTITUTE(TRIM(Input!H987&amp;""),"%","")),0)/IF(AND(IFERROR(VALUE(SUBSTITUTE(TRIM(Input!H987&amp;""),"%","")),0)&gt;0,IFERROR(VALUE(SUBSTITUTE(TRIM(Input!H987&amp;""),"%","")),0)&lt;1),1,100))</f>
        <v/>
      </c>
      <c r="H987" t="str">
        <f>IF(A987="","",IFERROR(VALUE(SUBSTITUTE(TRIM(Input!I987&amp;""),"%","")),0)/IF(AND(IFERROR(VALUE(SUBSTITUTE(TRIM(Input!I987&amp;""),"%","")),0)&gt;0,IFERROR(VALUE(SUBSTITUTE(TRIM(Input!I987&amp;""),"%","")),0)&lt;1),1,100))</f>
        <v/>
      </c>
    </row>
    <row r="988" spans="1:8">
      <c r="A988" t="str">
        <f>IF(TRIM(Input!B988&amp;"")="","",UPPER(TRIM(Input!B988&amp;"")))</f>
        <v/>
      </c>
      <c r="B988" t="str">
        <f>IF(A988="","",IFERROR(VALUE(RIGHT(TRIM(Input!D988&amp;""),1)),0))</f>
        <v/>
      </c>
      <c r="C988" t="str">
        <f t="shared" si="15"/>
        <v/>
      </c>
      <c r="D988" t="str">
        <f>IF(A988="","",IFERROR(VALUE(SUBSTITUTE(TRIM(Input!E988&amp;""),"%","")),0)/IF(AND(IFERROR(VALUE(SUBSTITUTE(TRIM(Input!E988&amp;""),"%","")),0)&gt;0,IFERROR(VALUE(SUBSTITUTE(TRIM(Input!E988&amp;""),"%","")),0)&lt;1),1,100))</f>
        <v/>
      </c>
      <c r="E988" t="str">
        <f>IF(A988="","",IFERROR(VALUE(SUBSTITUTE(TRIM(Input!F988&amp;""),"%","")),0)/IF(AND(IFERROR(VALUE(SUBSTITUTE(TRIM(Input!F988&amp;""),"%","")),0)&gt;0,IFERROR(VALUE(SUBSTITUTE(TRIM(Input!F988&amp;""),"%","")),0)&lt;1),1,100))</f>
        <v/>
      </c>
      <c r="F988" t="str">
        <f>IF(A988="","",IFERROR(VALUE(SUBSTITUTE(TRIM(Input!G988&amp;""),"%","")),0)/IF(AND(IFERROR(VALUE(SUBSTITUTE(TRIM(Input!G988&amp;""),"%","")),0)&gt;0,IFERROR(VALUE(SUBSTITUTE(TRIM(Input!G988&amp;""),"%","")),0)&lt;1),1,100))</f>
        <v/>
      </c>
      <c r="G988" t="str">
        <f>IF(A988="","",IFERROR(VALUE(SUBSTITUTE(TRIM(Input!H988&amp;""),"%","")),0)/IF(AND(IFERROR(VALUE(SUBSTITUTE(TRIM(Input!H988&amp;""),"%","")),0)&gt;0,IFERROR(VALUE(SUBSTITUTE(TRIM(Input!H988&amp;""),"%","")),0)&lt;1),1,100))</f>
        <v/>
      </c>
      <c r="H988" t="str">
        <f>IF(A988="","",IFERROR(VALUE(SUBSTITUTE(TRIM(Input!I988&amp;""),"%","")),0)/IF(AND(IFERROR(VALUE(SUBSTITUTE(TRIM(Input!I988&amp;""),"%","")),0)&gt;0,IFERROR(VALUE(SUBSTITUTE(TRIM(Input!I988&amp;""),"%","")),0)&lt;1),1,100))</f>
        <v/>
      </c>
    </row>
    <row r="989" spans="1:8">
      <c r="A989" t="str">
        <f>IF(TRIM(Input!B989&amp;"")="","",UPPER(TRIM(Input!B989&amp;"")))</f>
        <v/>
      </c>
      <c r="B989" t="str">
        <f>IF(A989="","",IFERROR(VALUE(RIGHT(TRIM(Input!D989&amp;""),1)),0))</f>
        <v/>
      </c>
      <c r="C989" t="str">
        <f t="shared" si="15"/>
        <v/>
      </c>
      <c r="D989" t="str">
        <f>IF(A989="","",IFERROR(VALUE(SUBSTITUTE(TRIM(Input!E989&amp;""),"%","")),0)/IF(AND(IFERROR(VALUE(SUBSTITUTE(TRIM(Input!E989&amp;""),"%","")),0)&gt;0,IFERROR(VALUE(SUBSTITUTE(TRIM(Input!E989&amp;""),"%","")),0)&lt;1),1,100))</f>
        <v/>
      </c>
      <c r="E989" t="str">
        <f>IF(A989="","",IFERROR(VALUE(SUBSTITUTE(TRIM(Input!F989&amp;""),"%","")),0)/IF(AND(IFERROR(VALUE(SUBSTITUTE(TRIM(Input!F989&amp;""),"%","")),0)&gt;0,IFERROR(VALUE(SUBSTITUTE(TRIM(Input!F989&amp;""),"%","")),0)&lt;1),1,100))</f>
        <v/>
      </c>
      <c r="F989" t="str">
        <f>IF(A989="","",IFERROR(VALUE(SUBSTITUTE(TRIM(Input!G989&amp;""),"%","")),0)/IF(AND(IFERROR(VALUE(SUBSTITUTE(TRIM(Input!G989&amp;""),"%","")),0)&gt;0,IFERROR(VALUE(SUBSTITUTE(TRIM(Input!G989&amp;""),"%","")),0)&lt;1),1,100))</f>
        <v/>
      </c>
      <c r="G989" t="str">
        <f>IF(A989="","",IFERROR(VALUE(SUBSTITUTE(TRIM(Input!H989&amp;""),"%","")),0)/IF(AND(IFERROR(VALUE(SUBSTITUTE(TRIM(Input!H989&amp;""),"%","")),0)&gt;0,IFERROR(VALUE(SUBSTITUTE(TRIM(Input!H989&amp;""),"%","")),0)&lt;1),1,100))</f>
        <v/>
      </c>
      <c r="H989" t="str">
        <f>IF(A989="","",IFERROR(VALUE(SUBSTITUTE(TRIM(Input!I989&amp;""),"%","")),0)/IF(AND(IFERROR(VALUE(SUBSTITUTE(TRIM(Input!I989&amp;""),"%","")),0)&gt;0,IFERROR(VALUE(SUBSTITUTE(TRIM(Input!I989&amp;""),"%","")),0)&lt;1),1,100))</f>
        <v/>
      </c>
    </row>
    <row r="990" spans="1:8">
      <c r="A990" t="str">
        <f>IF(TRIM(Input!B990&amp;"")="","",UPPER(TRIM(Input!B990&amp;"")))</f>
        <v/>
      </c>
      <c r="B990" t="str">
        <f>IF(A990="","",IFERROR(VALUE(RIGHT(TRIM(Input!D990&amp;""),1)),0))</f>
        <v/>
      </c>
      <c r="C990" t="str">
        <f t="shared" si="15"/>
        <v/>
      </c>
      <c r="D990" t="str">
        <f>IF(A990="","",IFERROR(VALUE(SUBSTITUTE(TRIM(Input!E990&amp;""),"%","")),0)/IF(AND(IFERROR(VALUE(SUBSTITUTE(TRIM(Input!E990&amp;""),"%","")),0)&gt;0,IFERROR(VALUE(SUBSTITUTE(TRIM(Input!E990&amp;""),"%","")),0)&lt;1),1,100))</f>
        <v/>
      </c>
      <c r="E990" t="str">
        <f>IF(A990="","",IFERROR(VALUE(SUBSTITUTE(TRIM(Input!F990&amp;""),"%","")),0)/IF(AND(IFERROR(VALUE(SUBSTITUTE(TRIM(Input!F990&amp;""),"%","")),0)&gt;0,IFERROR(VALUE(SUBSTITUTE(TRIM(Input!F990&amp;""),"%","")),0)&lt;1),1,100))</f>
        <v/>
      </c>
      <c r="F990" t="str">
        <f>IF(A990="","",IFERROR(VALUE(SUBSTITUTE(TRIM(Input!G990&amp;""),"%","")),0)/IF(AND(IFERROR(VALUE(SUBSTITUTE(TRIM(Input!G990&amp;""),"%","")),0)&gt;0,IFERROR(VALUE(SUBSTITUTE(TRIM(Input!G990&amp;""),"%","")),0)&lt;1),1,100))</f>
        <v/>
      </c>
      <c r="G990" t="str">
        <f>IF(A990="","",IFERROR(VALUE(SUBSTITUTE(TRIM(Input!H990&amp;""),"%","")),0)/IF(AND(IFERROR(VALUE(SUBSTITUTE(TRIM(Input!H990&amp;""),"%","")),0)&gt;0,IFERROR(VALUE(SUBSTITUTE(TRIM(Input!H990&amp;""),"%","")),0)&lt;1),1,100))</f>
        <v/>
      </c>
      <c r="H990" t="str">
        <f>IF(A990="","",IFERROR(VALUE(SUBSTITUTE(TRIM(Input!I990&amp;""),"%","")),0)/IF(AND(IFERROR(VALUE(SUBSTITUTE(TRIM(Input!I990&amp;""),"%","")),0)&gt;0,IFERROR(VALUE(SUBSTITUTE(TRIM(Input!I990&amp;""),"%","")),0)&lt;1),1,100))</f>
        <v/>
      </c>
    </row>
    <row r="991" spans="1:8">
      <c r="A991" t="str">
        <f>IF(TRIM(Input!B991&amp;"")="","",UPPER(TRIM(Input!B991&amp;"")))</f>
        <v/>
      </c>
      <c r="B991" t="str">
        <f>IF(A991="","",IFERROR(VALUE(RIGHT(TRIM(Input!D991&amp;""),1)),0))</f>
        <v/>
      </c>
      <c r="C991" t="str">
        <f t="shared" si="15"/>
        <v/>
      </c>
      <c r="D991" t="str">
        <f>IF(A991="","",IFERROR(VALUE(SUBSTITUTE(TRIM(Input!E991&amp;""),"%","")),0)/IF(AND(IFERROR(VALUE(SUBSTITUTE(TRIM(Input!E991&amp;""),"%","")),0)&gt;0,IFERROR(VALUE(SUBSTITUTE(TRIM(Input!E991&amp;""),"%","")),0)&lt;1),1,100))</f>
        <v/>
      </c>
      <c r="E991" t="str">
        <f>IF(A991="","",IFERROR(VALUE(SUBSTITUTE(TRIM(Input!F991&amp;""),"%","")),0)/IF(AND(IFERROR(VALUE(SUBSTITUTE(TRIM(Input!F991&amp;""),"%","")),0)&gt;0,IFERROR(VALUE(SUBSTITUTE(TRIM(Input!F991&amp;""),"%","")),0)&lt;1),1,100))</f>
        <v/>
      </c>
      <c r="F991" t="str">
        <f>IF(A991="","",IFERROR(VALUE(SUBSTITUTE(TRIM(Input!G991&amp;""),"%","")),0)/IF(AND(IFERROR(VALUE(SUBSTITUTE(TRIM(Input!G991&amp;""),"%","")),0)&gt;0,IFERROR(VALUE(SUBSTITUTE(TRIM(Input!G991&amp;""),"%","")),0)&lt;1),1,100))</f>
        <v/>
      </c>
      <c r="G991" t="str">
        <f>IF(A991="","",IFERROR(VALUE(SUBSTITUTE(TRIM(Input!H991&amp;""),"%","")),0)/IF(AND(IFERROR(VALUE(SUBSTITUTE(TRIM(Input!H991&amp;""),"%","")),0)&gt;0,IFERROR(VALUE(SUBSTITUTE(TRIM(Input!H991&amp;""),"%","")),0)&lt;1),1,100))</f>
        <v/>
      </c>
      <c r="H991" t="str">
        <f>IF(A991="","",IFERROR(VALUE(SUBSTITUTE(TRIM(Input!I991&amp;""),"%","")),0)/IF(AND(IFERROR(VALUE(SUBSTITUTE(TRIM(Input!I991&amp;""),"%","")),0)&gt;0,IFERROR(VALUE(SUBSTITUTE(TRIM(Input!I991&amp;""),"%","")),0)&lt;1),1,100))</f>
        <v/>
      </c>
    </row>
    <row r="992" spans="1:8">
      <c r="A992" t="str">
        <f>IF(TRIM(Input!B992&amp;"")="","",UPPER(TRIM(Input!B992&amp;"")))</f>
        <v/>
      </c>
      <c r="B992" t="str">
        <f>IF(A992="","",IFERROR(VALUE(RIGHT(TRIM(Input!D992&amp;""),1)),0))</f>
        <v/>
      </c>
      <c r="C992" t="str">
        <f t="shared" si="15"/>
        <v/>
      </c>
      <c r="D992" t="str">
        <f>IF(A992="","",IFERROR(VALUE(SUBSTITUTE(TRIM(Input!E992&amp;""),"%","")),0)/IF(AND(IFERROR(VALUE(SUBSTITUTE(TRIM(Input!E992&amp;""),"%","")),0)&gt;0,IFERROR(VALUE(SUBSTITUTE(TRIM(Input!E992&amp;""),"%","")),0)&lt;1),1,100))</f>
        <v/>
      </c>
      <c r="E992" t="str">
        <f>IF(A992="","",IFERROR(VALUE(SUBSTITUTE(TRIM(Input!F992&amp;""),"%","")),0)/IF(AND(IFERROR(VALUE(SUBSTITUTE(TRIM(Input!F992&amp;""),"%","")),0)&gt;0,IFERROR(VALUE(SUBSTITUTE(TRIM(Input!F992&amp;""),"%","")),0)&lt;1),1,100))</f>
        <v/>
      </c>
      <c r="F992" t="str">
        <f>IF(A992="","",IFERROR(VALUE(SUBSTITUTE(TRIM(Input!G992&amp;""),"%","")),0)/IF(AND(IFERROR(VALUE(SUBSTITUTE(TRIM(Input!G992&amp;""),"%","")),0)&gt;0,IFERROR(VALUE(SUBSTITUTE(TRIM(Input!G992&amp;""),"%","")),0)&lt;1),1,100))</f>
        <v/>
      </c>
      <c r="G992" t="str">
        <f>IF(A992="","",IFERROR(VALUE(SUBSTITUTE(TRIM(Input!H992&amp;""),"%","")),0)/IF(AND(IFERROR(VALUE(SUBSTITUTE(TRIM(Input!H992&amp;""),"%","")),0)&gt;0,IFERROR(VALUE(SUBSTITUTE(TRIM(Input!H992&amp;""),"%","")),0)&lt;1),1,100))</f>
        <v/>
      </c>
      <c r="H992" t="str">
        <f>IF(A992="","",IFERROR(VALUE(SUBSTITUTE(TRIM(Input!I992&amp;""),"%","")),0)/IF(AND(IFERROR(VALUE(SUBSTITUTE(TRIM(Input!I992&amp;""),"%","")),0)&gt;0,IFERROR(VALUE(SUBSTITUTE(TRIM(Input!I992&amp;""),"%","")),0)&lt;1),1,100))</f>
        <v/>
      </c>
    </row>
    <row r="993" spans="1:8">
      <c r="A993" t="str">
        <f>IF(TRIM(Input!B993&amp;"")="","",UPPER(TRIM(Input!B993&amp;"")))</f>
        <v/>
      </c>
      <c r="B993" t="str">
        <f>IF(A993="","",IFERROR(VALUE(RIGHT(TRIM(Input!D993&amp;""),1)),0))</f>
        <v/>
      </c>
      <c r="C993" t="str">
        <f t="shared" si="15"/>
        <v/>
      </c>
      <c r="D993" t="str">
        <f>IF(A993="","",IFERROR(VALUE(SUBSTITUTE(TRIM(Input!E993&amp;""),"%","")),0)/IF(AND(IFERROR(VALUE(SUBSTITUTE(TRIM(Input!E993&amp;""),"%","")),0)&gt;0,IFERROR(VALUE(SUBSTITUTE(TRIM(Input!E993&amp;""),"%","")),0)&lt;1),1,100))</f>
        <v/>
      </c>
      <c r="E993" t="str">
        <f>IF(A993="","",IFERROR(VALUE(SUBSTITUTE(TRIM(Input!F993&amp;""),"%","")),0)/IF(AND(IFERROR(VALUE(SUBSTITUTE(TRIM(Input!F993&amp;""),"%","")),0)&gt;0,IFERROR(VALUE(SUBSTITUTE(TRIM(Input!F993&amp;""),"%","")),0)&lt;1),1,100))</f>
        <v/>
      </c>
      <c r="F993" t="str">
        <f>IF(A993="","",IFERROR(VALUE(SUBSTITUTE(TRIM(Input!G993&amp;""),"%","")),0)/IF(AND(IFERROR(VALUE(SUBSTITUTE(TRIM(Input!G993&amp;""),"%","")),0)&gt;0,IFERROR(VALUE(SUBSTITUTE(TRIM(Input!G993&amp;""),"%","")),0)&lt;1),1,100))</f>
        <v/>
      </c>
      <c r="G993" t="str">
        <f>IF(A993="","",IFERROR(VALUE(SUBSTITUTE(TRIM(Input!H993&amp;""),"%","")),0)/IF(AND(IFERROR(VALUE(SUBSTITUTE(TRIM(Input!H993&amp;""),"%","")),0)&gt;0,IFERROR(VALUE(SUBSTITUTE(TRIM(Input!H993&amp;""),"%","")),0)&lt;1),1,100))</f>
        <v/>
      </c>
      <c r="H993" t="str">
        <f>IF(A993="","",IFERROR(VALUE(SUBSTITUTE(TRIM(Input!I993&amp;""),"%","")),0)/IF(AND(IFERROR(VALUE(SUBSTITUTE(TRIM(Input!I993&amp;""),"%","")),0)&gt;0,IFERROR(VALUE(SUBSTITUTE(TRIM(Input!I993&amp;""),"%","")),0)&lt;1),1,100))</f>
        <v/>
      </c>
    </row>
    <row r="994" spans="1:8">
      <c r="A994" t="str">
        <f>IF(TRIM(Input!B994&amp;"")="","",UPPER(TRIM(Input!B994&amp;"")))</f>
        <v/>
      </c>
      <c r="B994" t="str">
        <f>IF(A994="","",IFERROR(VALUE(RIGHT(TRIM(Input!D994&amp;""),1)),0))</f>
        <v/>
      </c>
      <c r="C994" t="str">
        <f t="shared" si="15"/>
        <v/>
      </c>
      <c r="D994" t="str">
        <f>IF(A994="","",IFERROR(VALUE(SUBSTITUTE(TRIM(Input!E994&amp;""),"%","")),0)/IF(AND(IFERROR(VALUE(SUBSTITUTE(TRIM(Input!E994&amp;""),"%","")),0)&gt;0,IFERROR(VALUE(SUBSTITUTE(TRIM(Input!E994&amp;""),"%","")),0)&lt;1),1,100))</f>
        <v/>
      </c>
      <c r="E994" t="str">
        <f>IF(A994="","",IFERROR(VALUE(SUBSTITUTE(TRIM(Input!F994&amp;""),"%","")),0)/IF(AND(IFERROR(VALUE(SUBSTITUTE(TRIM(Input!F994&amp;""),"%","")),0)&gt;0,IFERROR(VALUE(SUBSTITUTE(TRIM(Input!F994&amp;""),"%","")),0)&lt;1),1,100))</f>
        <v/>
      </c>
      <c r="F994" t="str">
        <f>IF(A994="","",IFERROR(VALUE(SUBSTITUTE(TRIM(Input!G994&amp;""),"%","")),0)/IF(AND(IFERROR(VALUE(SUBSTITUTE(TRIM(Input!G994&amp;""),"%","")),0)&gt;0,IFERROR(VALUE(SUBSTITUTE(TRIM(Input!G994&amp;""),"%","")),0)&lt;1),1,100))</f>
        <v/>
      </c>
      <c r="G994" t="str">
        <f>IF(A994="","",IFERROR(VALUE(SUBSTITUTE(TRIM(Input!H994&amp;""),"%","")),0)/IF(AND(IFERROR(VALUE(SUBSTITUTE(TRIM(Input!H994&amp;""),"%","")),0)&gt;0,IFERROR(VALUE(SUBSTITUTE(TRIM(Input!H994&amp;""),"%","")),0)&lt;1),1,100))</f>
        <v/>
      </c>
      <c r="H994" t="str">
        <f>IF(A994="","",IFERROR(VALUE(SUBSTITUTE(TRIM(Input!I994&amp;""),"%","")),0)/IF(AND(IFERROR(VALUE(SUBSTITUTE(TRIM(Input!I994&amp;""),"%","")),0)&gt;0,IFERROR(VALUE(SUBSTITUTE(TRIM(Input!I994&amp;""),"%","")),0)&lt;1),1,100))</f>
        <v/>
      </c>
    </row>
    <row r="995" spans="1:8">
      <c r="A995" t="str">
        <f>IF(TRIM(Input!B995&amp;"")="","",UPPER(TRIM(Input!B995&amp;"")))</f>
        <v/>
      </c>
      <c r="B995" t="str">
        <f>IF(A995="","",IFERROR(VALUE(RIGHT(TRIM(Input!D995&amp;""),1)),0))</f>
        <v/>
      </c>
      <c r="C995" t="str">
        <f t="shared" si="15"/>
        <v/>
      </c>
      <c r="D995" t="str">
        <f>IF(A995="","",IFERROR(VALUE(SUBSTITUTE(TRIM(Input!E995&amp;""),"%","")),0)/IF(AND(IFERROR(VALUE(SUBSTITUTE(TRIM(Input!E995&amp;""),"%","")),0)&gt;0,IFERROR(VALUE(SUBSTITUTE(TRIM(Input!E995&amp;""),"%","")),0)&lt;1),1,100))</f>
        <v/>
      </c>
      <c r="E995" t="str">
        <f>IF(A995="","",IFERROR(VALUE(SUBSTITUTE(TRIM(Input!F995&amp;""),"%","")),0)/IF(AND(IFERROR(VALUE(SUBSTITUTE(TRIM(Input!F995&amp;""),"%","")),0)&gt;0,IFERROR(VALUE(SUBSTITUTE(TRIM(Input!F995&amp;""),"%","")),0)&lt;1),1,100))</f>
        <v/>
      </c>
      <c r="F995" t="str">
        <f>IF(A995="","",IFERROR(VALUE(SUBSTITUTE(TRIM(Input!G995&amp;""),"%","")),0)/IF(AND(IFERROR(VALUE(SUBSTITUTE(TRIM(Input!G995&amp;""),"%","")),0)&gt;0,IFERROR(VALUE(SUBSTITUTE(TRIM(Input!G995&amp;""),"%","")),0)&lt;1),1,100))</f>
        <v/>
      </c>
      <c r="G995" t="str">
        <f>IF(A995="","",IFERROR(VALUE(SUBSTITUTE(TRIM(Input!H995&amp;""),"%","")),0)/IF(AND(IFERROR(VALUE(SUBSTITUTE(TRIM(Input!H995&amp;""),"%","")),0)&gt;0,IFERROR(VALUE(SUBSTITUTE(TRIM(Input!H995&amp;""),"%","")),0)&lt;1),1,100))</f>
        <v/>
      </c>
      <c r="H995" t="str">
        <f>IF(A995="","",IFERROR(VALUE(SUBSTITUTE(TRIM(Input!I995&amp;""),"%","")),0)/IF(AND(IFERROR(VALUE(SUBSTITUTE(TRIM(Input!I995&amp;""),"%","")),0)&gt;0,IFERROR(VALUE(SUBSTITUTE(TRIM(Input!I995&amp;""),"%","")),0)&lt;1),1,100))</f>
        <v/>
      </c>
    </row>
    <row r="996" spans="1:8">
      <c r="A996" t="str">
        <f>IF(TRIM(Input!B996&amp;"")="","",UPPER(TRIM(Input!B996&amp;"")))</f>
        <v/>
      </c>
      <c r="B996" t="str">
        <f>IF(A996="","",IFERROR(VALUE(RIGHT(TRIM(Input!D996&amp;""),1)),0))</f>
        <v/>
      </c>
      <c r="C996" t="str">
        <f t="shared" si="15"/>
        <v/>
      </c>
      <c r="D996" t="str">
        <f>IF(A996="","",IFERROR(VALUE(SUBSTITUTE(TRIM(Input!E996&amp;""),"%","")),0)/IF(AND(IFERROR(VALUE(SUBSTITUTE(TRIM(Input!E996&amp;""),"%","")),0)&gt;0,IFERROR(VALUE(SUBSTITUTE(TRIM(Input!E996&amp;""),"%","")),0)&lt;1),1,100))</f>
        <v/>
      </c>
      <c r="E996" t="str">
        <f>IF(A996="","",IFERROR(VALUE(SUBSTITUTE(TRIM(Input!F996&amp;""),"%","")),0)/IF(AND(IFERROR(VALUE(SUBSTITUTE(TRIM(Input!F996&amp;""),"%","")),0)&gt;0,IFERROR(VALUE(SUBSTITUTE(TRIM(Input!F996&amp;""),"%","")),0)&lt;1),1,100))</f>
        <v/>
      </c>
      <c r="F996" t="str">
        <f>IF(A996="","",IFERROR(VALUE(SUBSTITUTE(TRIM(Input!G996&amp;""),"%","")),0)/IF(AND(IFERROR(VALUE(SUBSTITUTE(TRIM(Input!G996&amp;""),"%","")),0)&gt;0,IFERROR(VALUE(SUBSTITUTE(TRIM(Input!G996&amp;""),"%","")),0)&lt;1),1,100))</f>
        <v/>
      </c>
      <c r="G996" t="str">
        <f>IF(A996="","",IFERROR(VALUE(SUBSTITUTE(TRIM(Input!H996&amp;""),"%","")),0)/IF(AND(IFERROR(VALUE(SUBSTITUTE(TRIM(Input!H996&amp;""),"%","")),0)&gt;0,IFERROR(VALUE(SUBSTITUTE(TRIM(Input!H996&amp;""),"%","")),0)&lt;1),1,100))</f>
        <v/>
      </c>
      <c r="H996" t="str">
        <f>IF(A996="","",IFERROR(VALUE(SUBSTITUTE(TRIM(Input!I996&amp;""),"%","")),0)/IF(AND(IFERROR(VALUE(SUBSTITUTE(TRIM(Input!I996&amp;""),"%","")),0)&gt;0,IFERROR(VALUE(SUBSTITUTE(TRIM(Input!I996&amp;""),"%","")),0)&lt;1),1,100))</f>
        <v/>
      </c>
    </row>
    <row r="997" spans="1:8">
      <c r="A997" t="str">
        <f>IF(TRIM(Input!B997&amp;"")="","",UPPER(TRIM(Input!B997&amp;"")))</f>
        <v/>
      </c>
      <c r="B997" t="str">
        <f>IF(A997="","",IFERROR(VALUE(RIGHT(TRIM(Input!D997&amp;""),1)),0))</f>
        <v/>
      </c>
      <c r="C997" t="str">
        <f t="shared" si="15"/>
        <v/>
      </c>
      <c r="D997" t="str">
        <f>IF(A997="","",IFERROR(VALUE(SUBSTITUTE(TRIM(Input!E997&amp;""),"%","")),0)/IF(AND(IFERROR(VALUE(SUBSTITUTE(TRIM(Input!E997&amp;""),"%","")),0)&gt;0,IFERROR(VALUE(SUBSTITUTE(TRIM(Input!E997&amp;""),"%","")),0)&lt;1),1,100))</f>
        <v/>
      </c>
      <c r="E997" t="str">
        <f>IF(A997="","",IFERROR(VALUE(SUBSTITUTE(TRIM(Input!F997&amp;""),"%","")),0)/IF(AND(IFERROR(VALUE(SUBSTITUTE(TRIM(Input!F997&amp;""),"%","")),0)&gt;0,IFERROR(VALUE(SUBSTITUTE(TRIM(Input!F997&amp;""),"%","")),0)&lt;1),1,100))</f>
        <v/>
      </c>
      <c r="F997" t="str">
        <f>IF(A997="","",IFERROR(VALUE(SUBSTITUTE(TRIM(Input!G997&amp;""),"%","")),0)/IF(AND(IFERROR(VALUE(SUBSTITUTE(TRIM(Input!G997&amp;""),"%","")),0)&gt;0,IFERROR(VALUE(SUBSTITUTE(TRIM(Input!G997&amp;""),"%","")),0)&lt;1),1,100))</f>
        <v/>
      </c>
      <c r="G997" t="str">
        <f>IF(A997="","",IFERROR(VALUE(SUBSTITUTE(TRIM(Input!H997&amp;""),"%","")),0)/IF(AND(IFERROR(VALUE(SUBSTITUTE(TRIM(Input!H997&amp;""),"%","")),0)&gt;0,IFERROR(VALUE(SUBSTITUTE(TRIM(Input!H997&amp;""),"%","")),0)&lt;1),1,100))</f>
        <v/>
      </c>
      <c r="H997" t="str">
        <f>IF(A997="","",IFERROR(VALUE(SUBSTITUTE(TRIM(Input!I997&amp;""),"%","")),0)/IF(AND(IFERROR(VALUE(SUBSTITUTE(TRIM(Input!I997&amp;""),"%","")),0)&gt;0,IFERROR(VALUE(SUBSTITUTE(TRIM(Input!I997&amp;""),"%","")),0)&lt;1),1,100))</f>
        <v/>
      </c>
    </row>
    <row r="998" spans="1:8">
      <c r="A998" t="str">
        <f>IF(TRIM(Input!B998&amp;"")="","",UPPER(TRIM(Input!B998&amp;"")))</f>
        <v/>
      </c>
      <c r="B998" t="str">
        <f>IF(A998="","",IFERROR(VALUE(RIGHT(TRIM(Input!D998&amp;""),1)),0))</f>
        <v/>
      </c>
      <c r="C998" t="str">
        <f t="shared" si="15"/>
        <v/>
      </c>
      <c r="D998" t="str">
        <f>IF(A998="","",IFERROR(VALUE(SUBSTITUTE(TRIM(Input!E998&amp;""),"%","")),0)/IF(AND(IFERROR(VALUE(SUBSTITUTE(TRIM(Input!E998&amp;""),"%","")),0)&gt;0,IFERROR(VALUE(SUBSTITUTE(TRIM(Input!E998&amp;""),"%","")),0)&lt;1),1,100))</f>
        <v/>
      </c>
      <c r="E998" t="str">
        <f>IF(A998="","",IFERROR(VALUE(SUBSTITUTE(TRIM(Input!F998&amp;""),"%","")),0)/IF(AND(IFERROR(VALUE(SUBSTITUTE(TRIM(Input!F998&amp;""),"%","")),0)&gt;0,IFERROR(VALUE(SUBSTITUTE(TRIM(Input!F998&amp;""),"%","")),0)&lt;1),1,100))</f>
        <v/>
      </c>
      <c r="F998" t="str">
        <f>IF(A998="","",IFERROR(VALUE(SUBSTITUTE(TRIM(Input!G998&amp;""),"%","")),0)/IF(AND(IFERROR(VALUE(SUBSTITUTE(TRIM(Input!G998&amp;""),"%","")),0)&gt;0,IFERROR(VALUE(SUBSTITUTE(TRIM(Input!G998&amp;""),"%","")),0)&lt;1),1,100))</f>
        <v/>
      </c>
      <c r="G998" t="str">
        <f>IF(A998="","",IFERROR(VALUE(SUBSTITUTE(TRIM(Input!H998&amp;""),"%","")),0)/IF(AND(IFERROR(VALUE(SUBSTITUTE(TRIM(Input!H998&amp;""),"%","")),0)&gt;0,IFERROR(VALUE(SUBSTITUTE(TRIM(Input!H998&amp;""),"%","")),0)&lt;1),1,100))</f>
        <v/>
      </c>
      <c r="H998" t="str">
        <f>IF(A998="","",IFERROR(VALUE(SUBSTITUTE(TRIM(Input!I998&amp;""),"%","")),0)/IF(AND(IFERROR(VALUE(SUBSTITUTE(TRIM(Input!I998&amp;""),"%","")),0)&gt;0,IFERROR(VALUE(SUBSTITUTE(TRIM(Input!I998&amp;""),"%","")),0)&lt;1),1,100))</f>
        <v/>
      </c>
    </row>
    <row r="999" spans="1:8">
      <c r="A999" t="str">
        <f>IF(TRIM(Input!B999&amp;"")="","",UPPER(TRIM(Input!B999&amp;"")))</f>
        <v/>
      </c>
      <c r="B999" t="str">
        <f>IF(A999="","",IFERROR(VALUE(RIGHT(TRIM(Input!D999&amp;""),1)),0))</f>
        <v/>
      </c>
      <c r="C999" t="str">
        <f t="shared" si="15"/>
        <v/>
      </c>
      <c r="D999" t="str">
        <f>IF(A999="","",IFERROR(VALUE(SUBSTITUTE(TRIM(Input!E999&amp;""),"%","")),0)/IF(AND(IFERROR(VALUE(SUBSTITUTE(TRIM(Input!E999&amp;""),"%","")),0)&gt;0,IFERROR(VALUE(SUBSTITUTE(TRIM(Input!E999&amp;""),"%","")),0)&lt;1),1,100))</f>
        <v/>
      </c>
      <c r="E999" t="str">
        <f>IF(A999="","",IFERROR(VALUE(SUBSTITUTE(TRIM(Input!F999&amp;""),"%","")),0)/IF(AND(IFERROR(VALUE(SUBSTITUTE(TRIM(Input!F999&amp;""),"%","")),0)&gt;0,IFERROR(VALUE(SUBSTITUTE(TRIM(Input!F999&amp;""),"%","")),0)&lt;1),1,100))</f>
        <v/>
      </c>
      <c r="F999" t="str">
        <f>IF(A999="","",IFERROR(VALUE(SUBSTITUTE(TRIM(Input!G999&amp;""),"%","")),0)/IF(AND(IFERROR(VALUE(SUBSTITUTE(TRIM(Input!G999&amp;""),"%","")),0)&gt;0,IFERROR(VALUE(SUBSTITUTE(TRIM(Input!G999&amp;""),"%","")),0)&lt;1),1,100))</f>
        <v/>
      </c>
      <c r="G999" t="str">
        <f>IF(A999="","",IFERROR(VALUE(SUBSTITUTE(TRIM(Input!H999&amp;""),"%","")),0)/IF(AND(IFERROR(VALUE(SUBSTITUTE(TRIM(Input!H999&amp;""),"%","")),0)&gt;0,IFERROR(VALUE(SUBSTITUTE(TRIM(Input!H999&amp;""),"%","")),0)&lt;1),1,100))</f>
        <v/>
      </c>
      <c r="H999" t="str">
        <f>IF(A999="","",IFERROR(VALUE(SUBSTITUTE(TRIM(Input!I999&amp;""),"%","")),0)/IF(AND(IFERROR(VALUE(SUBSTITUTE(TRIM(Input!I999&amp;""),"%","")),0)&gt;0,IFERROR(VALUE(SUBSTITUTE(TRIM(Input!I999&amp;""),"%","")),0)&lt;1),1,100))</f>
        <v/>
      </c>
    </row>
    <row r="1000" spans="1:8">
      <c r="A1000" t="str">
        <f>IF(TRIM(Input!B1000&amp;"")="","",UPPER(TRIM(Input!B1000&amp;"")))</f>
        <v/>
      </c>
      <c r="B1000" t="str">
        <f>IF(A1000="","",IFERROR(VALUE(RIGHT(TRIM(Input!D1000&amp;""),1)),0))</f>
        <v/>
      </c>
      <c r="C1000" t="str">
        <f t="shared" si="15"/>
        <v/>
      </c>
      <c r="D1000" t="str">
        <f>IF(A1000="","",IFERROR(VALUE(SUBSTITUTE(TRIM(Input!E1000&amp;""),"%","")),0)/IF(AND(IFERROR(VALUE(SUBSTITUTE(TRIM(Input!E1000&amp;""),"%","")),0)&gt;0,IFERROR(VALUE(SUBSTITUTE(TRIM(Input!E1000&amp;""),"%","")),0)&lt;1),1,100))</f>
        <v/>
      </c>
      <c r="E1000" t="str">
        <f>IF(A1000="","",IFERROR(VALUE(SUBSTITUTE(TRIM(Input!F1000&amp;""),"%","")),0)/IF(AND(IFERROR(VALUE(SUBSTITUTE(TRIM(Input!F1000&amp;""),"%","")),0)&gt;0,IFERROR(VALUE(SUBSTITUTE(TRIM(Input!F1000&amp;""),"%","")),0)&lt;1),1,100))</f>
        <v/>
      </c>
      <c r="F1000" t="str">
        <f>IF(A1000="","",IFERROR(VALUE(SUBSTITUTE(TRIM(Input!G1000&amp;""),"%","")),0)/IF(AND(IFERROR(VALUE(SUBSTITUTE(TRIM(Input!G1000&amp;""),"%","")),0)&gt;0,IFERROR(VALUE(SUBSTITUTE(TRIM(Input!G1000&amp;""),"%","")),0)&lt;1),1,100))</f>
        <v/>
      </c>
      <c r="G1000" t="str">
        <f>IF(A1000="","",IFERROR(VALUE(SUBSTITUTE(TRIM(Input!H1000&amp;""),"%","")),0)/IF(AND(IFERROR(VALUE(SUBSTITUTE(TRIM(Input!H1000&amp;""),"%","")),0)&gt;0,IFERROR(VALUE(SUBSTITUTE(TRIM(Input!H1000&amp;""),"%","")),0)&lt;1),1,100))</f>
        <v/>
      </c>
      <c r="H1000" t="str">
        <f>IF(A1000="","",IFERROR(VALUE(SUBSTITUTE(TRIM(Input!I1000&amp;""),"%","")),0)/IF(AND(IFERROR(VALUE(SUBSTITUTE(TRIM(Input!I1000&amp;""),"%","")),0)&gt;0,IFERROR(VALUE(SUBSTITUTE(TRIM(Input!I1000&amp;""),"%","")),0)&lt;1),1,100))</f>
        <v/>
      </c>
    </row>
    <row r="1001" spans="1:8">
      <c r="A1001" t="str">
        <f>IF(TRIM(Input!B1001&amp;"")="","",UPPER(TRIM(Input!B1001&amp;"")))</f>
        <v/>
      </c>
      <c r="B1001" t="str">
        <f>IF(A1001="","",IFERROR(VALUE(RIGHT(TRIM(Input!D1001&amp;""),1)),0))</f>
        <v/>
      </c>
      <c r="C1001" t="str">
        <f t="shared" si="15"/>
        <v/>
      </c>
      <c r="D1001" t="str">
        <f>IF(A1001="","",IFERROR(VALUE(SUBSTITUTE(TRIM(Input!E1001&amp;""),"%","")),0)/IF(AND(IFERROR(VALUE(SUBSTITUTE(TRIM(Input!E1001&amp;""),"%","")),0)&gt;0,IFERROR(VALUE(SUBSTITUTE(TRIM(Input!E1001&amp;""),"%","")),0)&lt;1),1,100))</f>
        <v/>
      </c>
      <c r="E1001" t="str">
        <f>IF(A1001="","",IFERROR(VALUE(SUBSTITUTE(TRIM(Input!F1001&amp;""),"%","")),0)/IF(AND(IFERROR(VALUE(SUBSTITUTE(TRIM(Input!F1001&amp;""),"%","")),0)&gt;0,IFERROR(VALUE(SUBSTITUTE(TRIM(Input!F1001&amp;""),"%","")),0)&lt;1),1,100))</f>
        <v/>
      </c>
      <c r="F1001" t="str">
        <f>IF(A1001="","",IFERROR(VALUE(SUBSTITUTE(TRIM(Input!G1001&amp;""),"%","")),0)/IF(AND(IFERROR(VALUE(SUBSTITUTE(TRIM(Input!G1001&amp;""),"%","")),0)&gt;0,IFERROR(VALUE(SUBSTITUTE(TRIM(Input!G1001&amp;""),"%","")),0)&lt;1),1,100))</f>
        <v/>
      </c>
      <c r="G1001" t="str">
        <f>IF(A1001="","",IFERROR(VALUE(SUBSTITUTE(TRIM(Input!H1001&amp;""),"%","")),0)/IF(AND(IFERROR(VALUE(SUBSTITUTE(TRIM(Input!H1001&amp;""),"%","")),0)&gt;0,IFERROR(VALUE(SUBSTITUTE(TRIM(Input!H1001&amp;""),"%","")),0)&lt;1),1,100))</f>
        <v/>
      </c>
      <c r="H1001" t="str">
        <f>IF(A1001="","",IFERROR(VALUE(SUBSTITUTE(TRIM(Input!I1001&amp;""),"%","")),0)/IF(AND(IFERROR(VALUE(SUBSTITUTE(TRIM(Input!I1001&amp;""),"%","")),0)&gt;0,IFERROR(VALUE(SUBSTITUTE(TRIM(Input!I1001&amp;""),"%","")),0)&lt;1),1,100))</f>
        <v/>
      </c>
    </row>
    <row r="1002" spans="1:8">
      <c r="A1002" t="str">
        <f>IF(TRIM(Input!B1002&amp;"")="","",UPPER(TRIM(Input!B1002&amp;"")))</f>
        <v/>
      </c>
      <c r="B1002" t="str">
        <f>IF(A1002="","",IFERROR(VALUE(RIGHT(TRIM(Input!D1002&amp;""),1)),0))</f>
        <v/>
      </c>
      <c r="C1002" t="str">
        <f t="shared" si="15"/>
        <v/>
      </c>
      <c r="D1002" t="str">
        <f>IF(A1002="","",IFERROR(VALUE(SUBSTITUTE(TRIM(Input!E1002&amp;""),"%","")),0)/IF(AND(IFERROR(VALUE(SUBSTITUTE(TRIM(Input!E1002&amp;""),"%","")),0)&gt;0,IFERROR(VALUE(SUBSTITUTE(TRIM(Input!E1002&amp;""),"%","")),0)&lt;1),1,100))</f>
        <v/>
      </c>
      <c r="E1002" t="str">
        <f>IF(A1002="","",IFERROR(VALUE(SUBSTITUTE(TRIM(Input!F1002&amp;""),"%","")),0)/IF(AND(IFERROR(VALUE(SUBSTITUTE(TRIM(Input!F1002&amp;""),"%","")),0)&gt;0,IFERROR(VALUE(SUBSTITUTE(TRIM(Input!F1002&amp;""),"%","")),0)&lt;1),1,100))</f>
        <v/>
      </c>
      <c r="F1002" t="str">
        <f>IF(A1002="","",IFERROR(VALUE(SUBSTITUTE(TRIM(Input!G1002&amp;""),"%","")),0)/IF(AND(IFERROR(VALUE(SUBSTITUTE(TRIM(Input!G1002&amp;""),"%","")),0)&gt;0,IFERROR(VALUE(SUBSTITUTE(TRIM(Input!G1002&amp;""),"%","")),0)&lt;1),1,100))</f>
        <v/>
      </c>
      <c r="G1002" t="str">
        <f>IF(A1002="","",IFERROR(VALUE(SUBSTITUTE(TRIM(Input!H1002&amp;""),"%","")),0)/IF(AND(IFERROR(VALUE(SUBSTITUTE(TRIM(Input!H1002&amp;""),"%","")),0)&gt;0,IFERROR(VALUE(SUBSTITUTE(TRIM(Input!H1002&amp;""),"%","")),0)&lt;1),1,100))</f>
        <v/>
      </c>
      <c r="H1002" t="str">
        <f>IF(A1002="","",IFERROR(VALUE(SUBSTITUTE(TRIM(Input!I1002&amp;""),"%","")),0)/IF(AND(IFERROR(VALUE(SUBSTITUTE(TRIM(Input!I1002&amp;""),"%","")),0)&gt;0,IFERROR(VALUE(SUBSTITUTE(TRIM(Input!I1002&amp;""),"%","")),0)&lt;1),1,100))</f>
        <v/>
      </c>
    </row>
    <row r="1003" spans="1:8">
      <c r="A1003" t="str">
        <f>IF(TRIM(Input!B1003&amp;"")="","",UPPER(TRIM(Input!B1003&amp;"")))</f>
        <v/>
      </c>
      <c r="B1003" t="str">
        <f>IF(A1003="","",IFERROR(VALUE(RIGHT(TRIM(Input!D1003&amp;""),1)),0))</f>
        <v/>
      </c>
      <c r="C1003" t="str">
        <f t="shared" si="15"/>
        <v/>
      </c>
      <c r="D1003" t="str">
        <f>IF(A1003="","",IFERROR(VALUE(SUBSTITUTE(TRIM(Input!E1003&amp;""),"%","")),0)/IF(AND(IFERROR(VALUE(SUBSTITUTE(TRIM(Input!E1003&amp;""),"%","")),0)&gt;0,IFERROR(VALUE(SUBSTITUTE(TRIM(Input!E1003&amp;""),"%","")),0)&lt;1),1,100))</f>
        <v/>
      </c>
      <c r="E1003" t="str">
        <f>IF(A1003="","",IFERROR(VALUE(SUBSTITUTE(TRIM(Input!F1003&amp;""),"%","")),0)/IF(AND(IFERROR(VALUE(SUBSTITUTE(TRIM(Input!F1003&amp;""),"%","")),0)&gt;0,IFERROR(VALUE(SUBSTITUTE(TRIM(Input!F1003&amp;""),"%","")),0)&lt;1),1,100))</f>
        <v/>
      </c>
      <c r="F1003" t="str">
        <f>IF(A1003="","",IFERROR(VALUE(SUBSTITUTE(TRIM(Input!G1003&amp;""),"%","")),0)/IF(AND(IFERROR(VALUE(SUBSTITUTE(TRIM(Input!G1003&amp;""),"%","")),0)&gt;0,IFERROR(VALUE(SUBSTITUTE(TRIM(Input!G1003&amp;""),"%","")),0)&lt;1),1,100))</f>
        <v/>
      </c>
      <c r="G1003" t="str">
        <f>IF(A1003="","",IFERROR(VALUE(SUBSTITUTE(TRIM(Input!H1003&amp;""),"%","")),0)/IF(AND(IFERROR(VALUE(SUBSTITUTE(TRIM(Input!H1003&amp;""),"%","")),0)&gt;0,IFERROR(VALUE(SUBSTITUTE(TRIM(Input!H1003&amp;""),"%","")),0)&lt;1),1,100))</f>
        <v/>
      </c>
      <c r="H1003" t="str">
        <f>IF(A1003="","",IFERROR(VALUE(SUBSTITUTE(TRIM(Input!I1003&amp;""),"%","")),0)/IF(AND(IFERROR(VALUE(SUBSTITUTE(TRIM(Input!I1003&amp;""),"%","")),0)&gt;0,IFERROR(VALUE(SUBSTITUTE(TRIM(Input!I1003&amp;""),"%","")),0)&lt;1),1,100))</f>
        <v/>
      </c>
    </row>
    <row r="1004" spans="1:8">
      <c r="A1004" t="str">
        <f>IF(TRIM(Input!B1004&amp;"")="","",UPPER(TRIM(Input!B1004&amp;"")))</f>
        <v/>
      </c>
      <c r="B1004" t="str">
        <f>IF(A1004="","",IFERROR(VALUE(RIGHT(TRIM(Input!D1004&amp;""),1)),0))</f>
        <v/>
      </c>
      <c r="C1004" t="str">
        <f t="shared" si="15"/>
        <v/>
      </c>
      <c r="D1004" t="str">
        <f>IF(A1004="","",IFERROR(VALUE(SUBSTITUTE(TRIM(Input!E1004&amp;""),"%","")),0)/IF(AND(IFERROR(VALUE(SUBSTITUTE(TRIM(Input!E1004&amp;""),"%","")),0)&gt;0,IFERROR(VALUE(SUBSTITUTE(TRIM(Input!E1004&amp;""),"%","")),0)&lt;1),1,100))</f>
        <v/>
      </c>
      <c r="E1004" t="str">
        <f>IF(A1004="","",IFERROR(VALUE(SUBSTITUTE(TRIM(Input!F1004&amp;""),"%","")),0)/IF(AND(IFERROR(VALUE(SUBSTITUTE(TRIM(Input!F1004&amp;""),"%","")),0)&gt;0,IFERROR(VALUE(SUBSTITUTE(TRIM(Input!F1004&amp;""),"%","")),0)&lt;1),1,100))</f>
        <v/>
      </c>
      <c r="F1004" t="str">
        <f>IF(A1004="","",IFERROR(VALUE(SUBSTITUTE(TRIM(Input!G1004&amp;""),"%","")),0)/IF(AND(IFERROR(VALUE(SUBSTITUTE(TRIM(Input!G1004&amp;""),"%","")),0)&gt;0,IFERROR(VALUE(SUBSTITUTE(TRIM(Input!G1004&amp;""),"%","")),0)&lt;1),1,100))</f>
        <v/>
      </c>
      <c r="G1004" t="str">
        <f>IF(A1004="","",IFERROR(VALUE(SUBSTITUTE(TRIM(Input!H1004&amp;""),"%","")),0)/IF(AND(IFERROR(VALUE(SUBSTITUTE(TRIM(Input!H1004&amp;""),"%","")),0)&gt;0,IFERROR(VALUE(SUBSTITUTE(TRIM(Input!H1004&amp;""),"%","")),0)&lt;1),1,100))</f>
        <v/>
      </c>
      <c r="H1004" t="str">
        <f>IF(A1004="","",IFERROR(VALUE(SUBSTITUTE(TRIM(Input!I1004&amp;""),"%","")),0)/IF(AND(IFERROR(VALUE(SUBSTITUTE(TRIM(Input!I1004&amp;""),"%","")),0)&gt;0,IFERROR(VALUE(SUBSTITUTE(TRIM(Input!I1004&amp;""),"%","")),0)&lt;1),1,100))</f>
        <v/>
      </c>
    </row>
    <row r="1005" spans="1:8">
      <c r="A1005" t="str">
        <f>IF(TRIM(Input!B1005&amp;"")="","",UPPER(TRIM(Input!B1005&amp;"")))</f>
        <v/>
      </c>
      <c r="B1005" t="str">
        <f>IF(A1005="","",IFERROR(VALUE(RIGHT(TRIM(Input!D1005&amp;""),1)),0))</f>
        <v/>
      </c>
      <c r="C1005" t="str">
        <f t="shared" si="15"/>
        <v/>
      </c>
      <c r="D1005" t="str">
        <f>IF(A1005="","",IFERROR(VALUE(SUBSTITUTE(TRIM(Input!E1005&amp;""),"%","")),0)/IF(AND(IFERROR(VALUE(SUBSTITUTE(TRIM(Input!E1005&amp;""),"%","")),0)&gt;0,IFERROR(VALUE(SUBSTITUTE(TRIM(Input!E1005&amp;""),"%","")),0)&lt;1),1,100))</f>
        <v/>
      </c>
      <c r="E1005" t="str">
        <f>IF(A1005="","",IFERROR(VALUE(SUBSTITUTE(TRIM(Input!F1005&amp;""),"%","")),0)/IF(AND(IFERROR(VALUE(SUBSTITUTE(TRIM(Input!F1005&amp;""),"%","")),0)&gt;0,IFERROR(VALUE(SUBSTITUTE(TRIM(Input!F1005&amp;""),"%","")),0)&lt;1),1,100))</f>
        <v/>
      </c>
      <c r="F1005" t="str">
        <f>IF(A1005="","",IFERROR(VALUE(SUBSTITUTE(TRIM(Input!G1005&amp;""),"%","")),0)/IF(AND(IFERROR(VALUE(SUBSTITUTE(TRIM(Input!G1005&amp;""),"%","")),0)&gt;0,IFERROR(VALUE(SUBSTITUTE(TRIM(Input!G1005&amp;""),"%","")),0)&lt;1),1,100))</f>
        <v/>
      </c>
      <c r="G1005" t="str">
        <f>IF(A1005="","",IFERROR(VALUE(SUBSTITUTE(TRIM(Input!H1005&amp;""),"%","")),0)/IF(AND(IFERROR(VALUE(SUBSTITUTE(TRIM(Input!H1005&amp;""),"%","")),0)&gt;0,IFERROR(VALUE(SUBSTITUTE(TRIM(Input!H1005&amp;""),"%","")),0)&lt;1),1,100))</f>
        <v/>
      </c>
      <c r="H1005" t="str">
        <f>IF(A1005="","",IFERROR(VALUE(SUBSTITUTE(TRIM(Input!I1005&amp;""),"%","")),0)/IF(AND(IFERROR(VALUE(SUBSTITUTE(TRIM(Input!I1005&amp;""),"%","")),0)&gt;0,IFERROR(VALUE(SUBSTITUTE(TRIM(Input!I1005&amp;""),"%","")),0)&lt;1),1,100))</f>
        <v/>
      </c>
    </row>
    <row r="1006" spans="1:8">
      <c r="A1006" t="str">
        <f>IF(TRIM(Input!B1006&amp;"")="","",UPPER(TRIM(Input!B1006&amp;"")))</f>
        <v/>
      </c>
      <c r="B1006" t="str">
        <f>IF(A1006="","",IFERROR(VALUE(RIGHT(TRIM(Input!D1006&amp;""),1)),0))</f>
        <v/>
      </c>
      <c r="C1006" t="str">
        <f t="shared" si="15"/>
        <v/>
      </c>
      <c r="D1006" t="str">
        <f>IF(A1006="","",IFERROR(VALUE(SUBSTITUTE(TRIM(Input!E1006&amp;""),"%","")),0)/IF(AND(IFERROR(VALUE(SUBSTITUTE(TRIM(Input!E1006&amp;""),"%","")),0)&gt;0,IFERROR(VALUE(SUBSTITUTE(TRIM(Input!E1006&amp;""),"%","")),0)&lt;1),1,100))</f>
        <v/>
      </c>
      <c r="E1006" t="str">
        <f>IF(A1006="","",IFERROR(VALUE(SUBSTITUTE(TRIM(Input!F1006&amp;""),"%","")),0)/IF(AND(IFERROR(VALUE(SUBSTITUTE(TRIM(Input!F1006&amp;""),"%","")),0)&gt;0,IFERROR(VALUE(SUBSTITUTE(TRIM(Input!F1006&amp;""),"%","")),0)&lt;1),1,100))</f>
        <v/>
      </c>
      <c r="F1006" t="str">
        <f>IF(A1006="","",IFERROR(VALUE(SUBSTITUTE(TRIM(Input!G1006&amp;""),"%","")),0)/IF(AND(IFERROR(VALUE(SUBSTITUTE(TRIM(Input!G1006&amp;""),"%","")),0)&gt;0,IFERROR(VALUE(SUBSTITUTE(TRIM(Input!G1006&amp;""),"%","")),0)&lt;1),1,100))</f>
        <v/>
      </c>
      <c r="G1006" t="str">
        <f>IF(A1006="","",IFERROR(VALUE(SUBSTITUTE(TRIM(Input!H1006&amp;""),"%","")),0)/IF(AND(IFERROR(VALUE(SUBSTITUTE(TRIM(Input!H1006&amp;""),"%","")),0)&gt;0,IFERROR(VALUE(SUBSTITUTE(TRIM(Input!H1006&amp;""),"%","")),0)&lt;1),1,100))</f>
        <v/>
      </c>
      <c r="H1006" t="str">
        <f>IF(A1006="","",IFERROR(VALUE(SUBSTITUTE(TRIM(Input!I1006&amp;""),"%","")),0)/IF(AND(IFERROR(VALUE(SUBSTITUTE(TRIM(Input!I1006&amp;""),"%","")),0)&gt;0,IFERROR(VALUE(SUBSTITUTE(TRIM(Input!I1006&amp;""),"%","")),0)&lt;1),1,100))</f>
        <v/>
      </c>
    </row>
    <row r="1007" spans="1:8">
      <c r="A1007" t="str">
        <f>IF(TRIM(Input!B1007&amp;"")="","",UPPER(TRIM(Input!B1007&amp;"")))</f>
        <v/>
      </c>
      <c r="B1007" t="str">
        <f>IF(A1007="","",IFERROR(VALUE(RIGHT(TRIM(Input!D1007&amp;""),1)),0))</f>
        <v/>
      </c>
      <c r="C1007" t="str">
        <f t="shared" si="15"/>
        <v/>
      </c>
      <c r="D1007" t="str">
        <f>IF(A1007="","",IFERROR(VALUE(SUBSTITUTE(TRIM(Input!E1007&amp;""),"%","")),0)/IF(AND(IFERROR(VALUE(SUBSTITUTE(TRIM(Input!E1007&amp;""),"%","")),0)&gt;0,IFERROR(VALUE(SUBSTITUTE(TRIM(Input!E1007&amp;""),"%","")),0)&lt;1),1,100))</f>
        <v/>
      </c>
      <c r="E1007" t="str">
        <f>IF(A1007="","",IFERROR(VALUE(SUBSTITUTE(TRIM(Input!F1007&amp;""),"%","")),0)/IF(AND(IFERROR(VALUE(SUBSTITUTE(TRIM(Input!F1007&amp;""),"%","")),0)&gt;0,IFERROR(VALUE(SUBSTITUTE(TRIM(Input!F1007&amp;""),"%","")),0)&lt;1),1,100))</f>
        <v/>
      </c>
      <c r="F1007" t="str">
        <f>IF(A1007="","",IFERROR(VALUE(SUBSTITUTE(TRIM(Input!G1007&amp;""),"%","")),0)/IF(AND(IFERROR(VALUE(SUBSTITUTE(TRIM(Input!G1007&amp;""),"%","")),0)&gt;0,IFERROR(VALUE(SUBSTITUTE(TRIM(Input!G1007&amp;""),"%","")),0)&lt;1),1,100))</f>
        <v/>
      </c>
      <c r="G1007" t="str">
        <f>IF(A1007="","",IFERROR(VALUE(SUBSTITUTE(TRIM(Input!H1007&amp;""),"%","")),0)/IF(AND(IFERROR(VALUE(SUBSTITUTE(TRIM(Input!H1007&amp;""),"%","")),0)&gt;0,IFERROR(VALUE(SUBSTITUTE(TRIM(Input!H1007&amp;""),"%","")),0)&lt;1),1,100))</f>
        <v/>
      </c>
      <c r="H1007" t="str">
        <f>IF(A1007="","",IFERROR(VALUE(SUBSTITUTE(TRIM(Input!I1007&amp;""),"%","")),0)/IF(AND(IFERROR(VALUE(SUBSTITUTE(TRIM(Input!I1007&amp;""),"%","")),0)&gt;0,IFERROR(VALUE(SUBSTITUTE(TRIM(Input!I1007&amp;""),"%","")),0)&lt;1),1,100))</f>
        <v/>
      </c>
    </row>
    <row r="1008" spans="1:8">
      <c r="A1008" t="str">
        <f>IF(TRIM(Input!B1008&amp;"")="","",UPPER(TRIM(Input!B1008&amp;"")))</f>
        <v/>
      </c>
      <c r="B1008" t="str">
        <f>IF(A1008="","",IFERROR(VALUE(RIGHT(TRIM(Input!D1008&amp;""),1)),0))</f>
        <v/>
      </c>
      <c r="C1008" t="str">
        <f t="shared" si="15"/>
        <v/>
      </c>
      <c r="D1008" t="str">
        <f>IF(A1008="","",IFERROR(VALUE(SUBSTITUTE(TRIM(Input!E1008&amp;""),"%","")),0)/IF(AND(IFERROR(VALUE(SUBSTITUTE(TRIM(Input!E1008&amp;""),"%","")),0)&gt;0,IFERROR(VALUE(SUBSTITUTE(TRIM(Input!E1008&amp;""),"%","")),0)&lt;1),1,100))</f>
        <v/>
      </c>
      <c r="E1008" t="str">
        <f>IF(A1008="","",IFERROR(VALUE(SUBSTITUTE(TRIM(Input!F1008&amp;""),"%","")),0)/IF(AND(IFERROR(VALUE(SUBSTITUTE(TRIM(Input!F1008&amp;""),"%","")),0)&gt;0,IFERROR(VALUE(SUBSTITUTE(TRIM(Input!F1008&amp;""),"%","")),0)&lt;1),1,100))</f>
        <v/>
      </c>
      <c r="F1008" t="str">
        <f>IF(A1008="","",IFERROR(VALUE(SUBSTITUTE(TRIM(Input!G1008&amp;""),"%","")),0)/IF(AND(IFERROR(VALUE(SUBSTITUTE(TRIM(Input!G1008&amp;""),"%","")),0)&gt;0,IFERROR(VALUE(SUBSTITUTE(TRIM(Input!G1008&amp;""),"%","")),0)&lt;1),1,100))</f>
        <v/>
      </c>
      <c r="G1008" t="str">
        <f>IF(A1008="","",IFERROR(VALUE(SUBSTITUTE(TRIM(Input!H1008&amp;""),"%","")),0)/IF(AND(IFERROR(VALUE(SUBSTITUTE(TRIM(Input!H1008&amp;""),"%","")),0)&gt;0,IFERROR(VALUE(SUBSTITUTE(TRIM(Input!H1008&amp;""),"%","")),0)&lt;1),1,100))</f>
        <v/>
      </c>
      <c r="H1008" t="str">
        <f>IF(A1008="","",IFERROR(VALUE(SUBSTITUTE(TRIM(Input!I1008&amp;""),"%","")),0)/IF(AND(IFERROR(VALUE(SUBSTITUTE(TRIM(Input!I1008&amp;""),"%","")),0)&gt;0,IFERROR(VALUE(SUBSTITUTE(TRIM(Input!I1008&amp;""),"%","")),0)&lt;1),1,100))</f>
        <v/>
      </c>
    </row>
    <row r="1009" spans="1:8">
      <c r="A1009" t="str">
        <f>IF(TRIM(Input!B1009&amp;"")="","",UPPER(TRIM(Input!B1009&amp;"")))</f>
        <v/>
      </c>
      <c r="B1009" t="str">
        <f>IF(A1009="","",IFERROR(VALUE(RIGHT(TRIM(Input!D1009&amp;""),1)),0))</f>
        <v/>
      </c>
      <c r="C1009" t="str">
        <f t="shared" si="15"/>
        <v/>
      </c>
      <c r="D1009" t="str">
        <f>IF(A1009="","",IFERROR(VALUE(SUBSTITUTE(TRIM(Input!E1009&amp;""),"%","")),0)/IF(AND(IFERROR(VALUE(SUBSTITUTE(TRIM(Input!E1009&amp;""),"%","")),0)&gt;0,IFERROR(VALUE(SUBSTITUTE(TRIM(Input!E1009&amp;""),"%","")),0)&lt;1),1,100))</f>
        <v/>
      </c>
      <c r="E1009" t="str">
        <f>IF(A1009="","",IFERROR(VALUE(SUBSTITUTE(TRIM(Input!F1009&amp;""),"%","")),0)/IF(AND(IFERROR(VALUE(SUBSTITUTE(TRIM(Input!F1009&amp;""),"%","")),0)&gt;0,IFERROR(VALUE(SUBSTITUTE(TRIM(Input!F1009&amp;""),"%","")),0)&lt;1),1,100))</f>
        <v/>
      </c>
      <c r="F1009" t="str">
        <f>IF(A1009="","",IFERROR(VALUE(SUBSTITUTE(TRIM(Input!G1009&amp;""),"%","")),0)/IF(AND(IFERROR(VALUE(SUBSTITUTE(TRIM(Input!G1009&amp;""),"%","")),0)&gt;0,IFERROR(VALUE(SUBSTITUTE(TRIM(Input!G1009&amp;""),"%","")),0)&lt;1),1,100))</f>
        <v/>
      </c>
      <c r="G1009" t="str">
        <f>IF(A1009="","",IFERROR(VALUE(SUBSTITUTE(TRIM(Input!H1009&amp;""),"%","")),0)/IF(AND(IFERROR(VALUE(SUBSTITUTE(TRIM(Input!H1009&amp;""),"%","")),0)&gt;0,IFERROR(VALUE(SUBSTITUTE(TRIM(Input!H1009&amp;""),"%","")),0)&lt;1),1,100))</f>
        <v/>
      </c>
      <c r="H1009" t="str">
        <f>IF(A1009="","",IFERROR(VALUE(SUBSTITUTE(TRIM(Input!I1009&amp;""),"%","")),0)/IF(AND(IFERROR(VALUE(SUBSTITUTE(TRIM(Input!I1009&amp;""),"%","")),0)&gt;0,IFERROR(VALUE(SUBSTITUTE(TRIM(Input!I1009&amp;""),"%","")),0)&lt;1),1,100))</f>
        <v/>
      </c>
    </row>
    <row r="1010" spans="1:8">
      <c r="A1010" t="str">
        <f>IF(TRIM(Input!B1010&amp;"")="","",UPPER(TRIM(Input!B1010&amp;"")))</f>
        <v/>
      </c>
      <c r="B1010" t="str">
        <f>IF(A1010="","",IFERROR(VALUE(RIGHT(TRIM(Input!D1010&amp;""),1)),0))</f>
        <v/>
      </c>
      <c r="C1010" t="str">
        <f t="shared" si="15"/>
        <v/>
      </c>
      <c r="D1010" t="str">
        <f>IF(A1010="","",IFERROR(VALUE(SUBSTITUTE(TRIM(Input!E1010&amp;""),"%","")),0)/IF(AND(IFERROR(VALUE(SUBSTITUTE(TRIM(Input!E1010&amp;""),"%","")),0)&gt;0,IFERROR(VALUE(SUBSTITUTE(TRIM(Input!E1010&amp;""),"%","")),0)&lt;1),1,100))</f>
        <v/>
      </c>
      <c r="E1010" t="str">
        <f>IF(A1010="","",IFERROR(VALUE(SUBSTITUTE(TRIM(Input!F1010&amp;""),"%","")),0)/IF(AND(IFERROR(VALUE(SUBSTITUTE(TRIM(Input!F1010&amp;""),"%","")),0)&gt;0,IFERROR(VALUE(SUBSTITUTE(TRIM(Input!F1010&amp;""),"%","")),0)&lt;1),1,100))</f>
        <v/>
      </c>
      <c r="F1010" t="str">
        <f>IF(A1010="","",IFERROR(VALUE(SUBSTITUTE(TRIM(Input!G1010&amp;""),"%","")),0)/IF(AND(IFERROR(VALUE(SUBSTITUTE(TRIM(Input!G1010&amp;""),"%","")),0)&gt;0,IFERROR(VALUE(SUBSTITUTE(TRIM(Input!G1010&amp;""),"%","")),0)&lt;1),1,100))</f>
        <v/>
      </c>
      <c r="G1010" t="str">
        <f>IF(A1010="","",IFERROR(VALUE(SUBSTITUTE(TRIM(Input!H1010&amp;""),"%","")),0)/IF(AND(IFERROR(VALUE(SUBSTITUTE(TRIM(Input!H1010&amp;""),"%","")),0)&gt;0,IFERROR(VALUE(SUBSTITUTE(TRIM(Input!H1010&amp;""),"%","")),0)&lt;1),1,100))</f>
        <v/>
      </c>
      <c r="H1010" t="str">
        <f>IF(A1010="","",IFERROR(VALUE(SUBSTITUTE(TRIM(Input!I1010&amp;""),"%","")),0)/IF(AND(IFERROR(VALUE(SUBSTITUTE(TRIM(Input!I1010&amp;""),"%","")),0)&gt;0,IFERROR(VALUE(SUBSTITUTE(TRIM(Input!I1010&amp;""),"%","")),0)&lt;1),1,100))</f>
        <v/>
      </c>
    </row>
    <row r="1011" spans="1:8">
      <c r="A1011" t="str">
        <f>IF(TRIM(Input!B1011&amp;"")="","",UPPER(TRIM(Input!B1011&amp;"")))</f>
        <v/>
      </c>
      <c r="B1011" t="str">
        <f>IF(A1011="","",IFERROR(VALUE(RIGHT(TRIM(Input!D1011&amp;""),1)),0))</f>
        <v/>
      </c>
      <c r="C1011" t="str">
        <f t="shared" si="15"/>
        <v/>
      </c>
      <c r="D1011" t="str">
        <f>IF(A1011="","",IFERROR(VALUE(SUBSTITUTE(TRIM(Input!E1011&amp;""),"%","")),0)/IF(AND(IFERROR(VALUE(SUBSTITUTE(TRIM(Input!E1011&amp;""),"%","")),0)&gt;0,IFERROR(VALUE(SUBSTITUTE(TRIM(Input!E1011&amp;""),"%","")),0)&lt;1),1,100))</f>
        <v/>
      </c>
      <c r="E1011" t="str">
        <f>IF(A1011="","",IFERROR(VALUE(SUBSTITUTE(TRIM(Input!F1011&amp;""),"%","")),0)/IF(AND(IFERROR(VALUE(SUBSTITUTE(TRIM(Input!F1011&amp;""),"%","")),0)&gt;0,IFERROR(VALUE(SUBSTITUTE(TRIM(Input!F1011&amp;""),"%","")),0)&lt;1),1,100))</f>
        <v/>
      </c>
      <c r="F1011" t="str">
        <f>IF(A1011="","",IFERROR(VALUE(SUBSTITUTE(TRIM(Input!G1011&amp;""),"%","")),0)/IF(AND(IFERROR(VALUE(SUBSTITUTE(TRIM(Input!G1011&amp;""),"%","")),0)&gt;0,IFERROR(VALUE(SUBSTITUTE(TRIM(Input!G1011&amp;""),"%","")),0)&lt;1),1,100))</f>
        <v/>
      </c>
      <c r="G1011" t="str">
        <f>IF(A1011="","",IFERROR(VALUE(SUBSTITUTE(TRIM(Input!H1011&amp;""),"%","")),0)/IF(AND(IFERROR(VALUE(SUBSTITUTE(TRIM(Input!H1011&amp;""),"%","")),0)&gt;0,IFERROR(VALUE(SUBSTITUTE(TRIM(Input!H1011&amp;""),"%","")),0)&lt;1),1,100))</f>
        <v/>
      </c>
      <c r="H1011" t="str">
        <f>IF(A1011="","",IFERROR(VALUE(SUBSTITUTE(TRIM(Input!I1011&amp;""),"%","")),0)/IF(AND(IFERROR(VALUE(SUBSTITUTE(TRIM(Input!I1011&amp;""),"%","")),0)&gt;0,IFERROR(VALUE(SUBSTITUTE(TRIM(Input!I1011&amp;""),"%","")),0)&lt;1),1,100))</f>
        <v/>
      </c>
    </row>
    <row r="1012" spans="1:8">
      <c r="A1012" t="str">
        <f>IF(TRIM(Input!B1012&amp;"")="","",UPPER(TRIM(Input!B1012&amp;"")))</f>
        <v/>
      </c>
      <c r="B1012" t="str">
        <f>IF(A1012="","",IFERROR(VALUE(RIGHT(TRIM(Input!D1012&amp;""),1)),0))</f>
        <v/>
      </c>
      <c r="C1012" t="str">
        <f t="shared" si="15"/>
        <v/>
      </c>
      <c r="D1012" t="str">
        <f>IF(A1012="","",IFERROR(VALUE(SUBSTITUTE(TRIM(Input!E1012&amp;""),"%","")),0)/IF(AND(IFERROR(VALUE(SUBSTITUTE(TRIM(Input!E1012&amp;""),"%","")),0)&gt;0,IFERROR(VALUE(SUBSTITUTE(TRIM(Input!E1012&amp;""),"%","")),0)&lt;1),1,100))</f>
        <v/>
      </c>
      <c r="E1012" t="str">
        <f>IF(A1012="","",IFERROR(VALUE(SUBSTITUTE(TRIM(Input!F1012&amp;""),"%","")),0)/IF(AND(IFERROR(VALUE(SUBSTITUTE(TRIM(Input!F1012&amp;""),"%","")),0)&gt;0,IFERROR(VALUE(SUBSTITUTE(TRIM(Input!F1012&amp;""),"%","")),0)&lt;1),1,100))</f>
        <v/>
      </c>
      <c r="F1012" t="str">
        <f>IF(A1012="","",IFERROR(VALUE(SUBSTITUTE(TRIM(Input!G1012&amp;""),"%","")),0)/IF(AND(IFERROR(VALUE(SUBSTITUTE(TRIM(Input!G1012&amp;""),"%","")),0)&gt;0,IFERROR(VALUE(SUBSTITUTE(TRIM(Input!G1012&amp;""),"%","")),0)&lt;1),1,100))</f>
        <v/>
      </c>
      <c r="G1012" t="str">
        <f>IF(A1012="","",IFERROR(VALUE(SUBSTITUTE(TRIM(Input!H1012&amp;""),"%","")),0)/IF(AND(IFERROR(VALUE(SUBSTITUTE(TRIM(Input!H1012&amp;""),"%","")),0)&gt;0,IFERROR(VALUE(SUBSTITUTE(TRIM(Input!H1012&amp;""),"%","")),0)&lt;1),1,100))</f>
        <v/>
      </c>
      <c r="H1012" t="str">
        <f>IF(A1012="","",IFERROR(VALUE(SUBSTITUTE(TRIM(Input!I1012&amp;""),"%","")),0)/IF(AND(IFERROR(VALUE(SUBSTITUTE(TRIM(Input!I1012&amp;""),"%","")),0)&gt;0,IFERROR(VALUE(SUBSTITUTE(TRIM(Input!I1012&amp;""),"%","")),0)&lt;1),1,100))</f>
        <v/>
      </c>
    </row>
    <row r="1013" spans="1:8">
      <c r="A1013" t="str">
        <f>IF(TRIM(Input!B1013&amp;"")="","",UPPER(TRIM(Input!B1013&amp;"")))</f>
        <v/>
      </c>
      <c r="B1013" t="str">
        <f>IF(A1013="","",IFERROR(VALUE(RIGHT(TRIM(Input!D1013&amp;""),1)),0))</f>
        <v/>
      </c>
      <c r="C1013" t="str">
        <f t="shared" si="15"/>
        <v/>
      </c>
      <c r="D1013" t="str">
        <f>IF(A1013="","",IFERROR(VALUE(SUBSTITUTE(TRIM(Input!E1013&amp;""),"%","")),0)/IF(AND(IFERROR(VALUE(SUBSTITUTE(TRIM(Input!E1013&amp;""),"%","")),0)&gt;0,IFERROR(VALUE(SUBSTITUTE(TRIM(Input!E1013&amp;""),"%","")),0)&lt;1),1,100))</f>
        <v/>
      </c>
      <c r="E1013" t="str">
        <f>IF(A1013="","",IFERROR(VALUE(SUBSTITUTE(TRIM(Input!F1013&amp;""),"%","")),0)/IF(AND(IFERROR(VALUE(SUBSTITUTE(TRIM(Input!F1013&amp;""),"%","")),0)&gt;0,IFERROR(VALUE(SUBSTITUTE(TRIM(Input!F1013&amp;""),"%","")),0)&lt;1),1,100))</f>
        <v/>
      </c>
      <c r="F1013" t="str">
        <f>IF(A1013="","",IFERROR(VALUE(SUBSTITUTE(TRIM(Input!G1013&amp;""),"%","")),0)/IF(AND(IFERROR(VALUE(SUBSTITUTE(TRIM(Input!G1013&amp;""),"%","")),0)&gt;0,IFERROR(VALUE(SUBSTITUTE(TRIM(Input!G1013&amp;""),"%","")),0)&lt;1),1,100))</f>
        <v/>
      </c>
      <c r="G1013" t="str">
        <f>IF(A1013="","",IFERROR(VALUE(SUBSTITUTE(TRIM(Input!H1013&amp;""),"%","")),0)/IF(AND(IFERROR(VALUE(SUBSTITUTE(TRIM(Input!H1013&amp;""),"%","")),0)&gt;0,IFERROR(VALUE(SUBSTITUTE(TRIM(Input!H1013&amp;""),"%","")),0)&lt;1),1,100))</f>
        <v/>
      </c>
      <c r="H1013" t="str">
        <f>IF(A1013="","",IFERROR(VALUE(SUBSTITUTE(TRIM(Input!I1013&amp;""),"%","")),0)/IF(AND(IFERROR(VALUE(SUBSTITUTE(TRIM(Input!I1013&amp;""),"%","")),0)&gt;0,IFERROR(VALUE(SUBSTITUTE(TRIM(Input!I1013&amp;""),"%","")),0)&lt;1),1,100))</f>
        <v/>
      </c>
    </row>
    <row r="1014" spans="1:8">
      <c r="A1014" t="str">
        <f>IF(TRIM(Input!B1014&amp;"")="","",UPPER(TRIM(Input!B1014&amp;"")))</f>
        <v/>
      </c>
      <c r="B1014" t="str">
        <f>IF(A1014="","",IFERROR(VALUE(RIGHT(TRIM(Input!D1014&amp;""),1)),0))</f>
        <v/>
      </c>
      <c r="C1014" t="str">
        <f t="shared" si="15"/>
        <v/>
      </c>
      <c r="D1014" t="str">
        <f>IF(A1014="","",IFERROR(VALUE(SUBSTITUTE(TRIM(Input!E1014&amp;""),"%","")),0)/IF(AND(IFERROR(VALUE(SUBSTITUTE(TRIM(Input!E1014&amp;""),"%","")),0)&gt;0,IFERROR(VALUE(SUBSTITUTE(TRIM(Input!E1014&amp;""),"%","")),0)&lt;1),1,100))</f>
        <v/>
      </c>
      <c r="E1014" t="str">
        <f>IF(A1014="","",IFERROR(VALUE(SUBSTITUTE(TRIM(Input!F1014&amp;""),"%","")),0)/IF(AND(IFERROR(VALUE(SUBSTITUTE(TRIM(Input!F1014&amp;""),"%","")),0)&gt;0,IFERROR(VALUE(SUBSTITUTE(TRIM(Input!F1014&amp;""),"%","")),0)&lt;1),1,100))</f>
        <v/>
      </c>
      <c r="F1014" t="str">
        <f>IF(A1014="","",IFERROR(VALUE(SUBSTITUTE(TRIM(Input!G1014&amp;""),"%","")),0)/IF(AND(IFERROR(VALUE(SUBSTITUTE(TRIM(Input!G1014&amp;""),"%","")),0)&gt;0,IFERROR(VALUE(SUBSTITUTE(TRIM(Input!G1014&amp;""),"%","")),0)&lt;1),1,100))</f>
        <v/>
      </c>
      <c r="G1014" t="str">
        <f>IF(A1014="","",IFERROR(VALUE(SUBSTITUTE(TRIM(Input!H1014&amp;""),"%","")),0)/IF(AND(IFERROR(VALUE(SUBSTITUTE(TRIM(Input!H1014&amp;""),"%","")),0)&gt;0,IFERROR(VALUE(SUBSTITUTE(TRIM(Input!H1014&amp;""),"%","")),0)&lt;1),1,100))</f>
        <v/>
      </c>
      <c r="H1014" t="str">
        <f>IF(A1014="","",IFERROR(VALUE(SUBSTITUTE(TRIM(Input!I1014&amp;""),"%","")),0)/IF(AND(IFERROR(VALUE(SUBSTITUTE(TRIM(Input!I1014&amp;""),"%","")),0)&gt;0,IFERROR(VALUE(SUBSTITUTE(TRIM(Input!I1014&amp;""),"%","")),0)&lt;1),1,100))</f>
        <v/>
      </c>
    </row>
    <row r="1015" spans="1:8">
      <c r="A1015" t="str">
        <f>IF(TRIM(Input!B1015&amp;"")="","",UPPER(TRIM(Input!B1015&amp;"")))</f>
        <v/>
      </c>
      <c r="B1015" t="str">
        <f>IF(A1015="","",IFERROR(VALUE(RIGHT(TRIM(Input!D1015&amp;""),1)),0))</f>
        <v/>
      </c>
      <c r="C1015" t="str">
        <f t="shared" si="15"/>
        <v/>
      </c>
      <c r="D1015" t="str">
        <f>IF(A1015="","",IFERROR(VALUE(SUBSTITUTE(TRIM(Input!E1015&amp;""),"%","")),0)/IF(AND(IFERROR(VALUE(SUBSTITUTE(TRIM(Input!E1015&amp;""),"%","")),0)&gt;0,IFERROR(VALUE(SUBSTITUTE(TRIM(Input!E1015&amp;""),"%","")),0)&lt;1),1,100))</f>
        <v/>
      </c>
      <c r="E1015" t="str">
        <f>IF(A1015="","",IFERROR(VALUE(SUBSTITUTE(TRIM(Input!F1015&amp;""),"%","")),0)/IF(AND(IFERROR(VALUE(SUBSTITUTE(TRIM(Input!F1015&amp;""),"%","")),0)&gt;0,IFERROR(VALUE(SUBSTITUTE(TRIM(Input!F1015&amp;""),"%","")),0)&lt;1),1,100))</f>
        <v/>
      </c>
      <c r="F1015" t="str">
        <f>IF(A1015="","",IFERROR(VALUE(SUBSTITUTE(TRIM(Input!G1015&amp;""),"%","")),0)/IF(AND(IFERROR(VALUE(SUBSTITUTE(TRIM(Input!G1015&amp;""),"%","")),0)&gt;0,IFERROR(VALUE(SUBSTITUTE(TRIM(Input!G1015&amp;""),"%","")),0)&lt;1),1,100))</f>
        <v/>
      </c>
      <c r="G1015" t="str">
        <f>IF(A1015="","",IFERROR(VALUE(SUBSTITUTE(TRIM(Input!H1015&amp;""),"%","")),0)/IF(AND(IFERROR(VALUE(SUBSTITUTE(TRIM(Input!H1015&amp;""),"%","")),0)&gt;0,IFERROR(VALUE(SUBSTITUTE(TRIM(Input!H1015&amp;""),"%","")),0)&lt;1),1,100))</f>
        <v/>
      </c>
      <c r="H1015" t="str">
        <f>IF(A1015="","",IFERROR(VALUE(SUBSTITUTE(TRIM(Input!I1015&amp;""),"%","")),0)/IF(AND(IFERROR(VALUE(SUBSTITUTE(TRIM(Input!I1015&amp;""),"%","")),0)&gt;0,IFERROR(VALUE(SUBSTITUTE(TRIM(Input!I1015&amp;""),"%","")),0)&lt;1),1,100))</f>
        <v/>
      </c>
    </row>
    <row r="1016" spans="1:8">
      <c r="A1016" t="str">
        <f>IF(TRIM(Input!B1016&amp;"")="","",UPPER(TRIM(Input!B1016&amp;"")))</f>
        <v/>
      </c>
      <c r="B1016" t="str">
        <f>IF(A1016="","",IFERROR(VALUE(RIGHT(TRIM(Input!D1016&amp;""),1)),0))</f>
        <v/>
      </c>
      <c r="C1016" t="str">
        <f t="shared" si="15"/>
        <v/>
      </c>
      <c r="D1016" t="str">
        <f>IF(A1016="","",IFERROR(VALUE(SUBSTITUTE(TRIM(Input!E1016&amp;""),"%","")),0)/IF(AND(IFERROR(VALUE(SUBSTITUTE(TRIM(Input!E1016&amp;""),"%","")),0)&gt;0,IFERROR(VALUE(SUBSTITUTE(TRIM(Input!E1016&amp;""),"%","")),0)&lt;1),1,100))</f>
        <v/>
      </c>
      <c r="E1016" t="str">
        <f>IF(A1016="","",IFERROR(VALUE(SUBSTITUTE(TRIM(Input!F1016&amp;""),"%","")),0)/IF(AND(IFERROR(VALUE(SUBSTITUTE(TRIM(Input!F1016&amp;""),"%","")),0)&gt;0,IFERROR(VALUE(SUBSTITUTE(TRIM(Input!F1016&amp;""),"%","")),0)&lt;1),1,100))</f>
        <v/>
      </c>
      <c r="F1016" t="str">
        <f>IF(A1016="","",IFERROR(VALUE(SUBSTITUTE(TRIM(Input!G1016&amp;""),"%","")),0)/IF(AND(IFERROR(VALUE(SUBSTITUTE(TRIM(Input!G1016&amp;""),"%","")),0)&gt;0,IFERROR(VALUE(SUBSTITUTE(TRIM(Input!G1016&amp;""),"%","")),0)&lt;1),1,100))</f>
        <v/>
      </c>
      <c r="G1016" t="str">
        <f>IF(A1016="","",IFERROR(VALUE(SUBSTITUTE(TRIM(Input!H1016&amp;""),"%","")),0)/IF(AND(IFERROR(VALUE(SUBSTITUTE(TRIM(Input!H1016&amp;""),"%","")),0)&gt;0,IFERROR(VALUE(SUBSTITUTE(TRIM(Input!H1016&amp;""),"%","")),0)&lt;1),1,100))</f>
        <v/>
      </c>
      <c r="H1016" t="str">
        <f>IF(A1016="","",IFERROR(VALUE(SUBSTITUTE(TRIM(Input!I1016&amp;""),"%","")),0)/IF(AND(IFERROR(VALUE(SUBSTITUTE(TRIM(Input!I1016&amp;""),"%","")),0)&gt;0,IFERROR(VALUE(SUBSTITUTE(TRIM(Input!I1016&amp;""),"%","")),0)&lt;1),1,100))</f>
        <v/>
      </c>
    </row>
    <row r="1017" spans="1:8">
      <c r="A1017" t="str">
        <f>IF(TRIM(Input!B1017&amp;"")="","",UPPER(TRIM(Input!B1017&amp;"")))</f>
        <v/>
      </c>
      <c r="B1017" t="str">
        <f>IF(A1017="","",IFERROR(VALUE(RIGHT(TRIM(Input!D1017&amp;""),1)),0))</f>
        <v/>
      </c>
      <c r="C1017" t="str">
        <f t="shared" si="15"/>
        <v/>
      </c>
      <c r="D1017" t="str">
        <f>IF(A1017="","",IFERROR(VALUE(SUBSTITUTE(TRIM(Input!E1017&amp;""),"%","")),0)/IF(AND(IFERROR(VALUE(SUBSTITUTE(TRIM(Input!E1017&amp;""),"%","")),0)&gt;0,IFERROR(VALUE(SUBSTITUTE(TRIM(Input!E1017&amp;""),"%","")),0)&lt;1),1,100))</f>
        <v/>
      </c>
      <c r="E1017" t="str">
        <f>IF(A1017="","",IFERROR(VALUE(SUBSTITUTE(TRIM(Input!F1017&amp;""),"%","")),0)/IF(AND(IFERROR(VALUE(SUBSTITUTE(TRIM(Input!F1017&amp;""),"%","")),0)&gt;0,IFERROR(VALUE(SUBSTITUTE(TRIM(Input!F1017&amp;""),"%","")),0)&lt;1),1,100))</f>
        <v/>
      </c>
      <c r="F1017" t="str">
        <f>IF(A1017="","",IFERROR(VALUE(SUBSTITUTE(TRIM(Input!G1017&amp;""),"%","")),0)/IF(AND(IFERROR(VALUE(SUBSTITUTE(TRIM(Input!G1017&amp;""),"%","")),0)&gt;0,IFERROR(VALUE(SUBSTITUTE(TRIM(Input!G1017&amp;""),"%","")),0)&lt;1),1,100))</f>
        <v/>
      </c>
      <c r="G1017" t="str">
        <f>IF(A1017="","",IFERROR(VALUE(SUBSTITUTE(TRIM(Input!H1017&amp;""),"%","")),0)/IF(AND(IFERROR(VALUE(SUBSTITUTE(TRIM(Input!H1017&amp;""),"%","")),0)&gt;0,IFERROR(VALUE(SUBSTITUTE(TRIM(Input!H1017&amp;""),"%","")),0)&lt;1),1,100))</f>
        <v/>
      </c>
      <c r="H1017" t="str">
        <f>IF(A1017="","",IFERROR(VALUE(SUBSTITUTE(TRIM(Input!I1017&amp;""),"%","")),0)/IF(AND(IFERROR(VALUE(SUBSTITUTE(TRIM(Input!I1017&amp;""),"%","")),0)&gt;0,IFERROR(VALUE(SUBSTITUTE(TRIM(Input!I1017&amp;""),"%","")),0)&lt;1),1,100))</f>
        <v/>
      </c>
    </row>
    <row r="1018" spans="1:8">
      <c r="A1018" t="str">
        <f>IF(TRIM(Input!B1018&amp;"")="","",UPPER(TRIM(Input!B1018&amp;"")))</f>
        <v/>
      </c>
      <c r="B1018" t="str">
        <f>IF(A1018="","",IFERROR(VALUE(RIGHT(TRIM(Input!D1018&amp;""),1)),0))</f>
        <v/>
      </c>
      <c r="C1018" t="str">
        <f t="shared" si="15"/>
        <v/>
      </c>
      <c r="D1018" t="str">
        <f>IF(A1018="","",IFERROR(VALUE(SUBSTITUTE(TRIM(Input!E1018&amp;""),"%","")),0)/IF(AND(IFERROR(VALUE(SUBSTITUTE(TRIM(Input!E1018&amp;""),"%","")),0)&gt;0,IFERROR(VALUE(SUBSTITUTE(TRIM(Input!E1018&amp;""),"%","")),0)&lt;1),1,100))</f>
        <v/>
      </c>
      <c r="E1018" t="str">
        <f>IF(A1018="","",IFERROR(VALUE(SUBSTITUTE(TRIM(Input!F1018&amp;""),"%","")),0)/IF(AND(IFERROR(VALUE(SUBSTITUTE(TRIM(Input!F1018&amp;""),"%","")),0)&gt;0,IFERROR(VALUE(SUBSTITUTE(TRIM(Input!F1018&amp;""),"%","")),0)&lt;1),1,100))</f>
        <v/>
      </c>
      <c r="F1018" t="str">
        <f>IF(A1018="","",IFERROR(VALUE(SUBSTITUTE(TRIM(Input!G1018&amp;""),"%","")),0)/IF(AND(IFERROR(VALUE(SUBSTITUTE(TRIM(Input!G1018&amp;""),"%","")),0)&gt;0,IFERROR(VALUE(SUBSTITUTE(TRIM(Input!G1018&amp;""),"%","")),0)&lt;1),1,100))</f>
        <v/>
      </c>
      <c r="G1018" t="str">
        <f>IF(A1018="","",IFERROR(VALUE(SUBSTITUTE(TRIM(Input!H1018&amp;""),"%","")),0)/IF(AND(IFERROR(VALUE(SUBSTITUTE(TRIM(Input!H1018&amp;""),"%","")),0)&gt;0,IFERROR(VALUE(SUBSTITUTE(TRIM(Input!H1018&amp;""),"%","")),0)&lt;1),1,100))</f>
        <v/>
      </c>
      <c r="H1018" t="str">
        <f>IF(A1018="","",IFERROR(VALUE(SUBSTITUTE(TRIM(Input!I1018&amp;""),"%","")),0)/IF(AND(IFERROR(VALUE(SUBSTITUTE(TRIM(Input!I1018&amp;""),"%","")),0)&gt;0,IFERROR(VALUE(SUBSTITUTE(TRIM(Input!I1018&amp;""),"%","")),0)&lt;1),1,100))</f>
        <v/>
      </c>
    </row>
    <row r="1019" spans="1:8">
      <c r="A1019" t="str">
        <f>IF(TRIM(Input!B1019&amp;"")="","",UPPER(TRIM(Input!B1019&amp;"")))</f>
        <v/>
      </c>
      <c r="B1019" t="str">
        <f>IF(A1019="","",IFERROR(VALUE(RIGHT(TRIM(Input!D1019&amp;""),1)),0))</f>
        <v/>
      </c>
      <c r="C1019" t="str">
        <f t="shared" si="15"/>
        <v/>
      </c>
      <c r="D1019" t="str">
        <f>IF(A1019="","",IFERROR(VALUE(SUBSTITUTE(TRIM(Input!E1019&amp;""),"%","")),0)/IF(AND(IFERROR(VALUE(SUBSTITUTE(TRIM(Input!E1019&amp;""),"%","")),0)&gt;0,IFERROR(VALUE(SUBSTITUTE(TRIM(Input!E1019&amp;""),"%","")),0)&lt;1),1,100))</f>
        <v/>
      </c>
      <c r="E1019" t="str">
        <f>IF(A1019="","",IFERROR(VALUE(SUBSTITUTE(TRIM(Input!F1019&amp;""),"%","")),0)/IF(AND(IFERROR(VALUE(SUBSTITUTE(TRIM(Input!F1019&amp;""),"%","")),0)&gt;0,IFERROR(VALUE(SUBSTITUTE(TRIM(Input!F1019&amp;""),"%","")),0)&lt;1),1,100))</f>
        <v/>
      </c>
      <c r="F1019" t="str">
        <f>IF(A1019="","",IFERROR(VALUE(SUBSTITUTE(TRIM(Input!G1019&amp;""),"%","")),0)/IF(AND(IFERROR(VALUE(SUBSTITUTE(TRIM(Input!G1019&amp;""),"%","")),0)&gt;0,IFERROR(VALUE(SUBSTITUTE(TRIM(Input!G1019&amp;""),"%","")),0)&lt;1),1,100))</f>
        <v/>
      </c>
      <c r="G1019" t="str">
        <f>IF(A1019="","",IFERROR(VALUE(SUBSTITUTE(TRIM(Input!H1019&amp;""),"%","")),0)/IF(AND(IFERROR(VALUE(SUBSTITUTE(TRIM(Input!H1019&amp;""),"%","")),0)&gt;0,IFERROR(VALUE(SUBSTITUTE(TRIM(Input!H1019&amp;""),"%","")),0)&lt;1),1,100))</f>
        <v/>
      </c>
      <c r="H1019" t="str">
        <f>IF(A1019="","",IFERROR(VALUE(SUBSTITUTE(TRIM(Input!I1019&amp;""),"%","")),0)/IF(AND(IFERROR(VALUE(SUBSTITUTE(TRIM(Input!I1019&amp;""),"%","")),0)&gt;0,IFERROR(VALUE(SUBSTITUTE(TRIM(Input!I1019&amp;""),"%","")),0)&lt;1),1,100))</f>
        <v/>
      </c>
    </row>
    <row r="1020" spans="1:8">
      <c r="A1020" t="str">
        <f>IF(TRIM(Input!B1020&amp;"")="","",UPPER(TRIM(Input!B1020&amp;"")))</f>
        <v/>
      </c>
      <c r="B1020" t="str">
        <f>IF(A1020="","",IFERROR(VALUE(RIGHT(TRIM(Input!D1020&amp;""),1)),0))</f>
        <v/>
      </c>
      <c r="C1020" t="str">
        <f t="shared" si="15"/>
        <v/>
      </c>
      <c r="D1020" t="str">
        <f>IF(A1020="","",IFERROR(VALUE(SUBSTITUTE(TRIM(Input!E1020&amp;""),"%","")),0)/IF(AND(IFERROR(VALUE(SUBSTITUTE(TRIM(Input!E1020&amp;""),"%","")),0)&gt;0,IFERROR(VALUE(SUBSTITUTE(TRIM(Input!E1020&amp;""),"%","")),0)&lt;1),1,100))</f>
        <v/>
      </c>
      <c r="E1020" t="str">
        <f>IF(A1020="","",IFERROR(VALUE(SUBSTITUTE(TRIM(Input!F1020&amp;""),"%","")),0)/IF(AND(IFERROR(VALUE(SUBSTITUTE(TRIM(Input!F1020&amp;""),"%","")),0)&gt;0,IFERROR(VALUE(SUBSTITUTE(TRIM(Input!F1020&amp;""),"%","")),0)&lt;1),1,100))</f>
        <v/>
      </c>
      <c r="F1020" t="str">
        <f>IF(A1020="","",IFERROR(VALUE(SUBSTITUTE(TRIM(Input!G1020&amp;""),"%","")),0)/IF(AND(IFERROR(VALUE(SUBSTITUTE(TRIM(Input!G1020&amp;""),"%","")),0)&gt;0,IFERROR(VALUE(SUBSTITUTE(TRIM(Input!G1020&amp;""),"%","")),0)&lt;1),1,100))</f>
        <v/>
      </c>
      <c r="G1020" t="str">
        <f>IF(A1020="","",IFERROR(VALUE(SUBSTITUTE(TRIM(Input!H1020&amp;""),"%","")),0)/IF(AND(IFERROR(VALUE(SUBSTITUTE(TRIM(Input!H1020&amp;""),"%","")),0)&gt;0,IFERROR(VALUE(SUBSTITUTE(TRIM(Input!H1020&amp;""),"%","")),0)&lt;1),1,100))</f>
        <v/>
      </c>
      <c r="H1020" t="str">
        <f>IF(A1020="","",IFERROR(VALUE(SUBSTITUTE(TRIM(Input!I1020&amp;""),"%","")),0)/IF(AND(IFERROR(VALUE(SUBSTITUTE(TRIM(Input!I1020&amp;""),"%","")),0)&gt;0,IFERROR(VALUE(SUBSTITUTE(TRIM(Input!I1020&amp;""),"%","")),0)&lt;1),1,100))</f>
        <v/>
      </c>
    </row>
    <row r="1021" spans="1:8">
      <c r="A1021" t="str">
        <f>IF(TRIM(Input!B1021&amp;"")="","",UPPER(TRIM(Input!B1021&amp;"")))</f>
        <v/>
      </c>
      <c r="B1021" t="str">
        <f>IF(A1021="","",IFERROR(VALUE(RIGHT(TRIM(Input!D1021&amp;""),1)),0))</f>
        <v/>
      </c>
      <c r="C1021" t="str">
        <f t="shared" si="15"/>
        <v/>
      </c>
      <c r="D1021" t="str">
        <f>IF(A1021="","",IFERROR(VALUE(SUBSTITUTE(TRIM(Input!E1021&amp;""),"%","")),0)/IF(AND(IFERROR(VALUE(SUBSTITUTE(TRIM(Input!E1021&amp;""),"%","")),0)&gt;0,IFERROR(VALUE(SUBSTITUTE(TRIM(Input!E1021&amp;""),"%","")),0)&lt;1),1,100))</f>
        <v/>
      </c>
      <c r="E1021" t="str">
        <f>IF(A1021="","",IFERROR(VALUE(SUBSTITUTE(TRIM(Input!F1021&amp;""),"%","")),0)/IF(AND(IFERROR(VALUE(SUBSTITUTE(TRIM(Input!F1021&amp;""),"%","")),0)&gt;0,IFERROR(VALUE(SUBSTITUTE(TRIM(Input!F1021&amp;""),"%","")),0)&lt;1),1,100))</f>
        <v/>
      </c>
      <c r="F1021" t="str">
        <f>IF(A1021="","",IFERROR(VALUE(SUBSTITUTE(TRIM(Input!G1021&amp;""),"%","")),0)/IF(AND(IFERROR(VALUE(SUBSTITUTE(TRIM(Input!G1021&amp;""),"%","")),0)&gt;0,IFERROR(VALUE(SUBSTITUTE(TRIM(Input!G1021&amp;""),"%","")),0)&lt;1),1,100))</f>
        <v/>
      </c>
      <c r="G1021" t="str">
        <f>IF(A1021="","",IFERROR(VALUE(SUBSTITUTE(TRIM(Input!H1021&amp;""),"%","")),0)/IF(AND(IFERROR(VALUE(SUBSTITUTE(TRIM(Input!H1021&amp;""),"%","")),0)&gt;0,IFERROR(VALUE(SUBSTITUTE(TRIM(Input!H1021&amp;""),"%","")),0)&lt;1),1,100))</f>
        <v/>
      </c>
      <c r="H1021" t="str">
        <f>IF(A1021="","",IFERROR(VALUE(SUBSTITUTE(TRIM(Input!I1021&amp;""),"%","")),0)/IF(AND(IFERROR(VALUE(SUBSTITUTE(TRIM(Input!I1021&amp;""),"%","")),0)&gt;0,IFERROR(VALUE(SUBSTITUTE(TRIM(Input!I1021&amp;""),"%","")),0)&lt;1),1,100))</f>
        <v/>
      </c>
    </row>
    <row r="1022" spans="1:8">
      <c r="A1022" t="str">
        <f>IF(TRIM(Input!B1022&amp;"")="","",UPPER(TRIM(Input!B1022&amp;"")))</f>
        <v/>
      </c>
      <c r="B1022" t="str">
        <f>IF(A1022="","",IFERROR(VALUE(RIGHT(TRIM(Input!D1022&amp;""),1)),0))</f>
        <v/>
      </c>
      <c r="C1022" t="str">
        <f t="shared" si="15"/>
        <v/>
      </c>
      <c r="D1022" t="str">
        <f>IF(A1022="","",IFERROR(VALUE(SUBSTITUTE(TRIM(Input!E1022&amp;""),"%","")),0)/IF(AND(IFERROR(VALUE(SUBSTITUTE(TRIM(Input!E1022&amp;""),"%","")),0)&gt;0,IFERROR(VALUE(SUBSTITUTE(TRIM(Input!E1022&amp;""),"%","")),0)&lt;1),1,100))</f>
        <v/>
      </c>
      <c r="E1022" t="str">
        <f>IF(A1022="","",IFERROR(VALUE(SUBSTITUTE(TRIM(Input!F1022&amp;""),"%","")),0)/IF(AND(IFERROR(VALUE(SUBSTITUTE(TRIM(Input!F1022&amp;""),"%","")),0)&gt;0,IFERROR(VALUE(SUBSTITUTE(TRIM(Input!F1022&amp;""),"%","")),0)&lt;1),1,100))</f>
        <v/>
      </c>
      <c r="F1022" t="str">
        <f>IF(A1022="","",IFERROR(VALUE(SUBSTITUTE(TRIM(Input!G1022&amp;""),"%","")),0)/IF(AND(IFERROR(VALUE(SUBSTITUTE(TRIM(Input!G1022&amp;""),"%","")),0)&gt;0,IFERROR(VALUE(SUBSTITUTE(TRIM(Input!G1022&amp;""),"%","")),0)&lt;1),1,100))</f>
        <v/>
      </c>
      <c r="G1022" t="str">
        <f>IF(A1022="","",IFERROR(VALUE(SUBSTITUTE(TRIM(Input!H1022&amp;""),"%","")),0)/IF(AND(IFERROR(VALUE(SUBSTITUTE(TRIM(Input!H1022&amp;""),"%","")),0)&gt;0,IFERROR(VALUE(SUBSTITUTE(TRIM(Input!H1022&amp;""),"%","")),0)&lt;1),1,100))</f>
        <v/>
      </c>
      <c r="H1022" t="str">
        <f>IF(A1022="","",IFERROR(VALUE(SUBSTITUTE(TRIM(Input!I1022&amp;""),"%","")),0)/IF(AND(IFERROR(VALUE(SUBSTITUTE(TRIM(Input!I1022&amp;""),"%","")),0)&gt;0,IFERROR(VALUE(SUBSTITUTE(TRIM(Input!I1022&amp;""),"%","")),0)&lt;1),1,100))</f>
        <v/>
      </c>
    </row>
    <row r="1023" spans="1:8">
      <c r="A1023" t="str">
        <f>IF(TRIM(Input!B1023&amp;"")="","",UPPER(TRIM(Input!B1023&amp;"")))</f>
        <v/>
      </c>
      <c r="B1023" t="str">
        <f>IF(A1023="","",IFERROR(VALUE(RIGHT(TRIM(Input!D1023&amp;""),1)),0))</f>
        <v/>
      </c>
      <c r="C1023" t="str">
        <f t="shared" si="15"/>
        <v/>
      </c>
      <c r="D1023" t="str">
        <f>IF(A1023="","",IFERROR(VALUE(SUBSTITUTE(TRIM(Input!E1023&amp;""),"%","")),0)/IF(AND(IFERROR(VALUE(SUBSTITUTE(TRIM(Input!E1023&amp;""),"%","")),0)&gt;0,IFERROR(VALUE(SUBSTITUTE(TRIM(Input!E1023&amp;""),"%","")),0)&lt;1),1,100))</f>
        <v/>
      </c>
      <c r="E1023" t="str">
        <f>IF(A1023="","",IFERROR(VALUE(SUBSTITUTE(TRIM(Input!F1023&amp;""),"%","")),0)/IF(AND(IFERROR(VALUE(SUBSTITUTE(TRIM(Input!F1023&amp;""),"%","")),0)&gt;0,IFERROR(VALUE(SUBSTITUTE(TRIM(Input!F1023&amp;""),"%","")),0)&lt;1),1,100))</f>
        <v/>
      </c>
      <c r="F1023" t="str">
        <f>IF(A1023="","",IFERROR(VALUE(SUBSTITUTE(TRIM(Input!G1023&amp;""),"%","")),0)/IF(AND(IFERROR(VALUE(SUBSTITUTE(TRIM(Input!G1023&amp;""),"%","")),0)&gt;0,IFERROR(VALUE(SUBSTITUTE(TRIM(Input!G1023&amp;""),"%","")),0)&lt;1),1,100))</f>
        <v/>
      </c>
      <c r="G1023" t="str">
        <f>IF(A1023="","",IFERROR(VALUE(SUBSTITUTE(TRIM(Input!H1023&amp;""),"%","")),0)/IF(AND(IFERROR(VALUE(SUBSTITUTE(TRIM(Input!H1023&amp;""),"%","")),0)&gt;0,IFERROR(VALUE(SUBSTITUTE(TRIM(Input!H1023&amp;""),"%","")),0)&lt;1),1,100))</f>
        <v/>
      </c>
      <c r="H1023" t="str">
        <f>IF(A1023="","",IFERROR(VALUE(SUBSTITUTE(TRIM(Input!I1023&amp;""),"%","")),0)/IF(AND(IFERROR(VALUE(SUBSTITUTE(TRIM(Input!I1023&amp;""),"%","")),0)&gt;0,IFERROR(VALUE(SUBSTITUTE(TRIM(Input!I1023&amp;""),"%","")),0)&lt;1),1,100))</f>
        <v/>
      </c>
    </row>
    <row r="1024" spans="1:8">
      <c r="A1024" t="str">
        <f>IF(TRIM(Input!B1024&amp;"")="","",UPPER(TRIM(Input!B1024&amp;"")))</f>
        <v/>
      </c>
      <c r="B1024" t="str">
        <f>IF(A1024="","",IFERROR(VALUE(RIGHT(TRIM(Input!D1024&amp;""),1)),0))</f>
        <v/>
      </c>
      <c r="C1024" t="str">
        <f t="shared" si="15"/>
        <v/>
      </c>
      <c r="D1024" t="str">
        <f>IF(A1024="","",IFERROR(VALUE(SUBSTITUTE(TRIM(Input!E1024&amp;""),"%","")),0)/IF(AND(IFERROR(VALUE(SUBSTITUTE(TRIM(Input!E1024&amp;""),"%","")),0)&gt;0,IFERROR(VALUE(SUBSTITUTE(TRIM(Input!E1024&amp;""),"%","")),0)&lt;1),1,100))</f>
        <v/>
      </c>
      <c r="E1024" t="str">
        <f>IF(A1024="","",IFERROR(VALUE(SUBSTITUTE(TRIM(Input!F1024&amp;""),"%","")),0)/IF(AND(IFERROR(VALUE(SUBSTITUTE(TRIM(Input!F1024&amp;""),"%","")),0)&gt;0,IFERROR(VALUE(SUBSTITUTE(TRIM(Input!F1024&amp;""),"%","")),0)&lt;1),1,100))</f>
        <v/>
      </c>
      <c r="F1024" t="str">
        <f>IF(A1024="","",IFERROR(VALUE(SUBSTITUTE(TRIM(Input!G1024&amp;""),"%","")),0)/IF(AND(IFERROR(VALUE(SUBSTITUTE(TRIM(Input!G1024&amp;""),"%","")),0)&gt;0,IFERROR(VALUE(SUBSTITUTE(TRIM(Input!G1024&amp;""),"%","")),0)&lt;1),1,100))</f>
        <v/>
      </c>
      <c r="G1024" t="str">
        <f>IF(A1024="","",IFERROR(VALUE(SUBSTITUTE(TRIM(Input!H1024&amp;""),"%","")),0)/IF(AND(IFERROR(VALUE(SUBSTITUTE(TRIM(Input!H1024&amp;""),"%","")),0)&gt;0,IFERROR(VALUE(SUBSTITUTE(TRIM(Input!H1024&amp;""),"%","")),0)&lt;1),1,100))</f>
        <v/>
      </c>
      <c r="H1024" t="str">
        <f>IF(A1024="","",IFERROR(VALUE(SUBSTITUTE(TRIM(Input!I1024&amp;""),"%","")),0)/IF(AND(IFERROR(VALUE(SUBSTITUTE(TRIM(Input!I1024&amp;""),"%","")),0)&gt;0,IFERROR(VALUE(SUBSTITUTE(TRIM(Input!I1024&amp;""),"%","")),0)&lt;1),1,100))</f>
        <v/>
      </c>
    </row>
    <row r="1025" spans="1:8">
      <c r="A1025" t="str">
        <f>IF(TRIM(Input!B1025&amp;"")="","",UPPER(TRIM(Input!B1025&amp;"")))</f>
        <v/>
      </c>
      <c r="B1025" t="str">
        <f>IF(A1025="","",IFERROR(VALUE(RIGHT(TRIM(Input!D1025&amp;""),1)),0))</f>
        <v/>
      </c>
      <c r="C1025" t="str">
        <f t="shared" si="15"/>
        <v/>
      </c>
      <c r="D1025" t="str">
        <f>IF(A1025="","",IFERROR(VALUE(SUBSTITUTE(TRIM(Input!E1025&amp;""),"%","")),0)/IF(AND(IFERROR(VALUE(SUBSTITUTE(TRIM(Input!E1025&amp;""),"%","")),0)&gt;0,IFERROR(VALUE(SUBSTITUTE(TRIM(Input!E1025&amp;""),"%","")),0)&lt;1),1,100))</f>
        <v/>
      </c>
      <c r="E1025" t="str">
        <f>IF(A1025="","",IFERROR(VALUE(SUBSTITUTE(TRIM(Input!F1025&amp;""),"%","")),0)/IF(AND(IFERROR(VALUE(SUBSTITUTE(TRIM(Input!F1025&amp;""),"%","")),0)&gt;0,IFERROR(VALUE(SUBSTITUTE(TRIM(Input!F1025&amp;""),"%","")),0)&lt;1),1,100))</f>
        <v/>
      </c>
      <c r="F1025" t="str">
        <f>IF(A1025="","",IFERROR(VALUE(SUBSTITUTE(TRIM(Input!G1025&amp;""),"%","")),0)/IF(AND(IFERROR(VALUE(SUBSTITUTE(TRIM(Input!G1025&amp;""),"%","")),0)&gt;0,IFERROR(VALUE(SUBSTITUTE(TRIM(Input!G1025&amp;""),"%","")),0)&lt;1),1,100))</f>
        <v/>
      </c>
      <c r="G1025" t="str">
        <f>IF(A1025="","",IFERROR(VALUE(SUBSTITUTE(TRIM(Input!H1025&amp;""),"%","")),0)/IF(AND(IFERROR(VALUE(SUBSTITUTE(TRIM(Input!H1025&amp;""),"%","")),0)&gt;0,IFERROR(VALUE(SUBSTITUTE(TRIM(Input!H1025&amp;""),"%","")),0)&lt;1),1,100))</f>
        <v/>
      </c>
      <c r="H1025" t="str">
        <f>IF(A1025="","",IFERROR(VALUE(SUBSTITUTE(TRIM(Input!I1025&amp;""),"%","")),0)/IF(AND(IFERROR(VALUE(SUBSTITUTE(TRIM(Input!I1025&amp;""),"%","")),0)&gt;0,IFERROR(VALUE(SUBSTITUTE(TRIM(Input!I1025&amp;""),"%","")),0)&lt;1),1,100))</f>
        <v/>
      </c>
    </row>
    <row r="1026" spans="1:8">
      <c r="A1026" t="str">
        <f>IF(TRIM(Input!B1026&amp;"")="","",UPPER(TRIM(Input!B1026&amp;"")))</f>
        <v/>
      </c>
      <c r="B1026" t="str">
        <f>IF(A1026="","",IFERROR(VALUE(RIGHT(TRIM(Input!D1026&amp;""),1)),0))</f>
        <v/>
      </c>
      <c r="C1026" t="str">
        <f t="shared" ref="C1026:C1089" si="16">IF(A1026="","",A1026&amp;"|"&amp;B1026)</f>
        <v/>
      </c>
      <c r="D1026" t="str">
        <f>IF(A1026="","",IFERROR(VALUE(SUBSTITUTE(TRIM(Input!E1026&amp;""),"%","")),0)/IF(AND(IFERROR(VALUE(SUBSTITUTE(TRIM(Input!E1026&amp;""),"%","")),0)&gt;0,IFERROR(VALUE(SUBSTITUTE(TRIM(Input!E1026&amp;""),"%","")),0)&lt;1),1,100))</f>
        <v/>
      </c>
      <c r="E1026" t="str">
        <f>IF(A1026="","",IFERROR(VALUE(SUBSTITUTE(TRIM(Input!F1026&amp;""),"%","")),0)/IF(AND(IFERROR(VALUE(SUBSTITUTE(TRIM(Input!F1026&amp;""),"%","")),0)&gt;0,IFERROR(VALUE(SUBSTITUTE(TRIM(Input!F1026&amp;""),"%","")),0)&lt;1),1,100))</f>
        <v/>
      </c>
      <c r="F1026" t="str">
        <f>IF(A1026="","",IFERROR(VALUE(SUBSTITUTE(TRIM(Input!G1026&amp;""),"%","")),0)/IF(AND(IFERROR(VALUE(SUBSTITUTE(TRIM(Input!G1026&amp;""),"%","")),0)&gt;0,IFERROR(VALUE(SUBSTITUTE(TRIM(Input!G1026&amp;""),"%","")),0)&lt;1),1,100))</f>
        <v/>
      </c>
      <c r="G1026" t="str">
        <f>IF(A1026="","",IFERROR(VALUE(SUBSTITUTE(TRIM(Input!H1026&amp;""),"%","")),0)/IF(AND(IFERROR(VALUE(SUBSTITUTE(TRIM(Input!H1026&amp;""),"%","")),0)&gt;0,IFERROR(VALUE(SUBSTITUTE(TRIM(Input!H1026&amp;""),"%","")),0)&lt;1),1,100))</f>
        <v/>
      </c>
      <c r="H1026" t="str">
        <f>IF(A1026="","",IFERROR(VALUE(SUBSTITUTE(TRIM(Input!I1026&amp;""),"%","")),0)/IF(AND(IFERROR(VALUE(SUBSTITUTE(TRIM(Input!I1026&amp;""),"%","")),0)&gt;0,IFERROR(VALUE(SUBSTITUTE(TRIM(Input!I1026&amp;""),"%","")),0)&lt;1),1,100))</f>
        <v/>
      </c>
    </row>
    <row r="1027" spans="1:8">
      <c r="A1027" t="str">
        <f>IF(TRIM(Input!B1027&amp;"")="","",UPPER(TRIM(Input!B1027&amp;"")))</f>
        <v/>
      </c>
      <c r="B1027" t="str">
        <f>IF(A1027="","",IFERROR(VALUE(RIGHT(TRIM(Input!D1027&amp;""),1)),0))</f>
        <v/>
      </c>
      <c r="C1027" t="str">
        <f t="shared" si="16"/>
        <v/>
      </c>
      <c r="D1027" t="str">
        <f>IF(A1027="","",IFERROR(VALUE(SUBSTITUTE(TRIM(Input!E1027&amp;""),"%","")),0)/IF(AND(IFERROR(VALUE(SUBSTITUTE(TRIM(Input!E1027&amp;""),"%","")),0)&gt;0,IFERROR(VALUE(SUBSTITUTE(TRIM(Input!E1027&amp;""),"%","")),0)&lt;1),1,100))</f>
        <v/>
      </c>
      <c r="E1027" t="str">
        <f>IF(A1027="","",IFERROR(VALUE(SUBSTITUTE(TRIM(Input!F1027&amp;""),"%","")),0)/IF(AND(IFERROR(VALUE(SUBSTITUTE(TRIM(Input!F1027&amp;""),"%","")),0)&gt;0,IFERROR(VALUE(SUBSTITUTE(TRIM(Input!F1027&amp;""),"%","")),0)&lt;1),1,100))</f>
        <v/>
      </c>
      <c r="F1027" t="str">
        <f>IF(A1027="","",IFERROR(VALUE(SUBSTITUTE(TRIM(Input!G1027&amp;""),"%","")),0)/IF(AND(IFERROR(VALUE(SUBSTITUTE(TRIM(Input!G1027&amp;""),"%","")),0)&gt;0,IFERROR(VALUE(SUBSTITUTE(TRIM(Input!G1027&amp;""),"%","")),0)&lt;1),1,100))</f>
        <v/>
      </c>
      <c r="G1027" t="str">
        <f>IF(A1027="","",IFERROR(VALUE(SUBSTITUTE(TRIM(Input!H1027&amp;""),"%","")),0)/IF(AND(IFERROR(VALUE(SUBSTITUTE(TRIM(Input!H1027&amp;""),"%","")),0)&gt;0,IFERROR(VALUE(SUBSTITUTE(TRIM(Input!H1027&amp;""),"%","")),0)&lt;1),1,100))</f>
        <v/>
      </c>
      <c r="H1027" t="str">
        <f>IF(A1027="","",IFERROR(VALUE(SUBSTITUTE(TRIM(Input!I1027&amp;""),"%","")),0)/IF(AND(IFERROR(VALUE(SUBSTITUTE(TRIM(Input!I1027&amp;""),"%","")),0)&gt;0,IFERROR(VALUE(SUBSTITUTE(TRIM(Input!I1027&amp;""),"%","")),0)&lt;1),1,100))</f>
        <v/>
      </c>
    </row>
    <row r="1028" spans="1:8">
      <c r="A1028" t="str">
        <f>IF(TRIM(Input!B1028&amp;"")="","",UPPER(TRIM(Input!B1028&amp;"")))</f>
        <v/>
      </c>
      <c r="B1028" t="str">
        <f>IF(A1028="","",IFERROR(VALUE(RIGHT(TRIM(Input!D1028&amp;""),1)),0))</f>
        <v/>
      </c>
      <c r="C1028" t="str">
        <f t="shared" si="16"/>
        <v/>
      </c>
      <c r="D1028" t="str">
        <f>IF(A1028="","",IFERROR(VALUE(SUBSTITUTE(TRIM(Input!E1028&amp;""),"%","")),0)/IF(AND(IFERROR(VALUE(SUBSTITUTE(TRIM(Input!E1028&amp;""),"%","")),0)&gt;0,IFERROR(VALUE(SUBSTITUTE(TRIM(Input!E1028&amp;""),"%","")),0)&lt;1),1,100))</f>
        <v/>
      </c>
      <c r="E1028" t="str">
        <f>IF(A1028="","",IFERROR(VALUE(SUBSTITUTE(TRIM(Input!F1028&amp;""),"%","")),0)/IF(AND(IFERROR(VALUE(SUBSTITUTE(TRIM(Input!F1028&amp;""),"%","")),0)&gt;0,IFERROR(VALUE(SUBSTITUTE(TRIM(Input!F1028&amp;""),"%","")),0)&lt;1),1,100))</f>
        <v/>
      </c>
      <c r="F1028" t="str">
        <f>IF(A1028="","",IFERROR(VALUE(SUBSTITUTE(TRIM(Input!G1028&amp;""),"%","")),0)/IF(AND(IFERROR(VALUE(SUBSTITUTE(TRIM(Input!G1028&amp;""),"%","")),0)&gt;0,IFERROR(VALUE(SUBSTITUTE(TRIM(Input!G1028&amp;""),"%","")),0)&lt;1),1,100))</f>
        <v/>
      </c>
      <c r="G1028" t="str">
        <f>IF(A1028="","",IFERROR(VALUE(SUBSTITUTE(TRIM(Input!H1028&amp;""),"%","")),0)/IF(AND(IFERROR(VALUE(SUBSTITUTE(TRIM(Input!H1028&amp;""),"%","")),0)&gt;0,IFERROR(VALUE(SUBSTITUTE(TRIM(Input!H1028&amp;""),"%","")),0)&lt;1),1,100))</f>
        <v/>
      </c>
      <c r="H1028" t="str">
        <f>IF(A1028="","",IFERROR(VALUE(SUBSTITUTE(TRIM(Input!I1028&amp;""),"%","")),0)/IF(AND(IFERROR(VALUE(SUBSTITUTE(TRIM(Input!I1028&amp;""),"%","")),0)&gt;0,IFERROR(VALUE(SUBSTITUTE(TRIM(Input!I1028&amp;""),"%","")),0)&lt;1),1,100))</f>
        <v/>
      </c>
    </row>
    <row r="1029" spans="1:8">
      <c r="A1029" t="str">
        <f>IF(TRIM(Input!B1029&amp;"")="","",UPPER(TRIM(Input!B1029&amp;"")))</f>
        <v/>
      </c>
      <c r="B1029" t="str">
        <f>IF(A1029="","",IFERROR(VALUE(RIGHT(TRIM(Input!D1029&amp;""),1)),0))</f>
        <v/>
      </c>
      <c r="C1029" t="str">
        <f t="shared" si="16"/>
        <v/>
      </c>
      <c r="D1029" t="str">
        <f>IF(A1029="","",IFERROR(VALUE(SUBSTITUTE(TRIM(Input!E1029&amp;""),"%","")),0)/IF(AND(IFERROR(VALUE(SUBSTITUTE(TRIM(Input!E1029&amp;""),"%","")),0)&gt;0,IFERROR(VALUE(SUBSTITUTE(TRIM(Input!E1029&amp;""),"%","")),0)&lt;1),1,100))</f>
        <v/>
      </c>
      <c r="E1029" t="str">
        <f>IF(A1029="","",IFERROR(VALUE(SUBSTITUTE(TRIM(Input!F1029&amp;""),"%","")),0)/IF(AND(IFERROR(VALUE(SUBSTITUTE(TRIM(Input!F1029&amp;""),"%","")),0)&gt;0,IFERROR(VALUE(SUBSTITUTE(TRIM(Input!F1029&amp;""),"%","")),0)&lt;1),1,100))</f>
        <v/>
      </c>
      <c r="F1029" t="str">
        <f>IF(A1029="","",IFERROR(VALUE(SUBSTITUTE(TRIM(Input!G1029&amp;""),"%","")),0)/IF(AND(IFERROR(VALUE(SUBSTITUTE(TRIM(Input!G1029&amp;""),"%","")),0)&gt;0,IFERROR(VALUE(SUBSTITUTE(TRIM(Input!G1029&amp;""),"%","")),0)&lt;1),1,100))</f>
        <v/>
      </c>
      <c r="G1029" t="str">
        <f>IF(A1029="","",IFERROR(VALUE(SUBSTITUTE(TRIM(Input!H1029&amp;""),"%","")),0)/IF(AND(IFERROR(VALUE(SUBSTITUTE(TRIM(Input!H1029&amp;""),"%","")),0)&gt;0,IFERROR(VALUE(SUBSTITUTE(TRIM(Input!H1029&amp;""),"%","")),0)&lt;1),1,100))</f>
        <v/>
      </c>
      <c r="H1029" t="str">
        <f>IF(A1029="","",IFERROR(VALUE(SUBSTITUTE(TRIM(Input!I1029&amp;""),"%","")),0)/IF(AND(IFERROR(VALUE(SUBSTITUTE(TRIM(Input!I1029&amp;""),"%","")),0)&gt;0,IFERROR(VALUE(SUBSTITUTE(TRIM(Input!I1029&amp;""),"%","")),0)&lt;1),1,100))</f>
        <v/>
      </c>
    </row>
    <row r="1030" spans="1:8">
      <c r="A1030" t="str">
        <f>IF(TRIM(Input!B1030&amp;"")="","",UPPER(TRIM(Input!B1030&amp;"")))</f>
        <v/>
      </c>
      <c r="B1030" t="str">
        <f>IF(A1030="","",IFERROR(VALUE(RIGHT(TRIM(Input!D1030&amp;""),1)),0))</f>
        <v/>
      </c>
      <c r="C1030" t="str">
        <f t="shared" si="16"/>
        <v/>
      </c>
      <c r="D1030" t="str">
        <f>IF(A1030="","",IFERROR(VALUE(SUBSTITUTE(TRIM(Input!E1030&amp;""),"%","")),0)/IF(AND(IFERROR(VALUE(SUBSTITUTE(TRIM(Input!E1030&amp;""),"%","")),0)&gt;0,IFERROR(VALUE(SUBSTITUTE(TRIM(Input!E1030&amp;""),"%","")),0)&lt;1),1,100))</f>
        <v/>
      </c>
      <c r="E1030" t="str">
        <f>IF(A1030="","",IFERROR(VALUE(SUBSTITUTE(TRIM(Input!F1030&amp;""),"%","")),0)/IF(AND(IFERROR(VALUE(SUBSTITUTE(TRIM(Input!F1030&amp;""),"%","")),0)&gt;0,IFERROR(VALUE(SUBSTITUTE(TRIM(Input!F1030&amp;""),"%","")),0)&lt;1),1,100))</f>
        <v/>
      </c>
      <c r="F1030" t="str">
        <f>IF(A1030="","",IFERROR(VALUE(SUBSTITUTE(TRIM(Input!G1030&amp;""),"%","")),0)/IF(AND(IFERROR(VALUE(SUBSTITUTE(TRIM(Input!G1030&amp;""),"%","")),0)&gt;0,IFERROR(VALUE(SUBSTITUTE(TRIM(Input!G1030&amp;""),"%","")),0)&lt;1),1,100))</f>
        <v/>
      </c>
      <c r="G1030" t="str">
        <f>IF(A1030="","",IFERROR(VALUE(SUBSTITUTE(TRIM(Input!H1030&amp;""),"%","")),0)/IF(AND(IFERROR(VALUE(SUBSTITUTE(TRIM(Input!H1030&amp;""),"%","")),0)&gt;0,IFERROR(VALUE(SUBSTITUTE(TRIM(Input!H1030&amp;""),"%","")),0)&lt;1),1,100))</f>
        <v/>
      </c>
      <c r="H1030" t="str">
        <f>IF(A1030="","",IFERROR(VALUE(SUBSTITUTE(TRIM(Input!I1030&amp;""),"%","")),0)/IF(AND(IFERROR(VALUE(SUBSTITUTE(TRIM(Input!I1030&amp;""),"%","")),0)&gt;0,IFERROR(VALUE(SUBSTITUTE(TRIM(Input!I1030&amp;""),"%","")),0)&lt;1),1,100))</f>
        <v/>
      </c>
    </row>
    <row r="1031" spans="1:8">
      <c r="A1031" t="str">
        <f>IF(TRIM(Input!B1031&amp;"")="","",UPPER(TRIM(Input!B1031&amp;"")))</f>
        <v/>
      </c>
      <c r="B1031" t="str">
        <f>IF(A1031="","",IFERROR(VALUE(RIGHT(TRIM(Input!D1031&amp;""),1)),0))</f>
        <v/>
      </c>
      <c r="C1031" t="str">
        <f t="shared" si="16"/>
        <v/>
      </c>
      <c r="D1031" t="str">
        <f>IF(A1031="","",IFERROR(VALUE(SUBSTITUTE(TRIM(Input!E1031&amp;""),"%","")),0)/IF(AND(IFERROR(VALUE(SUBSTITUTE(TRIM(Input!E1031&amp;""),"%","")),0)&gt;0,IFERROR(VALUE(SUBSTITUTE(TRIM(Input!E1031&amp;""),"%","")),0)&lt;1),1,100))</f>
        <v/>
      </c>
      <c r="E1031" t="str">
        <f>IF(A1031="","",IFERROR(VALUE(SUBSTITUTE(TRIM(Input!F1031&amp;""),"%","")),0)/IF(AND(IFERROR(VALUE(SUBSTITUTE(TRIM(Input!F1031&amp;""),"%","")),0)&gt;0,IFERROR(VALUE(SUBSTITUTE(TRIM(Input!F1031&amp;""),"%","")),0)&lt;1),1,100))</f>
        <v/>
      </c>
      <c r="F1031" t="str">
        <f>IF(A1031="","",IFERROR(VALUE(SUBSTITUTE(TRIM(Input!G1031&amp;""),"%","")),0)/IF(AND(IFERROR(VALUE(SUBSTITUTE(TRIM(Input!G1031&amp;""),"%","")),0)&gt;0,IFERROR(VALUE(SUBSTITUTE(TRIM(Input!G1031&amp;""),"%","")),0)&lt;1),1,100))</f>
        <v/>
      </c>
      <c r="G1031" t="str">
        <f>IF(A1031="","",IFERROR(VALUE(SUBSTITUTE(TRIM(Input!H1031&amp;""),"%","")),0)/IF(AND(IFERROR(VALUE(SUBSTITUTE(TRIM(Input!H1031&amp;""),"%","")),0)&gt;0,IFERROR(VALUE(SUBSTITUTE(TRIM(Input!H1031&amp;""),"%","")),0)&lt;1),1,100))</f>
        <v/>
      </c>
      <c r="H1031" t="str">
        <f>IF(A1031="","",IFERROR(VALUE(SUBSTITUTE(TRIM(Input!I1031&amp;""),"%","")),0)/IF(AND(IFERROR(VALUE(SUBSTITUTE(TRIM(Input!I1031&amp;""),"%","")),0)&gt;0,IFERROR(VALUE(SUBSTITUTE(TRIM(Input!I1031&amp;""),"%","")),0)&lt;1),1,100))</f>
        <v/>
      </c>
    </row>
    <row r="1032" spans="1:8">
      <c r="A1032" t="str">
        <f>IF(TRIM(Input!B1032&amp;"")="","",UPPER(TRIM(Input!B1032&amp;"")))</f>
        <v/>
      </c>
      <c r="B1032" t="str">
        <f>IF(A1032="","",IFERROR(VALUE(RIGHT(TRIM(Input!D1032&amp;""),1)),0))</f>
        <v/>
      </c>
      <c r="C1032" t="str">
        <f t="shared" si="16"/>
        <v/>
      </c>
      <c r="D1032" t="str">
        <f>IF(A1032="","",IFERROR(VALUE(SUBSTITUTE(TRIM(Input!E1032&amp;""),"%","")),0)/IF(AND(IFERROR(VALUE(SUBSTITUTE(TRIM(Input!E1032&amp;""),"%","")),0)&gt;0,IFERROR(VALUE(SUBSTITUTE(TRIM(Input!E1032&amp;""),"%","")),0)&lt;1),1,100))</f>
        <v/>
      </c>
      <c r="E1032" t="str">
        <f>IF(A1032="","",IFERROR(VALUE(SUBSTITUTE(TRIM(Input!F1032&amp;""),"%","")),0)/IF(AND(IFERROR(VALUE(SUBSTITUTE(TRIM(Input!F1032&amp;""),"%","")),0)&gt;0,IFERROR(VALUE(SUBSTITUTE(TRIM(Input!F1032&amp;""),"%","")),0)&lt;1),1,100))</f>
        <v/>
      </c>
      <c r="F1032" t="str">
        <f>IF(A1032="","",IFERROR(VALUE(SUBSTITUTE(TRIM(Input!G1032&amp;""),"%","")),0)/IF(AND(IFERROR(VALUE(SUBSTITUTE(TRIM(Input!G1032&amp;""),"%","")),0)&gt;0,IFERROR(VALUE(SUBSTITUTE(TRIM(Input!G1032&amp;""),"%","")),0)&lt;1),1,100))</f>
        <v/>
      </c>
      <c r="G1032" t="str">
        <f>IF(A1032="","",IFERROR(VALUE(SUBSTITUTE(TRIM(Input!H1032&amp;""),"%","")),0)/IF(AND(IFERROR(VALUE(SUBSTITUTE(TRIM(Input!H1032&amp;""),"%","")),0)&gt;0,IFERROR(VALUE(SUBSTITUTE(TRIM(Input!H1032&amp;""),"%","")),0)&lt;1),1,100))</f>
        <v/>
      </c>
      <c r="H1032" t="str">
        <f>IF(A1032="","",IFERROR(VALUE(SUBSTITUTE(TRIM(Input!I1032&amp;""),"%","")),0)/IF(AND(IFERROR(VALUE(SUBSTITUTE(TRIM(Input!I1032&amp;""),"%","")),0)&gt;0,IFERROR(VALUE(SUBSTITUTE(TRIM(Input!I1032&amp;""),"%","")),0)&lt;1),1,100))</f>
        <v/>
      </c>
    </row>
    <row r="1033" spans="1:8">
      <c r="A1033" t="str">
        <f>IF(TRIM(Input!B1033&amp;"")="","",UPPER(TRIM(Input!B1033&amp;"")))</f>
        <v/>
      </c>
      <c r="B1033" t="str">
        <f>IF(A1033="","",IFERROR(VALUE(RIGHT(TRIM(Input!D1033&amp;""),1)),0))</f>
        <v/>
      </c>
      <c r="C1033" t="str">
        <f t="shared" si="16"/>
        <v/>
      </c>
      <c r="D1033" t="str">
        <f>IF(A1033="","",IFERROR(VALUE(SUBSTITUTE(TRIM(Input!E1033&amp;""),"%","")),0)/IF(AND(IFERROR(VALUE(SUBSTITUTE(TRIM(Input!E1033&amp;""),"%","")),0)&gt;0,IFERROR(VALUE(SUBSTITUTE(TRIM(Input!E1033&amp;""),"%","")),0)&lt;1),1,100))</f>
        <v/>
      </c>
      <c r="E1033" t="str">
        <f>IF(A1033="","",IFERROR(VALUE(SUBSTITUTE(TRIM(Input!F1033&amp;""),"%","")),0)/IF(AND(IFERROR(VALUE(SUBSTITUTE(TRIM(Input!F1033&amp;""),"%","")),0)&gt;0,IFERROR(VALUE(SUBSTITUTE(TRIM(Input!F1033&amp;""),"%","")),0)&lt;1),1,100))</f>
        <v/>
      </c>
      <c r="F1033" t="str">
        <f>IF(A1033="","",IFERROR(VALUE(SUBSTITUTE(TRIM(Input!G1033&amp;""),"%","")),0)/IF(AND(IFERROR(VALUE(SUBSTITUTE(TRIM(Input!G1033&amp;""),"%","")),0)&gt;0,IFERROR(VALUE(SUBSTITUTE(TRIM(Input!G1033&amp;""),"%","")),0)&lt;1),1,100))</f>
        <v/>
      </c>
      <c r="G1033" t="str">
        <f>IF(A1033="","",IFERROR(VALUE(SUBSTITUTE(TRIM(Input!H1033&amp;""),"%","")),0)/IF(AND(IFERROR(VALUE(SUBSTITUTE(TRIM(Input!H1033&amp;""),"%","")),0)&gt;0,IFERROR(VALUE(SUBSTITUTE(TRIM(Input!H1033&amp;""),"%","")),0)&lt;1),1,100))</f>
        <v/>
      </c>
      <c r="H1033" t="str">
        <f>IF(A1033="","",IFERROR(VALUE(SUBSTITUTE(TRIM(Input!I1033&amp;""),"%","")),0)/IF(AND(IFERROR(VALUE(SUBSTITUTE(TRIM(Input!I1033&amp;""),"%","")),0)&gt;0,IFERROR(VALUE(SUBSTITUTE(TRIM(Input!I1033&amp;""),"%","")),0)&lt;1),1,100))</f>
        <v/>
      </c>
    </row>
    <row r="1034" spans="1:8">
      <c r="A1034" t="str">
        <f>IF(TRIM(Input!B1034&amp;"")="","",UPPER(TRIM(Input!B1034&amp;"")))</f>
        <v/>
      </c>
      <c r="B1034" t="str">
        <f>IF(A1034="","",IFERROR(VALUE(RIGHT(TRIM(Input!D1034&amp;""),1)),0))</f>
        <v/>
      </c>
      <c r="C1034" t="str">
        <f t="shared" si="16"/>
        <v/>
      </c>
      <c r="D1034" t="str">
        <f>IF(A1034="","",IFERROR(VALUE(SUBSTITUTE(TRIM(Input!E1034&amp;""),"%","")),0)/IF(AND(IFERROR(VALUE(SUBSTITUTE(TRIM(Input!E1034&amp;""),"%","")),0)&gt;0,IFERROR(VALUE(SUBSTITUTE(TRIM(Input!E1034&amp;""),"%","")),0)&lt;1),1,100))</f>
        <v/>
      </c>
      <c r="E1034" t="str">
        <f>IF(A1034="","",IFERROR(VALUE(SUBSTITUTE(TRIM(Input!F1034&amp;""),"%","")),0)/IF(AND(IFERROR(VALUE(SUBSTITUTE(TRIM(Input!F1034&amp;""),"%","")),0)&gt;0,IFERROR(VALUE(SUBSTITUTE(TRIM(Input!F1034&amp;""),"%","")),0)&lt;1),1,100))</f>
        <v/>
      </c>
      <c r="F1034" t="str">
        <f>IF(A1034="","",IFERROR(VALUE(SUBSTITUTE(TRIM(Input!G1034&amp;""),"%","")),0)/IF(AND(IFERROR(VALUE(SUBSTITUTE(TRIM(Input!G1034&amp;""),"%","")),0)&gt;0,IFERROR(VALUE(SUBSTITUTE(TRIM(Input!G1034&amp;""),"%","")),0)&lt;1),1,100))</f>
        <v/>
      </c>
      <c r="G1034" t="str">
        <f>IF(A1034="","",IFERROR(VALUE(SUBSTITUTE(TRIM(Input!H1034&amp;""),"%","")),0)/IF(AND(IFERROR(VALUE(SUBSTITUTE(TRIM(Input!H1034&amp;""),"%","")),0)&gt;0,IFERROR(VALUE(SUBSTITUTE(TRIM(Input!H1034&amp;""),"%","")),0)&lt;1),1,100))</f>
        <v/>
      </c>
      <c r="H1034" t="str">
        <f>IF(A1034="","",IFERROR(VALUE(SUBSTITUTE(TRIM(Input!I1034&amp;""),"%","")),0)/IF(AND(IFERROR(VALUE(SUBSTITUTE(TRIM(Input!I1034&amp;""),"%","")),0)&gt;0,IFERROR(VALUE(SUBSTITUTE(TRIM(Input!I1034&amp;""),"%","")),0)&lt;1),1,100))</f>
        <v/>
      </c>
    </row>
    <row r="1035" spans="1:8">
      <c r="A1035" t="str">
        <f>IF(TRIM(Input!B1035&amp;"")="","",UPPER(TRIM(Input!B1035&amp;"")))</f>
        <v/>
      </c>
      <c r="B1035" t="str">
        <f>IF(A1035="","",IFERROR(VALUE(RIGHT(TRIM(Input!D1035&amp;""),1)),0))</f>
        <v/>
      </c>
      <c r="C1035" t="str">
        <f t="shared" si="16"/>
        <v/>
      </c>
      <c r="D1035" t="str">
        <f>IF(A1035="","",IFERROR(VALUE(SUBSTITUTE(TRIM(Input!E1035&amp;""),"%","")),0)/IF(AND(IFERROR(VALUE(SUBSTITUTE(TRIM(Input!E1035&amp;""),"%","")),0)&gt;0,IFERROR(VALUE(SUBSTITUTE(TRIM(Input!E1035&amp;""),"%","")),0)&lt;1),1,100))</f>
        <v/>
      </c>
      <c r="E1035" t="str">
        <f>IF(A1035="","",IFERROR(VALUE(SUBSTITUTE(TRIM(Input!F1035&amp;""),"%","")),0)/IF(AND(IFERROR(VALUE(SUBSTITUTE(TRIM(Input!F1035&amp;""),"%","")),0)&gt;0,IFERROR(VALUE(SUBSTITUTE(TRIM(Input!F1035&amp;""),"%","")),0)&lt;1),1,100))</f>
        <v/>
      </c>
      <c r="F1035" t="str">
        <f>IF(A1035="","",IFERROR(VALUE(SUBSTITUTE(TRIM(Input!G1035&amp;""),"%","")),0)/IF(AND(IFERROR(VALUE(SUBSTITUTE(TRIM(Input!G1035&amp;""),"%","")),0)&gt;0,IFERROR(VALUE(SUBSTITUTE(TRIM(Input!G1035&amp;""),"%","")),0)&lt;1),1,100))</f>
        <v/>
      </c>
      <c r="G1035" t="str">
        <f>IF(A1035="","",IFERROR(VALUE(SUBSTITUTE(TRIM(Input!H1035&amp;""),"%","")),0)/IF(AND(IFERROR(VALUE(SUBSTITUTE(TRIM(Input!H1035&amp;""),"%","")),0)&gt;0,IFERROR(VALUE(SUBSTITUTE(TRIM(Input!H1035&amp;""),"%","")),0)&lt;1),1,100))</f>
        <v/>
      </c>
      <c r="H1035" t="str">
        <f>IF(A1035="","",IFERROR(VALUE(SUBSTITUTE(TRIM(Input!I1035&amp;""),"%","")),0)/IF(AND(IFERROR(VALUE(SUBSTITUTE(TRIM(Input!I1035&amp;""),"%","")),0)&gt;0,IFERROR(VALUE(SUBSTITUTE(TRIM(Input!I1035&amp;""),"%","")),0)&lt;1),1,100))</f>
        <v/>
      </c>
    </row>
    <row r="1036" spans="1:8">
      <c r="A1036" t="str">
        <f>IF(TRIM(Input!B1036&amp;"")="","",UPPER(TRIM(Input!B1036&amp;"")))</f>
        <v/>
      </c>
      <c r="B1036" t="str">
        <f>IF(A1036="","",IFERROR(VALUE(RIGHT(TRIM(Input!D1036&amp;""),1)),0))</f>
        <v/>
      </c>
      <c r="C1036" t="str">
        <f t="shared" si="16"/>
        <v/>
      </c>
      <c r="D1036" t="str">
        <f>IF(A1036="","",IFERROR(VALUE(SUBSTITUTE(TRIM(Input!E1036&amp;""),"%","")),0)/IF(AND(IFERROR(VALUE(SUBSTITUTE(TRIM(Input!E1036&amp;""),"%","")),0)&gt;0,IFERROR(VALUE(SUBSTITUTE(TRIM(Input!E1036&amp;""),"%","")),0)&lt;1),1,100))</f>
        <v/>
      </c>
      <c r="E1036" t="str">
        <f>IF(A1036="","",IFERROR(VALUE(SUBSTITUTE(TRIM(Input!F1036&amp;""),"%","")),0)/IF(AND(IFERROR(VALUE(SUBSTITUTE(TRIM(Input!F1036&amp;""),"%","")),0)&gt;0,IFERROR(VALUE(SUBSTITUTE(TRIM(Input!F1036&amp;""),"%","")),0)&lt;1),1,100))</f>
        <v/>
      </c>
      <c r="F1036" t="str">
        <f>IF(A1036="","",IFERROR(VALUE(SUBSTITUTE(TRIM(Input!G1036&amp;""),"%","")),0)/IF(AND(IFERROR(VALUE(SUBSTITUTE(TRIM(Input!G1036&amp;""),"%","")),0)&gt;0,IFERROR(VALUE(SUBSTITUTE(TRIM(Input!G1036&amp;""),"%","")),0)&lt;1),1,100))</f>
        <v/>
      </c>
      <c r="G1036" t="str">
        <f>IF(A1036="","",IFERROR(VALUE(SUBSTITUTE(TRIM(Input!H1036&amp;""),"%","")),0)/IF(AND(IFERROR(VALUE(SUBSTITUTE(TRIM(Input!H1036&amp;""),"%","")),0)&gt;0,IFERROR(VALUE(SUBSTITUTE(TRIM(Input!H1036&amp;""),"%","")),0)&lt;1),1,100))</f>
        <v/>
      </c>
      <c r="H1036" t="str">
        <f>IF(A1036="","",IFERROR(VALUE(SUBSTITUTE(TRIM(Input!I1036&amp;""),"%","")),0)/IF(AND(IFERROR(VALUE(SUBSTITUTE(TRIM(Input!I1036&amp;""),"%","")),0)&gt;0,IFERROR(VALUE(SUBSTITUTE(TRIM(Input!I1036&amp;""),"%","")),0)&lt;1),1,100))</f>
        <v/>
      </c>
    </row>
    <row r="1037" spans="1:8">
      <c r="A1037" t="str">
        <f>IF(TRIM(Input!B1037&amp;"")="","",UPPER(TRIM(Input!B1037&amp;"")))</f>
        <v/>
      </c>
      <c r="B1037" t="str">
        <f>IF(A1037="","",IFERROR(VALUE(RIGHT(TRIM(Input!D1037&amp;""),1)),0))</f>
        <v/>
      </c>
      <c r="C1037" t="str">
        <f t="shared" si="16"/>
        <v/>
      </c>
      <c r="D1037" t="str">
        <f>IF(A1037="","",IFERROR(VALUE(SUBSTITUTE(TRIM(Input!E1037&amp;""),"%","")),0)/IF(AND(IFERROR(VALUE(SUBSTITUTE(TRIM(Input!E1037&amp;""),"%","")),0)&gt;0,IFERROR(VALUE(SUBSTITUTE(TRIM(Input!E1037&amp;""),"%","")),0)&lt;1),1,100))</f>
        <v/>
      </c>
      <c r="E1037" t="str">
        <f>IF(A1037="","",IFERROR(VALUE(SUBSTITUTE(TRIM(Input!F1037&amp;""),"%","")),0)/IF(AND(IFERROR(VALUE(SUBSTITUTE(TRIM(Input!F1037&amp;""),"%","")),0)&gt;0,IFERROR(VALUE(SUBSTITUTE(TRIM(Input!F1037&amp;""),"%","")),0)&lt;1),1,100))</f>
        <v/>
      </c>
      <c r="F1037" t="str">
        <f>IF(A1037="","",IFERROR(VALUE(SUBSTITUTE(TRIM(Input!G1037&amp;""),"%","")),0)/IF(AND(IFERROR(VALUE(SUBSTITUTE(TRIM(Input!G1037&amp;""),"%","")),0)&gt;0,IFERROR(VALUE(SUBSTITUTE(TRIM(Input!G1037&amp;""),"%","")),0)&lt;1),1,100))</f>
        <v/>
      </c>
      <c r="G1037" t="str">
        <f>IF(A1037="","",IFERROR(VALUE(SUBSTITUTE(TRIM(Input!H1037&amp;""),"%","")),0)/IF(AND(IFERROR(VALUE(SUBSTITUTE(TRIM(Input!H1037&amp;""),"%","")),0)&gt;0,IFERROR(VALUE(SUBSTITUTE(TRIM(Input!H1037&amp;""),"%","")),0)&lt;1),1,100))</f>
        <v/>
      </c>
      <c r="H1037" t="str">
        <f>IF(A1037="","",IFERROR(VALUE(SUBSTITUTE(TRIM(Input!I1037&amp;""),"%","")),0)/IF(AND(IFERROR(VALUE(SUBSTITUTE(TRIM(Input!I1037&amp;""),"%","")),0)&gt;0,IFERROR(VALUE(SUBSTITUTE(TRIM(Input!I1037&amp;""),"%","")),0)&lt;1),1,100))</f>
        <v/>
      </c>
    </row>
    <row r="1038" spans="1:8">
      <c r="A1038" t="str">
        <f>IF(TRIM(Input!B1038&amp;"")="","",UPPER(TRIM(Input!B1038&amp;"")))</f>
        <v/>
      </c>
      <c r="B1038" t="str">
        <f>IF(A1038="","",IFERROR(VALUE(RIGHT(TRIM(Input!D1038&amp;""),1)),0))</f>
        <v/>
      </c>
      <c r="C1038" t="str">
        <f t="shared" si="16"/>
        <v/>
      </c>
      <c r="D1038" t="str">
        <f>IF(A1038="","",IFERROR(VALUE(SUBSTITUTE(TRIM(Input!E1038&amp;""),"%","")),0)/IF(AND(IFERROR(VALUE(SUBSTITUTE(TRIM(Input!E1038&amp;""),"%","")),0)&gt;0,IFERROR(VALUE(SUBSTITUTE(TRIM(Input!E1038&amp;""),"%","")),0)&lt;1),1,100))</f>
        <v/>
      </c>
      <c r="E1038" t="str">
        <f>IF(A1038="","",IFERROR(VALUE(SUBSTITUTE(TRIM(Input!F1038&amp;""),"%","")),0)/IF(AND(IFERROR(VALUE(SUBSTITUTE(TRIM(Input!F1038&amp;""),"%","")),0)&gt;0,IFERROR(VALUE(SUBSTITUTE(TRIM(Input!F1038&amp;""),"%","")),0)&lt;1),1,100))</f>
        <v/>
      </c>
      <c r="F1038" t="str">
        <f>IF(A1038="","",IFERROR(VALUE(SUBSTITUTE(TRIM(Input!G1038&amp;""),"%","")),0)/IF(AND(IFERROR(VALUE(SUBSTITUTE(TRIM(Input!G1038&amp;""),"%","")),0)&gt;0,IFERROR(VALUE(SUBSTITUTE(TRIM(Input!G1038&amp;""),"%","")),0)&lt;1),1,100))</f>
        <v/>
      </c>
      <c r="G1038" t="str">
        <f>IF(A1038="","",IFERROR(VALUE(SUBSTITUTE(TRIM(Input!H1038&amp;""),"%","")),0)/IF(AND(IFERROR(VALUE(SUBSTITUTE(TRIM(Input!H1038&amp;""),"%","")),0)&gt;0,IFERROR(VALUE(SUBSTITUTE(TRIM(Input!H1038&amp;""),"%","")),0)&lt;1),1,100))</f>
        <v/>
      </c>
      <c r="H1038" t="str">
        <f>IF(A1038="","",IFERROR(VALUE(SUBSTITUTE(TRIM(Input!I1038&amp;""),"%","")),0)/IF(AND(IFERROR(VALUE(SUBSTITUTE(TRIM(Input!I1038&amp;""),"%","")),0)&gt;0,IFERROR(VALUE(SUBSTITUTE(TRIM(Input!I1038&amp;""),"%","")),0)&lt;1),1,100))</f>
        <v/>
      </c>
    </row>
    <row r="1039" spans="1:8">
      <c r="A1039" t="str">
        <f>IF(TRIM(Input!B1039&amp;"")="","",UPPER(TRIM(Input!B1039&amp;"")))</f>
        <v/>
      </c>
      <c r="B1039" t="str">
        <f>IF(A1039="","",IFERROR(VALUE(RIGHT(TRIM(Input!D1039&amp;""),1)),0))</f>
        <v/>
      </c>
      <c r="C1039" t="str">
        <f t="shared" si="16"/>
        <v/>
      </c>
      <c r="D1039" t="str">
        <f>IF(A1039="","",IFERROR(VALUE(SUBSTITUTE(TRIM(Input!E1039&amp;""),"%","")),0)/IF(AND(IFERROR(VALUE(SUBSTITUTE(TRIM(Input!E1039&amp;""),"%","")),0)&gt;0,IFERROR(VALUE(SUBSTITUTE(TRIM(Input!E1039&amp;""),"%","")),0)&lt;1),1,100))</f>
        <v/>
      </c>
      <c r="E1039" t="str">
        <f>IF(A1039="","",IFERROR(VALUE(SUBSTITUTE(TRIM(Input!F1039&amp;""),"%","")),0)/IF(AND(IFERROR(VALUE(SUBSTITUTE(TRIM(Input!F1039&amp;""),"%","")),0)&gt;0,IFERROR(VALUE(SUBSTITUTE(TRIM(Input!F1039&amp;""),"%","")),0)&lt;1),1,100))</f>
        <v/>
      </c>
      <c r="F1039" t="str">
        <f>IF(A1039="","",IFERROR(VALUE(SUBSTITUTE(TRIM(Input!G1039&amp;""),"%","")),0)/IF(AND(IFERROR(VALUE(SUBSTITUTE(TRIM(Input!G1039&amp;""),"%","")),0)&gt;0,IFERROR(VALUE(SUBSTITUTE(TRIM(Input!G1039&amp;""),"%","")),0)&lt;1),1,100))</f>
        <v/>
      </c>
      <c r="G1039" t="str">
        <f>IF(A1039="","",IFERROR(VALUE(SUBSTITUTE(TRIM(Input!H1039&amp;""),"%","")),0)/IF(AND(IFERROR(VALUE(SUBSTITUTE(TRIM(Input!H1039&amp;""),"%","")),0)&gt;0,IFERROR(VALUE(SUBSTITUTE(TRIM(Input!H1039&amp;""),"%","")),0)&lt;1),1,100))</f>
        <v/>
      </c>
      <c r="H1039" t="str">
        <f>IF(A1039="","",IFERROR(VALUE(SUBSTITUTE(TRIM(Input!I1039&amp;""),"%","")),0)/IF(AND(IFERROR(VALUE(SUBSTITUTE(TRIM(Input!I1039&amp;""),"%","")),0)&gt;0,IFERROR(VALUE(SUBSTITUTE(TRIM(Input!I1039&amp;""),"%","")),0)&lt;1),1,100))</f>
        <v/>
      </c>
    </row>
    <row r="1040" spans="1:8">
      <c r="A1040" t="str">
        <f>IF(TRIM(Input!B1040&amp;"")="","",UPPER(TRIM(Input!B1040&amp;"")))</f>
        <v/>
      </c>
      <c r="B1040" t="str">
        <f>IF(A1040="","",IFERROR(VALUE(RIGHT(TRIM(Input!D1040&amp;""),1)),0))</f>
        <v/>
      </c>
      <c r="C1040" t="str">
        <f t="shared" si="16"/>
        <v/>
      </c>
      <c r="D1040" t="str">
        <f>IF(A1040="","",IFERROR(VALUE(SUBSTITUTE(TRIM(Input!E1040&amp;""),"%","")),0)/IF(AND(IFERROR(VALUE(SUBSTITUTE(TRIM(Input!E1040&amp;""),"%","")),0)&gt;0,IFERROR(VALUE(SUBSTITUTE(TRIM(Input!E1040&amp;""),"%","")),0)&lt;1),1,100))</f>
        <v/>
      </c>
      <c r="E1040" t="str">
        <f>IF(A1040="","",IFERROR(VALUE(SUBSTITUTE(TRIM(Input!F1040&amp;""),"%","")),0)/IF(AND(IFERROR(VALUE(SUBSTITUTE(TRIM(Input!F1040&amp;""),"%","")),0)&gt;0,IFERROR(VALUE(SUBSTITUTE(TRIM(Input!F1040&amp;""),"%","")),0)&lt;1),1,100))</f>
        <v/>
      </c>
      <c r="F1040" t="str">
        <f>IF(A1040="","",IFERROR(VALUE(SUBSTITUTE(TRIM(Input!G1040&amp;""),"%","")),0)/IF(AND(IFERROR(VALUE(SUBSTITUTE(TRIM(Input!G1040&amp;""),"%","")),0)&gt;0,IFERROR(VALUE(SUBSTITUTE(TRIM(Input!G1040&amp;""),"%","")),0)&lt;1),1,100))</f>
        <v/>
      </c>
      <c r="G1040" t="str">
        <f>IF(A1040="","",IFERROR(VALUE(SUBSTITUTE(TRIM(Input!H1040&amp;""),"%","")),0)/IF(AND(IFERROR(VALUE(SUBSTITUTE(TRIM(Input!H1040&amp;""),"%","")),0)&gt;0,IFERROR(VALUE(SUBSTITUTE(TRIM(Input!H1040&amp;""),"%","")),0)&lt;1),1,100))</f>
        <v/>
      </c>
      <c r="H1040" t="str">
        <f>IF(A1040="","",IFERROR(VALUE(SUBSTITUTE(TRIM(Input!I1040&amp;""),"%","")),0)/IF(AND(IFERROR(VALUE(SUBSTITUTE(TRIM(Input!I1040&amp;""),"%","")),0)&gt;0,IFERROR(VALUE(SUBSTITUTE(TRIM(Input!I1040&amp;""),"%","")),0)&lt;1),1,100))</f>
        <v/>
      </c>
    </row>
    <row r="1041" spans="1:8">
      <c r="A1041" t="str">
        <f>IF(TRIM(Input!B1041&amp;"")="","",UPPER(TRIM(Input!B1041&amp;"")))</f>
        <v/>
      </c>
      <c r="B1041" t="str">
        <f>IF(A1041="","",IFERROR(VALUE(RIGHT(TRIM(Input!D1041&amp;""),1)),0))</f>
        <v/>
      </c>
      <c r="C1041" t="str">
        <f t="shared" si="16"/>
        <v/>
      </c>
      <c r="D1041" t="str">
        <f>IF(A1041="","",IFERROR(VALUE(SUBSTITUTE(TRIM(Input!E1041&amp;""),"%","")),0)/IF(AND(IFERROR(VALUE(SUBSTITUTE(TRIM(Input!E1041&amp;""),"%","")),0)&gt;0,IFERROR(VALUE(SUBSTITUTE(TRIM(Input!E1041&amp;""),"%","")),0)&lt;1),1,100))</f>
        <v/>
      </c>
      <c r="E1041" t="str">
        <f>IF(A1041="","",IFERROR(VALUE(SUBSTITUTE(TRIM(Input!F1041&amp;""),"%","")),0)/IF(AND(IFERROR(VALUE(SUBSTITUTE(TRIM(Input!F1041&amp;""),"%","")),0)&gt;0,IFERROR(VALUE(SUBSTITUTE(TRIM(Input!F1041&amp;""),"%","")),0)&lt;1),1,100))</f>
        <v/>
      </c>
      <c r="F1041" t="str">
        <f>IF(A1041="","",IFERROR(VALUE(SUBSTITUTE(TRIM(Input!G1041&amp;""),"%","")),0)/IF(AND(IFERROR(VALUE(SUBSTITUTE(TRIM(Input!G1041&amp;""),"%","")),0)&gt;0,IFERROR(VALUE(SUBSTITUTE(TRIM(Input!G1041&amp;""),"%","")),0)&lt;1),1,100))</f>
        <v/>
      </c>
      <c r="G1041" t="str">
        <f>IF(A1041="","",IFERROR(VALUE(SUBSTITUTE(TRIM(Input!H1041&amp;""),"%","")),0)/IF(AND(IFERROR(VALUE(SUBSTITUTE(TRIM(Input!H1041&amp;""),"%","")),0)&gt;0,IFERROR(VALUE(SUBSTITUTE(TRIM(Input!H1041&amp;""),"%","")),0)&lt;1),1,100))</f>
        <v/>
      </c>
      <c r="H1041" t="str">
        <f>IF(A1041="","",IFERROR(VALUE(SUBSTITUTE(TRIM(Input!I1041&amp;""),"%","")),0)/IF(AND(IFERROR(VALUE(SUBSTITUTE(TRIM(Input!I1041&amp;""),"%","")),0)&gt;0,IFERROR(VALUE(SUBSTITUTE(TRIM(Input!I1041&amp;""),"%","")),0)&lt;1),1,100))</f>
        <v/>
      </c>
    </row>
    <row r="1042" spans="1:8">
      <c r="A1042" t="str">
        <f>IF(TRIM(Input!B1042&amp;"")="","",UPPER(TRIM(Input!B1042&amp;"")))</f>
        <v/>
      </c>
      <c r="B1042" t="str">
        <f>IF(A1042="","",IFERROR(VALUE(RIGHT(TRIM(Input!D1042&amp;""),1)),0))</f>
        <v/>
      </c>
      <c r="C1042" t="str">
        <f t="shared" si="16"/>
        <v/>
      </c>
      <c r="D1042" t="str">
        <f>IF(A1042="","",IFERROR(VALUE(SUBSTITUTE(TRIM(Input!E1042&amp;""),"%","")),0)/IF(AND(IFERROR(VALUE(SUBSTITUTE(TRIM(Input!E1042&amp;""),"%","")),0)&gt;0,IFERROR(VALUE(SUBSTITUTE(TRIM(Input!E1042&amp;""),"%","")),0)&lt;1),1,100))</f>
        <v/>
      </c>
      <c r="E1042" t="str">
        <f>IF(A1042="","",IFERROR(VALUE(SUBSTITUTE(TRIM(Input!F1042&amp;""),"%","")),0)/IF(AND(IFERROR(VALUE(SUBSTITUTE(TRIM(Input!F1042&amp;""),"%","")),0)&gt;0,IFERROR(VALUE(SUBSTITUTE(TRIM(Input!F1042&amp;""),"%","")),0)&lt;1),1,100))</f>
        <v/>
      </c>
      <c r="F1042" t="str">
        <f>IF(A1042="","",IFERROR(VALUE(SUBSTITUTE(TRIM(Input!G1042&amp;""),"%","")),0)/IF(AND(IFERROR(VALUE(SUBSTITUTE(TRIM(Input!G1042&amp;""),"%","")),0)&gt;0,IFERROR(VALUE(SUBSTITUTE(TRIM(Input!G1042&amp;""),"%","")),0)&lt;1),1,100))</f>
        <v/>
      </c>
      <c r="G1042" t="str">
        <f>IF(A1042="","",IFERROR(VALUE(SUBSTITUTE(TRIM(Input!H1042&amp;""),"%","")),0)/IF(AND(IFERROR(VALUE(SUBSTITUTE(TRIM(Input!H1042&amp;""),"%","")),0)&gt;0,IFERROR(VALUE(SUBSTITUTE(TRIM(Input!H1042&amp;""),"%","")),0)&lt;1),1,100))</f>
        <v/>
      </c>
      <c r="H1042" t="str">
        <f>IF(A1042="","",IFERROR(VALUE(SUBSTITUTE(TRIM(Input!I1042&amp;""),"%","")),0)/IF(AND(IFERROR(VALUE(SUBSTITUTE(TRIM(Input!I1042&amp;""),"%","")),0)&gt;0,IFERROR(VALUE(SUBSTITUTE(TRIM(Input!I1042&amp;""),"%","")),0)&lt;1),1,100))</f>
        <v/>
      </c>
    </row>
    <row r="1043" spans="1:8">
      <c r="A1043" t="str">
        <f>IF(TRIM(Input!B1043&amp;"")="","",UPPER(TRIM(Input!B1043&amp;"")))</f>
        <v/>
      </c>
      <c r="B1043" t="str">
        <f>IF(A1043="","",IFERROR(VALUE(RIGHT(TRIM(Input!D1043&amp;""),1)),0))</f>
        <v/>
      </c>
      <c r="C1043" t="str">
        <f t="shared" si="16"/>
        <v/>
      </c>
      <c r="D1043" t="str">
        <f>IF(A1043="","",IFERROR(VALUE(SUBSTITUTE(TRIM(Input!E1043&amp;""),"%","")),0)/IF(AND(IFERROR(VALUE(SUBSTITUTE(TRIM(Input!E1043&amp;""),"%","")),0)&gt;0,IFERROR(VALUE(SUBSTITUTE(TRIM(Input!E1043&amp;""),"%","")),0)&lt;1),1,100))</f>
        <v/>
      </c>
      <c r="E1043" t="str">
        <f>IF(A1043="","",IFERROR(VALUE(SUBSTITUTE(TRIM(Input!F1043&amp;""),"%","")),0)/IF(AND(IFERROR(VALUE(SUBSTITUTE(TRIM(Input!F1043&amp;""),"%","")),0)&gt;0,IFERROR(VALUE(SUBSTITUTE(TRIM(Input!F1043&amp;""),"%","")),0)&lt;1),1,100))</f>
        <v/>
      </c>
      <c r="F1043" t="str">
        <f>IF(A1043="","",IFERROR(VALUE(SUBSTITUTE(TRIM(Input!G1043&amp;""),"%","")),0)/IF(AND(IFERROR(VALUE(SUBSTITUTE(TRIM(Input!G1043&amp;""),"%","")),0)&gt;0,IFERROR(VALUE(SUBSTITUTE(TRIM(Input!G1043&amp;""),"%","")),0)&lt;1),1,100))</f>
        <v/>
      </c>
      <c r="G1043" t="str">
        <f>IF(A1043="","",IFERROR(VALUE(SUBSTITUTE(TRIM(Input!H1043&amp;""),"%","")),0)/IF(AND(IFERROR(VALUE(SUBSTITUTE(TRIM(Input!H1043&amp;""),"%","")),0)&gt;0,IFERROR(VALUE(SUBSTITUTE(TRIM(Input!H1043&amp;""),"%","")),0)&lt;1),1,100))</f>
        <v/>
      </c>
      <c r="H1043" t="str">
        <f>IF(A1043="","",IFERROR(VALUE(SUBSTITUTE(TRIM(Input!I1043&amp;""),"%","")),0)/IF(AND(IFERROR(VALUE(SUBSTITUTE(TRIM(Input!I1043&amp;""),"%","")),0)&gt;0,IFERROR(VALUE(SUBSTITUTE(TRIM(Input!I1043&amp;""),"%","")),0)&lt;1),1,100))</f>
        <v/>
      </c>
    </row>
    <row r="1044" spans="1:8">
      <c r="A1044" t="str">
        <f>IF(TRIM(Input!B1044&amp;"")="","",UPPER(TRIM(Input!B1044&amp;"")))</f>
        <v/>
      </c>
      <c r="B1044" t="str">
        <f>IF(A1044="","",IFERROR(VALUE(RIGHT(TRIM(Input!D1044&amp;""),1)),0))</f>
        <v/>
      </c>
      <c r="C1044" t="str">
        <f t="shared" si="16"/>
        <v/>
      </c>
      <c r="D1044" t="str">
        <f>IF(A1044="","",IFERROR(VALUE(SUBSTITUTE(TRIM(Input!E1044&amp;""),"%","")),0)/IF(AND(IFERROR(VALUE(SUBSTITUTE(TRIM(Input!E1044&amp;""),"%","")),0)&gt;0,IFERROR(VALUE(SUBSTITUTE(TRIM(Input!E1044&amp;""),"%","")),0)&lt;1),1,100))</f>
        <v/>
      </c>
      <c r="E1044" t="str">
        <f>IF(A1044="","",IFERROR(VALUE(SUBSTITUTE(TRIM(Input!F1044&amp;""),"%","")),0)/IF(AND(IFERROR(VALUE(SUBSTITUTE(TRIM(Input!F1044&amp;""),"%","")),0)&gt;0,IFERROR(VALUE(SUBSTITUTE(TRIM(Input!F1044&amp;""),"%","")),0)&lt;1),1,100))</f>
        <v/>
      </c>
      <c r="F1044" t="str">
        <f>IF(A1044="","",IFERROR(VALUE(SUBSTITUTE(TRIM(Input!G1044&amp;""),"%","")),0)/IF(AND(IFERROR(VALUE(SUBSTITUTE(TRIM(Input!G1044&amp;""),"%","")),0)&gt;0,IFERROR(VALUE(SUBSTITUTE(TRIM(Input!G1044&amp;""),"%","")),0)&lt;1),1,100))</f>
        <v/>
      </c>
      <c r="G1044" t="str">
        <f>IF(A1044="","",IFERROR(VALUE(SUBSTITUTE(TRIM(Input!H1044&amp;""),"%","")),0)/IF(AND(IFERROR(VALUE(SUBSTITUTE(TRIM(Input!H1044&amp;""),"%","")),0)&gt;0,IFERROR(VALUE(SUBSTITUTE(TRIM(Input!H1044&amp;""),"%","")),0)&lt;1),1,100))</f>
        <v/>
      </c>
      <c r="H1044" t="str">
        <f>IF(A1044="","",IFERROR(VALUE(SUBSTITUTE(TRIM(Input!I1044&amp;""),"%","")),0)/IF(AND(IFERROR(VALUE(SUBSTITUTE(TRIM(Input!I1044&amp;""),"%","")),0)&gt;0,IFERROR(VALUE(SUBSTITUTE(TRIM(Input!I1044&amp;""),"%","")),0)&lt;1),1,100))</f>
        <v/>
      </c>
    </row>
    <row r="1045" spans="1:8">
      <c r="A1045" t="str">
        <f>IF(TRIM(Input!B1045&amp;"")="","",UPPER(TRIM(Input!B1045&amp;"")))</f>
        <v/>
      </c>
      <c r="B1045" t="str">
        <f>IF(A1045="","",IFERROR(VALUE(RIGHT(TRIM(Input!D1045&amp;""),1)),0))</f>
        <v/>
      </c>
      <c r="C1045" t="str">
        <f t="shared" si="16"/>
        <v/>
      </c>
      <c r="D1045" t="str">
        <f>IF(A1045="","",IFERROR(VALUE(SUBSTITUTE(TRIM(Input!E1045&amp;""),"%","")),0)/IF(AND(IFERROR(VALUE(SUBSTITUTE(TRIM(Input!E1045&amp;""),"%","")),0)&gt;0,IFERROR(VALUE(SUBSTITUTE(TRIM(Input!E1045&amp;""),"%","")),0)&lt;1),1,100))</f>
        <v/>
      </c>
      <c r="E1045" t="str">
        <f>IF(A1045="","",IFERROR(VALUE(SUBSTITUTE(TRIM(Input!F1045&amp;""),"%","")),0)/IF(AND(IFERROR(VALUE(SUBSTITUTE(TRIM(Input!F1045&amp;""),"%","")),0)&gt;0,IFERROR(VALUE(SUBSTITUTE(TRIM(Input!F1045&amp;""),"%","")),0)&lt;1),1,100))</f>
        <v/>
      </c>
      <c r="F1045" t="str">
        <f>IF(A1045="","",IFERROR(VALUE(SUBSTITUTE(TRIM(Input!G1045&amp;""),"%","")),0)/IF(AND(IFERROR(VALUE(SUBSTITUTE(TRIM(Input!G1045&amp;""),"%","")),0)&gt;0,IFERROR(VALUE(SUBSTITUTE(TRIM(Input!G1045&amp;""),"%","")),0)&lt;1),1,100))</f>
        <v/>
      </c>
      <c r="G1045" t="str">
        <f>IF(A1045="","",IFERROR(VALUE(SUBSTITUTE(TRIM(Input!H1045&amp;""),"%","")),0)/IF(AND(IFERROR(VALUE(SUBSTITUTE(TRIM(Input!H1045&amp;""),"%","")),0)&gt;0,IFERROR(VALUE(SUBSTITUTE(TRIM(Input!H1045&amp;""),"%","")),0)&lt;1),1,100))</f>
        <v/>
      </c>
      <c r="H1045" t="str">
        <f>IF(A1045="","",IFERROR(VALUE(SUBSTITUTE(TRIM(Input!I1045&amp;""),"%","")),0)/IF(AND(IFERROR(VALUE(SUBSTITUTE(TRIM(Input!I1045&amp;""),"%","")),0)&gt;0,IFERROR(VALUE(SUBSTITUTE(TRIM(Input!I1045&amp;""),"%","")),0)&lt;1),1,100))</f>
        <v/>
      </c>
    </row>
    <row r="1046" spans="1:8">
      <c r="A1046" t="str">
        <f>IF(TRIM(Input!B1046&amp;"")="","",UPPER(TRIM(Input!B1046&amp;"")))</f>
        <v/>
      </c>
      <c r="B1046" t="str">
        <f>IF(A1046="","",IFERROR(VALUE(RIGHT(TRIM(Input!D1046&amp;""),1)),0))</f>
        <v/>
      </c>
      <c r="C1046" t="str">
        <f t="shared" si="16"/>
        <v/>
      </c>
      <c r="D1046" t="str">
        <f>IF(A1046="","",IFERROR(VALUE(SUBSTITUTE(TRIM(Input!E1046&amp;""),"%","")),0)/IF(AND(IFERROR(VALUE(SUBSTITUTE(TRIM(Input!E1046&amp;""),"%","")),0)&gt;0,IFERROR(VALUE(SUBSTITUTE(TRIM(Input!E1046&amp;""),"%","")),0)&lt;1),1,100))</f>
        <v/>
      </c>
      <c r="E1046" t="str">
        <f>IF(A1046="","",IFERROR(VALUE(SUBSTITUTE(TRIM(Input!F1046&amp;""),"%","")),0)/IF(AND(IFERROR(VALUE(SUBSTITUTE(TRIM(Input!F1046&amp;""),"%","")),0)&gt;0,IFERROR(VALUE(SUBSTITUTE(TRIM(Input!F1046&amp;""),"%","")),0)&lt;1),1,100))</f>
        <v/>
      </c>
      <c r="F1046" t="str">
        <f>IF(A1046="","",IFERROR(VALUE(SUBSTITUTE(TRIM(Input!G1046&amp;""),"%","")),0)/IF(AND(IFERROR(VALUE(SUBSTITUTE(TRIM(Input!G1046&amp;""),"%","")),0)&gt;0,IFERROR(VALUE(SUBSTITUTE(TRIM(Input!G1046&amp;""),"%","")),0)&lt;1),1,100))</f>
        <v/>
      </c>
      <c r="G1046" t="str">
        <f>IF(A1046="","",IFERROR(VALUE(SUBSTITUTE(TRIM(Input!H1046&amp;""),"%","")),0)/IF(AND(IFERROR(VALUE(SUBSTITUTE(TRIM(Input!H1046&amp;""),"%","")),0)&gt;0,IFERROR(VALUE(SUBSTITUTE(TRIM(Input!H1046&amp;""),"%","")),0)&lt;1),1,100))</f>
        <v/>
      </c>
      <c r="H1046" t="str">
        <f>IF(A1046="","",IFERROR(VALUE(SUBSTITUTE(TRIM(Input!I1046&amp;""),"%","")),0)/IF(AND(IFERROR(VALUE(SUBSTITUTE(TRIM(Input!I1046&amp;""),"%","")),0)&gt;0,IFERROR(VALUE(SUBSTITUTE(TRIM(Input!I1046&amp;""),"%","")),0)&lt;1),1,100))</f>
        <v/>
      </c>
    </row>
    <row r="1047" spans="1:8">
      <c r="A1047" t="str">
        <f>IF(TRIM(Input!B1047&amp;"")="","",UPPER(TRIM(Input!B1047&amp;"")))</f>
        <v/>
      </c>
      <c r="B1047" t="str">
        <f>IF(A1047="","",IFERROR(VALUE(RIGHT(TRIM(Input!D1047&amp;""),1)),0))</f>
        <v/>
      </c>
      <c r="C1047" t="str">
        <f t="shared" si="16"/>
        <v/>
      </c>
      <c r="D1047" t="str">
        <f>IF(A1047="","",IFERROR(VALUE(SUBSTITUTE(TRIM(Input!E1047&amp;""),"%","")),0)/IF(AND(IFERROR(VALUE(SUBSTITUTE(TRIM(Input!E1047&amp;""),"%","")),0)&gt;0,IFERROR(VALUE(SUBSTITUTE(TRIM(Input!E1047&amp;""),"%","")),0)&lt;1),1,100))</f>
        <v/>
      </c>
      <c r="E1047" t="str">
        <f>IF(A1047="","",IFERROR(VALUE(SUBSTITUTE(TRIM(Input!F1047&amp;""),"%","")),0)/IF(AND(IFERROR(VALUE(SUBSTITUTE(TRIM(Input!F1047&amp;""),"%","")),0)&gt;0,IFERROR(VALUE(SUBSTITUTE(TRIM(Input!F1047&amp;""),"%","")),0)&lt;1),1,100))</f>
        <v/>
      </c>
      <c r="F1047" t="str">
        <f>IF(A1047="","",IFERROR(VALUE(SUBSTITUTE(TRIM(Input!G1047&amp;""),"%","")),0)/IF(AND(IFERROR(VALUE(SUBSTITUTE(TRIM(Input!G1047&amp;""),"%","")),0)&gt;0,IFERROR(VALUE(SUBSTITUTE(TRIM(Input!G1047&amp;""),"%","")),0)&lt;1),1,100))</f>
        <v/>
      </c>
      <c r="G1047" t="str">
        <f>IF(A1047="","",IFERROR(VALUE(SUBSTITUTE(TRIM(Input!H1047&amp;""),"%","")),0)/IF(AND(IFERROR(VALUE(SUBSTITUTE(TRIM(Input!H1047&amp;""),"%","")),0)&gt;0,IFERROR(VALUE(SUBSTITUTE(TRIM(Input!H1047&amp;""),"%","")),0)&lt;1),1,100))</f>
        <v/>
      </c>
      <c r="H1047" t="str">
        <f>IF(A1047="","",IFERROR(VALUE(SUBSTITUTE(TRIM(Input!I1047&amp;""),"%","")),0)/IF(AND(IFERROR(VALUE(SUBSTITUTE(TRIM(Input!I1047&amp;""),"%","")),0)&gt;0,IFERROR(VALUE(SUBSTITUTE(TRIM(Input!I1047&amp;""),"%","")),0)&lt;1),1,100))</f>
        <v/>
      </c>
    </row>
    <row r="1048" spans="1:8">
      <c r="A1048" t="str">
        <f>IF(TRIM(Input!B1048&amp;"")="","",UPPER(TRIM(Input!B1048&amp;"")))</f>
        <v/>
      </c>
      <c r="B1048" t="str">
        <f>IF(A1048="","",IFERROR(VALUE(RIGHT(TRIM(Input!D1048&amp;""),1)),0))</f>
        <v/>
      </c>
      <c r="C1048" t="str">
        <f t="shared" si="16"/>
        <v/>
      </c>
      <c r="D1048" t="str">
        <f>IF(A1048="","",IFERROR(VALUE(SUBSTITUTE(TRIM(Input!E1048&amp;""),"%","")),0)/IF(AND(IFERROR(VALUE(SUBSTITUTE(TRIM(Input!E1048&amp;""),"%","")),0)&gt;0,IFERROR(VALUE(SUBSTITUTE(TRIM(Input!E1048&amp;""),"%","")),0)&lt;1),1,100))</f>
        <v/>
      </c>
      <c r="E1048" t="str">
        <f>IF(A1048="","",IFERROR(VALUE(SUBSTITUTE(TRIM(Input!F1048&amp;""),"%","")),0)/IF(AND(IFERROR(VALUE(SUBSTITUTE(TRIM(Input!F1048&amp;""),"%","")),0)&gt;0,IFERROR(VALUE(SUBSTITUTE(TRIM(Input!F1048&amp;""),"%","")),0)&lt;1),1,100))</f>
        <v/>
      </c>
      <c r="F1048" t="str">
        <f>IF(A1048="","",IFERROR(VALUE(SUBSTITUTE(TRIM(Input!G1048&amp;""),"%","")),0)/IF(AND(IFERROR(VALUE(SUBSTITUTE(TRIM(Input!G1048&amp;""),"%","")),0)&gt;0,IFERROR(VALUE(SUBSTITUTE(TRIM(Input!G1048&amp;""),"%","")),0)&lt;1),1,100))</f>
        <v/>
      </c>
      <c r="G1048" t="str">
        <f>IF(A1048="","",IFERROR(VALUE(SUBSTITUTE(TRIM(Input!H1048&amp;""),"%","")),0)/IF(AND(IFERROR(VALUE(SUBSTITUTE(TRIM(Input!H1048&amp;""),"%","")),0)&gt;0,IFERROR(VALUE(SUBSTITUTE(TRIM(Input!H1048&amp;""),"%","")),0)&lt;1),1,100))</f>
        <v/>
      </c>
      <c r="H1048" t="str">
        <f>IF(A1048="","",IFERROR(VALUE(SUBSTITUTE(TRIM(Input!I1048&amp;""),"%","")),0)/IF(AND(IFERROR(VALUE(SUBSTITUTE(TRIM(Input!I1048&amp;""),"%","")),0)&gt;0,IFERROR(VALUE(SUBSTITUTE(TRIM(Input!I1048&amp;""),"%","")),0)&lt;1),1,100))</f>
        <v/>
      </c>
    </row>
    <row r="1049" spans="1:8">
      <c r="A1049" t="str">
        <f>IF(TRIM(Input!B1049&amp;"")="","",UPPER(TRIM(Input!B1049&amp;"")))</f>
        <v/>
      </c>
      <c r="B1049" t="str">
        <f>IF(A1049="","",IFERROR(VALUE(RIGHT(TRIM(Input!D1049&amp;""),1)),0))</f>
        <v/>
      </c>
      <c r="C1049" t="str">
        <f t="shared" si="16"/>
        <v/>
      </c>
      <c r="D1049" t="str">
        <f>IF(A1049="","",IFERROR(VALUE(SUBSTITUTE(TRIM(Input!E1049&amp;""),"%","")),0)/IF(AND(IFERROR(VALUE(SUBSTITUTE(TRIM(Input!E1049&amp;""),"%","")),0)&gt;0,IFERROR(VALUE(SUBSTITUTE(TRIM(Input!E1049&amp;""),"%","")),0)&lt;1),1,100))</f>
        <v/>
      </c>
      <c r="E1049" t="str">
        <f>IF(A1049="","",IFERROR(VALUE(SUBSTITUTE(TRIM(Input!F1049&amp;""),"%","")),0)/IF(AND(IFERROR(VALUE(SUBSTITUTE(TRIM(Input!F1049&amp;""),"%","")),0)&gt;0,IFERROR(VALUE(SUBSTITUTE(TRIM(Input!F1049&amp;""),"%","")),0)&lt;1),1,100))</f>
        <v/>
      </c>
      <c r="F1049" t="str">
        <f>IF(A1049="","",IFERROR(VALUE(SUBSTITUTE(TRIM(Input!G1049&amp;""),"%","")),0)/IF(AND(IFERROR(VALUE(SUBSTITUTE(TRIM(Input!G1049&amp;""),"%","")),0)&gt;0,IFERROR(VALUE(SUBSTITUTE(TRIM(Input!G1049&amp;""),"%","")),0)&lt;1),1,100))</f>
        <v/>
      </c>
      <c r="G1049" t="str">
        <f>IF(A1049="","",IFERROR(VALUE(SUBSTITUTE(TRIM(Input!H1049&amp;""),"%","")),0)/IF(AND(IFERROR(VALUE(SUBSTITUTE(TRIM(Input!H1049&amp;""),"%","")),0)&gt;0,IFERROR(VALUE(SUBSTITUTE(TRIM(Input!H1049&amp;""),"%","")),0)&lt;1),1,100))</f>
        <v/>
      </c>
      <c r="H1049" t="str">
        <f>IF(A1049="","",IFERROR(VALUE(SUBSTITUTE(TRIM(Input!I1049&amp;""),"%","")),0)/IF(AND(IFERROR(VALUE(SUBSTITUTE(TRIM(Input!I1049&amp;""),"%","")),0)&gt;0,IFERROR(VALUE(SUBSTITUTE(TRIM(Input!I1049&amp;""),"%","")),0)&lt;1),1,100))</f>
        <v/>
      </c>
    </row>
    <row r="1050" spans="1:8">
      <c r="A1050" t="str">
        <f>IF(TRIM(Input!B1050&amp;"")="","",UPPER(TRIM(Input!B1050&amp;"")))</f>
        <v/>
      </c>
      <c r="B1050" t="str">
        <f>IF(A1050="","",IFERROR(VALUE(RIGHT(TRIM(Input!D1050&amp;""),1)),0))</f>
        <v/>
      </c>
      <c r="C1050" t="str">
        <f t="shared" si="16"/>
        <v/>
      </c>
      <c r="D1050" t="str">
        <f>IF(A1050="","",IFERROR(VALUE(SUBSTITUTE(TRIM(Input!E1050&amp;""),"%","")),0)/IF(AND(IFERROR(VALUE(SUBSTITUTE(TRIM(Input!E1050&amp;""),"%","")),0)&gt;0,IFERROR(VALUE(SUBSTITUTE(TRIM(Input!E1050&amp;""),"%","")),0)&lt;1),1,100))</f>
        <v/>
      </c>
      <c r="E1050" t="str">
        <f>IF(A1050="","",IFERROR(VALUE(SUBSTITUTE(TRIM(Input!F1050&amp;""),"%","")),0)/IF(AND(IFERROR(VALUE(SUBSTITUTE(TRIM(Input!F1050&amp;""),"%","")),0)&gt;0,IFERROR(VALUE(SUBSTITUTE(TRIM(Input!F1050&amp;""),"%","")),0)&lt;1),1,100))</f>
        <v/>
      </c>
      <c r="F1050" t="str">
        <f>IF(A1050="","",IFERROR(VALUE(SUBSTITUTE(TRIM(Input!G1050&amp;""),"%","")),0)/IF(AND(IFERROR(VALUE(SUBSTITUTE(TRIM(Input!G1050&amp;""),"%","")),0)&gt;0,IFERROR(VALUE(SUBSTITUTE(TRIM(Input!G1050&amp;""),"%","")),0)&lt;1),1,100))</f>
        <v/>
      </c>
      <c r="G1050" t="str">
        <f>IF(A1050="","",IFERROR(VALUE(SUBSTITUTE(TRIM(Input!H1050&amp;""),"%","")),0)/IF(AND(IFERROR(VALUE(SUBSTITUTE(TRIM(Input!H1050&amp;""),"%","")),0)&gt;0,IFERROR(VALUE(SUBSTITUTE(TRIM(Input!H1050&amp;""),"%","")),0)&lt;1),1,100))</f>
        <v/>
      </c>
      <c r="H1050" t="str">
        <f>IF(A1050="","",IFERROR(VALUE(SUBSTITUTE(TRIM(Input!I1050&amp;""),"%","")),0)/IF(AND(IFERROR(VALUE(SUBSTITUTE(TRIM(Input!I1050&amp;""),"%","")),0)&gt;0,IFERROR(VALUE(SUBSTITUTE(TRIM(Input!I1050&amp;""),"%","")),0)&lt;1),1,100))</f>
        <v/>
      </c>
    </row>
    <row r="1051" spans="1:8">
      <c r="A1051" t="str">
        <f>IF(TRIM(Input!B1051&amp;"")="","",UPPER(TRIM(Input!B1051&amp;"")))</f>
        <v/>
      </c>
      <c r="B1051" t="str">
        <f>IF(A1051="","",IFERROR(VALUE(RIGHT(TRIM(Input!D1051&amp;""),1)),0))</f>
        <v/>
      </c>
      <c r="C1051" t="str">
        <f t="shared" si="16"/>
        <v/>
      </c>
      <c r="D1051" t="str">
        <f>IF(A1051="","",IFERROR(VALUE(SUBSTITUTE(TRIM(Input!E1051&amp;""),"%","")),0)/IF(AND(IFERROR(VALUE(SUBSTITUTE(TRIM(Input!E1051&amp;""),"%","")),0)&gt;0,IFERROR(VALUE(SUBSTITUTE(TRIM(Input!E1051&amp;""),"%","")),0)&lt;1),1,100))</f>
        <v/>
      </c>
      <c r="E1051" t="str">
        <f>IF(A1051="","",IFERROR(VALUE(SUBSTITUTE(TRIM(Input!F1051&amp;""),"%","")),0)/IF(AND(IFERROR(VALUE(SUBSTITUTE(TRIM(Input!F1051&amp;""),"%","")),0)&gt;0,IFERROR(VALUE(SUBSTITUTE(TRIM(Input!F1051&amp;""),"%","")),0)&lt;1),1,100))</f>
        <v/>
      </c>
      <c r="F1051" t="str">
        <f>IF(A1051="","",IFERROR(VALUE(SUBSTITUTE(TRIM(Input!G1051&amp;""),"%","")),0)/IF(AND(IFERROR(VALUE(SUBSTITUTE(TRIM(Input!G1051&amp;""),"%","")),0)&gt;0,IFERROR(VALUE(SUBSTITUTE(TRIM(Input!G1051&amp;""),"%","")),0)&lt;1),1,100))</f>
        <v/>
      </c>
      <c r="G1051" t="str">
        <f>IF(A1051="","",IFERROR(VALUE(SUBSTITUTE(TRIM(Input!H1051&amp;""),"%","")),0)/IF(AND(IFERROR(VALUE(SUBSTITUTE(TRIM(Input!H1051&amp;""),"%","")),0)&gt;0,IFERROR(VALUE(SUBSTITUTE(TRIM(Input!H1051&amp;""),"%","")),0)&lt;1),1,100))</f>
        <v/>
      </c>
      <c r="H1051" t="str">
        <f>IF(A1051="","",IFERROR(VALUE(SUBSTITUTE(TRIM(Input!I1051&amp;""),"%","")),0)/IF(AND(IFERROR(VALUE(SUBSTITUTE(TRIM(Input!I1051&amp;""),"%","")),0)&gt;0,IFERROR(VALUE(SUBSTITUTE(TRIM(Input!I1051&amp;""),"%","")),0)&lt;1),1,100))</f>
        <v/>
      </c>
    </row>
    <row r="1052" spans="1:8">
      <c r="A1052" t="str">
        <f>IF(TRIM(Input!B1052&amp;"")="","",UPPER(TRIM(Input!B1052&amp;"")))</f>
        <v/>
      </c>
      <c r="B1052" t="str">
        <f>IF(A1052="","",IFERROR(VALUE(RIGHT(TRIM(Input!D1052&amp;""),1)),0))</f>
        <v/>
      </c>
      <c r="C1052" t="str">
        <f t="shared" si="16"/>
        <v/>
      </c>
      <c r="D1052" t="str">
        <f>IF(A1052="","",IFERROR(VALUE(SUBSTITUTE(TRIM(Input!E1052&amp;""),"%","")),0)/IF(AND(IFERROR(VALUE(SUBSTITUTE(TRIM(Input!E1052&amp;""),"%","")),0)&gt;0,IFERROR(VALUE(SUBSTITUTE(TRIM(Input!E1052&amp;""),"%","")),0)&lt;1),1,100))</f>
        <v/>
      </c>
      <c r="E1052" t="str">
        <f>IF(A1052="","",IFERROR(VALUE(SUBSTITUTE(TRIM(Input!F1052&amp;""),"%","")),0)/IF(AND(IFERROR(VALUE(SUBSTITUTE(TRIM(Input!F1052&amp;""),"%","")),0)&gt;0,IFERROR(VALUE(SUBSTITUTE(TRIM(Input!F1052&amp;""),"%","")),0)&lt;1),1,100))</f>
        <v/>
      </c>
      <c r="F1052" t="str">
        <f>IF(A1052="","",IFERROR(VALUE(SUBSTITUTE(TRIM(Input!G1052&amp;""),"%","")),0)/IF(AND(IFERROR(VALUE(SUBSTITUTE(TRIM(Input!G1052&amp;""),"%","")),0)&gt;0,IFERROR(VALUE(SUBSTITUTE(TRIM(Input!G1052&amp;""),"%","")),0)&lt;1),1,100))</f>
        <v/>
      </c>
      <c r="G1052" t="str">
        <f>IF(A1052="","",IFERROR(VALUE(SUBSTITUTE(TRIM(Input!H1052&amp;""),"%","")),0)/IF(AND(IFERROR(VALUE(SUBSTITUTE(TRIM(Input!H1052&amp;""),"%","")),0)&gt;0,IFERROR(VALUE(SUBSTITUTE(TRIM(Input!H1052&amp;""),"%","")),0)&lt;1),1,100))</f>
        <v/>
      </c>
      <c r="H1052" t="str">
        <f>IF(A1052="","",IFERROR(VALUE(SUBSTITUTE(TRIM(Input!I1052&amp;""),"%","")),0)/IF(AND(IFERROR(VALUE(SUBSTITUTE(TRIM(Input!I1052&amp;""),"%","")),0)&gt;0,IFERROR(VALUE(SUBSTITUTE(TRIM(Input!I1052&amp;""),"%","")),0)&lt;1),1,100))</f>
        <v/>
      </c>
    </row>
    <row r="1053" spans="1:8">
      <c r="A1053" t="str">
        <f>IF(TRIM(Input!B1053&amp;"")="","",UPPER(TRIM(Input!B1053&amp;"")))</f>
        <v/>
      </c>
      <c r="B1053" t="str">
        <f>IF(A1053="","",IFERROR(VALUE(RIGHT(TRIM(Input!D1053&amp;""),1)),0))</f>
        <v/>
      </c>
      <c r="C1053" t="str">
        <f t="shared" si="16"/>
        <v/>
      </c>
      <c r="D1053" t="str">
        <f>IF(A1053="","",IFERROR(VALUE(SUBSTITUTE(TRIM(Input!E1053&amp;""),"%","")),0)/IF(AND(IFERROR(VALUE(SUBSTITUTE(TRIM(Input!E1053&amp;""),"%","")),0)&gt;0,IFERROR(VALUE(SUBSTITUTE(TRIM(Input!E1053&amp;""),"%","")),0)&lt;1),1,100))</f>
        <v/>
      </c>
      <c r="E1053" t="str">
        <f>IF(A1053="","",IFERROR(VALUE(SUBSTITUTE(TRIM(Input!F1053&amp;""),"%","")),0)/IF(AND(IFERROR(VALUE(SUBSTITUTE(TRIM(Input!F1053&amp;""),"%","")),0)&gt;0,IFERROR(VALUE(SUBSTITUTE(TRIM(Input!F1053&amp;""),"%","")),0)&lt;1),1,100))</f>
        <v/>
      </c>
      <c r="F1053" t="str">
        <f>IF(A1053="","",IFERROR(VALUE(SUBSTITUTE(TRIM(Input!G1053&amp;""),"%","")),0)/IF(AND(IFERROR(VALUE(SUBSTITUTE(TRIM(Input!G1053&amp;""),"%","")),0)&gt;0,IFERROR(VALUE(SUBSTITUTE(TRIM(Input!G1053&amp;""),"%","")),0)&lt;1),1,100))</f>
        <v/>
      </c>
      <c r="G1053" t="str">
        <f>IF(A1053="","",IFERROR(VALUE(SUBSTITUTE(TRIM(Input!H1053&amp;""),"%","")),0)/IF(AND(IFERROR(VALUE(SUBSTITUTE(TRIM(Input!H1053&amp;""),"%","")),0)&gt;0,IFERROR(VALUE(SUBSTITUTE(TRIM(Input!H1053&amp;""),"%","")),0)&lt;1),1,100))</f>
        <v/>
      </c>
      <c r="H1053" t="str">
        <f>IF(A1053="","",IFERROR(VALUE(SUBSTITUTE(TRIM(Input!I1053&amp;""),"%","")),0)/IF(AND(IFERROR(VALUE(SUBSTITUTE(TRIM(Input!I1053&amp;""),"%","")),0)&gt;0,IFERROR(VALUE(SUBSTITUTE(TRIM(Input!I1053&amp;""),"%","")),0)&lt;1),1,100))</f>
        <v/>
      </c>
    </row>
    <row r="1054" spans="1:8">
      <c r="A1054" t="str">
        <f>IF(TRIM(Input!B1054&amp;"")="","",UPPER(TRIM(Input!B1054&amp;"")))</f>
        <v/>
      </c>
      <c r="B1054" t="str">
        <f>IF(A1054="","",IFERROR(VALUE(RIGHT(TRIM(Input!D1054&amp;""),1)),0))</f>
        <v/>
      </c>
      <c r="C1054" t="str">
        <f t="shared" si="16"/>
        <v/>
      </c>
      <c r="D1054" t="str">
        <f>IF(A1054="","",IFERROR(VALUE(SUBSTITUTE(TRIM(Input!E1054&amp;""),"%","")),0)/IF(AND(IFERROR(VALUE(SUBSTITUTE(TRIM(Input!E1054&amp;""),"%","")),0)&gt;0,IFERROR(VALUE(SUBSTITUTE(TRIM(Input!E1054&amp;""),"%","")),0)&lt;1),1,100))</f>
        <v/>
      </c>
      <c r="E1054" t="str">
        <f>IF(A1054="","",IFERROR(VALUE(SUBSTITUTE(TRIM(Input!F1054&amp;""),"%","")),0)/IF(AND(IFERROR(VALUE(SUBSTITUTE(TRIM(Input!F1054&amp;""),"%","")),0)&gt;0,IFERROR(VALUE(SUBSTITUTE(TRIM(Input!F1054&amp;""),"%","")),0)&lt;1),1,100))</f>
        <v/>
      </c>
      <c r="F1054" t="str">
        <f>IF(A1054="","",IFERROR(VALUE(SUBSTITUTE(TRIM(Input!G1054&amp;""),"%","")),0)/IF(AND(IFERROR(VALUE(SUBSTITUTE(TRIM(Input!G1054&amp;""),"%","")),0)&gt;0,IFERROR(VALUE(SUBSTITUTE(TRIM(Input!G1054&amp;""),"%","")),0)&lt;1),1,100))</f>
        <v/>
      </c>
      <c r="G1054" t="str">
        <f>IF(A1054="","",IFERROR(VALUE(SUBSTITUTE(TRIM(Input!H1054&amp;""),"%","")),0)/IF(AND(IFERROR(VALUE(SUBSTITUTE(TRIM(Input!H1054&amp;""),"%","")),0)&gt;0,IFERROR(VALUE(SUBSTITUTE(TRIM(Input!H1054&amp;""),"%","")),0)&lt;1),1,100))</f>
        <v/>
      </c>
      <c r="H1054" t="str">
        <f>IF(A1054="","",IFERROR(VALUE(SUBSTITUTE(TRIM(Input!I1054&amp;""),"%","")),0)/IF(AND(IFERROR(VALUE(SUBSTITUTE(TRIM(Input!I1054&amp;""),"%","")),0)&gt;0,IFERROR(VALUE(SUBSTITUTE(TRIM(Input!I1054&amp;""),"%","")),0)&lt;1),1,100))</f>
        <v/>
      </c>
    </row>
    <row r="1055" spans="1:8">
      <c r="A1055" t="str">
        <f>IF(TRIM(Input!B1055&amp;"")="","",UPPER(TRIM(Input!B1055&amp;"")))</f>
        <v/>
      </c>
      <c r="B1055" t="str">
        <f>IF(A1055="","",IFERROR(VALUE(RIGHT(TRIM(Input!D1055&amp;""),1)),0))</f>
        <v/>
      </c>
      <c r="C1055" t="str">
        <f t="shared" si="16"/>
        <v/>
      </c>
      <c r="D1055" t="str">
        <f>IF(A1055="","",IFERROR(VALUE(SUBSTITUTE(TRIM(Input!E1055&amp;""),"%","")),0)/IF(AND(IFERROR(VALUE(SUBSTITUTE(TRIM(Input!E1055&amp;""),"%","")),0)&gt;0,IFERROR(VALUE(SUBSTITUTE(TRIM(Input!E1055&amp;""),"%","")),0)&lt;1),1,100))</f>
        <v/>
      </c>
      <c r="E1055" t="str">
        <f>IF(A1055="","",IFERROR(VALUE(SUBSTITUTE(TRIM(Input!F1055&amp;""),"%","")),0)/IF(AND(IFERROR(VALUE(SUBSTITUTE(TRIM(Input!F1055&amp;""),"%","")),0)&gt;0,IFERROR(VALUE(SUBSTITUTE(TRIM(Input!F1055&amp;""),"%","")),0)&lt;1),1,100))</f>
        <v/>
      </c>
      <c r="F1055" t="str">
        <f>IF(A1055="","",IFERROR(VALUE(SUBSTITUTE(TRIM(Input!G1055&amp;""),"%","")),0)/IF(AND(IFERROR(VALUE(SUBSTITUTE(TRIM(Input!G1055&amp;""),"%","")),0)&gt;0,IFERROR(VALUE(SUBSTITUTE(TRIM(Input!G1055&amp;""),"%","")),0)&lt;1),1,100))</f>
        <v/>
      </c>
      <c r="G1055" t="str">
        <f>IF(A1055="","",IFERROR(VALUE(SUBSTITUTE(TRIM(Input!H1055&amp;""),"%","")),0)/IF(AND(IFERROR(VALUE(SUBSTITUTE(TRIM(Input!H1055&amp;""),"%","")),0)&gt;0,IFERROR(VALUE(SUBSTITUTE(TRIM(Input!H1055&amp;""),"%","")),0)&lt;1),1,100))</f>
        <v/>
      </c>
      <c r="H1055" t="str">
        <f>IF(A1055="","",IFERROR(VALUE(SUBSTITUTE(TRIM(Input!I1055&amp;""),"%","")),0)/IF(AND(IFERROR(VALUE(SUBSTITUTE(TRIM(Input!I1055&amp;""),"%","")),0)&gt;0,IFERROR(VALUE(SUBSTITUTE(TRIM(Input!I1055&amp;""),"%","")),0)&lt;1),1,100))</f>
        <v/>
      </c>
    </row>
    <row r="1056" spans="1:8">
      <c r="A1056" t="str">
        <f>IF(TRIM(Input!B1056&amp;"")="","",UPPER(TRIM(Input!B1056&amp;"")))</f>
        <v/>
      </c>
      <c r="B1056" t="str">
        <f>IF(A1056="","",IFERROR(VALUE(RIGHT(TRIM(Input!D1056&amp;""),1)),0))</f>
        <v/>
      </c>
      <c r="C1056" t="str">
        <f t="shared" si="16"/>
        <v/>
      </c>
      <c r="D1056" t="str">
        <f>IF(A1056="","",IFERROR(VALUE(SUBSTITUTE(TRIM(Input!E1056&amp;""),"%","")),0)/IF(AND(IFERROR(VALUE(SUBSTITUTE(TRIM(Input!E1056&amp;""),"%","")),0)&gt;0,IFERROR(VALUE(SUBSTITUTE(TRIM(Input!E1056&amp;""),"%","")),0)&lt;1),1,100))</f>
        <v/>
      </c>
      <c r="E1056" t="str">
        <f>IF(A1056="","",IFERROR(VALUE(SUBSTITUTE(TRIM(Input!F1056&amp;""),"%","")),0)/IF(AND(IFERROR(VALUE(SUBSTITUTE(TRIM(Input!F1056&amp;""),"%","")),0)&gt;0,IFERROR(VALUE(SUBSTITUTE(TRIM(Input!F1056&amp;""),"%","")),0)&lt;1),1,100))</f>
        <v/>
      </c>
      <c r="F1056" t="str">
        <f>IF(A1056="","",IFERROR(VALUE(SUBSTITUTE(TRIM(Input!G1056&amp;""),"%","")),0)/IF(AND(IFERROR(VALUE(SUBSTITUTE(TRIM(Input!G1056&amp;""),"%","")),0)&gt;0,IFERROR(VALUE(SUBSTITUTE(TRIM(Input!G1056&amp;""),"%","")),0)&lt;1),1,100))</f>
        <v/>
      </c>
      <c r="G1056" t="str">
        <f>IF(A1056="","",IFERROR(VALUE(SUBSTITUTE(TRIM(Input!H1056&amp;""),"%","")),0)/IF(AND(IFERROR(VALUE(SUBSTITUTE(TRIM(Input!H1056&amp;""),"%","")),0)&gt;0,IFERROR(VALUE(SUBSTITUTE(TRIM(Input!H1056&amp;""),"%","")),0)&lt;1),1,100))</f>
        <v/>
      </c>
      <c r="H1056" t="str">
        <f>IF(A1056="","",IFERROR(VALUE(SUBSTITUTE(TRIM(Input!I1056&amp;""),"%","")),0)/IF(AND(IFERROR(VALUE(SUBSTITUTE(TRIM(Input!I1056&amp;""),"%","")),0)&gt;0,IFERROR(VALUE(SUBSTITUTE(TRIM(Input!I1056&amp;""),"%","")),0)&lt;1),1,100))</f>
        <v/>
      </c>
    </row>
    <row r="1057" spans="1:8">
      <c r="A1057" t="str">
        <f>IF(TRIM(Input!B1057&amp;"")="","",UPPER(TRIM(Input!B1057&amp;"")))</f>
        <v/>
      </c>
      <c r="B1057" t="str">
        <f>IF(A1057="","",IFERROR(VALUE(RIGHT(TRIM(Input!D1057&amp;""),1)),0))</f>
        <v/>
      </c>
      <c r="C1057" t="str">
        <f t="shared" si="16"/>
        <v/>
      </c>
      <c r="D1057" t="str">
        <f>IF(A1057="","",IFERROR(VALUE(SUBSTITUTE(TRIM(Input!E1057&amp;""),"%","")),0)/IF(AND(IFERROR(VALUE(SUBSTITUTE(TRIM(Input!E1057&amp;""),"%","")),0)&gt;0,IFERROR(VALUE(SUBSTITUTE(TRIM(Input!E1057&amp;""),"%","")),0)&lt;1),1,100))</f>
        <v/>
      </c>
      <c r="E1057" t="str">
        <f>IF(A1057="","",IFERROR(VALUE(SUBSTITUTE(TRIM(Input!F1057&amp;""),"%","")),0)/IF(AND(IFERROR(VALUE(SUBSTITUTE(TRIM(Input!F1057&amp;""),"%","")),0)&gt;0,IFERROR(VALUE(SUBSTITUTE(TRIM(Input!F1057&amp;""),"%","")),0)&lt;1),1,100))</f>
        <v/>
      </c>
      <c r="F1057" t="str">
        <f>IF(A1057="","",IFERROR(VALUE(SUBSTITUTE(TRIM(Input!G1057&amp;""),"%","")),0)/IF(AND(IFERROR(VALUE(SUBSTITUTE(TRIM(Input!G1057&amp;""),"%","")),0)&gt;0,IFERROR(VALUE(SUBSTITUTE(TRIM(Input!G1057&amp;""),"%","")),0)&lt;1),1,100))</f>
        <v/>
      </c>
      <c r="G1057" t="str">
        <f>IF(A1057="","",IFERROR(VALUE(SUBSTITUTE(TRIM(Input!H1057&amp;""),"%","")),0)/IF(AND(IFERROR(VALUE(SUBSTITUTE(TRIM(Input!H1057&amp;""),"%","")),0)&gt;0,IFERROR(VALUE(SUBSTITUTE(TRIM(Input!H1057&amp;""),"%","")),0)&lt;1),1,100))</f>
        <v/>
      </c>
      <c r="H1057" t="str">
        <f>IF(A1057="","",IFERROR(VALUE(SUBSTITUTE(TRIM(Input!I1057&amp;""),"%","")),0)/IF(AND(IFERROR(VALUE(SUBSTITUTE(TRIM(Input!I1057&amp;""),"%","")),0)&gt;0,IFERROR(VALUE(SUBSTITUTE(TRIM(Input!I1057&amp;""),"%","")),0)&lt;1),1,100))</f>
        <v/>
      </c>
    </row>
    <row r="1058" spans="1:8">
      <c r="A1058" t="str">
        <f>IF(TRIM(Input!B1058&amp;"")="","",UPPER(TRIM(Input!B1058&amp;"")))</f>
        <v/>
      </c>
      <c r="B1058" t="str">
        <f>IF(A1058="","",IFERROR(VALUE(RIGHT(TRIM(Input!D1058&amp;""),1)),0))</f>
        <v/>
      </c>
      <c r="C1058" t="str">
        <f t="shared" si="16"/>
        <v/>
      </c>
      <c r="D1058" t="str">
        <f>IF(A1058="","",IFERROR(VALUE(SUBSTITUTE(TRIM(Input!E1058&amp;""),"%","")),0)/IF(AND(IFERROR(VALUE(SUBSTITUTE(TRIM(Input!E1058&amp;""),"%","")),0)&gt;0,IFERROR(VALUE(SUBSTITUTE(TRIM(Input!E1058&amp;""),"%","")),0)&lt;1),1,100))</f>
        <v/>
      </c>
      <c r="E1058" t="str">
        <f>IF(A1058="","",IFERROR(VALUE(SUBSTITUTE(TRIM(Input!F1058&amp;""),"%","")),0)/IF(AND(IFERROR(VALUE(SUBSTITUTE(TRIM(Input!F1058&amp;""),"%","")),0)&gt;0,IFERROR(VALUE(SUBSTITUTE(TRIM(Input!F1058&amp;""),"%","")),0)&lt;1),1,100))</f>
        <v/>
      </c>
      <c r="F1058" t="str">
        <f>IF(A1058="","",IFERROR(VALUE(SUBSTITUTE(TRIM(Input!G1058&amp;""),"%","")),0)/IF(AND(IFERROR(VALUE(SUBSTITUTE(TRIM(Input!G1058&amp;""),"%","")),0)&gt;0,IFERROR(VALUE(SUBSTITUTE(TRIM(Input!G1058&amp;""),"%","")),0)&lt;1),1,100))</f>
        <v/>
      </c>
      <c r="G1058" t="str">
        <f>IF(A1058="","",IFERROR(VALUE(SUBSTITUTE(TRIM(Input!H1058&amp;""),"%","")),0)/IF(AND(IFERROR(VALUE(SUBSTITUTE(TRIM(Input!H1058&amp;""),"%","")),0)&gt;0,IFERROR(VALUE(SUBSTITUTE(TRIM(Input!H1058&amp;""),"%","")),0)&lt;1),1,100))</f>
        <v/>
      </c>
      <c r="H1058" t="str">
        <f>IF(A1058="","",IFERROR(VALUE(SUBSTITUTE(TRIM(Input!I1058&amp;""),"%","")),0)/IF(AND(IFERROR(VALUE(SUBSTITUTE(TRIM(Input!I1058&amp;""),"%","")),0)&gt;0,IFERROR(VALUE(SUBSTITUTE(TRIM(Input!I1058&amp;""),"%","")),0)&lt;1),1,100))</f>
        <v/>
      </c>
    </row>
    <row r="1059" spans="1:8">
      <c r="A1059" t="str">
        <f>IF(TRIM(Input!B1059&amp;"")="","",UPPER(TRIM(Input!B1059&amp;"")))</f>
        <v/>
      </c>
      <c r="B1059" t="str">
        <f>IF(A1059="","",IFERROR(VALUE(RIGHT(TRIM(Input!D1059&amp;""),1)),0))</f>
        <v/>
      </c>
      <c r="C1059" t="str">
        <f t="shared" si="16"/>
        <v/>
      </c>
      <c r="D1059" t="str">
        <f>IF(A1059="","",IFERROR(VALUE(SUBSTITUTE(TRIM(Input!E1059&amp;""),"%","")),0)/IF(AND(IFERROR(VALUE(SUBSTITUTE(TRIM(Input!E1059&amp;""),"%","")),0)&gt;0,IFERROR(VALUE(SUBSTITUTE(TRIM(Input!E1059&amp;""),"%","")),0)&lt;1),1,100))</f>
        <v/>
      </c>
      <c r="E1059" t="str">
        <f>IF(A1059="","",IFERROR(VALUE(SUBSTITUTE(TRIM(Input!F1059&amp;""),"%","")),0)/IF(AND(IFERROR(VALUE(SUBSTITUTE(TRIM(Input!F1059&amp;""),"%","")),0)&gt;0,IFERROR(VALUE(SUBSTITUTE(TRIM(Input!F1059&amp;""),"%","")),0)&lt;1),1,100))</f>
        <v/>
      </c>
      <c r="F1059" t="str">
        <f>IF(A1059="","",IFERROR(VALUE(SUBSTITUTE(TRIM(Input!G1059&amp;""),"%","")),0)/IF(AND(IFERROR(VALUE(SUBSTITUTE(TRIM(Input!G1059&amp;""),"%","")),0)&gt;0,IFERROR(VALUE(SUBSTITUTE(TRIM(Input!G1059&amp;""),"%","")),0)&lt;1),1,100))</f>
        <v/>
      </c>
      <c r="G1059" t="str">
        <f>IF(A1059="","",IFERROR(VALUE(SUBSTITUTE(TRIM(Input!H1059&amp;""),"%","")),0)/IF(AND(IFERROR(VALUE(SUBSTITUTE(TRIM(Input!H1059&amp;""),"%","")),0)&gt;0,IFERROR(VALUE(SUBSTITUTE(TRIM(Input!H1059&amp;""),"%","")),0)&lt;1),1,100))</f>
        <v/>
      </c>
      <c r="H1059" t="str">
        <f>IF(A1059="","",IFERROR(VALUE(SUBSTITUTE(TRIM(Input!I1059&amp;""),"%","")),0)/IF(AND(IFERROR(VALUE(SUBSTITUTE(TRIM(Input!I1059&amp;""),"%","")),0)&gt;0,IFERROR(VALUE(SUBSTITUTE(TRIM(Input!I1059&amp;""),"%","")),0)&lt;1),1,100))</f>
        <v/>
      </c>
    </row>
    <row r="1060" spans="1:8">
      <c r="A1060" t="str">
        <f>IF(TRIM(Input!B1060&amp;"")="","",UPPER(TRIM(Input!B1060&amp;"")))</f>
        <v/>
      </c>
      <c r="B1060" t="str">
        <f>IF(A1060="","",IFERROR(VALUE(RIGHT(TRIM(Input!D1060&amp;""),1)),0))</f>
        <v/>
      </c>
      <c r="C1060" t="str">
        <f t="shared" si="16"/>
        <v/>
      </c>
      <c r="D1060" t="str">
        <f>IF(A1060="","",IFERROR(VALUE(SUBSTITUTE(TRIM(Input!E1060&amp;""),"%","")),0)/IF(AND(IFERROR(VALUE(SUBSTITUTE(TRIM(Input!E1060&amp;""),"%","")),0)&gt;0,IFERROR(VALUE(SUBSTITUTE(TRIM(Input!E1060&amp;""),"%","")),0)&lt;1),1,100))</f>
        <v/>
      </c>
      <c r="E1060" t="str">
        <f>IF(A1060="","",IFERROR(VALUE(SUBSTITUTE(TRIM(Input!F1060&amp;""),"%","")),0)/IF(AND(IFERROR(VALUE(SUBSTITUTE(TRIM(Input!F1060&amp;""),"%","")),0)&gt;0,IFERROR(VALUE(SUBSTITUTE(TRIM(Input!F1060&amp;""),"%","")),0)&lt;1),1,100))</f>
        <v/>
      </c>
      <c r="F1060" t="str">
        <f>IF(A1060="","",IFERROR(VALUE(SUBSTITUTE(TRIM(Input!G1060&amp;""),"%","")),0)/IF(AND(IFERROR(VALUE(SUBSTITUTE(TRIM(Input!G1060&amp;""),"%","")),0)&gt;0,IFERROR(VALUE(SUBSTITUTE(TRIM(Input!G1060&amp;""),"%","")),0)&lt;1),1,100))</f>
        <v/>
      </c>
      <c r="G1060" t="str">
        <f>IF(A1060="","",IFERROR(VALUE(SUBSTITUTE(TRIM(Input!H1060&amp;""),"%","")),0)/IF(AND(IFERROR(VALUE(SUBSTITUTE(TRIM(Input!H1060&amp;""),"%","")),0)&gt;0,IFERROR(VALUE(SUBSTITUTE(TRIM(Input!H1060&amp;""),"%","")),0)&lt;1),1,100))</f>
        <v/>
      </c>
      <c r="H1060" t="str">
        <f>IF(A1060="","",IFERROR(VALUE(SUBSTITUTE(TRIM(Input!I1060&amp;""),"%","")),0)/IF(AND(IFERROR(VALUE(SUBSTITUTE(TRIM(Input!I1060&amp;""),"%","")),0)&gt;0,IFERROR(VALUE(SUBSTITUTE(TRIM(Input!I1060&amp;""),"%","")),0)&lt;1),1,100))</f>
        <v/>
      </c>
    </row>
    <row r="1061" spans="1:8">
      <c r="A1061" t="str">
        <f>IF(TRIM(Input!B1061&amp;"")="","",UPPER(TRIM(Input!B1061&amp;"")))</f>
        <v/>
      </c>
      <c r="B1061" t="str">
        <f>IF(A1061="","",IFERROR(VALUE(RIGHT(TRIM(Input!D1061&amp;""),1)),0))</f>
        <v/>
      </c>
      <c r="C1061" t="str">
        <f t="shared" si="16"/>
        <v/>
      </c>
      <c r="D1061" t="str">
        <f>IF(A1061="","",IFERROR(VALUE(SUBSTITUTE(TRIM(Input!E1061&amp;""),"%","")),0)/IF(AND(IFERROR(VALUE(SUBSTITUTE(TRIM(Input!E1061&amp;""),"%","")),0)&gt;0,IFERROR(VALUE(SUBSTITUTE(TRIM(Input!E1061&amp;""),"%","")),0)&lt;1),1,100))</f>
        <v/>
      </c>
      <c r="E1061" t="str">
        <f>IF(A1061="","",IFERROR(VALUE(SUBSTITUTE(TRIM(Input!F1061&amp;""),"%","")),0)/IF(AND(IFERROR(VALUE(SUBSTITUTE(TRIM(Input!F1061&amp;""),"%","")),0)&gt;0,IFERROR(VALUE(SUBSTITUTE(TRIM(Input!F1061&amp;""),"%","")),0)&lt;1),1,100))</f>
        <v/>
      </c>
      <c r="F1061" t="str">
        <f>IF(A1061="","",IFERROR(VALUE(SUBSTITUTE(TRIM(Input!G1061&amp;""),"%","")),0)/IF(AND(IFERROR(VALUE(SUBSTITUTE(TRIM(Input!G1061&amp;""),"%","")),0)&gt;0,IFERROR(VALUE(SUBSTITUTE(TRIM(Input!G1061&amp;""),"%","")),0)&lt;1),1,100))</f>
        <v/>
      </c>
      <c r="G1061" t="str">
        <f>IF(A1061="","",IFERROR(VALUE(SUBSTITUTE(TRIM(Input!H1061&amp;""),"%","")),0)/IF(AND(IFERROR(VALUE(SUBSTITUTE(TRIM(Input!H1061&amp;""),"%","")),0)&gt;0,IFERROR(VALUE(SUBSTITUTE(TRIM(Input!H1061&amp;""),"%","")),0)&lt;1),1,100))</f>
        <v/>
      </c>
      <c r="H1061" t="str">
        <f>IF(A1061="","",IFERROR(VALUE(SUBSTITUTE(TRIM(Input!I1061&amp;""),"%","")),0)/IF(AND(IFERROR(VALUE(SUBSTITUTE(TRIM(Input!I1061&amp;""),"%","")),0)&gt;0,IFERROR(VALUE(SUBSTITUTE(TRIM(Input!I1061&amp;""),"%","")),0)&lt;1),1,100))</f>
        <v/>
      </c>
    </row>
    <row r="1062" spans="1:8">
      <c r="A1062" t="str">
        <f>IF(TRIM(Input!B1062&amp;"")="","",UPPER(TRIM(Input!B1062&amp;"")))</f>
        <v/>
      </c>
      <c r="B1062" t="str">
        <f>IF(A1062="","",IFERROR(VALUE(RIGHT(TRIM(Input!D1062&amp;""),1)),0))</f>
        <v/>
      </c>
      <c r="C1062" t="str">
        <f t="shared" si="16"/>
        <v/>
      </c>
      <c r="D1062" t="str">
        <f>IF(A1062="","",IFERROR(VALUE(SUBSTITUTE(TRIM(Input!E1062&amp;""),"%","")),0)/IF(AND(IFERROR(VALUE(SUBSTITUTE(TRIM(Input!E1062&amp;""),"%","")),0)&gt;0,IFERROR(VALUE(SUBSTITUTE(TRIM(Input!E1062&amp;""),"%","")),0)&lt;1),1,100))</f>
        <v/>
      </c>
      <c r="E1062" t="str">
        <f>IF(A1062="","",IFERROR(VALUE(SUBSTITUTE(TRIM(Input!F1062&amp;""),"%","")),0)/IF(AND(IFERROR(VALUE(SUBSTITUTE(TRIM(Input!F1062&amp;""),"%","")),0)&gt;0,IFERROR(VALUE(SUBSTITUTE(TRIM(Input!F1062&amp;""),"%","")),0)&lt;1),1,100))</f>
        <v/>
      </c>
      <c r="F1062" t="str">
        <f>IF(A1062="","",IFERROR(VALUE(SUBSTITUTE(TRIM(Input!G1062&amp;""),"%","")),0)/IF(AND(IFERROR(VALUE(SUBSTITUTE(TRIM(Input!G1062&amp;""),"%","")),0)&gt;0,IFERROR(VALUE(SUBSTITUTE(TRIM(Input!G1062&amp;""),"%","")),0)&lt;1),1,100))</f>
        <v/>
      </c>
      <c r="G1062" t="str">
        <f>IF(A1062="","",IFERROR(VALUE(SUBSTITUTE(TRIM(Input!H1062&amp;""),"%","")),0)/IF(AND(IFERROR(VALUE(SUBSTITUTE(TRIM(Input!H1062&amp;""),"%","")),0)&gt;0,IFERROR(VALUE(SUBSTITUTE(TRIM(Input!H1062&amp;""),"%","")),0)&lt;1),1,100))</f>
        <v/>
      </c>
      <c r="H1062" t="str">
        <f>IF(A1062="","",IFERROR(VALUE(SUBSTITUTE(TRIM(Input!I1062&amp;""),"%","")),0)/IF(AND(IFERROR(VALUE(SUBSTITUTE(TRIM(Input!I1062&amp;""),"%","")),0)&gt;0,IFERROR(VALUE(SUBSTITUTE(TRIM(Input!I1062&amp;""),"%","")),0)&lt;1),1,100))</f>
        <v/>
      </c>
    </row>
    <row r="1063" spans="1:8">
      <c r="A1063" t="str">
        <f>IF(TRIM(Input!B1063&amp;"")="","",UPPER(TRIM(Input!B1063&amp;"")))</f>
        <v/>
      </c>
      <c r="B1063" t="str">
        <f>IF(A1063="","",IFERROR(VALUE(RIGHT(TRIM(Input!D1063&amp;""),1)),0))</f>
        <v/>
      </c>
      <c r="C1063" t="str">
        <f t="shared" si="16"/>
        <v/>
      </c>
      <c r="D1063" t="str">
        <f>IF(A1063="","",IFERROR(VALUE(SUBSTITUTE(TRIM(Input!E1063&amp;""),"%","")),0)/IF(AND(IFERROR(VALUE(SUBSTITUTE(TRIM(Input!E1063&amp;""),"%","")),0)&gt;0,IFERROR(VALUE(SUBSTITUTE(TRIM(Input!E1063&amp;""),"%","")),0)&lt;1),1,100))</f>
        <v/>
      </c>
      <c r="E1063" t="str">
        <f>IF(A1063="","",IFERROR(VALUE(SUBSTITUTE(TRIM(Input!F1063&amp;""),"%","")),0)/IF(AND(IFERROR(VALUE(SUBSTITUTE(TRIM(Input!F1063&amp;""),"%","")),0)&gt;0,IFERROR(VALUE(SUBSTITUTE(TRIM(Input!F1063&amp;""),"%","")),0)&lt;1),1,100))</f>
        <v/>
      </c>
      <c r="F1063" t="str">
        <f>IF(A1063="","",IFERROR(VALUE(SUBSTITUTE(TRIM(Input!G1063&amp;""),"%","")),0)/IF(AND(IFERROR(VALUE(SUBSTITUTE(TRIM(Input!G1063&amp;""),"%","")),0)&gt;0,IFERROR(VALUE(SUBSTITUTE(TRIM(Input!G1063&amp;""),"%","")),0)&lt;1),1,100))</f>
        <v/>
      </c>
      <c r="G1063" t="str">
        <f>IF(A1063="","",IFERROR(VALUE(SUBSTITUTE(TRIM(Input!H1063&amp;""),"%","")),0)/IF(AND(IFERROR(VALUE(SUBSTITUTE(TRIM(Input!H1063&amp;""),"%","")),0)&gt;0,IFERROR(VALUE(SUBSTITUTE(TRIM(Input!H1063&amp;""),"%","")),0)&lt;1),1,100))</f>
        <v/>
      </c>
      <c r="H1063" t="str">
        <f>IF(A1063="","",IFERROR(VALUE(SUBSTITUTE(TRIM(Input!I1063&amp;""),"%","")),0)/IF(AND(IFERROR(VALUE(SUBSTITUTE(TRIM(Input!I1063&amp;""),"%","")),0)&gt;0,IFERROR(VALUE(SUBSTITUTE(TRIM(Input!I1063&amp;""),"%","")),0)&lt;1),1,100))</f>
        <v/>
      </c>
    </row>
    <row r="1064" spans="1:8">
      <c r="A1064" t="str">
        <f>IF(TRIM(Input!B1064&amp;"")="","",UPPER(TRIM(Input!B1064&amp;"")))</f>
        <v/>
      </c>
      <c r="B1064" t="str">
        <f>IF(A1064="","",IFERROR(VALUE(RIGHT(TRIM(Input!D1064&amp;""),1)),0))</f>
        <v/>
      </c>
      <c r="C1064" t="str">
        <f t="shared" si="16"/>
        <v/>
      </c>
      <c r="D1064" t="str">
        <f>IF(A1064="","",IFERROR(VALUE(SUBSTITUTE(TRIM(Input!E1064&amp;""),"%","")),0)/IF(AND(IFERROR(VALUE(SUBSTITUTE(TRIM(Input!E1064&amp;""),"%","")),0)&gt;0,IFERROR(VALUE(SUBSTITUTE(TRIM(Input!E1064&amp;""),"%","")),0)&lt;1),1,100))</f>
        <v/>
      </c>
      <c r="E1064" t="str">
        <f>IF(A1064="","",IFERROR(VALUE(SUBSTITUTE(TRIM(Input!F1064&amp;""),"%","")),0)/IF(AND(IFERROR(VALUE(SUBSTITUTE(TRIM(Input!F1064&amp;""),"%","")),0)&gt;0,IFERROR(VALUE(SUBSTITUTE(TRIM(Input!F1064&amp;""),"%","")),0)&lt;1),1,100))</f>
        <v/>
      </c>
      <c r="F1064" t="str">
        <f>IF(A1064="","",IFERROR(VALUE(SUBSTITUTE(TRIM(Input!G1064&amp;""),"%","")),0)/IF(AND(IFERROR(VALUE(SUBSTITUTE(TRIM(Input!G1064&amp;""),"%","")),0)&gt;0,IFERROR(VALUE(SUBSTITUTE(TRIM(Input!G1064&amp;""),"%","")),0)&lt;1),1,100))</f>
        <v/>
      </c>
      <c r="G1064" t="str">
        <f>IF(A1064="","",IFERROR(VALUE(SUBSTITUTE(TRIM(Input!H1064&amp;""),"%","")),0)/IF(AND(IFERROR(VALUE(SUBSTITUTE(TRIM(Input!H1064&amp;""),"%","")),0)&gt;0,IFERROR(VALUE(SUBSTITUTE(TRIM(Input!H1064&amp;""),"%","")),0)&lt;1),1,100))</f>
        <v/>
      </c>
      <c r="H1064" t="str">
        <f>IF(A1064="","",IFERROR(VALUE(SUBSTITUTE(TRIM(Input!I1064&amp;""),"%","")),0)/IF(AND(IFERROR(VALUE(SUBSTITUTE(TRIM(Input!I1064&amp;""),"%","")),0)&gt;0,IFERROR(VALUE(SUBSTITUTE(TRIM(Input!I1064&amp;""),"%","")),0)&lt;1),1,100))</f>
        <v/>
      </c>
    </row>
    <row r="1065" spans="1:8">
      <c r="A1065" t="str">
        <f>IF(TRIM(Input!B1065&amp;"")="","",UPPER(TRIM(Input!B1065&amp;"")))</f>
        <v/>
      </c>
      <c r="B1065" t="str">
        <f>IF(A1065="","",IFERROR(VALUE(RIGHT(TRIM(Input!D1065&amp;""),1)),0))</f>
        <v/>
      </c>
      <c r="C1065" t="str">
        <f t="shared" si="16"/>
        <v/>
      </c>
      <c r="D1065" t="str">
        <f>IF(A1065="","",IFERROR(VALUE(SUBSTITUTE(TRIM(Input!E1065&amp;""),"%","")),0)/IF(AND(IFERROR(VALUE(SUBSTITUTE(TRIM(Input!E1065&amp;""),"%","")),0)&gt;0,IFERROR(VALUE(SUBSTITUTE(TRIM(Input!E1065&amp;""),"%","")),0)&lt;1),1,100))</f>
        <v/>
      </c>
      <c r="E1065" t="str">
        <f>IF(A1065="","",IFERROR(VALUE(SUBSTITUTE(TRIM(Input!F1065&amp;""),"%","")),0)/IF(AND(IFERROR(VALUE(SUBSTITUTE(TRIM(Input!F1065&amp;""),"%","")),0)&gt;0,IFERROR(VALUE(SUBSTITUTE(TRIM(Input!F1065&amp;""),"%","")),0)&lt;1),1,100))</f>
        <v/>
      </c>
      <c r="F1065" t="str">
        <f>IF(A1065="","",IFERROR(VALUE(SUBSTITUTE(TRIM(Input!G1065&amp;""),"%","")),0)/IF(AND(IFERROR(VALUE(SUBSTITUTE(TRIM(Input!G1065&amp;""),"%","")),0)&gt;0,IFERROR(VALUE(SUBSTITUTE(TRIM(Input!G1065&amp;""),"%","")),0)&lt;1),1,100))</f>
        <v/>
      </c>
      <c r="G1065" t="str">
        <f>IF(A1065="","",IFERROR(VALUE(SUBSTITUTE(TRIM(Input!H1065&amp;""),"%","")),0)/IF(AND(IFERROR(VALUE(SUBSTITUTE(TRIM(Input!H1065&amp;""),"%","")),0)&gt;0,IFERROR(VALUE(SUBSTITUTE(TRIM(Input!H1065&amp;""),"%","")),0)&lt;1),1,100))</f>
        <v/>
      </c>
      <c r="H1065" t="str">
        <f>IF(A1065="","",IFERROR(VALUE(SUBSTITUTE(TRIM(Input!I1065&amp;""),"%","")),0)/IF(AND(IFERROR(VALUE(SUBSTITUTE(TRIM(Input!I1065&amp;""),"%","")),0)&gt;0,IFERROR(VALUE(SUBSTITUTE(TRIM(Input!I1065&amp;""),"%","")),0)&lt;1),1,100))</f>
        <v/>
      </c>
    </row>
    <row r="1066" spans="1:8">
      <c r="A1066" t="str">
        <f>IF(TRIM(Input!B1066&amp;"")="","",UPPER(TRIM(Input!B1066&amp;"")))</f>
        <v/>
      </c>
      <c r="B1066" t="str">
        <f>IF(A1066="","",IFERROR(VALUE(RIGHT(TRIM(Input!D1066&amp;""),1)),0))</f>
        <v/>
      </c>
      <c r="C1066" t="str">
        <f t="shared" si="16"/>
        <v/>
      </c>
      <c r="D1066" t="str">
        <f>IF(A1066="","",IFERROR(VALUE(SUBSTITUTE(TRIM(Input!E1066&amp;""),"%","")),0)/IF(AND(IFERROR(VALUE(SUBSTITUTE(TRIM(Input!E1066&amp;""),"%","")),0)&gt;0,IFERROR(VALUE(SUBSTITUTE(TRIM(Input!E1066&amp;""),"%","")),0)&lt;1),1,100))</f>
        <v/>
      </c>
      <c r="E1066" t="str">
        <f>IF(A1066="","",IFERROR(VALUE(SUBSTITUTE(TRIM(Input!F1066&amp;""),"%","")),0)/IF(AND(IFERROR(VALUE(SUBSTITUTE(TRIM(Input!F1066&amp;""),"%","")),0)&gt;0,IFERROR(VALUE(SUBSTITUTE(TRIM(Input!F1066&amp;""),"%","")),0)&lt;1),1,100))</f>
        <v/>
      </c>
      <c r="F1066" t="str">
        <f>IF(A1066="","",IFERROR(VALUE(SUBSTITUTE(TRIM(Input!G1066&amp;""),"%","")),0)/IF(AND(IFERROR(VALUE(SUBSTITUTE(TRIM(Input!G1066&amp;""),"%","")),0)&gt;0,IFERROR(VALUE(SUBSTITUTE(TRIM(Input!G1066&amp;""),"%","")),0)&lt;1),1,100))</f>
        <v/>
      </c>
      <c r="G1066" t="str">
        <f>IF(A1066="","",IFERROR(VALUE(SUBSTITUTE(TRIM(Input!H1066&amp;""),"%","")),0)/IF(AND(IFERROR(VALUE(SUBSTITUTE(TRIM(Input!H1066&amp;""),"%","")),0)&gt;0,IFERROR(VALUE(SUBSTITUTE(TRIM(Input!H1066&amp;""),"%","")),0)&lt;1),1,100))</f>
        <v/>
      </c>
      <c r="H1066" t="str">
        <f>IF(A1066="","",IFERROR(VALUE(SUBSTITUTE(TRIM(Input!I1066&amp;""),"%","")),0)/IF(AND(IFERROR(VALUE(SUBSTITUTE(TRIM(Input!I1066&amp;""),"%","")),0)&gt;0,IFERROR(VALUE(SUBSTITUTE(TRIM(Input!I1066&amp;""),"%","")),0)&lt;1),1,100))</f>
        <v/>
      </c>
    </row>
    <row r="1067" spans="1:8">
      <c r="A1067" t="str">
        <f>IF(TRIM(Input!B1067&amp;"")="","",UPPER(TRIM(Input!B1067&amp;"")))</f>
        <v/>
      </c>
      <c r="B1067" t="str">
        <f>IF(A1067="","",IFERROR(VALUE(RIGHT(TRIM(Input!D1067&amp;""),1)),0))</f>
        <v/>
      </c>
      <c r="C1067" t="str">
        <f t="shared" si="16"/>
        <v/>
      </c>
      <c r="D1067" t="str">
        <f>IF(A1067="","",IFERROR(VALUE(SUBSTITUTE(TRIM(Input!E1067&amp;""),"%","")),0)/IF(AND(IFERROR(VALUE(SUBSTITUTE(TRIM(Input!E1067&amp;""),"%","")),0)&gt;0,IFERROR(VALUE(SUBSTITUTE(TRIM(Input!E1067&amp;""),"%","")),0)&lt;1),1,100))</f>
        <v/>
      </c>
      <c r="E1067" t="str">
        <f>IF(A1067="","",IFERROR(VALUE(SUBSTITUTE(TRIM(Input!F1067&amp;""),"%","")),0)/IF(AND(IFERROR(VALUE(SUBSTITUTE(TRIM(Input!F1067&amp;""),"%","")),0)&gt;0,IFERROR(VALUE(SUBSTITUTE(TRIM(Input!F1067&amp;""),"%","")),0)&lt;1),1,100))</f>
        <v/>
      </c>
      <c r="F1067" t="str">
        <f>IF(A1067="","",IFERROR(VALUE(SUBSTITUTE(TRIM(Input!G1067&amp;""),"%","")),0)/IF(AND(IFERROR(VALUE(SUBSTITUTE(TRIM(Input!G1067&amp;""),"%","")),0)&gt;0,IFERROR(VALUE(SUBSTITUTE(TRIM(Input!G1067&amp;""),"%","")),0)&lt;1),1,100))</f>
        <v/>
      </c>
      <c r="G1067" t="str">
        <f>IF(A1067="","",IFERROR(VALUE(SUBSTITUTE(TRIM(Input!H1067&amp;""),"%","")),0)/IF(AND(IFERROR(VALUE(SUBSTITUTE(TRIM(Input!H1067&amp;""),"%","")),0)&gt;0,IFERROR(VALUE(SUBSTITUTE(TRIM(Input!H1067&amp;""),"%","")),0)&lt;1),1,100))</f>
        <v/>
      </c>
      <c r="H1067" t="str">
        <f>IF(A1067="","",IFERROR(VALUE(SUBSTITUTE(TRIM(Input!I1067&amp;""),"%","")),0)/IF(AND(IFERROR(VALUE(SUBSTITUTE(TRIM(Input!I1067&amp;""),"%","")),0)&gt;0,IFERROR(VALUE(SUBSTITUTE(TRIM(Input!I1067&amp;""),"%","")),0)&lt;1),1,100))</f>
        <v/>
      </c>
    </row>
    <row r="1068" spans="1:8">
      <c r="A1068" t="str">
        <f>IF(TRIM(Input!B1068&amp;"")="","",UPPER(TRIM(Input!B1068&amp;"")))</f>
        <v/>
      </c>
      <c r="B1068" t="str">
        <f>IF(A1068="","",IFERROR(VALUE(RIGHT(TRIM(Input!D1068&amp;""),1)),0))</f>
        <v/>
      </c>
      <c r="C1068" t="str">
        <f t="shared" si="16"/>
        <v/>
      </c>
      <c r="D1068" t="str">
        <f>IF(A1068="","",IFERROR(VALUE(SUBSTITUTE(TRIM(Input!E1068&amp;""),"%","")),0)/IF(AND(IFERROR(VALUE(SUBSTITUTE(TRIM(Input!E1068&amp;""),"%","")),0)&gt;0,IFERROR(VALUE(SUBSTITUTE(TRIM(Input!E1068&amp;""),"%","")),0)&lt;1),1,100))</f>
        <v/>
      </c>
      <c r="E1068" t="str">
        <f>IF(A1068="","",IFERROR(VALUE(SUBSTITUTE(TRIM(Input!F1068&amp;""),"%","")),0)/IF(AND(IFERROR(VALUE(SUBSTITUTE(TRIM(Input!F1068&amp;""),"%","")),0)&gt;0,IFERROR(VALUE(SUBSTITUTE(TRIM(Input!F1068&amp;""),"%","")),0)&lt;1),1,100))</f>
        <v/>
      </c>
      <c r="F1068" t="str">
        <f>IF(A1068="","",IFERROR(VALUE(SUBSTITUTE(TRIM(Input!G1068&amp;""),"%","")),0)/IF(AND(IFERROR(VALUE(SUBSTITUTE(TRIM(Input!G1068&amp;""),"%","")),0)&gt;0,IFERROR(VALUE(SUBSTITUTE(TRIM(Input!G1068&amp;""),"%","")),0)&lt;1),1,100))</f>
        <v/>
      </c>
      <c r="G1068" t="str">
        <f>IF(A1068="","",IFERROR(VALUE(SUBSTITUTE(TRIM(Input!H1068&amp;""),"%","")),0)/IF(AND(IFERROR(VALUE(SUBSTITUTE(TRIM(Input!H1068&amp;""),"%","")),0)&gt;0,IFERROR(VALUE(SUBSTITUTE(TRIM(Input!H1068&amp;""),"%","")),0)&lt;1),1,100))</f>
        <v/>
      </c>
      <c r="H1068" t="str">
        <f>IF(A1068="","",IFERROR(VALUE(SUBSTITUTE(TRIM(Input!I1068&amp;""),"%","")),0)/IF(AND(IFERROR(VALUE(SUBSTITUTE(TRIM(Input!I1068&amp;""),"%","")),0)&gt;0,IFERROR(VALUE(SUBSTITUTE(TRIM(Input!I1068&amp;""),"%","")),0)&lt;1),1,100))</f>
        <v/>
      </c>
    </row>
    <row r="1069" spans="1:8">
      <c r="A1069" t="str">
        <f>IF(TRIM(Input!B1069&amp;"")="","",UPPER(TRIM(Input!B1069&amp;"")))</f>
        <v/>
      </c>
      <c r="B1069" t="str">
        <f>IF(A1069="","",IFERROR(VALUE(RIGHT(TRIM(Input!D1069&amp;""),1)),0))</f>
        <v/>
      </c>
      <c r="C1069" t="str">
        <f t="shared" si="16"/>
        <v/>
      </c>
      <c r="D1069" t="str">
        <f>IF(A1069="","",IFERROR(VALUE(SUBSTITUTE(TRIM(Input!E1069&amp;""),"%","")),0)/IF(AND(IFERROR(VALUE(SUBSTITUTE(TRIM(Input!E1069&amp;""),"%","")),0)&gt;0,IFERROR(VALUE(SUBSTITUTE(TRIM(Input!E1069&amp;""),"%","")),0)&lt;1),1,100))</f>
        <v/>
      </c>
      <c r="E1069" t="str">
        <f>IF(A1069="","",IFERROR(VALUE(SUBSTITUTE(TRIM(Input!F1069&amp;""),"%","")),0)/IF(AND(IFERROR(VALUE(SUBSTITUTE(TRIM(Input!F1069&amp;""),"%","")),0)&gt;0,IFERROR(VALUE(SUBSTITUTE(TRIM(Input!F1069&amp;""),"%","")),0)&lt;1),1,100))</f>
        <v/>
      </c>
      <c r="F1069" t="str">
        <f>IF(A1069="","",IFERROR(VALUE(SUBSTITUTE(TRIM(Input!G1069&amp;""),"%","")),0)/IF(AND(IFERROR(VALUE(SUBSTITUTE(TRIM(Input!G1069&amp;""),"%","")),0)&gt;0,IFERROR(VALUE(SUBSTITUTE(TRIM(Input!G1069&amp;""),"%","")),0)&lt;1),1,100))</f>
        <v/>
      </c>
      <c r="G1069" t="str">
        <f>IF(A1069="","",IFERROR(VALUE(SUBSTITUTE(TRIM(Input!H1069&amp;""),"%","")),0)/IF(AND(IFERROR(VALUE(SUBSTITUTE(TRIM(Input!H1069&amp;""),"%","")),0)&gt;0,IFERROR(VALUE(SUBSTITUTE(TRIM(Input!H1069&amp;""),"%","")),0)&lt;1),1,100))</f>
        <v/>
      </c>
      <c r="H1069" t="str">
        <f>IF(A1069="","",IFERROR(VALUE(SUBSTITUTE(TRIM(Input!I1069&amp;""),"%","")),0)/IF(AND(IFERROR(VALUE(SUBSTITUTE(TRIM(Input!I1069&amp;""),"%","")),0)&gt;0,IFERROR(VALUE(SUBSTITUTE(TRIM(Input!I1069&amp;""),"%","")),0)&lt;1),1,100))</f>
        <v/>
      </c>
    </row>
    <row r="1070" spans="1:8">
      <c r="A1070" t="str">
        <f>IF(TRIM(Input!B1070&amp;"")="","",UPPER(TRIM(Input!B1070&amp;"")))</f>
        <v/>
      </c>
      <c r="B1070" t="str">
        <f>IF(A1070="","",IFERROR(VALUE(RIGHT(TRIM(Input!D1070&amp;""),1)),0))</f>
        <v/>
      </c>
      <c r="C1070" t="str">
        <f t="shared" si="16"/>
        <v/>
      </c>
      <c r="D1070" t="str">
        <f>IF(A1070="","",IFERROR(VALUE(SUBSTITUTE(TRIM(Input!E1070&amp;""),"%","")),0)/IF(AND(IFERROR(VALUE(SUBSTITUTE(TRIM(Input!E1070&amp;""),"%","")),0)&gt;0,IFERROR(VALUE(SUBSTITUTE(TRIM(Input!E1070&amp;""),"%","")),0)&lt;1),1,100))</f>
        <v/>
      </c>
      <c r="E1070" t="str">
        <f>IF(A1070="","",IFERROR(VALUE(SUBSTITUTE(TRIM(Input!F1070&amp;""),"%","")),0)/IF(AND(IFERROR(VALUE(SUBSTITUTE(TRIM(Input!F1070&amp;""),"%","")),0)&gt;0,IFERROR(VALUE(SUBSTITUTE(TRIM(Input!F1070&amp;""),"%","")),0)&lt;1),1,100))</f>
        <v/>
      </c>
      <c r="F1070" t="str">
        <f>IF(A1070="","",IFERROR(VALUE(SUBSTITUTE(TRIM(Input!G1070&amp;""),"%","")),0)/IF(AND(IFERROR(VALUE(SUBSTITUTE(TRIM(Input!G1070&amp;""),"%","")),0)&gt;0,IFERROR(VALUE(SUBSTITUTE(TRIM(Input!G1070&amp;""),"%","")),0)&lt;1),1,100))</f>
        <v/>
      </c>
      <c r="G1070" t="str">
        <f>IF(A1070="","",IFERROR(VALUE(SUBSTITUTE(TRIM(Input!H1070&amp;""),"%","")),0)/IF(AND(IFERROR(VALUE(SUBSTITUTE(TRIM(Input!H1070&amp;""),"%","")),0)&gt;0,IFERROR(VALUE(SUBSTITUTE(TRIM(Input!H1070&amp;""),"%","")),0)&lt;1),1,100))</f>
        <v/>
      </c>
      <c r="H1070" t="str">
        <f>IF(A1070="","",IFERROR(VALUE(SUBSTITUTE(TRIM(Input!I1070&amp;""),"%","")),0)/IF(AND(IFERROR(VALUE(SUBSTITUTE(TRIM(Input!I1070&amp;""),"%","")),0)&gt;0,IFERROR(VALUE(SUBSTITUTE(TRIM(Input!I1070&amp;""),"%","")),0)&lt;1),1,100))</f>
        <v/>
      </c>
    </row>
    <row r="1071" spans="1:8">
      <c r="A1071" t="str">
        <f>IF(TRIM(Input!B1071&amp;"")="","",UPPER(TRIM(Input!B1071&amp;"")))</f>
        <v/>
      </c>
      <c r="B1071" t="str">
        <f>IF(A1071="","",IFERROR(VALUE(RIGHT(TRIM(Input!D1071&amp;""),1)),0))</f>
        <v/>
      </c>
      <c r="C1071" t="str">
        <f t="shared" si="16"/>
        <v/>
      </c>
      <c r="D1071" t="str">
        <f>IF(A1071="","",IFERROR(VALUE(SUBSTITUTE(TRIM(Input!E1071&amp;""),"%","")),0)/IF(AND(IFERROR(VALUE(SUBSTITUTE(TRIM(Input!E1071&amp;""),"%","")),0)&gt;0,IFERROR(VALUE(SUBSTITUTE(TRIM(Input!E1071&amp;""),"%","")),0)&lt;1),1,100))</f>
        <v/>
      </c>
      <c r="E1071" t="str">
        <f>IF(A1071="","",IFERROR(VALUE(SUBSTITUTE(TRIM(Input!F1071&amp;""),"%","")),0)/IF(AND(IFERROR(VALUE(SUBSTITUTE(TRIM(Input!F1071&amp;""),"%","")),0)&gt;0,IFERROR(VALUE(SUBSTITUTE(TRIM(Input!F1071&amp;""),"%","")),0)&lt;1),1,100))</f>
        <v/>
      </c>
      <c r="F1071" t="str">
        <f>IF(A1071="","",IFERROR(VALUE(SUBSTITUTE(TRIM(Input!G1071&amp;""),"%","")),0)/IF(AND(IFERROR(VALUE(SUBSTITUTE(TRIM(Input!G1071&amp;""),"%","")),0)&gt;0,IFERROR(VALUE(SUBSTITUTE(TRIM(Input!G1071&amp;""),"%","")),0)&lt;1),1,100))</f>
        <v/>
      </c>
      <c r="G1071" t="str">
        <f>IF(A1071="","",IFERROR(VALUE(SUBSTITUTE(TRIM(Input!H1071&amp;""),"%","")),0)/IF(AND(IFERROR(VALUE(SUBSTITUTE(TRIM(Input!H1071&amp;""),"%","")),0)&gt;0,IFERROR(VALUE(SUBSTITUTE(TRIM(Input!H1071&amp;""),"%","")),0)&lt;1),1,100))</f>
        <v/>
      </c>
      <c r="H1071" t="str">
        <f>IF(A1071="","",IFERROR(VALUE(SUBSTITUTE(TRIM(Input!I1071&amp;""),"%","")),0)/IF(AND(IFERROR(VALUE(SUBSTITUTE(TRIM(Input!I1071&amp;""),"%","")),0)&gt;0,IFERROR(VALUE(SUBSTITUTE(TRIM(Input!I1071&amp;""),"%","")),0)&lt;1),1,100))</f>
        <v/>
      </c>
    </row>
    <row r="1072" spans="1:8">
      <c r="A1072" t="str">
        <f>IF(TRIM(Input!B1072&amp;"")="","",UPPER(TRIM(Input!B1072&amp;"")))</f>
        <v/>
      </c>
      <c r="B1072" t="str">
        <f>IF(A1072="","",IFERROR(VALUE(RIGHT(TRIM(Input!D1072&amp;""),1)),0))</f>
        <v/>
      </c>
      <c r="C1072" t="str">
        <f t="shared" si="16"/>
        <v/>
      </c>
      <c r="D1072" t="str">
        <f>IF(A1072="","",IFERROR(VALUE(SUBSTITUTE(TRIM(Input!E1072&amp;""),"%","")),0)/IF(AND(IFERROR(VALUE(SUBSTITUTE(TRIM(Input!E1072&amp;""),"%","")),0)&gt;0,IFERROR(VALUE(SUBSTITUTE(TRIM(Input!E1072&amp;""),"%","")),0)&lt;1),1,100))</f>
        <v/>
      </c>
      <c r="E1072" t="str">
        <f>IF(A1072="","",IFERROR(VALUE(SUBSTITUTE(TRIM(Input!F1072&amp;""),"%","")),0)/IF(AND(IFERROR(VALUE(SUBSTITUTE(TRIM(Input!F1072&amp;""),"%","")),0)&gt;0,IFERROR(VALUE(SUBSTITUTE(TRIM(Input!F1072&amp;""),"%","")),0)&lt;1),1,100))</f>
        <v/>
      </c>
      <c r="F1072" t="str">
        <f>IF(A1072="","",IFERROR(VALUE(SUBSTITUTE(TRIM(Input!G1072&amp;""),"%","")),0)/IF(AND(IFERROR(VALUE(SUBSTITUTE(TRIM(Input!G1072&amp;""),"%","")),0)&gt;0,IFERROR(VALUE(SUBSTITUTE(TRIM(Input!G1072&amp;""),"%","")),0)&lt;1),1,100))</f>
        <v/>
      </c>
      <c r="G1072" t="str">
        <f>IF(A1072="","",IFERROR(VALUE(SUBSTITUTE(TRIM(Input!H1072&amp;""),"%","")),0)/IF(AND(IFERROR(VALUE(SUBSTITUTE(TRIM(Input!H1072&amp;""),"%","")),0)&gt;0,IFERROR(VALUE(SUBSTITUTE(TRIM(Input!H1072&amp;""),"%","")),0)&lt;1),1,100))</f>
        <v/>
      </c>
      <c r="H1072" t="str">
        <f>IF(A1072="","",IFERROR(VALUE(SUBSTITUTE(TRIM(Input!I1072&amp;""),"%","")),0)/IF(AND(IFERROR(VALUE(SUBSTITUTE(TRIM(Input!I1072&amp;""),"%","")),0)&gt;0,IFERROR(VALUE(SUBSTITUTE(TRIM(Input!I1072&amp;""),"%","")),0)&lt;1),1,100))</f>
        <v/>
      </c>
    </row>
    <row r="1073" spans="1:8">
      <c r="A1073" t="str">
        <f>IF(TRIM(Input!B1073&amp;"")="","",UPPER(TRIM(Input!B1073&amp;"")))</f>
        <v/>
      </c>
      <c r="B1073" t="str">
        <f>IF(A1073="","",IFERROR(VALUE(RIGHT(TRIM(Input!D1073&amp;""),1)),0))</f>
        <v/>
      </c>
      <c r="C1073" t="str">
        <f t="shared" si="16"/>
        <v/>
      </c>
      <c r="D1073" t="str">
        <f>IF(A1073="","",IFERROR(VALUE(SUBSTITUTE(TRIM(Input!E1073&amp;""),"%","")),0)/IF(AND(IFERROR(VALUE(SUBSTITUTE(TRIM(Input!E1073&amp;""),"%","")),0)&gt;0,IFERROR(VALUE(SUBSTITUTE(TRIM(Input!E1073&amp;""),"%","")),0)&lt;1),1,100))</f>
        <v/>
      </c>
      <c r="E1073" t="str">
        <f>IF(A1073="","",IFERROR(VALUE(SUBSTITUTE(TRIM(Input!F1073&amp;""),"%","")),0)/IF(AND(IFERROR(VALUE(SUBSTITUTE(TRIM(Input!F1073&amp;""),"%","")),0)&gt;0,IFERROR(VALUE(SUBSTITUTE(TRIM(Input!F1073&amp;""),"%","")),0)&lt;1),1,100))</f>
        <v/>
      </c>
      <c r="F1073" t="str">
        <f>IF(A1073="","",IFERROR(VALUE(SUBSTITUTE(TRIM(Input!G1073&amp;""),"%","")),0)/IF(AND(IFERROR(VALUE(SUBSTITUTE(TRIM(Input!G1073&amp;""),"%","")),0)&gt;0,IFERROR(VALUE(SUBSTITUTE(TRIM(Input!G1073&amp;""),"%","")),0)&lt;1),1,100))</f>
        <v/>
      </c>
      <c r="G1073" t="str">
        <f>IF(A1073="","",IFERROR(VALUE(SUBSTITUTE(TRIM(Input!H1073&amp;""),"%","")),0)/IF(AND(IFERROR(VALUE(SUBSTITUTE(TRIM(Input!H1073&amp;""),"%","")),0)&gt;0,IFERROR(VALUE(SUBSTITUTE(TRIM(Input!H1073&amp;""),"%","")),0)&lt;1),1,100))</f>
        <v/>
      </c>
      <c r="H1073" t="str">
        <f>IF(A1073="","",IFERROR(VALUE(SUBSTITUTE(TRIM(Input!I1073&amp;""),"%","")),0)/IF(AND(IFERROR(VALUE(SUBSTITUTE(TRIM(Input!I1073&amp;""),"%","")),0)&gt;0,IFERROR(VALUE(SUBSTITUTE(TRIM(Input!I1073&amp;""),"%","")),0)&lt;1),1,100))</f>
        <v/>
      </c>
    </row>
    <row r="1074" spans="1:8">
      <c r="A1074" t="str">
        <f>IF(TRIM(Input!B1074&amp;"")="","",UPPER(TRIM(Input!B1074&amp;"")))</f>
        <v/>
      </c>
      <c r="B1074" t="str">
        <f>IF(A1074="","",IFERROR(VALUE(RIGHT(TRIM(Input!D1074&amp;""),1)),0))</f>
        <v/>
      </c>
      <c r="C1074" t="str">
        <f t="shared" si="16"/>
        <v/>
      </c>
      <c r="D1074" t="str">
        <f>IF(A1074="","",IFERROR(VALUE(SUBSTITUTE(TRIM(Input!E1074&amp;""),"%","")),0)/IF(AND(IFERROR(VALUE(SUBSTITUTE(TRIM(Input!E1074&amp;""),"%","")),0)&gt;0,IFERROR(VALUE(SUBSTITUTE(TRIM(Input!E1074&amp;""),"%","")),0)&lt;1),1,100))</f>
        <v/>
      </c>
      <c r="E1074" t="str">
        <f>IF(A1074="","",IFERROR(VALUE(SUBSTITUTE(TRIM(Input!F1074&amp;""),"%","")),0)/IF(AND(IFERROR(VALUE(SUBSTITUTE(TRIM(Input!F1074&amp;""),"%","")),0)&gt;0,IFERROR(VALUE(SUBSTITUTE(TRIM(Input!F1074&amp;""),"%","")),0)&lt;1),1,100))</f>
        <v/>
      </c>
      <c r="F1074" t="str">
        <f>IF(A1074="","",IFERROR(VALUE(SUBSTITUTE(TRIM(Input!G1074&amp;""),"%","")),0)/IF(AND(IFERROR(VALUE(SUBSTITUTE(TRIM(Input!G1074&amp;""),"%","")),0)&gt;0,IFERROR(VALUE(SUBSTITUTE(TRIM(Input!G1074&amp;""),"%","")),0)&lt;1),1,100))</f>
        <v/>
      </c>
      <c r="G1074" t="str">
        <f>IF(A1074="","",IFERROR(VALUE(SUBSTITUTE(TRIM(Input!H1074&amp;""),"%","")),0)/IF(AND(IFERROR(VALUE(SUBSTITUTE(TRIM(Input!H1074&amp;""),"%","")),0)&gt;0,IFERROR(VALUE(SUBSTITUTE(TRIM(Input!H1074&amp;""),"%","")),0)&lt;1),1,100))</f>
        <v/>
      </c>
      <c r="H1074" t="str">
        <f>IF(A1074="","",IFERROR(VALUE(SUBSTITUTE(TRIM(Input!I1074&amp;""),"%","")),0)/IF(AND(IFERROR(VALUE(SUBSTITUTE(TRIM(Input!I1074&amp;""),"%","")),0)&gt;0,IFERROR(VALUE(SUBSTITUTE(TRIM(Input!I1074&amp;""),"%","")),0)&lt;1),1,100))</f>
        <v/>
      </c>
    </row>
    <row r="1075" spans="1:8">
      <c r="A1075" t="str">
        <f>IF(TRIM(Input!B1075&amp;"")="","",UPPER(TRIM(Input!B1075&amp;"")))</f>
        <v/>
      </c>
      <c r="B1075" t="str">
        <f>IF(A1075="","",IFERROR(VALUE(RIGHT(TRIM(Input!D1075&amp;""),1)),0))</f>
        <v/>
      </c>
      <c r="C1075" t="str">
        <f t="shared" si="16"/>
        <v/>
      </c>
      <c r="D1075" t="str">
        <f>IF(A1075="","",IFERROR(VALUE(SUBSTITUTE(TRIM(Input!E1075&amp;""),"%","")),0)/IF(AND(IFERROR(VALUE(SUBSTITUTE(TRIM(Input!E1075&amp;""),"%","")),0)&gt;0,IFERROR(VALUE(SUBSTITUTE(TRIM(Input!E1075&amp;""),"%","")),0)&lt;1),1,100))</f>
        <v/>
      </c>
      <c r="E1075" t="str">
        <f>IF(A1075="","",IFERROR(VALUE(SUBSTITUTE(TRIM(Input!F1075&amp;""),"%","")),0)/IF(AND(IFERROR(VALUE(SUBSTITUTE(TRIM(Input!F1075&amp;""),"%","")),0)&gt;0,IFERROR(VALUE(SUBSTITUTE(TRIM(Input!F1075&amp;""),"%","")),0)&lt;1),1,100))</f>
        <v/>
      </c>
      <c r="F1075" t="str">
        <f>IF(A1075="","",IFERROR(VALUE(SUBSTITUTE(TRIM(Input!G1075&amp;""),"%","")),0)/IF(AND(IFERROR(VALUE(SUBSTITUTE(TRIM(Input!G1075&amp;""),"%","")),0)&gt;0,IFERROR(VALUE(SUBSTITUTE(TRIM(Input!G1075&amp;""),"%","")),0)&lt;1),1,100))</f>
        <v/>
      </c>
      <c r="G1075" t="str">
        <f>IF(A1075="","",IFERROR(VALUE(SUBSTITUTE(TRIM(Input!H1075&amp;""),"%","")),0)/IF(AND(IFERROR(VALUE(SUBSTITUTE(TRIM(Input!H1075&amp;""),"%","")),0)&gt;0,IFERROR(VALUE(SUBSTITUTE(TRIM(Input!H1075&amp;""),"%","")),0)&lt;1),1,100))</f>
        <v/>
      </c>
      <c r="H1075" t="str">
        <f>IF(A1075="","",IFERROR(VALUE(SUBSTITUTE(TRIM(Input!I1075&amp;""),"%","")),0)/IF(AND(IFERROR(VALUE(SUBSTITUTE(TRIM(Input!I1075&amp;""),"%","")),0)&gt;0,IFERROR(VALUE(SUBSTITUTE(TRIM(Input!I1075&amp;""),"%","")),0)&lt;1),1,100))</f>
        <v/>
      </c>
    </row>
    <row r="1076" spans="1:8">
      <c r="A1076" t="str">
        <f>IF(TRIM(Input!B1076&amp;"")="","",UPPER(TRIM(Input!B1076&amp;"")))</f>
        <v/>
      </c>
      <c r="B1076" t="str">
        <f>IF(A1076="","",IFERROR(VALUE(RIGHT(TRIM(Input!D1076&amp;""),1)),0))</f>
        <v/>
      </c>
      <c r="C1076" t="str">
        <f t="shared" si="16"/>
        <v/>
      </c>
      <c r="D1076" t="str">
        <f>IF(A1076="","",IFERROR(VALUE(SUBSTITUTE(TRIM(Input!E1076&amp;""),"%","")),0)/IF(AND(IFERROR(VALUE(SUBSTITUTE(TRIM(Input!E1076&amp;""),"%","")),0)&gt;0,IFERROR(VALUE(SUBSTITUTE(TRIM(Input!E1076&amp;""),"%","")),0)&lt;1),1,100))</f>
        <v/>
      </c>
      <c r="E1076" t="str">
        <f>IF(A1076="","",IFERROR(VALUE(SUBSTITUTE(TRIM(Input!F1076&amp;""),"%","")),0)/IF(AND(IFERROR(VALUE(SUBSTITUTE(TRIM(Input!F1076&amp;""),"%","")),0)&gt;0,IFERROR(VALUE(SUBSTITUTE(TRIM(Input!F1076&amp;""),"%","")),0)&lt;1),1,100))</f>
        <v/>
      </c>
      <c r="F1076" t="str">
        <f>IF(A1076="","",IFERROR(VALUE(SUBSTITUTE(TRIM(Input!G1076&amp;""),"%","")),0)/IF(AND(IFERROR(VALUE(SUBSTITUTE(TRIM(Input!G1076&amp;""),"%","")),0)&gt;0,IFERROR(VALUE(SUBSTITUTE(TRIM(Input!G1076&amp;""),"%","")),0)&lt;1),1,100))</f>
        <v/>
      </c>
      <c r="G1076" t="str">
        <f>IF(A1076="","",IFERROR(VALUE(SUBSTITUTE(TRIM(Input!H1076&amp;""),"%","")),0)/IF(AND(IFERROR(VALUE(SUBSTITUTE(TRIM(Input!H1076&amp;""),"%","")),0)&gt;0,IFERROR(VALUE(SUBSTITUTE(TRIM(Input!H1076&amp;""),"%","")),0)&lt;1),1,100))</f>
        <v/>
      </c>
      <c r="H1076" t="str">
        <f>IF(A1076="","",IFERROR(VALUE(SUBSTITUTE(TRIM(Input!I1076&amp;""),"%","")),0)/IF(AND(IFERROR(VALUE(SUBSTITUTE(TRIM(Input!I1076&amp;""),"%","")),0)&gt;0,IFERROR(VALUE(SUBSTITUTE(TRIM(Input!I1076&amp;""),"%","")),0)&lt;1),1,100))</f>
        <v/>
      </c>
    </row>
    <row r="1077" spans="1:8">
      <c r="A1077" t="str">
        <f>IF(TRIM(Input!B1077&amp;"")="","",UPPER(TRIM(Input!B1077&amp;"")))</f>
        <v/>
      </c>
      <c r="B1077" t="str">
        <f>IF(A1077="","",IFERROR(VALUE(RIGHT(TRIM(Input!D1077&amp;""),1)),0))</f>
        <v/>
      </c>
      <c r="C1077" t="str">
        <f t="shared" si="16"/>
        <v/>
      </c>
      <c r="D1077" t="str">
        <f>IF(A1077="","",IFERROR(VALUE(SUBSTITUTE(TRIM(Input!E1077&amp;""),"%","")),0)/IF(AND(IFERROR(VALUE(SUBSTITUTE(TRIM(Input!E1077&amp;""),"%","")),0)&gt;0,IFERROR(VALUE(SUBSTITUTE(TRIM(Input!E1077&amp;""),"%","")),0)&lt;1),1,100))</f>
        <v/>
      </c>
      <c r="E1077" t="str">
        <f>IF(A1077="","",IFERROR(VALUE(SUBSTITUTE(TRIM(Input!F1077&amp;""),"%","")),0)/IF(AND(IFERROR(VALUE(SUBSTITUTE(TRIM(Input!F1077&amp;""),"%","")),0)&gt;0,IFERROR(VALUE(SUBSTITUTE(TRIM(Input!F1077&amp;""),"%","")),0)&lt;1),1,100))</f>
        <v/>
      </c>
      <c r="F1077" t="str">
        <f>IF(A1077="","",IFERROR(VALUE(SUBSTITUTE(TRIM(Input!G1077&amp;""),"%","")),0)/IF(AND(IFERROR(VALUE(SUBSTITUTE(TRIM(Input!G1077&amp;""),"%","")),0)&gt;0,IFERROR(VALUE(SUBSTITUTE(TRIM(Input!G1077&amp;""),"%","")),0)&lt;1),1,100))</f>
        <v/>
      </c>
      <c r="G1077" t="str">
        <f>IF(A1077="","",IFERROR(VALUE(SUBSTITUTE(TRIM(Input!H1077&amp;""),"%","")),0)/IF(AND(IFERROR(VALUE(SUBSTITUTE(TRIM(Input!H1077&amp;""),"%","")),0)&gt;0,IFERROR(VALUE(SUBSTITUTE(TRIM(Input!H1077&amp;""),"%","")),0)&lt;1),1,100))</f>
        <v/>
      </c>
      <c r="H1077" t="str">
        <f>IF(A1077="","",IFERROR(VALUE(SUBSTITUTE(TRIM(Input!I1077&amp;""),"%","")),0)/IF(AND(IFERROR(VALUE(SUBSTITUTE(TRIM(Input!I1077&amp;""),"%","")),0)&gt;0,IFERROR(VALUE(SUBSTITUTE(TRIM(Input!I1077&amp;""),"%","")),0)&lt;1),1,100))</f>
        <v/>
      </c>
    </row>
    <row r="1078" spans="1:8">
      <c r="A1078" t="str">
        <f>IF(TRIM(Input!B1078&amp;"")="","",UPPER(TRIM(Input!B1078&amp;"")))</f>
        <v/>
      </c>
      <c r="B1078" t="str">
        <f>IF(A1078="","",IFERROR(VALUE(RIGHT(TRIM(Input!D1078&amp;""),1)),0))</f>
        <v/>
      </c>
      <c r="C1078" t="str">
        <f t="shared" si="16"/>
        <v/>
      </c>
      <c r="D1078" t="str">
        <f>IF(A1078="","",IFERROR(VALUE(SUBSTITUTE(TRIM(Input!E1078&amp;""),"%","")),0)/IF(AND(IFERROR(VALUE(SUBSTITUTE(TRIM(Input!E1078&amp;""),"%","")),0)&gt;0,IFERROR(VALUE(SUBSTITUTE(TRIM(Input!E1078&amp;""),"%","")),0)&lt;1),1,100))</f>
        <v/>
      </c>
      <c r="E1078" t="str">
        <f>IF(A1078="","",IFERROR(VALUE(SUBSTITUTE(TRIM(Input!F1078&amp;""),"%","")),0)/IF(AND(IFERROR(VALUE(SUBSTITUTE(TRIM(Input!F1078&amp;""),"%","")),0)&gt;0,IFERROR(VALUE(SUBSTITUTE(TRIM(Input!F1078&amp;""),"%","")),0)&lt;1),1,100))</f>
        <v/>
      </c>
      <c r="F1078" t="str">
        <f>IF(A1078="","",IFERROR(VALUE(SUBSTITUTE(TRIM(Input!G1078&amp;""),"%","")),0)/IF(AND(IFERROR(VALUE(SUBSTITUTE(TRIM(Input!G1078&amp;""),"%","")),0)&gt;0,IFERROR(VALUE(SUBSTITUTE(TRIM(Input!G1078&amp;""),"%","")),0)&lt;1),1,100))</f>
        <v/>
      </c>
      <c r="G1078" t="str">
        <f>IF(A1078="","",IFERROR(VALUE(SUBSTITUTE(TRIM(Input!H1078&amp;""),"%","")),0)/IF(AND(IFERROR(VALUE(SUBSTITUTE(TRIM(Input!H1078&amp;""),"%","")),0)&gt;0,IFERROR(VALUE(SUBSTITUTE(TRIM(Input!H1078&amp;""),"%","")),0)&lt;1),1,100))</f>
        <v/>
      </c>
      <c r="H1078" t="str">
        <f>IF(A1078="","",IFERROR(VALUE(SUBSTITUTE(TRIM(Input!I1078&amp;""),"%","")),0)/IF(AND(IFERROR(VALUE(SUBSTITUTE(TRIM(Input!I1078&amp;""),"%","")),0)&gt;0,IFERROR(VALUE(SUBSTITUTE(TRIM(Input!I1078&amp;""),"%","")),0)&lt;1),1,100))</f>
        <v/>
      </c>
    </row>
    <row r="1079" spans="1:8">
      <c r="A1079" t="str">
        <f>IF(TRIM(Input!B1079&amp;"")="","",UPPER(TRIM(Input!B1079&amp;"")))</f>
        <v/>
      </c>
      <c r="B1079" t="str">
        <f>IF(A1079="","",IFERROR(VALUE(RIGHT(TRIM(Input!D1079&amp;""),1)),0))</f>
        <v/>
      </c>
      <c r="C1079" t="str">
        <f t="shared" si="16"/>
        <v/>
      </c>
      <c r="D1079" t="str">
        <f>IF(A1079="","",IFERROR(VALUE(SUBSTITUTE(TRIM(Input!E1079&amp;""),"%","")),0)/IF(AND(IFERROR(VALUE(SUBSTITUTE(TRIM(Input!E1079&amp;""),"%","")),0)&gt;0,IFERROR(VALUE(SUBSTITUTE(TRIM(Input!E1079&amp;""),"%","")),0)&lt;1),1,100))</f>
        <v/>
      </c>
      <c r="E1079" t="str">
        <f>IF(A1079="","",IFERROR(VALUE(SUBSTITUTE(TRIM(Input!F1079&amp;""),"%","")),0)/IF(AND(IFERROR(VALUE(SUBSTITUTE(TRIM(Input!F1079&amp;""),"%","")),0)&gt;0,IFERROR(VALUE(SUBSTITUTE(TRIM(Input!F1079&amp;""),"%","")),0)&lt;1),1,100))</f>
        <v/>
      </c>
      <c r="F1079" t="str">
        <f>IF(A1079="","",IFERROR(VALUE(SUBSTITUTE(TRIM(Input!G1079&amp;""),"%","")),0)/IF(AND(IFERROR(VALUE(SUBSTITUTE(TRIM(Input!G1079&amp;""),"%","")),0)&gt;0,IFERROR(VALUE(SUBSTITUTE(TRIM(Input!G1079&amp;""),"%","")),0)&lt;1),1,100))</f>
        <v/>
      </c>
      <c r="G1079" t="str">
        <f>IF(A1079="","",IFERROR(VALUE(SUBSTITUTE(TRIM(Input!H1079&amp;""),"%","")),0)/IF(AND(IFERROR(VALUE(SUBSTITUTE(TRIM(Input!H1079&amp;""),"%","")),0)&gt;0,IFERROR(VALUE(SUBSTITUTE(TRIM(Input!H1079&amp;""),"%","")),0)&lt;1),1,100))</f>
        <v/>
      </c>
      <c r="H1079" t="str">
        <f>IF(A1079="","",IFERROR(VALUE(SUBSTITUTE(TRIM(Input!I1079&amp;""),"%","")),0)/IF(AND(IFERROR(VALUE(SUBSTITUTE(TRIM(Input!I1079&amp;""),"%","")),0)&gt;0,IFERROR(VALUE(SUBSTITUTE(TRIM(Input!I1079&amp;""),"%","")),0)&lt;1),1,100))</f>
        <v/>
      </c>
    </row>
    <row r="1080" spans="1:8">
      <c r="A1080" t="str">
        <f>IF(TRIM(Input!B1080&amp;"")="","",UPPER(TRIM(Input!B1080&amp;"")))</f>
        <v/>
      </c>
      <c r="B1080" t="str">
        <f>IF(A1080="","",IFERROR(VALUE(RIGHT(TRIM(Input!D1080&amp;""),1)),0))</f>
        <v/>
      </c>
      <c r="C1080" t="str">
        <f t="shared" si="16"/>
        <v/>
      </c>
      <c r="D1080" t="str">
        <f>IF(A1080="","",IFERROR(VALUE(SUBSTITUTE(TRIM(Input!E1080&amp;""),"%","")),0)/IF(AND(IFERROR(VALUE(SUBSTITUTE(TRIM(Input!E1080&amp;""),"%","")),0)&gt;0,IFERROR(VALUE(SUBSTITUTE(TRIM(Input!E1080&amp;""),"%","")),0)&lt;1),1,100))</f>
        <v/>
      </c>
      <c r="E1080" t="str">
        <f>IF(A1080="","",IFERROR(VALUE(SUBSTITUTE(TRIM(Input!F1080&amp;""),"%","")),0)/IF(AND(IFERROR(VALUE(SUBSTITUTE(TRIM(Input!F1080&amp;""),"%","")),0)&gt;0,IFERROR(VALUE(SUBSTITUTE(TRIM(Input!F1080&amp;""),"%","")),0)&lt;1),1,100))</f>
        <v/>
      </c>
      <c r="F1080" t="str">
        <f>IF(A1080="","",IFERROR(VALUE(SUBSTITUTE(TRIM(Input!G1080&amp;""),"%","")),0)/IF(AND(IFERROR(VALUE(SUBSTITUTE(TRIM(Input!G1080&amp;""),"%","")),0)&gt;0,IFERROR(VALUE(SUBSTITUTE(TRIM(Input!G1080&amp;""),"%","")),0)&lt;1),1,100))</f>
        <v/>
      </c>
      <c r="G1080" t="str">
        <f>IF(A1080="","",IFERROR(VALUE(SUBSTITUTE(TRIM(Input!H1080&amp;""),"%","")),0)/IF(AND(IFERROR(VALUE(SUBSTITUTE(TRIM(Input!H1080&amp;""),"%","")),0)&gt;0,IFERROR(VALUE(SUBSTITUTE(TRIM(Input!H1080&amp;""),"%","")),0)&lt;1),1,100))</f>
        <v/>
      </c>
      <c r="H1080" t="str">
        <f>IF(A1080="","",IFERROR(VALUE(SUBSTITUTE(TRIM(Input!I1080&amp;""),"%","")),0)/IF(AND(IFERROR(VALUE(SUBSTITUTE(TRIM(Input!I1080&amp;""),"%","")),0)&gt;0,IFERROR(VALUE(SUBSTITUTE(TRIM(Input!I1080&amp;""),"%","")),0)&lt;1),1,100))</f>
        <v/>
      </c>
    </row>
    <row r="1081" spans="1:8">
      <c r="A1081" t="str">
        <f>IF(TRIM(Input!B1081&amp;"")="","",UPPER(TRIM(Input!B1081&amp;"")))</f>
        <v/>
      </c>
      <c r="B1081" t="str">
        <f>IF(A1081="","",IFERROR(VALUE(RIGHT(TRIM(Input!D1081&amp;""),1)),0))</f>
        <v/>
      </c>
      <c r="C1081" t="str">
        <f t="shared" si="16"/>
        <v/>
      </c>
      <c r="D1081" t="str">
        <f>IF(A1081="","",IFERROR(VALUE(SUBSTITUTE(TRIM(Input!E1081&amp;""),"%","")),0)/IF(AND(IFERROR(VALUE(SUBSTITUTE(TRIM(Input!E1081&amp;""),"%","")),0)&gt;0,IFERROR(VALUE(SUBSTITUTE(TRIM(Input!E1081&amp;""),"%","")),0)&lt;1),1,100))</f>
        <v/>
      </c>
      <c r="E1081" t="str">
        <f>IF(A1081="","",IFERROR(VALUE(SUBSTITUTE(TRIM(Input!F1081&amp;""),"%","")),0)/IF(AND(IFERROR(VALUE(SUBSTITUTE(TRIM(Input!F1081&amp;""),"%","")),0)&gt;0,IFERROR(VALUE(SUBSTITUTE(TRIM(Input!F1081&amp;""),"%","")),0)&lt;1),1,100))</f>
        <v/>
      </c>
      <c r="F1081" t="str">
        <f>IF(A1081="","",IFERROR(VALUE(SUBSTITUTE(TRIM(Input!G1081&amp;""),"%","")),0)/IF(AND(IFERROR(VALUE(SUBSTITUTE(TRIM(Input!G1081&amp;""),"%","")),0)&gt;0,IFERROR(VALUE(SUBSTITUTE(TRIM(Input!G1081&amp;""),"%","")),0)&lt;1),1,100))</f>
        <v/>
      </c>
      <c r="G1081" t="str">
        <f>IF(A1081="","",IFERROR(VALUE(SUBSTITUTE(TRIM(Input!H1081&amp;""),"%","")),0)/IF(AND(IFERROR(VALUE(SUBSTITUTE(TRIM(Input!H1081&amp;""),"%","")),0)&gt;0,IFERROR(VALUE(SUBSTITUTE(TRIM(Input!H1081&amp;""),"%","")),0)&lt;1),1,100))</f>
        <v/>
      </c>
      <c r="H1081" t="str">
        <f>IF(A1081="","",IFERROR(VALUE(SUBSTITUTE(TRIM(Input!I1081&amp;""),"%","")),0)/IF(AND(IFERROR(VALUE(SUBSTITUTE(TRIM(Input!I1081&amp;""),"%","")),0)&gt;0,IFERROR(VALUE(SUBSTITUTE(TRIM(Input!I1081&amp;""),"%","")),0)&lt;1),1,100))</f>
        <v/>
      </c>
    </row>
    <row r="1082" spans="1:8">
      <c r="A1082" t="str">
        <f>IF(TRIM(Input!B1082&amp;"")="","",UPPER(TRIM(Input!B1082&amp;"")))</f>
        <v/>
      </c>
      <c r="B1082" t="str">
        <f>IF(A1082="","",IFERROR(VALUE(RIGHT(TRIM(Input!D1082&amp;""),1)),0))</f>
        <v/>
      </c>
      <c r="C1082" t="str">
        <f t="shared" si="16"/>
        <v/>
      </c>
      <c r="D1082" t="str">
        <f>IF(A1082="","",IFERROR(VALUE(SUBSTITUTE(TRIM(Input!E1082&amp;""),"%","")),0)/IF(AND(IFERROR(VALUE(SUBSTITUTE(TRIM(Input!E1082&amp;""),"%","")),0)&gt;0,IFERROR(VALUE(SUBSTITUTE(TRIM(Input!E1082&amp;""),"%","")),0)&lt;1),1,100))</f>
        <v/>
      </c>
      <c r="E1082" t="str">
        <f>IF(A1082="","",IFERROR(VALUE(SUBSTITUTE(TRIM(Input!F1082&amp;""),"%","")),0)/IF(AND(IFERROR(VALUE(SUBSTITUTE(TRIM(Input!F1082&amp;""),"%","")),0)&gt;0,IFERROR(VALUE(SUBSTITUTE(TRIM(Input!F1082&amp;""),"%","")),0)&lt;1),1,100))</f>
        <v/>
      </c>
      <c r="F1082" t="str">
        <f>IF(A1082="","",IFERROR(VALUE(SUBSTITUTE(TRIM(Input!G1082&amp;""),"%","")),0)/IF(AND(IFERROR(VALUE(SUBSTITUTE(TRIM(Input!G1082&amp;""),"%","")),0)&gt;0,IFERROR(VALUE(SUBSTITUTE(TRIM(Input!G1082&amp;""),"%","")),0)&lt;1),1,100))</f>
        <v/>
      </c>
      <c r="G1082" t="str">
        <f>IF(A1082="","",IFERROR(VALUE(SUBSTITUTE(TRIM(Input!H1082&amp;""),"%","")),0)/IF(AND(IFERROR(VALUE(SUBSTITUTE(TRIM(Input!H1082&amp;""),"%","")),0)&gt;0,IFERROR(VALUE(SUBSTITUTE(TRIM(Input!H1082&amp;""),"%","")),0)&lt;1),1,100))</f>
        <v/>
      </c>
      <c r="H1082" t="str">
        <f>IF(A1082="","",IFERROR(VALUE(SUBSTITUTE(TRIM(Input!I1082&amp;""),"%","")),0)/IF(AND(IFERROR(VALUE(SUBSTITUTE(TRIM(Input!I1082&amp;""),"%","")),0)&gt;0,IFERROR(VALUE(SUBSTITUTE(TRIM(Input!I1082&amp;""),"%","")),0)&lt;1),1,100))</f>
        <v/>
      </c>
    </row>
    <row r="1083" spans="1:8">
      <c r="A1083" t="str">
        <f>IF(TRIM(Input!B1083&amp;"")="","",UPPER(TRIM(Input!B1083&amp;"")))</f>
        <v/>
      </c>
      <c r="B1083" t="str">
        <f>IF(A1083="","",IFERROR(VALUE(RIGHT(TRIM(Input!D1083&amp;""),1)),0))</f>
        <v/>
      </c>
      <c r="C1083" t="str">
        <f t="shared" si="16"/>
        <v/>
      </c>
      <c r="D1083" t="str">
        <f>IF(A1083="","",IFERROR(VALUE(SUBSTITUTE(TRIM(Input!E1083&amp;""),"%","")),0)/IF(AND(IFERROR(VALUE(SUBSTITUTE(TRIM(Input!E1083&amp;""),"%","")),0)&gt;0,IFERROR(VALUE(SUBSTITUTE(TRIM(Input!E1083&amp;""),"%","")),0)&lt;1),1,100))</f>
        <v/>
      </c>
      <c r="E1083" t="str">
        <f>IF(A1083="","",IFERROR(VALUE(SUBSTITUTE(TRIM(Input!F1083&amp;""),"%","")),0)/IF(AND(IFERROR(VALUE(SUBSTITUTE(TRIM(Input!F1083&amp;""),"%","")),0)&gt;0,IFERROR(VALUE(SUBSTITUTE(TRIM(Input!F1083&amp;""),"%","")),0)&lt;1),1,100))</f>
        <v/>
      </c>
      <c r="F1083" t="str">
        <f>IF(A1083="","",IFERROR(VALUE(SUBSTITUTE(TRIM(Input!G1083&amp;""),"%","")),0)/IF(AND(IFERROR(VALUE(SUBSTITUTE(TRIM(Input!G1083&amp;""),"%","")),0)&gt;0,IFERROR(VALUE(SUBSTITUTE(TRIM(Input!G1083&amp;""),"%","")),0)&lt;1),1,100))</f>
        <v/>
      </c>
      <c r="G1083" t="str">
        <f>IF(A1083="","",IFERROR(VALUE(SUBSTITUTE(TRIM(Input!H1083&amp;""),"%","")),0)/IF(AND(IFERROR(VALUE(SUBSTITUTE(TRIM(Input!H1083&amp;""),"%","")),0)&gt;0,IFERROR(VALUE(SUBSTITUTE(TRIM(Input!H1083&amp;""),"%","")),0)&lt;1),1,100))</f>
        <v/>
      </c>
      <c r="H1083" t="str">
        <f>IF(A1083="","",IFERROR(VALUE(SUBSTITUTE(TRIM(Input!I1083&amp;""),"%","")),0)/IF(AND(IFERROR(VALUE(SUBSTITUTE(TRIM(Input!I1083&amp;""),"%","")),0)&gt;0,IFERROR(VALUE(SUBSTITUTE(TRIM(Input!I1083&amp;""),"%","")),0)&lt;1),1,100))</f>
        <v/>
      </c>
    </row>
    <row r="1084" spans="1:8">
      <c r="A1084" t="str">
        <f>IF(TRIM(Input!B1084&amp;"")="","",UPPER(TRIM(Input!B1084&amp;"")))</f>
        <v/>
      </c>
      <c r="B1084" t="str">
        <f>IF(A1084="","",IFERROR(VALUE(RIGHT(TRIM(Input!D1084&amp;""),1)),0))</f>
        <v/>
      </c>
      <c r="C1084" t="str">
        <f t="shared" si="16"/>
        <v/>
      </c>
      <c r="D1084" t="str">
        <f>IF(A1084="","",IFERROR(VALUE(SUBSTITUTE(TRIM(Input!E1084&amp;""),"%","")),0)/IF(AND(IFERROR(VALUE(SUBSTITUTE(TRIM(Input!E1084&amp;""),"%","")),0)&gt;0,IFERROR(VALUE(SUBSTITUTE(TRIM(Input!E1084&amp;""),"%","")),0)&lt;1),1,100))</f>
        <v/>
      </c>
      <c r="E1084" t="str">
        <f>IF(A1084="","",IFERROR(VALUE(SUBSTITUTE(TRIM(Input!F1084&amp;""),"%","")),0)/IF(AND(IFERROR(VALUE(SUBSTITUTE(TRIM(Input!F1084&amp;""),"%","")),0)&gt;0,IFERROR(VALUE(SUBSTITUTE(TRIM(Input!F1084&amp;""),"%","")),0)&lt;1),1,100))</f>
        <v/>
      </c>
      <c r="F1084" t="str">
        <f>IF(A1084="","",IFERROR(VALUE(SUBSTITUTE(TRIM(Input!G1084&amp;""),"%","")),0)/IF(AND(IFERROR(VALUE(SUBSTITUTE(TRIM(Input!G1084&amp;""),"%","")),0)&gt;0,IFERROR(VALUE(SUBSTITUTE(TRIM(Input!G1084&amp;""),"%","")),0)&lt;1),1,100))</f>
        <v/>
      </c>
      <c r="G1084" t="str">
        <f>IF(A1084="","",IFERROR(VALUE(SUBSTITUTE(TRIM(Input!H1084&amp;""),"%","")),0)/IF(AND(IFERROR(VALUE(SUBSTITUTE(TRIM(Input!H1084&amp;""),"%","")),0)&gt;0,IFERROR(VALUE(SUBSTITUTE(TRIM(Input!H1084&amp;""),"%","")),0)&lt;1),1,100))</f>
        <v/>
      </c>
      <c r="H1084" t="str">
        <f>IF(A1084="","",IFERROR(VALUE(SUBSTITUTE(TRIM(Input!I1084&amp;""),"%","")),0)/IF(AND(IFERROR(VALUE(SUBSTITUTE(TRIM(Input!I1084&amp;""),"%","")),0)&gt;0,IFERROR(VALUE(SUBSTITUTE(TRIM(Input!I1084&amp;""),"%","")),0)&lt;1),1,100))</f>
        <v/>
      </c>
    </row>
    <row r="1085" spans="1:8">
      <c r="A1085" t="str">
        <f>IF(TRIM(Input!B1085&amp;"")="","",UPPER(TRIM(Input!B1085&amp;"")))</f>
        <v/>
      </c>
      <c r="B1085" t="str">
        <f>IF(A1085="","",IFERROR(VALUE(RIGHT(TRIM(Input!D1085&amp;""),1)),0))</f>
        <v/>
      </c>
      <c r="C1085" t="str">
        <f t="shared" si="16"/>
        <v/>
      </c>
      <c r="D1085" t="str">
        <f>IF(A1085="","",IFERROR(VALUE(SUBSTITUTE(TRIM(Input!E1085&amp;""),"%","")),0)/IF(AND(IFERROR(VALUE(SUBSTITUTE(TRIM(Input!E1085&amp;""),"%","")),0)&gt;0,IFERROR(VALUE(SUBSTITUTE(TRIM(Input!E1085&amp;""),"%","")),0)&lt;1),1,100))</f>
        <v/>
      </c>
      <c r="E1085" t="str">
        <f>IF(A1085="","",IFERROR(VALUE(SUBSTITUTE(TRIM(Input!F1085&amp;""),"%","")),0)/IF(AND(IFERROR(VALUE(SUBSTITUTE(TRIM(Input!F1085&amp;""),"%","")),0)&gt;0,IFERROR(VALUE(SUBSTITUTE(TRIM(Input!F1085&amp;""),"%","")),0)&lt;1),1,100))</f>
        <v/>
      </c>
      <c r="F1085" t="str">
        <f>IF(A1085="","",IFERROR(VALUE(SUBSTITUTE(TRIM(Input!G1085&amp;""),"%","")),0)/IF(AND(IFERROR(VALUE(SUBSTITUTE(TRIM(Input!G1085&amp;""),"%","")),0)&gt;0,IFERROR(VALUE(SUBSTITUTE(TRIM(Input!G1085&amp;""),"%","")),0)&lt;1),1,100))</f>
        <v/>
      </c>
      <c r="G1085" t="str">
        <f>IF(A1085="","",IFERROR(VALUE(SUBSTITUTE(TRIM(Input!H1085&amp;""),"%","")),0)/IF(AND(IFERROR(VALUE(SUBSTITUTE(TRIM(Input!H1085&amp;""),"%","")),0)&gt;0,IFERROR(VALUE(SUBSTITUTE(TRIM(Input!H1085&amp;""),"%","")),0)&lt;1),1,100))</f>
        <v/>
      </c>
      <c r="H1085" t="str">
        <f>IF(A1085="","",IFERROR(VALUE(SUBSTITUTE(TRIM(Input!I1085&amp;""),"%","")),0)/IF(AND(IFERROR(VALUE(SUBSTITUTE(TRIM(Input!I1085&amp;""),"%","")),0)&gt;0,IFERROR(VALUE(SUBSTITUTE(TRIM(Input!I1085&amp;""),"%","")),0)&lt;1),1,100))</f>
        <v/>
      </c>
    </row>
    <row r="1086" spans="1:8">
      <c r="A1086" t="str">
        <f>IF(TRIM(Input!B1086&amp;"")="","",UPPER(TRIM(Input!B1086&amp;"")))</f>
        <v/>
      </c>
      <c r="B1086" t="str">
        <f>IF(A1086="","",IFERROR(VALUE(RIGHT(TRIM(Input!D1086&amp;""),1)),0))</f>
        <v/>
      </c>
      <c r="C1086" t="str">
        <f t="shared" si="16"/>
        <v/>
      </c>
      <c r="D1086" t="str">
        <f>IF(A1086="","",IFERROR(VALUE(SUBSTITUTE(TRIM(Input!E1086&amp;""),"%","")),0)/IF(AND(IFERROR(VALUE(SUBSTITUTE(TRIM(Input!E1086&amp;""),"%","")),0)&gt;0,IFERROR(VALUE(SUBSTITUTE(TRIM(Input!E1086&amp;""),"%","")),0)&lt;1),1,100))</f>
        <v/>
      </c>
      <c r="E1086" t="str">
        <f>IF(A1086="","",IFERROR(VALUE(SUBSTITUTE(TRIM(Input!F1086&amp;""),"%","")),0)/IF(AND(IFERROR(VALUE(SUBSTITUTE(TRIM(Input!F1086&amp;""),"%","")),0)&gt;0,IFERROR(VALUE(SUBSTITUTE(TRIM(Input!F1086&amp;""),"%","")),0)&lt;1),1,100))</f>
        <v/>
      </c>
      <c r="F1086" t="str">
        <f>IF(A1086="","",IFERROR(VALUE(SUBSTITUTE(TRIM(Input!G1086&amp;""),"%","")),0)/IF(AND(IFERROR(VALUE(SUBSTITUTE(TRIM(Input!G1086&amp;""),"%","")),0)&gt;0,IFERROR(VALUE(SUBSTITUTE(TRIM(Input!G1086&amp;""),"%","")),0)&lt;1),1,100))</f>
        <v/>
      </c>
      <c r="G1086" t="str">
        <f>IF(A1086="","",IFERROR(VALUE(SUBSTITUTE(TRIM(Input!H1086&amp;""),"%","")),0)/IF(AND(IFERROR(VALUE(SUBSTITUTE(TRIM(Input!H1086&amp;""),"%","")),0)&gt;0,IFERROR(VALUE(SUBSTITUTE(TRIM(Input!H1086&amp;""),"%","")),0)&lt;1),1,100))</f>
        <v/>
      </c>
      <c r="H1086" t="str">
        <f>IF(A1086="","",IFERROR(VALUE(SUBSTITUTE(TRIM(Input!I1086&amp;""),"%","")),0)/IF(AND(IFERROR(VALUE(SUBSTITUTE(TRIM(Input!I1086&amp;""),"%","")),0)&gt;0,IFERROR(VALUE(SUBSTITUTE(TRIM(Input!I1086&amp;""),"%","")),0)&lt;1),1,100))</f>
        <v/>
      </c>
    </row>
    <row r="1087" spans="1:8">
      <c r="A1087" t="str">
        <f>IF(TRIM(Input!B1087&amp;"")="","",UPPER(TRIM(Input!B1087&amp;"")))</f>
        <v/>
      </c>
      <c r="B1087" t="str">
        <f>IF(A1087="","",IFERROR(VALUE(RIGHT(TRIM(Input!D1087&amp;""),1)),0))</f>
        <v/>
      </c>
      <c r="C1087" t="str">
        <f t="shared" si="16"/>
        <v/>
      </c>
      <c r="D1087" t="str">
        <f>IF(A1087="","",IFERROR(VALUE(SUBSTITUTE(TRIM(Input!E1087&amp;""),"%","")),0)/IF(AND(IFERROR(VALUE(SUBSTITUTE(TRIM(Input!E1087&amp;""),"%","")),0)&gt;0,IFERROR(VALUE(SUBSTITUTE(TRIM(Input!E1087&amp;""),"%","")),0)&lt;1),1,100))</f>
        <v/>
      </c>
      <c r="E1087" t="str">
        <f>IF(A1087="","",IFERROR(VALUE(SUBSTITUTE(TRIM(Input!F1087&amp;""),"%","")),0)/IF(AND(IFERROR(VALUE(SUBSTITUTE(TRIM(Input!F1087&amp;""),"%","")),0)&gt;0,IFERROR(VALUE(SUBSTITUTE(TRIM(Input!F1087&amp;""),"%","")),0)&lt;1),1,100))</f>
        <v/>
      </c>
      <c r="F1087" t="str">
        <f>IF(A1087="","",IFERROR(VALUE(SUBSTITUTE(TRIM(Input!G1087&amp;""),"%","")),0)/IF(AND(IFERROR(VALUE(SUBSTITUTE(TRIM(Input!G1087&amp;""),"%","")),0)&gt;0,IFERROR(VALUE(SUBSTITUTE(TRIM(Input!G1087&amp;""),"%","")),0)&lt;1),1,100))</f>
        <v/>
      </c>
      <c r="G1087" t="str">
        <f>IF(A1087="","",IFERROR(VALUE(SUBSTITUTE(TRIM(Input!H1087&amp;""),"%","")),0)/IF(AND(IFERROR(VALUE(SUBSTITUTE(TRIM(Input!H1087&amp;""),"%","")),0)&gt;0,IFERROR(VALUE(SUBSTITUTE(TRIM(Input!H1087&amp;""),"%","")),0)&lt;1),1,100))</f>
        <v/>
      </c>
      <c r="H1087" t="str">
        <f>IF(A1087="","",IFERROR(VALUE(SUBSTITUTE(TRIM(Input!I1087&amp;""),"%","")),0)/IF(AND(IFERROR(VALUE(SUBSTITUTE(TRIM(Input!I1087&amp;""),"%","")),0)&gt;0,IFERROR(VALUE(SUBSTITUTE(TRIM(Input!I1087&amp;""),"%","")),0)&lt;1),1,100))</f>
        <v/>
      </c>
    </row>
    <row r="1088" spans="1:8">
      <c r="A1088" t="str">
        <f>IF(TRIM(Input!B1088&amp;"")="","",UPPER(TRIM(Input!B1088&amp;"")))</f>
        <v/>
      </c>
      <c r="B1088" t="str">
        <f>IF(A1088="","",IFERROR(VALUE(RIGHT(TRIM(Input!D1088&amp;""),1)),0))</f>
        <v/>
      </c>
      <c r="C1088" t="str">
        <f t="shared" si="16"/>
        <v/>
      </c>
      <c r="D1088" t="str">
        <f>IF(A1088="","",IFERROR(VALUE(SUBSTITUTE(TRIM(Input!E1088&amp;""),"%","")),0)/IF(AND(IFERROR(VALUE(SUBSTITUTE(TRIM(Input!E1088&amp;""),"%","")),0)&gt;0,IFERROR(VALUE(SUBSTITUTE(TRIM(Input!E1088&amp;""),"%","")),0)&lt;1),1,100))</f>
        <v/>
      </c>
      <c r="E1088" t="str">
        <f>IF(A1088="","",IFERROR(VALUE(SUBSTITUTE(TRIM(Input!F1088&amp;""),"%","")),0)/IF(AND(IFERROR(VALUE(SUBSTITUTE(TRIM(Input!F1088&amp;""),"%","")),0)&gt;0,IFERROR(VALUE(SUBSTITUTE(TRIM(Input!F1088&amp;""),"%","")),0)&lt;1),1,100))</f>
        <v/>
      </c>
      <c r="F1088" t="str">
        <f>IF(A1088="","",IFERROR(VALUE(SUBSTITUTE(TRIM(Input!G1088&amp;""),"%","")),0)/IF(AND(IFERROR(VALUE(SUBSTITUTE(TRIM(Input!G1088&amp;""),"%","")),0)&gt;0,IFERROR(VALUE(SUBSTITUTE(TRIM(Input!G1088&amp;""),"%","")),0)&lt;1),1,100))</f>
        <v/>
      </c>
      <c r="G1088" t="str">
        <f>IF(A1088="","",IFERROR(VALUE(SUBSTITUTE(TRIM(Input!H1088&amp;""),"%","")),0)/IF(AND(IFERROR(VALUE(SUBSTITUTE(TRIM(Input!H1088&amp;""),"%","")),0)&gt;0,IFERROR(VALUE(SUBSTITUTE(TRIM(Input!H1088&amp;""),"%","")),0)&lt;1),1,100))</f>
        <v/>
      </c>
      <c r="H1088" t="str">
        <f>IF(A1088="","",IFERROR(VALUE(SUBSTITUTE(TRIM(Input!I1088&amp;""),"%","")),0)/IF(AND(IFERROR(VALUE(SUBSTITUTE(TRIM(Input!I1088&amp;""),"%","")),0)&gt;0,IFERROR(VALUE(SUBSTITUTE(TRIM(Input!I1088&amp;""),"%","")),0)&lt;1),1,100))</f>
        <v/>
      </c>
    </row>
    <row r="1089" spans="1:8">
      <c r="A1089" t="str">
        <f>IF(TRIM(Input!B1089&amp;"")="","",UPPER(TRIM(Input!B1089&amp;"")))</f>
        <v/>
      </c>
      <c r="B1089" t="str">
        <f>IF(A1089="","",IFERROR(VALUE(RIGHT(TRIM(Input!D1089&amp;""),1)),0))</f>
        <v/>
      </c>
      <c r="C1089" t="str">
        <f t="shared" si="16"/>
        <v/>
      </c>
      <c r="D1089" t="str">
        <f>IF(A1089="","",IFERROR(VALUE(SUBSTITUTE(TRIM(Input!E1089&amp;""),"%","")),0)/IF(AND(IFERROR(VALUE(SUBSTITUTE(TRIM(Input!E1089&amp;""),"%","")),0)&gt;0,IFERROR(VALUE(SUBSTITUTE(TRIM(Input!E1089&amp;""),"%","")),0)&lt;1),1,100))</f>
        <v/>
      </c>
      <c r="E1089" t="str">
        <f>IF(A1089="","",IFERROR(VALUE(SUBSTITUTE(TRIM(Input!F1089&amp;""),"%","")),0)/IF(AND(IFERROR(VALUE(SUBSTITUTE(TRIM(Input!F1089&amp;""),"%","")),0)&gt;0,IFERROR(VALUE(SUBSTITUTE(TRIM(Input!F1089&amp;""),"%","")),0)&lt;1),1,100))</f>
        <v/>
      </c>
      <c r="F1089" t="str">
        <f>IF(A1089="","",IFERROR(VALUE(SUBSTITUTE(TRIM(Input!G1089&amp;""),"%","")),0)/IF(AND(IFERROR(VALUE(SUBSTITUTE(TRIM(Input!G1089&amp;""),"%","")),0)&gt;0,IFERROR(VALUE(SUBSTITUTE(TRIM(Input!G1089&amp;""),"%","")),0)&lt;1),1,100))</f>
        <v/>
      </c>
      <c r="G1089" t="str">
        <f>IF(A1089="","",IFERROR(VALUE(SUBSTITUTE(TRIM(Input!H1089&amp;""),"%","")),0)/IF(AND(IFERROR(VALUE(SUBSTITUTE(TRIM(Input!H1089&amp;""),"%","")),0)&gt;0,IFERROR(VALUE(SUBSTITUTE(TRIM(Input!H1089&amp;""),"%","")),0)&lt;1),1,100))</f>
        <v/>
      </c>
      <c r="H1089" t="str">
        <f>IF(A1089="","",IFERROR(VALUE(SUBSTITUTE(TRIM(Input!I1089&amp;""),"%","")),0)/IF(AND(IFERROR(VALUE(SUBSTITUTE(TRIM(Input!I1089&amp;""),"%","")),0)&gt;0,IFERROR(VALUE(SUBSTITUTE(TRIM(Input!I1089&amp;""),"%","")),0)&lt;1),1,100))</f>
        <v/>
      </c>
    </row>
    <row r="1090" spans="1:8">
      <c r="A1090" t="str">
        <f>IF(TRIM(Input!B1090&amp;"")="","",UPPER(TRIM(Input!B1090&amp;"")))</f>
        <v/>
      </c>
      <c r="B1090" t="str">
        <f>IF(A1090="","",IFERROR(VALUE(RIGHT(TRIM(Input!D1090&amp;""),1)),0))</f>
        <v/>
      </c>
      <c r="C1090" t="str">
        <f t="shared" ref="C1090:C1153" si="17">IF(A1090="","",A1090&amp;"|"&amp;B1090)</f>
        <v/>
      </c>
      <c r="D1090" t="str">
        <f>IF(A1090="","",IFERROR(VALUE(SUBSTITUTE(TRIM(Input!E1090&amp;""),"%","")),0)/IF(AND(IFERROR(VALUE(SUBSTITUTE(TRIM(Input!E1090&amp;""),"%","")),0)&gt;0,IFERROR(VALUE(SUBSTITUTE(TRIM(Input!E1090&amp;""),"%","")),0)&lt;1),1,100))</f>
        <v/>
      </c>
      <c r="E1090" t="str">
        <f>IF(A1090="","",IFERROR(VALUE(SUBSTITUTE(TRIM(Input!F1090&amp;""),"%","")),0)/IF(AND(IFERROR(VALUE(SUBSTITUTE(TRIM(Input!F1090&amp;""),"%","")),0)&gt;0,IFERROR(VALUE(SUBSTITUTE(TRIM(Input!F1090&amp;""),"%","")),0)&lt;1),1,100))</f>
        <v/>
      </c>
      <c r="F1090" t="str">
        <f>IF(A1090="","",IFERROR(VALUE(SUBSTITUTE(TRIM(Input!G1090&amp;""),"%","")),0)/IF(AND(IFERROR(VALUE(SUBSTITUTE(TRIM(Input!G1090&amp;""),"%","")),0)&gt;0,IFERROR(VALUE(SUBSTITUTE(TRIM(Input!G1090&amp;""),"%","")),0)&lt;1),1,100))</f>
        <v/>
      </c>
      <c r="G1090" t="str">
        <f>IF(A1090="","",IFERROR(VALUE(SUBSTITUTE(TRIM(Input!H1090&amp;""),"%","")),0)/IF(AND(IFERROR(VALUE(SUBSTITUTE(TRIM(Input!H1090&amp;""),"%","")),0)&gt;0,IFERROR(VALUE(SUBSTITUTE(TRIM(Input!H1090&amp;""),"%","")),0)&lt;1),1,100))</f>
        <v/>
      </c>
      <c r="H1090" t="str">
        <f>IF(A1090="","",IFERROR(VALUE(SUBSTITUTE(TRIM(Input!I1090&amp;""),"%","")),0)/IF(AND(IFERROR(VALUE(SUBSTITUTE(TRIM(Input!I1090&amp;""),"%","")),0)&gt;0,IFERROR(VALUE(SUBSTITUTE(TRIM(Input!I1090&amp;""),"%","")),0)&lt;1),1,100))</f>
        <v/>
      </c>
    </row>
    <row r="1091" spans="1:8">
      <c r="A1091" t="str">
        <f>IF(TRIM(Input!B1091&amp;"")="","",UPPER(TRIM(Input!B1091&amp;"")))</f>
        <v/>
      </c>
      <c r="B1091" t="str">
        <f>IF(A1091="","",IFERROR(VALUE(RIGHT(TRIM(Input!D1091&amp;""),1)),0))</f>
        <v/>
      </c>
      <c r="C1091" t="str">
        <f t="shared" si="17"/>
        <v/>
      </c>
      <c r="D1091" t="str">
        <f>IF(A1091="","",IFERROR(VALUE(SUBSTITUTE(TRIM(Input!E1091&amp;""),"%","")),0)/IF(AND(IFERROR(VALUE(SUBSTITUTE(TRIM(Input!E1091&amp;""),"%","")),0)&gt;0,IFERROR(VALUE(SUBSTITUTE(TRIM(Input!E1091&amp;""),"%","")),0)&lt;1),1,100))</f>
        <v/>
      </c>
      <c r="E1091" t="str">
        <f>IF(A1091="","",IFERROR(VALUE(SUBSTITUTE(TRIM(Input!F1091&amp;""),"%","")),0)/IF(AND(IFERROR(VALUE(SUBSTITUTE(TRIM(Input!F1091&amp;""),"%","")),0)&gt;0,IFERROR(VALUE(SUBSTITUTE(TRIM(Input!F1091&amp;""),"%","")),0)&lt;1),1,100))</f>
        <v/>
      </c>
      <c r="F1091" t="str">
        <f>IF(A1091="","",IFERROR(VALUE(SUBSTITUTE(TRIM(Input!G1091&amp;""),"%","")),0)/IF(AND(IFERROR(VALUE(SUBSTITUTE(TRIM(Input!G1091&amp;""),"%","")),0)&gt;0,IFERROR(VALUE(SUBSTITUTE(TRIM(Input!G1091&amp;""),"%","")),0)&lt;1),1,100))</f>
        <v/>
      </c>
      <c r="G1091" t="str">
        <f>IF(A1091="","",IFERROR(VALUE(SUBSTITUTE(TRIM(Input!H1091&amp;""),"%","")),0)/IF(AND(IFERROR(VALUE(SUBSTITUTE(TRIM(Input!H1091&amp;""),"%","")),0)&gt;0,IFERROR(VALUE(SUBSTITUTE(TRIM(Input!H1091&amp;""),"%","")),0)&lt;1),1,100))</f>
        <v/>
      </c>
      <c r="H1091" t="str">
        <f>IF(A1091="","",IFERROR(VALUE(SUBSTITUTE(TRIM(Input!I1091&amp;""),"%","")),0)/IF(AND(IFERROR(VALUE(SUBSTITUTE(TRIM(Input!I1091&amp;""),"%","")),0)&gt;0,IFERROR(VALUE(SUBSTITUTE(TRIM(Input!I1091&amp;""),"%","")),0)&lt;1),1,100))</f>
        <v/>
      </c>
    </row>
    <row r="1092" spans="1:8">
      <c r="A1092" t="str">
        <f>IF(TRIM(Input!B1092&amp;"")="","",UPPER(TRIM(Input!B1092&amp;"")))</f>
        <v/>
      </c>
      <c r="B1092" t="str">
        <f>IF(A1092="","",IFERROR(VALUE(RIGHT(TRIM(Input!D1092&amp;""),1)),0))</f>
        <v/>
      </c>
      <c r="C1092" t="str">
        <f t="shared" si="17"/>
        <v/>
      </c>
      <c r="D1092" t="str">
        <f>IF(A1092="","",IFERROR(VALUE(SUBSTITUTE(TRIM(Input!E1092&amp;""),"%","")),0)/IF(AND(IFERROR(VALUE(SUBSTITUTE(TRIM(Input!E1092&amp;""),"%","")),0)&gt;0,IFERROR(VALUE(SUBSTITUTE(TRIM(Input!E1092&amp;""),"%","")),0)&lt;1),1,100))</f>
        <v/>
      </c>
      <c r="E1092" t="str">
        <f>IF(A1092="","",IFERROR(VALUE(SUBSTITUTE(TRIM(Input!F1092&amp;""),"%","")),0)/IF(AND(IFERROR(VALUE(SUBSTITUTE(TRIM(Input!F1092&amp;""),"%","")),0)&gt;0,IFERROR(VALUE(SUBSTITUTE(TRIM(Input!F1092&amp;""),"%","")),0)&lt;1),1,100))</f>
        <v/>
      </c>
      <c r="F1092" t="str">
        <f>IF(A1092="","",IFERROR(VALUE(SUBSTITUTE(TRIM(Input!G1092&amp;""),"%","")),0)/IF(AND(IFERROR(VALUE(SUBSTITUTE(TRIM(Input!G1092&amp;""),"%","")),0)&gt;0,IFERROR(VALUE(SUBSTITUTE(TRIM(Input!G1092&amp;""),"%","")),0)&lt;1),1,100))</f>
        <v/>
      </c>
      <c r="G1092" t="str">
        <f>IF(A1092="","",IFERROR(VALUE(SUBSTITUTE(TRIM(Input!H1092&amp;""),"%","")),0)/IF(AND(IFERROR(VALUE(SUBSTITUTE(TRIM(Input!H1092&amp;""),"%","")),0)&gt;0,IFERROR(VALUE(SUBSTITUTE(TRIM(Input!H1092&amp;""),"%","")),0)&lt;1),1,100))</f>
        <v/>
      </c>
      <c r="H1092" t="str">
        <f>IF(A1092="","",IFERROR(VALUE(SUBSTITUTE(TRIM(Input!I1092&amp;""),"%","")),0)/IF(AND(IFERROR(VALUE(SUBSTITUTE(TRIM(Input!I1092&amp;""),"%","")),0)&gt;0,IFERROR(VALUE(SUBSTITUTE(TRIM(Input!I1092&amp;""),"%","")),0)&lt;1),1,100))</f>
        <v/>
      </c>
    </row>
    <row r="1093" spans="1:8">
      <c r="A1093" t="str">
        <f>IF(TRIM(Input!B1093&amp;"")="","",UPPER(TRIM(Input!B1093&amp;"")))</f>
        <v/>
      </c>
      <c r="B1093" t="str">
        <f>IF(A1093="","",IFERROR(VALUE(RIGHT(TRIM(Input!D1093&amp;""),1)),0))</f>
        <v/>
      </c>
      <c r="C1093" t="str">
        <f t="shared" si="17"/>
        <v/>
      </c>
      <c r="D1093" t="str">
        <f>IF(A1093="","",IFERROR(VALUE(SUBSTITUTE(TRIM(Input!E1093&amp;""),"%","")),0)/IF(AND(IFERROR(VALUE(SUBSTITUTE(TRIM(Input!E1093&amp;""),"%","")),0)&gt;0,IFERROR(VALUE(SUBSTITUTE(TRIM(Input!E1093&amp;""),"%","")),0)&lt;1),1,100))</f>
        <v/>
      </c>
      <c r="E1093" t="str">
        <f>IF(A1093="","",IFERROR(VALUE(SUBSTITUTE(TRIM(Input!F1093&amp;""),"%","")),0)/IF(AND(IFERROR(VALUE(SUBSTITUTE(TRIM(Input!F1093&amp;""),"%","")),0)&gt;0,IFERROR(VALUE(SUBSTITUTE(TRIM(Input!F1093&amp;""),"%","")),0)&lt;1),1,100))</f>
        <v/>
      </c>
      <c r="F1093" t="str">
        <f>IF(A1093="","",IFERROR(VALUE(SUBSTITUTE(TRIM(Input!G1093&amp;""),"%","")),0)/IF(AND(IFERROR(VALUE(SUBSTITUTE(TRIM(Input!G1093&amp;""),"%","")),0)&gt;0,IFERROR(VALUE(SUBSTITUTE(TRIM(Input!G1093&amp;""),"%","")),0)&lt;1),1,100))</f>
        <v/>
      </c>
      <c r="G1093" t="str">
        <f>IF(A1093="","",IFERROR(VALUE(SUBSTITUTE(TRIM(Input!H1093&amp;""),"%","")),0)/IF(AND(IFERROR(VALUE(SUBSTITUTE(TRIM(Input!H1093&amp;""),"%","")),0)&gt;0,IFERROR(VALUE(SUBSTITUTE(TRIM(Input!H1093&amp;""),"%","")),0)&lt;1),1,100))</f>
        <v/>
      </c>
      <c r="H1093" t="str">
        <f>IF(A1093="","",IFERROR(VALUE(SUBSTITUTE(TRIM(Input!I1093&amp;""),"%","")),0)/IF(AND(IFERROR(VALUE(SUBSTITUTE(TRIM(Input!I1093&amp;""),"%","")),0)&gt;0,IFERROR(VALUE(SUBSTITUTE(TRIM(Input!I1093&amp;""),"%","")),0)&lt;1),1,100))</f>
        <v/>
      </c>
    </row>
    <row r="1094" spans="1:8">
      <c r="A1094" t="str">
        <f>IF(TRIM(Input!B1094&amp;"")="","",UPPER(TRIM(Input!B1094&amp;"")))</f>
        <v/>
      </c>
      <c r="B1094" t="str">
        <f>IF(A1094="","",IFERROR(VALUE(RIGHT(TRIM(Input!D1094&amp;""),1)),0))</f>
        <v/>
      </c>
      <c r="C1094" t="str">
        <f t="shared" si="17"/>
        <v/>
      </c>
      <c r="D1094" t="str">
        <f>IF(A1094="","",IFERROR(VALUE(SUBSTITUTE(TRIM(Input!E1094&amp;""),"%","")),0)/IF(AND(IFERROR(VALUE(SUBSTITUTE(TRIM(Input!E1094&amp;""),"%","")),0)&gt;0,IFERROR(VALUE(SUBSTITUTE(TRIM(Input!E1094&amp;""),"%","")),0)&lt;1),1,100))</f>
        <v/>
      </c>
      <c r="E1094" t="str">
        <f>IF(A1094="","",IFERROR(VALUE(SUBSTITUTE(TRIM(Input!F1094&amp;""),"%","")),0)/IF(AND(IFERROR(VALUE(SUBSTITUTE(TRIM(Input!F1094&amp;""),"%","")),0)&gt;0,IFERROR(VALUE(SUBSTITUTE(TRIM(Input!F1094&amp;""),"%","")),0)&lt;1),1,100))</f>
        <v/>
      </c>
      <c r="F1094" t="str">
        <f>IF(A1094="","",IFERROR(VALUE(SUBSTITUTE(TRIM(Input!G1094&amp;""),"%","")),0)/IF(AND(IFERROR(VALUE(SUBSTITUTE(TRIM(Input!G1094&amp;""),"%","")),0)&gt;0,IFERROR(VALUE(SUBSTITUTE(TRIM(Input!G1094&amp;""),"%","")),0)&lt;1),1,100))</f>
        <v/>
      </c>
      <c r="G1094" t="str">
        <f>IF(A1094="","",IFERROR(VALUE(SUBSTITUTE(TRIM(Input!H1094&amp;""),"%","")),0)/IF(AND(IFERROR(VALUE(SUBSTITUTE(TRIM(Input!H1094&amp;""),"%","")),0)&gt;0,IFERROR(VALUE(SUBSTITUTE(TRIM(Input!H1094&amp;""),"%","")),0)&lt;1),1,100))</f>
        <v/>
      </c>
      <c r="H1094" t="str">
        <f>IF(A1094="","",IFERROR(VALUE(SUBSTITUTE(TRIM(Input!I1094&amp;""),"%","")),0)/IF(AND(IFERROR(VALUE(SUBSTITUTE(TRIM(Input!I1094&amp;""),"%","")),0)&gt;0,IFERROR(VALUE(SUBSTITUTE(TRIM(Input!I1094&amp;""),"%","")),0)&lt;1),1,100))</f>
        <v/>
      </c>
    </row>
    <row r="1095" spans="1:8">
      <c r="A1095" t="str">
        <f>IF(TRIM(Input!B1095&amp;"")="","",UPPER(TRIM(Input!B1095&amp;"")))</f>
        <v/>
      </c>
      <c r="B1095" t="str">
        <f>IF(A1095="","",IFERROR(VALUE(RIGHT(TRIM(Input!D1095&amp;""),1)),0))</f>
        <v/>
      </c>
      <c r="C1095" t="str">
        <f t="shared" si="17"/>
        <v/>
      </c>
      <c r="D1095" t="str">
        <f>IF(A1095="","",IFERROR(VALUE(SUBSTITUTE(TRIM(Input!E1095&amp;""),"%","")),0)/IF(AND(IFERROR(VALUE(SUBSTITUTE(TRIM(Input!E1095&amp;""),"%","")),0)&gt;0,IFERROR(VALUE(SUBSTITUTE(TRIM(Input!E1095&amp;""),"%","")),0)&lt;1),1,100))</f>
        <v/>
      </c>
      <c r="E1095" t="str">
        <f>IF(A1095="","",IFERROR(VALUE(SUBSTITUTE(TRIM(Input!F1095&amp;""),"%","")),0)/IF(AND(IFERROR(VALUE(SUBSTITUTE(TRIM(Input!F1095&amp;""),"%","")),0)&gt;0,IFERROR(VALUE(SUBSTITUTE(TRIM(Input!F1095&amp;""),"%","")),0)&lt;1),1,100))</f>
        <v/>
      </c>
      <c r="F1095" t="str">
        <f>IF(A1095="","",IFERROR(VALUE(SUBSTITUTE(TRIM(Input!G1095&amp;""),"%","")),0)/IF(AND(IFERROR(VALUE(SUBSTITUTE(TRIM(Input!G1095&amp;""),"%","")),0)&gt;0,IFERROR(VALUE(SUBSTITUTE(TRIM(Input!G1095&amp;""),"%","")),0)&lt;1),1,100))</f>
        <v/>
      </c>
      <c r="G1095" t="str">
        <f>IF(A1095="","",IFERROR(VALUE(SUBSTITUTE(TRIM(Input!H1095&amp;""),"%","")),0)/IF(AND(IFERROR(VALUE(SUBSTITUTE(TRIM(Input!H1095&amp;""),"%","")),0)&gt;0,IFERROR(VALUE(SUBSTITUTE(TRIM(Input!H1095&amp;""),"%","")),0)&lt;1),1,100))</f>
        <v/>
      </c>
      <c r="H1095" t="str">
        <f>IF(A1095="","",IFERROR(VALUE(SUBSTITUTE(TRIM(Input!I1095&amp;""),"%","")),0)/IF(AND(IFERROR(VALUE(SUBSTITUTE(TRIM(Input!I1095&amp;""),"%","")),0)&gt;0,IFERROR(VALUE(SUBSTITUTE(TRIM(Input!I1095&amp;""),"%","")),0)&lt;1),1,100))</f>
        <v/>
      </c>
    </row>
    <row r="1096" spans="1:8">
      <c r="A1096" t="str">
        <f>IF(TRIM(Input!B1096&amp;"")="","",UPPER(TRIM(Input!B1096&amp;"")))</f>
        <v/>
      </c>
      <c r="B1096" t="str">
        <f>IF(A1096="","",IFERROR(VALUE(RIGHT(TRIM(Input!D1096&amp;""),1)),0))</f>
        <v/>
      </c>
      <c r="C1096" t="str">
        <f t="shared" si="17"/>
        <v/>
      </c>
      <c r="D1096" t="str">
        <f>IF(A1096="","",IFERROR(VALUE(SUBSTITUTE(TRIM(Input!E1096&amp;""),"%","")),0)/IF(AND(IFERROR(VALUE(SUBSTITUTE(TRIM(Input!E1096&amp;""),"%","")),0)&gt;0,IFERROR(VALUE(SUBSTITUTE(TRIM(Input!E1096&amp;""),"%","")),0)&lt;1),1,100))</f>
        <v/>
      </c>
      <c r="E1096" t="str">
        <f>IF(A1096="","",IFERROR(VALUE(SUBSTITUTE(TRIM(Input!F1096&amp;""),"%","")),0)/IF(AND(IFERROR(VALUE(SUBSTITUTE(TRIM(Input!F1096&amp;""),"%","")),0)&gt;0,IFERROR(VALUE(SUBSTITUTE(TRIM(Input!F1096&amp;""),"%","")),0)&lt;1),1,100))</f>
        <v/>
      </c>
      <c r="F1096" t="str">
        <f>IF(A1096="","",IFERROR(VALUE(SUBSTITUTE(TRIM(Input!G1096&amp;""),"%","")),0)/IF(AND(IFERROR(VALUE(SUBSTITUTE(TRIM(Input!G1096&amp;""),"%","")),0)&gt;0,IFERROR(VALUE(SUBSTITUTE(TRIM(Input!G1096&amp;""),"%","")),0)&lt;1),1,100))</f>
        <v/>
      </c>
      <c r="G1096" t="str">
        <f>IF(A1096="","",IFERROR(VALUE(SUBSTITUTE(TRIM(Input!H1096&amp;""),"%","")),0)/IF(AND(IFERROR(VALUE(SUBSTITUTE(TRIM(Input!H1096&amp;""),"%","")),0)&gt;0,IFERROR(VALUE(SUBSTITUTE(TRIM(Input!H1096&amp;""),"%","")),0)&lt;1),1,100))</f>
        <v/>
      </c>
      <c r="H1096" t="str">
        <f>IF(A1096="","",IFERROR(VALUE(SUBSTITUTE(TRIM(Input!I1096&amp;""),"%","")),0)/IF(AND(IFERROR(VALUE(SUBSTITUTE(TRIM(Input!I1096&amp;""),"%","")),0)&gt;0,IFERROR(VALUE(SUBSTITUTE(TRIM(Input!I1096&amp;""),"%","")),0)&lt;1),1,100))</f>
        <v/>
      </c>
    </row>
    <row r="1097" spans="1:8">
      <c r="A1097" t="str">
        <f>IF(TRIM(Input!B1097&amp;"")="","",UPPER(TRIM(Input!B1097&amp;"")))</f>
        <v/>
      </c>
      <c r="B1097" t="str">
        <f>IF(A1097="","",IFERROR(VALUE(RIGHT(TRIM(Input!D1097&amp;""),1)),0))</f>
        <v/>
      </c>
      <c r="C1097" t="str">
        <f t="shared" si="17"/>
        <v/>
      </c>
      <c r="D1097" t="str">
        <f>IF(A1097="","",IFERROR(VALUE(SUBSTITUTE(TRIM(Input!E1097&amp;""),"%","")),0)/IF(AND(IFERROR(VALUE(SUBSTITUTE(TRIM(Input!E1097&amp;""),"%","")),0)&gt;0,IFERROR(VALUE(SUBSTITUTE(TRIM(Input!E1097&amp;""),"%","")),0)&lt;1),1,100))</f>
        <v/>
      </c>
      <c r="E1097" t="str">
        <f>IF(A1097="","",IFERROR(VALUE(SUBSTITUTE(TRIM(Input!F1097&amp;""),"%","")),0)/IF(AND(IFERROR(VALUE(SUBSTITUTE(TRIM(Input!F1097&amp;""),"%","")),0)&gt;0,IFERROR(VALUE(SUBSTITUTE(TRIM(Input!F1097&amp;""),"%","")),0)&lt;1),1,100))</f>
        <v/>
      </c>
      <c r="F1097" t="str">
        <f>IF(A1097="","",IFERROR(VALUE(SUBSTITUTE(TRIM(Input!G1097&amp;""),"%","")),0)/IF(AND(IFERROR(VALUE(SUBSTITUTE(TRIM(Input!G1097&amp;""),"%","")),0)&gt;0,IFERROR(VALUE(SUBSTITUTE(TRIM(Input!G1097&amp;""),"%","")),0)&lt;1),1,100))</f>
        <v/>
      </c>
      <c r="G1097" t="str">
        <f>IF(A1097="","",IFERROR(VALUE(SUBSTITUTE(TRIM(Input!H1097&amp;""),"%","")),0)/IF(AND(IFERROR(VALUE(SUBSTITUTE(TRIM(Input!H1097&amp;""),"%","")),0)&gt;0,IFERROR(VALUE(SUBSTITUTE(TRIM(Input!H1097&amp;""),"%","")),0)&lt;1),1,100))</f>
        <v/>
      </c>
      <c r="H1097" t="str">
        <f>IF(A1097="","",IFERROR(VALUE(SUBSTITUTE(TRIM(Input!I1097&amp;""),"%","")),0)/IF(AND(IFERROR(VALUE(SUBSTITUTE(TRIM(Input!I1097&amp;""),"%","")),0)&gt;0,IFERROR(VALUE(SUBSTITUTE(TRIM(Input!I1097&amp;""),"%","")),0)&lt;1),1,100))</f>
        <v/>
      </c>
    </row>
    <row r="1098" spans="1:8">
      <c r="A1098" t="str">
        <f>IF(TRIM(Input!B1098&amp;"")="","",UPPER(TRIM(Input!B1098&amp;"")))</f>
        <v/>
      </c>
      <c r="B1098" t="str">
        <f>IF(A1098="","",IFERROR(VALUE(RIGHT(TRIM(Input!D1098&amp;""),1)),0))</f>
        <v/>
      </c>
      <c r="C1098" t="str">
        <f t="shared" si="17"/>
        <v/>
      </c>
      <c r="D1098" t="str">
        <f>IF(A1098="","",IFERROR(VALUE(SUBSTITUTE(TRIM(Input!E1098&amp;""),"%","")),0)/IF(AND(IFERROR(VALUE(SUBSTITUTE(TRIM(Input!E1098&amp;""),"%","")),0)&gt;0,IFERROR(VALUE(SUBSTITUTE(TRIM(Input!E1098&amp;""),"%","")),0)&lt;1),1,100))</f>
        <v/>
      </c>
      <c r="E1098" t="str">
        <f>IF(A1098="","",IFERROR(VALUE(SUBSTITUTE(TRIM(Input!F1098&amp;""),"%","")),0)/IF(AND(IFERROR(VALUE(SUBSTITUTE(TRIM(Input!F1098&amp;""),"%","")),0)&gt;0,IFERROR(VALUE(SUBSTITUTE(TRIM(Input!F1098&amp;""),"%","")),0)&lt;1),1,100))</f>
        <v/>
      </c>
      <c r="F1098" t="str">
        <f>IF(A1098="","",IFERROR(VALUE(SUBSTITUTE(TRIM(Input!G1098&amp;""),"%","")),0)/IF(AND(IFERROR(VALUE(SUBSTITUTE(TRIM(Input!G1098&amp;""),"%","")),0)&gt;0,IFERROR(VALUE(SUBSTITUTE(TRIM(Input!G1098&amp;""),"%","")),0)&lt;1),1,100))</f>
        <v/>
      </c>
      <c r="G1098" t="str">
        <f>IF(A1098="","",IFERROR(VALUE(SUBSTITUTE(TRIM(Input!H1098&amp;""),"%","")),0)/IF(AND(IFERROR(VALUE(SUBSTITUTE(TRIM(Input!H1098&amp;""),"%","")),0)&gt;0,IFERROR(VALUE(SUBSTITUTE(TRIM(Input!H1098&amp;""),"%","")),0)&lt;1),1,100))</f>
        <v/>
      </c>
      <c r="H1098" t="str">
        <f>IF(A1098="","",IFERROR(VALUE(SUBSTITUTE(TRIM(Input!I1098&amp;""),"%","")),0)/IF(AND(IFERROR(VALUE(SUBSTITUTE(TRIM(Input!I1098&amp;""),"%","")),0)&gt;0,IFERROR(VALUE(SUBSTITUTE(TRIM(Input!I1098&amp;""),"%","")),0)&lt;1),1,100))</f>
        <v/>
      </c>
    </row>
    <row r="1099" spans="1:8">
      <c r="A1099" t="str">
        <f>IF(TRIM(Input!B1099&amp;"")="","",UPPER(TRIM(Input!B1099&amp;"")))</f>
        <v/>
      </c>
      <c r="B1099" t="str">
        <f>IF(A1099="","",IFERROR(VALUE(RIGHT(TRIM(Input!D1099&amp;""),1)),0))</f>
        <v/>
      </c>
      <c r="C1099" t="str">
        <f t="shared" si="17"/>
        <v/>
      </c>
      <c r="D1099" t="str">
        <f>IF(A1099="","",IFERROR(VALUE(SUBSTITUTE(TRIM(Input!E1099&amp;""),"%","")),0)/IF(AND(IFERROR(VALUE(SUBSTITUTE(TRIM(Input!E1099&amp;""),"%","")),0)&gt;0,IFERROR(VALUE(SUBSTITUTE(TRIM(Input!E1099&amp;""),"%","")),0)&lt;1),1,100))</f>
        <v/>
      </c>
      <c r="E1099" t="str">
        <f>IF(A1099="","",IFERROR(VALUE(SUBSTITUTE(TRIM(Input!F1099&amp;""),"%","")),0)/IF(AND(IFERROR(VALUE(SUBSTITUTE(TRIM(Input!F1099&amp;""),"%","")),0)&gt;0,IFERROR(VALUE(SUBSTITUTE(TRIM(Input!F1099&amp;""),"%","")),0)&lt;1),1,100))</f>
        <v/>
      </c>
      <c r="F1099" t="str">
        <f>IF(A1099="","",IFERROR(VALUE(SUBSTITUTE(TRIM(Input!G1099&amp;""),"%","")),0)/IF(AND(IFERROR(VALUE(SUBSTITUTE(TRIM(Input!G1099&amp;""),"%","")),0)&gt;0,IFERROR(VALUE(SUBSTITUTE(TRIM(Input!G1099&amp;""),"%","")),0)&lt;1),1,100))</f>
        <v/>
      </c>
      <c r="G1099" t="str">
        <f>IF(A1099="","",IFERROR(VALUE(SUBSTITUTE(TRIM(Input!H1099&amp;""),"%","")),0)/IF(AND(IFERROR(VALUE(SUBSTITUTE(TRIM(Input!H1099&amp;""),"%","")),0)&gt;0,IFERROR(VALUE(SUBSTITUTE(TRIM(Input!H1099&amp;""),"%","")),0)&lt;1),1,100))</f>
        <v/>
      </c>
      <c r="H1099" t="str">
        <f>IF(A1099="","",IFERROR(VALUE(SUBSTITUTE(TRIM(Input!I1099&amp;""),"%","")),0)/IF(AND(IFERROR(VALUE(SUBSTITUTE(TRIM(Input!I1099&amp;""),"%","")),0)&gt;0,IFERROR(VALUE(SUBSTITUTE(TRIM(Input!I1099&amp;""),"%","")),0)&lt;1),1,100))</f>
        <v/>
      </c>
    </row>
    <row r="1100" spans="1:8">
      <c r="A1100" t="str">
        <f>IF(TRIM(Input!B1100&amp;"")="","",UPPER(TRIM(Input!B1100&amp;"")))</f>
        <v/>
      </c>
      <c r="B1100" t="str">
        <f>IF(A1100="","",IFERROR(VALUE(RIGHT(TRIM(Input!D1100&amp;""),1)),0))</f>
        <v/>
      </c>
      <c r="C1100" t="str">
        <f t="shared" si="17"/>
        <v/>
      </c>
      <c r="D1100" t="str">
        <f>IF(A1100="","",IFERROR(VALUE(SUBSTITUTE(TRIM(Input!E1100&amp;""),"%","")),0)/IF(AND(IFERROR(VALUE(SUBSTITUTE(TRIM(Input!E1100&amp;""),"%","")),0)&gt;0,IFERROR(VALUE(SUBSTITUTE(TRIM(Input!E1100&amp;""),"%","")),0)&lt;1),1,100))</f>
        <v/>
      </c>
      <c r="E1100" t="str">
        <f>IF(A1100="","",IFERROR(VALUE(SUBSTITUTE(TRIM(Input!F1100&amp;""),"%","")),0)/IF(AND(IFERROR(VALUE(SUBSTITUTE(TRIM(Input!F1100&amp;""),"%","")),0)&gt;0,IFERROR(VALUE(SUBSTITUTE(TRIM(Input!F1100&amp;""),"%","")),0)&lt;1),1,100))</f>
        <v/>
      </c>
      <c r="F1100" t="str">
        <f>IF(A1100="","",IFERROR(VALUE(SUBSTITUTE(TRIM(Input!G1100&amp;""),"%","")),0)/IF(AND(IFERROR(VALUE(SUBSTITUTE(TRIM(Input!G1100&amp;""),"%","")),0)&gt;0,IFERROR(VALUE(SUBSTITUTE(TRIM(Input!G1100&amp;""),"%","")),0)&lt;1),1,100))</f>
        <v/>
      </c>
      <c r="G1100" t="str">
        <f>IF(A1100="","",IFERROR(VALUE(SUBSTITUTE(TRIM(Input!H1100&amp;""),"%","")),0)/IF(AND(IFERROR(VALUE(SUBSTITUTE(TRIM(Input!H1100&amp;""),"%","")),0)&gt;0,IFERROR(VALUE(SUBSTITUTE(TRIM(Input!H1100&amp;""),"%","")),0)&lt;1),1,100))</f>
        <v/>
      </c>
      <c r="H1100" t="str">
        <f>IF(A1100="","",IFERROR(VALUE(SUBSTITUTE(TRIM(Input!I1100&amp;""),"%","")),0)/IF(AND(IFERROR(VALUE(SUBSTITUTE(TRIM(Input!I1100&amp;""),"%","")),0)&gt;0,IFERROR(VALUE(SUBSTITUTE(TRIM(Input!I1100&amp;""),"%","")),0)&lt;1),1,100))</f>
        <v/>
      </c>
    </row>
    <row r="1101" spans="1:8">
      <c r="A1101" t="str">
        <f>IF(TRIM(Input!B1101&amp;"")="","",UPPER(TRIM(Input!B1101&amp;"")))</f>
        <v/>
      </c>
      <c r="B1101" t="str">
        <f>IF(A1101="","",IFERROR(VALUE(RIGHT(TRIM(Input!D1101&amp;""),1)),0))</f>
        <v/>
      </c>
      <c r="C1101" t="str">
        <f t="shared" si="17"/>
        <v/>
      </c>
      <c r="D1101" t="str">
        <f>IF(A1101="","",IFERROR(VALUE(SUBSTITUTE(TRIM(Input!E1101&amp;""),"%","")),0)/IF(AND(IFERROR(VALUE(SUBSTITUTE(TRIM(Input!E1101&amp;""),"%","")),0)&gt;0,IFERROR(VALUE(SUBSTITUTE(TRIM(Input!E1101&amp;""),"%","")),0)&lt;1),1,100))</f>
        <v/>
      </c>
      <c r="E1101" t="str">
        <f>IF(A1101="","",IFERROR(VALUE(SUBSTITUTE(TRIM(Input!F1101&amp;""),"%","")),0)/IF(AND(IFERROR(VALUE(SUBSTITUTE(TRIM(Input!F1101&amp;""),"%","")),0)&gt;0,IFERROR(VALUE(SUBSTITUTE(TRIM(Input!F1101&amp;""),"%","")),0)&lt;1),1,100))</f>
        <v/>
      </c>
      <c r="F1101" t="str">
        <f>IF(A1101="","",IFERROR(VALUE(SUBSTITUTE(TRIM(Input!G1101&amp;""),"%","")),0)/IF(AND(IFERROR(VALUE(SUBSTITUTE(TRIM(Input!G1101&amp;""),"%","")),0)&gt;0,IFERROR(VALUE(SUBSTITUTE(TRIM(Input!G1101&amp;""),"%","")),0)&lt;1),1,100))</f>
        <v/>
      </c>
      <c r="G1101" t="str">
        <f>IF(A1101="","",IFERROR(VALUE(SUBSTITUTE(TRIM(Input!H1101&amp;""),"%","")),0)/IF(AND(IFERROR(VALUE(SUBSTITUTE(TRIM(Input!H1101&amp;""),"%","")),0)&gt;0,IFERROR(VALUE(SUBSTITUTE(TRIM(Input!H1101&amp;""),"%","")),0)&lt;1),1,100))</f>
        <v/>
      </c>
      <c r="H1101" t="str">
        <f>IF(A1101="","",IFERROR(VALUE(SUBSTITUTE(TRIM(Input!I1101&amp;""),"%","")),0)/IF(AND(IFERROR(VALUE(SUBSTITUTE(TRIM(Input!I1101&amp;""),"%","")),0)&gt;0,IFERROR(VALUE(SUBSTITUTE(TRIM(Input!I1101&amp;""),"%","")),0)&lt;1),1,100))</f>
        <v/>
      </c>
    </row>
    <row r="1102" spans="1:8">
      <c r="A1102" t="str">
        <f>IF(TRIM(Input!B1102&amp;"")="","",UPPER(TRIM(Input!B1102&amp;"")))</f>
        <v/>
      </c>
      <c r="B1102" t="str">
        <f>IF(A1102="","",IFERROR(VALUE(RIGHT(TRIM(Input!D1102&amp;""),1)),0))</f>
        <v/>
      </c>
      <c r="C1102" t="str">
        <f t="shared" si="17"/>
        <v/>
      </c>
      <c r="D1102" t="str">
        <f>IF(A1102="","",IFERROR(VALUE(SUBSTITUTE(TRIM(Input!E1102&amp;""),"%","")),0)/IF(AND(IFERROR(VALUE(SUBSTITUTE(TRIM(Input!E1102&amp;""),"%","")),0)&gt;0,IFERROR(VALUE(SUBSTITUTE(TRIM(Input!E1102&amp;""),"%","")),0)&lt;1),1,100))</f>
        <v/>
      </c>
      <c r="E1102" t="str">
        <f>IF(A1102="","",IFERROR(VALUE(SUBSTITUTE(TRIM(Input!F1102&amp;""),"%","")),0)/IF(AND(IFERROR(VALUE(SUBSTITUTE(TRIM(Input!F1102&amp;""),"%","")),0)&gt;0,IFERROR(VALUE(SUBSTITUTE(TRIM(Input!F1102&amp;""),"%","")),0)&lt;1),1,100))</f>
        <v/>
      </c>
      <c r="F1102" t="str">
        <f>IF(A1102="","",IFERROR(VALUE(SUBSTITUTE(TRIM(Input!G1102&amp;""),"%","")),0)/IF(AND(IFERROR(VALUE(SUBSTITUTE(TRIM(Input!G1102&amp;""),"%","")),0)&gt;0,IFERROR(VALUE(SUBSTITUTE(TRIM(Input!G1102&amp;""),"%","")),0)&lt;1),1,100))</f>
        <v/>
      </c>
      <c r="G1102" t="str">
        <f>IF(A1102="","",IFERROR(VALUE(SUBSTITUTE(TRIM(Input!H1102&amp;""),"%","")),0)/IF(AND(IFERROR(VALUE(SUBSTITUTE(TRIM(Input!H1102&amp;""),"%","")),0)&gt;0,IFERROR(VALUE(SUBSTITUTE(TRIM(Input!H1102&amp;""),"%","")),0)&lt;1),1,100))</f>
        <v/>
      </c>
      <c r="H1102" t="str">
        <f>IF(A1102="","",IFERROR(VALUE(SUBSTITUTE(TRIM(Input!I1102&amp;""),"%","")),0)/IF(AND(IFERROR(VALUE(SUBSTITUTE(TRIM(Input!I1102&amp;""),"%","")),0)&gt;0,IFERROR(VALUE(SUBSTITUTE(TRIM(Input!I1102&amp;""),"%","")),0)&lt;1),1,100))</f>
        <v/>
      </c>
    </row>
    <row r="1103" spans="1:8">
      <c r="A1103" t="str">
        <f>IF(TRIM(Input!B1103&amp;"")="","",UPPER(TRIM(Input!B1103&amp;"")))</f>
        <v/>
      </c>
      <c r="B1103" t="str">
        <f>IF(A1103="","",IFERROR(VALUE(RIGHT(TRIM(Input!D1103&amp;""),1)),0))</f>
        <v/>
      </c>
      <c r="C1103" t="str">
        <f t="shared" si="17"/>
        <v/>
      </c>
      <c r="D1103" t="str">
        <f>IF(A1103="","",IFERROR(VALUE(SUBSTITUTE(TRIM(Input!E1103&amp;""),"%","")),0)/IF(AND(IFERROR(VALUE(SUBSTITUTE(TRIM(Input!E1103&amp;""),"%","")),0)&gt;0,IFERROR(VALUE(SUBSTITUTE(TRIM(Input!E1103&amp;""),"%","")),0)&lt;1),1,100))</f>
        <v/>
      </c>
      <c r="E1103" t="str">
        <f>IF(A1103="","",IFERROR(VALUE(SUBSTITUTE(TRIM(Input!F1103&amp;""),"%","")),0)/IF(AND(IFERROR(VALUE(SUBSTITUTE(TRIM(Input!F1103&amp;""),"%","")),0)&gt;0,IFERROR(VALUE(SUBSTITUTE(TRIM(Input!F1103&amp;""),"%","")),0)&lt;1),1,100))</f>
        <v/>
      </c>
      <c r="F1103" t="str">
        <f>IF(A1103="","",IFERROR(VALUE(SUBSTITUTE(TRIM(Input!G1103&amp;""),"%","")),0)/IF(AND(IFERROR(VALUE(SUBSTITUTE(TRIM(Input!G1103&amp;""),"%","")),0)&gt;0,IFERROR(VALUE(SUBSTITUTE(TRIM(Input!G1103&amp;""),"%","")),0)&lt;1),1,100))</f>
        <v/>
      </c>
      <c r="G1103" t="str">
        <f>IF(A1103="","",IFERROR(VALUE(SUBSTITUTE(TRIM(Input!H1103&amp;""),"%","")),0)/IF(AND(IFERROR(VALUE(SUBSTITUTE(TRIM(Input!H1103&amp;""),"%","")),0)&gt;0,IFERROR(VALUE(SUBSTITUTE(TRIM(Input!H1103&amp;""),"%","")),0)&lt;1),1,100))</f>
        <v/>
      </c>
      <c r="H1103" t="str">
        <f>IF(A1103="","",IFERROR(VALUE(SUBSTITUTE(TRIM(Input!I1103&amp;""),"%","")),0)/IF(AND(IFERROR(VALUE(SUBSTITUTE(TRIM(Input!I1103&amp;""),"%","")),0)&gt;0,IFERROR(VALUE(SUBSTITUTE(TRIM(Input!I1103&amp;""),"%","")),0)&lt;1),1,100))</f>
        <v/>
      </c>
    </row>
    <row r="1104" spans="1:8">
      <c r="A1104" t="str">
        <f>IF(TRIM(Input!B1104&amp;"")="","",UPPER(TRIM(Input!B1104&amp;"")))</f>
        <v/>
      </c>
      <c r="B1104" t="str">
        <f>IF(A1104="","",IFERROR(VALUE(RIGHT(TRIM(Input!D1104&amp;""),1)),0))</f>
        <v/>
      </c>
      <c r="C1104" t="str">
        <f t="shared" si="17"/>
        <v/>
      </c>
      <c r="D1104" t="str">
        <f>IF(A1104="","",IFERROR(VALUE(SUBSTITUTE(TRIM(Input!E1104&amp;""),"%","")),0)/IF(AND(IFERROR(VALUE(SUBSTITUTE(TRIM(Input!E1104&amp;""),"%","")),0)&gt;0,IFERROR(VALUE(SUBSTITUTE(TRIM(Input!E1104&amp;""),"%","")),0)&lt;1),1,100))</f>
        <v/>
      </c>
      <c r="E1104" t="str">
        <f>IF(A1104="","",IFERROR(VALUE(SUBSTITUTE(TRIM(Input!F1104&amp;""),"%","")),0)/IF(AND(IFERROR(VALUE(SUBSTITUTE(TRIM(Input!F1104&amp;""),"%","")),0)&gt;0,IFERROR(VALUE(SUBSTITUTE(TRIM(Input!F1104&amp;""),"%","")),0)&lt;1),1,100))</f>
        <v/>
      </c>
      <c r="F1104" t="str">
        <f>IF(A1104="","",IFERROR(VALUE(SUBSTITUTE(TRIM(Input!G1104&amp;""),"%","")),0)/IF(AND(IFERROR(VALUE(SUBSTITUTE(TRIM(Input!G1104&amp;""),"%","")),0)&gt;0,IFERROR(VALUE(SUBSTITUTE(TRIM(Input!G1104&amp;""),"%","")),0)&lt;1),1,100))</f>
        <v/>
      </c>
      <c r="G1104" t="str">
        <f>IF(A1104="","",IFERROR(VALUE(SUBSTITUTE(TRIM(Input!H1104&amp;""),"%","")),0)/IF(AND(IFERROR(VALUE(SUBSTITUTE(TRIM(Input!H1104&amp;""),"%","")),0)&gt;0,IFERROR(VALUE(SUBSTITUTE(TRIM(Input!H1104&amp;""),"%","")),0)&lt;1),1,100))</f>
        <v/>
      </c>
      <c r="H1104" t="str">
        <f>IF(A1104="","",IFERROR(VALUE(SUBSTITUTE(TRIM(Input!I1104&amp;""),"%","")),0)/IF(AND(IFERROR(VALUE(SUBSTITUTE(TRIM(Input!I1104&amp;""),"%","")),0)&gt;0,IFERROR(VALUE(SUBSTITUTE(TRIM(Input!I1104&amp;""),"%","")),0)&lt;1),1,100))</f>
        <v/>
      </c>
    </row>
    <row r="1105" spans="1:8">
      <c r="A1105" t="str">
        <f>IF(TRIM(Input!B1105&amp;"")="","",UPPER(TRIM(Input!B1105&amp;"")))</f>
        <v/>
      </c>
      <c r="B1105" t="str">
        <f>IF(A1105="","",IFERROR(VALUE(RIGHT(TRIM(Input!D1105&amp;""),1)),0))</f>
        <v/>
      </c>
      <c r="C1105" t="str">
        <f t="shared" si="17"/>
        <v/>
      </c>
      <c r="D1105" t="str">
        <f>IF(A1105="","",IFERROR(VALUE(SUBSTITUTE(TRIM(Input!E1105&amp;""),"%","")),0)/IF(AND(IFERROR(VALUE(SUBSTITUTE(TRIM(Input!E1105&amp;""),"%","")),0)&gt;0,IFERROR(VALUE(SUBSTITUTE(TRIM(Input!E1105&amp;""),"%","")),0)&lt;1),1,100))</f>
        <v/>
      </c>
      <c r="E1105" t="str">
        <f>IF(A1105="","",IFERROR(VALUE(SUBSTITUTE(TRIM(Input!F1105&amp;""),"%","")),0)/IF(AND(IFERROR(VALUE(SUBSTITUTE(TRIM(Input!F1105&amp;""),"%","")),0)&gt;0,IFERROR(VALUE(SUBSTITUTE(TRIM(Input!F1105&amp;""),"%","")),0)&lt;1),1,100))</f>
        <v/>
      </c>
      <c r="F1105" t="str">
        <f>IF(A1105="","",IFERROR(VALUE(SUBSTITUTE(TRIM(Input!G1105&amp;""),"%","")),0)/IF(AND(IFERROR(VALUE(SUBSTITUTE(TRIM(Input!G1105&amp;""),"%","")),0)&gt;0,IFERROR(VALUE(SUBSTITUTE(TRIM(Input!G1105&amp;""),"%","")),0)&lt;1),1,100))</f>
        <v/>
      </c>
      <c r="G1105" t="str">
        <f>IF(A1105="","",IFERROR(VALUE(SUBSTITUTE(TRIM(Input!H1105&amp;""),"%","")),0)/IF(AND(IFERROR(VALUE(SUBSTITUTE(TRIM(Input!H1105&amp;""),"%","")),0)&gt;0,IFERROR(VALUE(SUBSTITUTE(TRIM(Input!H1105&amp;""),"%","")),0)&lt;1),1,100))</f>
        <v/>
      </c>
      <c r="H1105" t="str">
        <f>IF(A1105="","",IFERROR(VALUE(SUBSTITUTE(TRIM(Input!I1105&amp;""),"%","")),0)/IF(AND(IFERROR(VALUE(SUBSTITUTE(TRIM(Input!I1105&amp;""),"%","")),0)&gt;0,IFERROR(VALUE(SUBSTITUTE(TRIM(Input!I1105&amp;""),"%","")),0)&lt;1),1,100))</f>
        <v/>
      </c>
    </row>
    <row r="1106" spans="1:8">
      <c r="A1106" t="str">
        <f>IF(TRIM(Input!B1106&amp;"")="","",UPPER(TRIM(Input!B1106&amp;"")))</f>
        <v/>
      </c>
      <c r="B1106" t="str">
        <f>IF(A1106="","",IFERROR(VALUE(RIGHT(TRIM(Input!D1106&amp;""),1)),0))</f>
        <v/>
      </c>
      <c r="C1106" t="str">
        <f t="shared" si="17"/>
        <v/>
      </c>
      <c r="D1106" t="str">
        <f>IF(A1106="","",IFERROR(VALUE(SUBSTITUTE(TRIM(Input!E1106&amp;""),"%","")),0)/IF(AND(IFERROR(VALUE(SUBSTITUTE(TRIM(Input!E1106&amp;""),"%","")),0)&gt;0,IFERROR(VALUE(SUBSTITUTE(TRIM(Input!E1106&amp;""),"%","")),0)&lt;1),1,100))</f>
        <v/>
      </c>
      <c r="E1106" t="str">
        <f>IF(A1106="","",IFERROR(VALUE(SUBSTITUTE(TRIM(Input!F1106&amp;""),"%","")),0)/IF(AND(IFERROR(VALUE(SUBSTITUTE(TRIM(Input!F1106&amp;""),"%","")),0)&gt;0,IFERROR(VALUE(SUBSTITUTE(TRIM(Input!F1106&amp;""),"%","")),0)&lt;1),1,100))</f>
        <v/>
      </c>
      <c r="F1106" t="str">
        <f>IF(A1106="","",IFERROR(VALUE(SUBSTITUTE(TRIM(Input!G1106&amp;""),"%","")),0)/IF(AND(IFERROR(VALUE(SUBSTITUTE(TRIM(Input!G1106&amp;""),"%","")),0)&gt;0,IFERROR(VALUE(SUBSTITUTE(TRIM(Input!G1106&amp;""),"%","")),0)&lt;1),1,100))</f>
        <v/>
      </c>
      <c r="G1106" t="str">
        <f>IF(A1106="","",IFERROR(VALUE(SUBSTITUTE(TRIM(Input!H1106&amp;""),"%","")),0)/IF(AND(IFERROR(VALUE(SUBSTITUTE(TRIM(Input!H1106&amp;""),"%","")),0)&gt;0,IFERROR(VALUE(SUBSTITUTE(TRIM(Input!H1106&amp;""),"%","")),0)&lt;1),1,100))</f>
        <v/>
      </c>
      <c r="H1106" t="str">
        <f>IF(A1106="","",IFERROR(VALUE(SUBSTITUTE(TRIM(Input!I1106&amp;""),"%","")),0)/IF(AND(IFERROR(VALUE(SUBSTITUTE(TRIM(Input!I1106&amp;""),"%","")),0)&gt;0,IFERROR(VALUE(SUBSTITUTE(TRIM(Input!I1106&amp;""),"%","")),0)&lt;1),1,100))</f>
        <v/>
      </c>
    </row>
    <row r="1107" spans="1:8">
      <c r="A1107" t="str">
        <f>IF(TRIM(Input!B1107&amp;"")="","",UPPER(TRIM(Input!B1107&amp;"")))</f>
        <v/>
      </c>
      <c r="B1107" t="str">
        <f>IF(A1107="","",IFERROR(VALUE(RIGHT(TRIM(Input!D1107&amp;""),1)),0))</f>
        <v/>
      </c>
      <c r="C1107" t="str">
        <f t="shared" si="17"/>
        <v/>
      </c>
      <c r="D1107" t="str">
        <f>IF(A1107="","",IFERROR(VALUE(SUBSTITUTE(TRIM(Input!E1107&amp;""),"%","")),0)/IF(AND(IFERROR(VALUE(SUBSTITUTE(TRIM(Input!E1107&amp;""),"%","")),0)&gt;0,IFERROR(VALUE(SUBSTITUTE(TRIM(Input!E1107&amp;""),"%","")),0)&lt;1),1,100))</f>
        <v/>
      </c>
      <c r="E1107" t="str">
        <f>IF(A1107="","",IFERROR(VALUE(SUBSTITUTE(TRIM(Input!F1107&amp;""),"%","")),0)/IF(AND(IFERROR(VALUE(SUBSTITUTE(TRIM(Input!F1107&amp;""),"%","")),0)&gt;0,IFERROR(VALUE(SUBSTITUTE(TRIM(Input!F1107&amp;""),"%","")),0)&lt;1),1,100))</f>
        <v/>
      </c>
      <c r="F1107" t="str">
        <f>IF(A1107="","",IFERROR(VALUE(SUBSTITUTE(TRIM(Input!G1107&amp;""),"%","")),0)/IF(AND(IFERROR(VALUE(SUBSTITUTE(TRIM(Input!G1107&amp;""),"%","")),0)&gt;0,IFERROR(VALUE(SUBSTITUTE(TRIM(Input!G1107&amp;""),"%","")),0)&lt;1),1,100))</f>
        <v/>
      </c>
      <c r="G1107" t="str">
        <f>IF(A1107="","",IFERROR(VALUE(SUBSTITUTE(TRIM(Input!H1107&amp;""),"%","")),0)/IF(AND(IFERROR(VALUE(SUBSTITUTE(TRIM(Input!H1107&amp;""),"%","")),0)&gt;0,IFERROR(VALUE(SUBSTITUTE(TRIM(Input!H1107&amp;""),"%","")),0)&lt;1),1,100))</f>
        <v/>
      </c>
      <c r="H1107" t="str">
        <f>IF(A1107="","",IFERROR(VALUE(SUBSTITUTE(TRIM(Input!I1107&amp;""),"%","")),0)/IF(AND(IFERROR(VALUE(SUBSTITUTE(TRIM(Input!I1107&amp;""),"%","")),0)&gt;0,IFERROR(VALUE(SUBSTITUTE(TRIM(Input!I1107&amp;""),"%","")),0)&lt;1),1,100))</f>
        <v/>
      </c>
    </row>
    <row r="1108" spans="1:8">
      <c r="A1108" t="str">
        <f>IF(TRIM(Input!B1108&amp;"")="","",UPPER(TRIM(Input!B1108&amp;"")))</f>
        <v/>
      </c>
      <c r="B1108" t="str">
        <f>IF(A1108="","",IFERROR(VALUE(RIGHT(TRIM(Input!D1108&amp;""),1)),0))</f>
        <v/>
      </c>
      <c r="C1108" t="str">
        <f t="shared" si="17"/>
        <v/>
      </c>
      <c r="D1108" t="str">
        <f>IF(A1108="","",IFERROR(VALUE(SUBSTITUTE(TRIM(Input!E1108&amp;""),"%","")),0)/IF(AND(IFERROR(VALUE(SUBSTITUTE(TRIM(Input!E1108&amp;""),"%","")),0)&gt;0,IFERROR(VALUE(SUBSTITUTE(TRIM(Input!E1108&amp;""),"%","")),0)&lt;1),1,100))</f>
        <v/>
      </c>
      <c r="E1108" t="str">
        <f>IF(A1108="","",IFERROR(VALUE(SUBSTITUTE(TRIM(Input!F1108&amp;""),"%","")),0)/IF(AND(IFERROR(VALUE(SUBSTITUTE(TRIM(Input!F1108&amp;""),"%","")),0)&gt;0,IFERROR(VALUE(SUBSTITUTE(TRIM(Input!F1108&amp;""),"%","")),0)&lt;1),1,100))</f>
        <v/>
      </c>
      <c r="F1108" t="str">
        <f>IF(A1108="","",IFERROR(VALUE(SUBSTITUTE(TRIM(Input!G1108&amp;""),"%","")),0)/IF(AND(IFERROR(VALUE(SUBSTITUTE(TRIM(Input!G1108&amp;""),"%","")),0)&gt;0,IFERROR(VALUE(SUBSTITUTE(TRIM(Input!G1108&amp;""),"%","")),0)&lt;1),1,100))</f>
        <v/>
      </c>
      <c r="G1108" t="str">
        <f>IF(A1108="","",IFERROR(VALUE(SUBSTITUTE(TRIM(Input!H1108&amp;""),"%","")),0)/IF(AND(IFERROR(VALUE(SUBSTITUTE(TRIM(Input!H1108&amp;""),"%","")),0)&gt;0,IFERROR(VALUE(SUBSTITUTE(TRIM(Input!H1108&amp;""),"%","")),0)&lt;1),1,100))</f>
        <v/>
      </c>
      <c r="H1108" t="str">
        <f>IF(A1108="","",IFERROR(VALUE(SUBSTITUTE(TRIM(Input!I1108&amp;""),"%","")),0)/IF(AND(IFERROR(VALUE(SUBSTITUTE(TRIM(Input!I1108&amp;""),"%","")),0)&gt;0,IFERROR(VALUE(SUBSTITUTE(TRIM(Input!I1108&amp;""),"%","")),0)&lt;1),1,100))</f>
        <v/>
      </c>
    </row>
    <row r="1109" spans="1:8">
      <c r="A1109" t="str">
        <f>IF(TRIM(Input!B1109&amp;"")="","",UPPER(TRIM(Input!B1109&amp;"")))</f>
        <v/>
      </c>
      <c r="B1109" t="str">
        <f>IF(A1109="","",IFERROR(VALUE(RIGHT(TRIM(Input!D1109&amp;""),1)),0))</f>
        <v/>
      </c>
      <c r="C1109" t="str">
        <f t="shared" si="17"/>
        <v/>
      </c>
      <c r="D1109" t="str">
        <f>IF(A1109="","",IFERROR(VALUE(SUBSTITUTE(TRIM(Input!E1109&amp;""),"%","")),0)/IF(AND(IFERROR(VALUE(SUBSTITUTE(TRIM(Input!E1109&amp;""),"%","")),0)&gt;0,IFERROR(VALUE(SUBSTITUTE(TRIM(Input!E1109&amp;""),"%","")),0)&lt;1),1,100))</f>
        <v/>
      </c>
      <c r="E1109" t="str">
        <f>IF(A1109="","",IFERROR(VALUE(SUBSTITUTE(TRIM(Input!F1109&amp;""),"%","")),0)/IF(AND(IFERROR(VALUE(SUBSTITUTE(TRIM(Input!F1109&amp;""),"%","")),0)&gt;0,IFERROR(VALUE(SUBSTITUTE(TRIM(Input!F1109&amp;""),"%","")),0)&lt;1),1,100))</f>
        <v/>
      </c>
      <c r="F1109" t="str">
        <f>IF(A1109="","",IFERROR(VALUE(SUBSTITUTE(TRIM(Input!G1109&amp;""),"%","")),0)/IF(AND(IFERROR(VALUE(SUBSTITUTE(TRIM(Input!G1109&amp;""),"%","")),0)&gt;0,IFERROR(VALUE(SUBSTITUTE(TRIM(Input!G1109&amp;""),"%","")),0)&lt;1),1,100))</f>
        <v/>
      </c>
      <c r="G1109" t="str">
        <f>IF(A1109="","",IFERROR(VALUE(SUBSTITUTE(TRIM(Input!H1109&amp;""),"%","")),0)/IF(AND(IFERROR(VALUE(SUBSTITUTE(TRIM(Input!H1109&amp;""),"%","")),0)&gt;0,IFERROR(VALUE(SUBSTITUTE(TRIM(Input!H1109&amp;""),"%","")),0)&lt;1),1,100))</f>
        <v/>
      </c>
      <c r="H1109" t="str">
        <f>IF(A1109="","",IFERROR(VALUE(SUBSTITUTE(TRIM(Input!I1109&amp;""),"%","")),0)/IF(AND(IFERROR(VALUE(SUBSTITUTE(TRIM(Input!I1109&amp;""),"%","")),0)&gt;0,IFERROR(VALUE(SUBSTITUTE(TRIM(Input!I1109&amp;""),"%","")),0)&lt;1),1,100))</f>
        <v/>
      </c>
    </row>
    <row r="1110" spans="1:8">
      <c r="A1110" t="str">
        <f>IF(TRIM(Input!B1110&amp;"")="","",UPPER(TRIM(Input!B1110&amp;"")))</f>
        <v/>
      </c>
      <c r="B1110" t="str">
        <f>IF(A1110="","",IFERROR(VALUE(RIGHT(TRIM(Input!D1110&amp;""),1)),0))</f>
        <v/>
      </c>
      <c r="C1110" t="str">
        <f t="shared" si="17"/>
        <v/>
      </c>
      <c r="D1110" t="str">
        <f>IF(A1110="","",IFERROR(VALUE(SUBSTITUTE(TRIM(Input!E1110&amp;""),"%","")),0)/IF(AND(IFERROR(VALUE(SUBSTITUTE(TRIM(Input!E1110&amp;""),"%","")),0)&gt;0,IFERROR(VALUE(SUBSTITUTE(TRIM(Input!E1110&amp;""),"%","")),0)&lt;1),1,100))</f>
        <v/>
      </c>
      <c r="E1110" t="str">
        <f>IF(A1110="","",IFERROR(VALUE(SUBSTITUTE(TRIM(Input!F1110&amp;""),"%","")),0)/IF(AND(IFERROR(VALUE(SUBSTITUTE(TRIM(Input!F1110&amp;""),"%","")),0)&gt;0,IFERROR(VALUE(SUBSTITUTE(TRIM(Input!F1110&amp;""),"%","")),0)&lt;1),1,100))</f>
        <v/>
      </c>
      <c r="F1110" t="str">
        <f>IF(A1110="","",IFERROR(VALUE(SUBSTITUTE(TRIM(Input!G1110&amp;""),"%","")),0)/IF(AND(IFERROR(VALUE(SUBSTITUTE(TRIM(Input!G1110&amp;""),"%","")),0)&gt;0,IFERROR(VALUE(SUBSTITUTE(TRIM(Input!G1110&amp;""),"%","")),0)&lt;1),1,100))</f>
        <v/>
      </c>
      <c r="G1110" t="str">
        <f>IF(A1110="","",IFERROR(VALUE(SUBSTITUTE(TRIM(Input!H1110&amp;""),"%","")),0)/IF(AND(IFERROR(VALUE(SUBSTITUTE(TRIM(Input!H1110&amp;""),"%","")),0)&gt;0,IFERROR(VALUE(SUBSTITUTE(TRIM(Input!H1110&amp;""),"%","")),0)&lt;1),1,100))</f>
        <v/>
      </c>
      <c r="H1110" t="str">
        <f>IF(A1110="","",IFERROR(VALUE(SUBSTITUTE(TRIM(Input!I1110&amp;""),"%","")),0)/IF(AND(IFERROR(VALUE(SUBSTITUTE(TRIM(Input!I1110&amp;""),"%","")),0)&gt;0,IFERROR(VALUE(SUBSTITUTE(TRIM(Input!I1110&amp;""),"%","")),0)&lt;1),1,100))</f>
        <v/>
      </c>
    </row>
    <row r="1111" spans="1:8">
      <c r="A1111" t="str">
        <f>IF(TRIM(Input!B1111&amp;"")="","",UPPER(TRIM(Input!B1111&amp;"")))</f>
        <v/>
      </c>
      <c r="B1111" t="str">
        <f>IF(A1111="","",IFERROR(VALUE(RIGHT(TRIM(Input!D1111&amp;""),1)),0))</f>
        <v/>
      </c>
      <c r="C1111" t="str">
        <f t="shared" si="17"/>
        <v/>
      </c>
      <c r="D1111" t="str">
        <f>IF(A1111="","",IFERROR(VALUE(SUBSTITUTE(TRIM(Input!E1111&amp;""),"%","")),0)/IF(AND(IFERROR(VALUE(SUBSTITUTE(TRIM(Input!E1111&amp;""),"%","")),0)&gt;0,IFERROR(VALUE(SUBSTITUTE(TRIM(Input!E1111&amp;""),"%","")),0)&lt;1),1,100))</f>
        <v/>
      </c>
      <c r="E1111" t="str">
        <f>IF(A1111="","",IFERROR(VALUE(SUBSTITUTE(TRIM(Input!F1111&amp;""),"%","")),0)/IF(AND(IFERROR(VALUE(SUBSTITUTE(TRIM(Input!F1111&amp;""),"%","")),0)&gt;0,IFERROR(VALUE(SUBSTITUTE(TRIM(Input!F1111&amp;""),"%","")),0)&lt;1),1,100))</f>
        <v/>
      </c>
      <c r="F1111" t="str">
        <f>IF(A1111="","",IFERROR(VALUE(SUBSTITUTE(TRIM(Input!G1111&amp;""),"%","")),0)/IF(AND(IFERROR(VALUE(SUBSTITUTE(TRIM(Input!G1111&amp;""),"%","")),0)&gt;0,IFERROR(VALUE(SUBSTITUTE(TRIM(Input!G1111&amp;""),"%","")),0)&lt;1),1,100))</f>
        <v/>
      </c>
      <c r="G1111" t="str">
        <f>IF(A1111="","",IFERROR(VALUE(SUBSTITUTE(TRIM(Input!H1111&amp;""),"%","")),0)/IF(AND(IFERROR(VALUE(SUBSTITUTE(TRIM(Input!H1111&amp;""),"%","")),0)&gt;0,IFERROR(VALUE(SUBSTITUTE(TRIM(Input!H1111&amp;""),"%","")),0)&lt;1),1,100))</f>
        <v/>
      </c>
      <c r="H1111" t="str">
        <f>IF(A1111="","",IFERROR(VALUE(SUBSTITUTE(TRIM(Input!I1111&amp;""),"%","")),0)/IF(AND(IFERROR(VALUE(SUBSTITUTE(TRIM(Input!I1111&amp;""),"%","")),0)&gt;0,IFERROR(VALUE(SUBSTITUTE(TRIM(Input!I1111&amp;""),"%","")),0)&lt;1),1,100))</f>
        <v/>
      </c>
    </row>
    <row r="1112" spans="1:8">
      <c r="A1112" t="str">
        <f>IF(TRIM(Input!B1112&amp;"")="","",UPPER(TRIM(Input!B1112&amp;"")))</f>
        <v/>
      </c>
      <c r="B1112" t="str">
        <f>IF(A1112="","",IFERROR(VALUE(RIGHT(TRIM(Input!D1112&amp;""),1)),0))</f>
        <v/>
      </c>
      <c r="C1112" t="str">
        <f t="shared" si="17"/>
        <v/>
      </c>
      <c r="D1112" t="str">
        <f>IF(A1112="","",IFERROR(VALUE(SUBSTITUTE(TRIM(Input!E1112&amp;""),"%","")),0)/IF(AND(IFERROR(VALUE(SUBSTITUTE(TRIM(Input!E1112&amp;""),"%","")),0)&gt;0,IFERROR(VALUE(SUBSTITUTE(TRIM(Input!E1112&amp;""),"%","")),0)&lt;1),1,100))</f>
        <v/>
      </c>
      <c r="E1112" t="str">
        <f>IF(A1112="","",IFERROR(VALUE(SUBSTITUTE(TRIM(Input!F1112&amp;""),"%","")),0)/IF(AND(IFERROR(VALUE(SUBSTITUTE(TRIM(Input!F1112&amp;""),"%","")),0)&gt;0,IFERROR(VALUE(SUBSTITUTE(TRIM(Input!F1112&amp;""),"%","")),0)&lt;1),1,100))</f>
        <v/>
      </c>
      <c r="F1112" t="str">
        <f>IF(A1112="","",IFERROR(VALUE(SUBSTITUTE(TRIM(Input!G1112&amp;""),"%","")),0)/IF(AND(IFERROR(VALUE(SUBSTITUTE(TRIM(Input!G1112&amp;""),"%","")),0)&gt;0,IFERROR(VALUE(SUBSTITUTE(TRIM(Input!G1112&amp;""),"%","")),0)&lt;1),1,100))</f>
        <v/>
      </c>
      <c r="G1112" t="str">
        <f>IF(A1112="","",IFERROR(VALUE(SUBSTITUTE(TRIM(Input!H1112&amp;""),"%","")),0)/IF(AND(IFERROR(VALUE(SUBSTITUTE(TRIM(Input!H1112&amp;""),"%","")),0)&gt;0,IFERROR(VALUE(SUBSTITUTE(TRIM(Input!H1112&amp;""),"%","")),0)&lt;1),1,100))</f>
        <v/>
      </c>
      <c r="H1112" t="str">
        <f>IF(A1112="","",IFERROR(VALUE(SUBSTITUTE(TRIM(Input!I1112&amp;""),"%","")),0)/IF(AND(IFERROR(VALUE(SUBSTITUTE(TRIM(Input!I1112&amp;""),"%","")),0)&gt;0,IFERROR(VALUE(SUBSTITUTE(TRIM(Input!I1112&amp;""),"%","")),0)&lt;1),1,100))</f>
        <v/>
      </c>
    </row>
    <row r="1113" spans="1:8">
      <c r="A1113" t="str">
        <f>IF(TRIM(Input!B1113&amp;"")="","",UPPER(TRIM(Input!B1113&amp;"")))</f>
        <v/>
      </c>
      <c r="B1113" t="str">
        <f>IF(A1113="","",IFERROR(VALUE(RIGHT(TRIM(Input!D1113&amp;""),1)),0))</f>
        <v/>
      </c>
      <c r="C1113" t="str">
        <f t="shared" si="17"/>
        <v/>
      </c>
      <c r="D1113" t="str">
        <f>IF(A1113="","",IFERROR(VALUE(SUBSTITUTE(TRIM(Input!E1113&amp;""),"%","")),0)/IF(AND(IFERROR(VALUE(SUBSTITUTE(TRIM(Input!E1113&amp;""),"%","")),0)&gt;0,IFERROR(VALUE(SUBSTITUTE(TRIM(Input!E1113&amp;""),"%","")),0)&lt;1),1,100))</f>
        <v/>
      </c>
      <c r="E1113" t="str">
        <f>IF(A1113="","",IFERROR(VALUE(SUBSTITUTE(TRIM(Input!F1113&amp;""),"%","")),0)/IF(AND(IFERROR(VALUE(SUBSTITUTE(TRIM(Input!F1113&amp;""),"%","")),0)&gt;0,IFERROR(VALUE(SUBSTITUTE(TRIM(Input!F1113&amp;""),"%","")),0)&lt;1),1,100))</f>
        <v/>
      </c>
      <c r="F1113" t="str">
        <f>IF(A1113="","",IFERROR(VALUE(SUBSTITUTE(TRIM(Input!G1113&amp;""),"%","")),0)/IF(AND(IFERROR(VALUE(SUBSTITUTE(TRIM(Input!G1113&amp;""),"%","")),0)&gt;0,IFERROR(VALUE(SUBSTITUTE(TRIM(Input!G1113&amp;""),"%","")),0)&lt;1),1,100))</f>
        <v/>
      </c>
      <c r="G1113" t="str">
        <f>IF(A1113="","",IFERROR(VALUE(SUBSTITUTE(TRIM(Input!H1113&amp;""),"%","")),0)/IF(AND(IFERROR(VALUE(SUBSTITUTE(TRIM(Input!H1113&amp;""),"%","")),0)&gt;0,IFERROR(VALUE(SUBSTITUTE(TRIM(Input!H1113&amp;""),"%","")),0)&lt;1),1,100))</f>
        <v/>
      </c>
      <c r="H1113" t="str">
        <f>IF(A1113="","",IFERROR(VALUE(SUBSTITUTE(TRIM(Input!I1113&amp;""),"%","")),0)/IF(AND(IFERROR(VALUE(SUBSTITUTE(TRIM(Input!I1113&amp;""),"%","")),0)&gt;0,IFERROR(VALUE(SUBSTITUTE(TRIM(Input!I1113&amp;""),"%","")),0)&lt;1),1,100))</f>
        <v/>
      </c>
    </row>
    <row r="1114" spans="1:8">
      <c r="A1114" t="str">
        <f>IF(TRIM(Input!B1114&amp;"")="","",UPPER(TRIM(Input!B1114&amp;"")))</f>
        <v/>
      </c>
      <c r="B1114" t="str">
        <f>IF(A1114="","",IFERROR(VALUE(RIGHT(TRIM(Input!D1114&amp;""),1)),0))</f>
        <v/>
      </c>
      <c r="C1114" t="str">
        <f t="shared" si="17"/>
        <v/>
      </c>
      <c r="D1114" t="str">
        <f>IF(A1114="","",IFERROR(VALUE(SUBSTITUTE(TRIM(Input!E1114&amp;""),"%","")),0)/IF(AND(IFERROR(VALUE(SUBSTITUTE(TRIM(Input!E1114&amp;""),"%","")),0)&gt;0,IFERROR(VALUE(SUBSTITUTE(TRIM(Input!E1114&amp;""),"%","")),0)&lt;1),1,100))</f>
        <v/>
      </c>
      <c r="E1114" t="str">
        <f>IF(A1114="","",IFERROR(VALUE(SUBSTITUTE(TRIM(Input!F1114&amp;""),"%","")),0)/IF(AND(IFERROR(VALUE(SUBSTITUTE(TRIM(Input!F1114&amp;""),"%","")),0)&gt;0,IFERROR(VALUE(SUBSTITUTE(TRIM(Input!F1114&amp;""),"%","")),0)&lt;1),1,100))</f>
        <v/>
      </c>
      <c r="F1114" t="str">
        <f>IF(A1114="","",IFERROR(VALUE(SUBSTITUTE(TRIM(Input!G1114&amp;""),"%","")),0)/IF(AND(IFERROR(VALUE(SUBSTITUTE(TRIM(Input!G1114&amp;""),"%","")),0)&gt;0,IFERROR(VALUE(SUBSTITUTE(TRIM(Input!G1114&amp;""),"%","")),0)&lt;1),1,100))</f>
        <v/>
      </c>
      <c r="G1114" t="str">
        <f>IF(A1114="","",IFERROR(VALUE(SUBSTITUTE(TRIM(Input!H1114&amp;""),"%","")),0)/IF(AND(IFERROR(VALUE(SUBSTITUTE(TRIM(Input!H1114&amp;""),"%","")),0)&gt;0,IFERROR(VALUE(SUBSTITUTE(TRIM(Input!H1114&amp;""),"%","")),0)&lt;1),1,100))</f>
        <v/>
      </c>
      <c r="H1114" t="str">
        <f>IF(A1114="","",IFERROR(VALUE(SUBSTITUTE(TRIM(Input!I1114&amp;""),"%","")),0)/IF(AND(IFERROR(VALUE(SUBSTITUTE(TRIM(Input!I1114&amp;""),"%","")),0)&gt;0,IFERROR(VALUE(SUBSTITUTE(TRIM(Input!I1114&amp;""),"%","")),0)&lt;1),1,100))</f>
        <v/>
      </c>
    </row>
    <row r="1115" spans="1:8">
      <c r="A1115" t="str">
        <f>IF(TRIM(Input!B1115&amp;"")="","",UPPER(TRIM(Input!B1115&amp;"")))</f>
        <v/>
      </c>
      <c r="B1115" t="str">
        <f>IF(A1115="","",IFERROR(VALUE(RIGHT(TRIM(Input!D1115&amp;""),1)),0))</f>
        <v/>
      </c>
      <c r="C1115" t="str">
        <f t="shared" si="17"/>
        <v/>
      </c>
      <c r="D1115" t="str">
        <f>IF(A1115="","",IFERROR(VALUE(SUBSTITUTE(TRIM(Input!E1115&amp;""),"%","")),0)/IF(AND(IFERROR(VALUE(SUBSTITUTE(TRIM(Input!E1115&amp;""),"%","")),0)&gt;0,IFERROR(VALUE(SUBSTITUTE(TRIM(Input!E1115&amp;""),"%","")),0)&lt;1),1,100))</f>
        <v/>
      </c>
      <c r="E1115" t="str">
        <f>IF(A1115="","",IFERROR(VALUE(SUBSTITUTE(TRIM(Input!F1115&amp;""),"%","")),0)/IF(AND(IFERROR(VALUE(SUBSTITUTE(TRIM(Input!F1115&amp;""),"%","")),0)&gt;0,IFERROR(VALUE(SUBSTITUTE(TRIM(Input!F1115&amp;""),"%","")),0)&lt;1),1,100))</f>
        <v/>
      </c>
      <c r="F1115" t="str">
        <f>IF(A1115="","",IFERROR(VALUE(SUBSTITUTE(TRIM(Input!G1115&amp;""),"%","")),0)/IF(AND(IFERROR(VALUE(SUBSTITUTE(TRIM(Input!G1115&amp;""),"%","")),0)&gt;0,IFERROR(VALUE(SUBSTITUTE(TRIM(Input!G1115&amp;""),"%","")),0)&lt;1),1,100))</f>
        <v/>
      </c>
      <c r="G1115" t="str">
        <f>IF(A1115="","",IFERROR(VALUE(SUBSTITUTE(TRIM(Input!H1115&amp;""),"%","")),0)/IF(AND(IFERROR(VALUE(SUBSTITUTE(TRIM(Input!H1115&amp;""),"%","")),0)&gt;0,IFERROR(VALUE(SUBSTITUTE(TRIM(Input!H1115&amp;""),"%","")),0)&lt;1),1,100))</f>
        <v/>
      </c>
      <c r="H1115" t="str">
        <f>IF(A1115="","",IFERROR(VALUE(SUBSTITUTE(TRIM(Input!I1115&amp;""),"%","")),0)/IF(AND(IFERROR(VALUE(SUBSTITUTE(TRIM(Input!I1115&amp;""),"%","")),0)&gt;0,IFERROR(VALUE(SUBSTITUTE(TRIM(Input!I1115&amp;""),"%","")),0)&lt;1),1,100))</f>
        <v/>
      </c>
    </row>
    <row r="1116" spans="1:8">
      <c r="A1116" t="str">
        <f>IF(TRIM(Input!B1116&amp;"")="","",UPPER(TRIM(Input!B1116&amp;"")))</f>
        <v/>
      </c>
      <c r="B1116" t="str">
        <f>IF(A1116="","",IFERROR(VALUE(RIGHT(TRIM(Input!D1116&amp;""),1)),0))</f>
        <v/>
      </c>
      <c r="C1116" t="str">
        <f t="shared" si="17"/>
        <v/>
      </c>
      <c r="D1116" t="str">
        <f>IF(A1116="","",IFERROR(VALUE(SUBSTITUTE(TRIM(Input!E1116&amp;""),"%","")),0)/IF(AND(IFERROR(VALUE(SUBSTITUTE(TRIM(Input!E1116&amp;""),"%","")),0)&gt;0,IFERROR(VALUE(SUBSTITUTE(TRIM(Input!E1116&amp;""),"%","")),0)&lt;1),1,100))</f>
        <v/>
      </c>
      <c r="E1116" t="str">
        <f>IF(A1116="","",IFERROR(VALUE(SUBSTITUTE(TRIM(Input!F1116&amp;""),"%","")),0)/IF(AND(IFERROR(VALUE(SUBSTITUTE(TRIM(Input!F1116&amp;""),"%","")),0)&gt;0,IFERROR(VALUE(SUBSTITUTE(TRIM(Input!F1116&amp;""),"%","")),0)&lt;1),1,100))</f>
        <v/>
      </c>
      <c r="F1116" t="str">
        <f>IF(A1116="","",IFERROR(VALUE(SUBSTITUTE(TRIM(Input!G1116&amp;""),"%","")),0)/IF(AND(IFERROR(VALUE(SUBSTITUTE(TRIM(Input!G1116&amp;""),"%","")),0)&gt;0,IFERROR(VALUE(SUBSTITUTE(TRIM(Input!G1116&amp;""),"%","")),0)&lt;1),1,100))</f>
        <v/>
      </c>
      <c r="G1116" t="str">
        <f>IF(A1116="","",IFERROR(VALUE(SUBSTITUTE(TRIM(Input!H1116&amp;""),"%","")),0)/IF(AND(IFERROR(VALUE(SUBSTITUTE(TRIM(Input!H1116&amp;""),"%","")),0)&gt;0,IFERROR(VALUE(SUBSTITUTE(TRIM(Input!H1116&amp;""),"%","")),0)&lt;1),1,100))</f>
        <v/>
      </c>
      <c r="H1116" t="str">
        <f>IF(A1116="","",IFERROR(VALUE(SUBSTITUTE(TRIM(Input!I1116&amp;""),"%","")),0)/IF(AND(IFERROR(VALUE(SUBSTITUTE(TRIM(Input!I1116&amp;""),"%","")),0)&gt;0,IFERROR(VALUE(SUBSTITUTE(TRIM(Input!I1116&amp;""),"%","")),0)&lt;1),1,100))</f>
        <v/>
      </c>
    </row>
    <row r="1117" spans="1:8">
      <c r="A1117" t="str">
        <f>IF(TRIM(Input!B1117&amp;"")="","",UPPER(TRIM(Input!B1117&amp;"")))</f>
        <v/>
      </c>
      <c r="B1117" t="str">
        <f>IF(A1117="","",IFERROR(VALUE(RIGHT(TRIM(Input!D1117&amp;""),1)),0))</f>
        <v/>
      </c>
      <c r="C1117" t="str">
        <f t="shared" si="17"/>
        <v/>
      </c>
      <c r="D1117" t="str">
        <f>IF(A1117="","",IFERROR(VALUE(SUBSTITUTE(TRIM(Input!E1117&amp;""),"%","")),0)/IF(AND(IFERROR(VALUE(SUBSTITUTE(TRIM(Input!E1117&amp;""),"%","")),0)&gt;0,IFERROR(VALUE(SUBSTITUTE(TRIM(Input!E1117&amp;""),"%","")),0)&lt;1),1,100))</f>
        <v/>
      </c>
      <c r="E1117" t="str">
        <f>IF(A1117="","",IFERROR(VALUE(SUBSTITUTE(TRIM(Input!F1117&amp;""),"%","")),0)/IF(AND(IFERROR(VALUE(SUBSTITUTE(TRIM(Input!F1117&amp;""),"%","")),0)&gt;0,IFERROR(VALUE(SUBSTITUTE(TRIM(Input!F1117&amp;""),"%","")),0)&lt;1),1,100))</f>
        <v/>
      </c>
      <c r="F1117" t="str">
        <f>IF(A1117="","",IFERROR(VALUE(SUBSTITUTE(TRIM(Input!G1117&amp;""),"%","")),0)/IF(AND(IFERROR(VALUE(SUBSTITUTE(TRIM(Input!G1117&amp;""),"%","")),0)&gt;0,IFERROR(VALUE(SUBSTITUTE(TRIM(Input!G1117&amp;""),"%","")),0)&lt;1),1,100))</f>
        <v/>
      </c>
      <c r="G1117" t="str">
        <f>IF(A1117="","",IFERROR(VALUE(SUBSTITUTE(TRIM(Input!H1117&amp;""),"%","")),0)/IF(AND(IFERROR(VALUE(SUBSTITUTE(TRIM(Input!H1117&amp;""),"%","")),0)&gt;0,IFERROR(VALUE(SUBSTITUTE(TRIM(Input!H1117&amp;""),"%","")),0)&lt;1),1,100))</f>
        <v/>
      </c>
      <c r="H1117" t="str">
        <f>IF(A1117="","",IFERROR(VALUE(SUBSTITUTE(TRIM(Input!I1117&amp;""),"%","")),0)/IF(AND(IFERROR(VALUE(SUBSTITUTE(TRIM(Input!I1117&amp;""),"%","")),0)&gt;0,IFERROR(VALUE(SUBSTITUTE(TRIM(Input!I1117&amp;""),"%","")),0)&lt;1),1,100))</f>
        <v/>
      </c>
    </row>
    <row r="1118" spans="1:8">
      <c r="A1118" t="str">
        <f>IF(TRIM(Input!B1118&amp;"")="","",UPPER(TRIM(Input!B1118&amp;"")))</f>
        <v/>
      </c>
      <c r="B1118" t="str">
        <f>IF(A1118="","",IFERROR(VALUE(RIGHT(TRIM(Input!D1118&amp;""),1)),0))</f>
        <v/>
      </c>
      <c r="C1118" t="str">
        <f t="shared" si="17"/>
        <v/>
      </c>
      <c r="D1118" t="str">
        <f>IF(A1118="","",IFERROR(VALUE(SUBSTITUTE(TRIM(Input!E1118&amp;""),"%","")),0)/IF(AND(IFERROR(VALUE(SUBSTITUTE(TRIM(Input!E1118&amp;""),"%","")),0)&gt;0,IFERROR(VALUE(SUBSTITUTE(TRIM(Input!E1118&amp;""),"%","")),0)&lt;1),1,100))</f>
        <v/>
      </c>
      <c r="E1118" t="str">
        <f>IF(A1118="","",IFERROR(VALUE(SUBSTITUTE(TRIM(Input!F1118&amp;""),"%","")),0)/IF(AND(IFERROR(VALUE(SUBSTITUTE(TRIM(Input!F1118&amp;""),"%","")),0)&gt;0,IFERROR(VALUE(SUBSTITUTE(TRIM(Input!F1118&amp;""),"%","")),0)&lt;1),1,100))</f>
        <v/>
      </c>
      <c r="F1118" t="str">
        <f>IF(A1118="","",IFERROR(VALUE(SUBSTITUTE(TRIM(Input!G1118&amp;""),"%","")),0)/IF(AND(IFERROR(VALUE(SUBSTITUTE(TRIM(Input!G1118&amp;""),"%","")),0)&gt;0,IFERROR(VALUE(SUBSTITUTE(TRIM(Input!G1118&amp;""),"%","")),0)&lt;1),1,100))</f>
        <v/>
      </c>
      <c r="G1118" t="str">
        <f>IF(A1118="","",IFERROR(VALUE(SUBSTITUTE(TRIM(Input!H1118&amp;""),"%","")),0)/IF(AND(IFERROR(VALUE(SUBSTITUTE(TRIM(Input!H1118&amp;""),"%","")),0)&gt;0,IFERROR(VALUE(SUBSTITUTE(TRIM(Input!H1118&amp;""),"%","")),0)&lt;1),1,100))</f>
        <v/>
      </c>
      <c r="H1118" t="str">
        <f>IF(A1118="","",IFERROR(VALUE(SUBSTITUTE(TRIM(Input!I1118&amp;""),"%","")),0)/IF(AND(IFERROR(VALUE(SUBSTITUTE(TRIM(Input!I1118&amp;""),"%","")),0)&gt;0,IFERROR(VALUE(SUBSTITUTE(TRIM(Input!I1118&amp;""),"%","")),0)&lt;1),1,100))</f>
        <v/>
      </c>
    </row>
    <row r="1119" spans="1:8">
      <c r="A1119" t="str">
        <f>IF(TRIM(Input!B1119&amp;"")="","",UPPER(TRIM(Input!B1119&amp;"")))</f>
        <v/>
      </c>
      <c r="B1119" t="str">
        <f>IF(A1119="","",IFERROR(VALUE(RIGHT(TRIM(Input!D1119&amp;""),1)),0))</f>
        <v/>
      </c>
      <c r="C1119" t="str">
        <f t="shared" si="17"/>
        <v/>
      </c>
      <c r="D1119" t="str">
        <f>IF(A1119="","",IFERROR(VALUE(SUBSTITUTE(TRIM(Input!E1119&amp;""),"%","")),0)/IF(AND(IFERROR(VALUE(SUBSTITUTE(TRIM(Input!E1119&amp;""),"%","")),0)&gt;0,IFERROR(VALUE(SUBSTITUTE(TRIM(Input!E1119&amp;""),"%","")),0)&lt;1),1,100))</f>
        <v/>
      </c>
      <c r="E1119" t="str">
        <f>IF(A1119="","",IFERROR(VALUE(SUBSTITUTE(TRIM(Input!F1119&amp;""),"%","")),0)/IF(AND(IFERROR(VALUE(SUBSTITUTE(TRIM(Input!F1119&amp;""),"%","")),0)&gt;0,IFERROR(VALUE(SUBSTITUTE(TRIM(Input!F1119&amp;""),"%","")),0)&lt;1),1,100))</f>
        <v/>
      </c>
      <c r="F1119" t="str">
        <f>IF(A1119="","",IFERROR(VALUE(SUBSTITUTE(TRIM(Input!G1119&amp;""),"%","")),0)/IF(AND(IFERROR(VALUE(SUBSTITUTE(TRIM(Input!G1119&amp;""),"%","")),0)&gt;0,IFERROR(VALUE(SUBSTITUTE(TRIM(Input!G1119&amp;""),"%","")),0)&lt;1),1,100))</f>
        <v/>
      </c>
      <c r="G1119" t="str">
        <f>IF(A1119="","",IFERROR(VALUE(SUBSTITUTE(TRIM(Input!H1119&amp;""),"%","")),0)/IF(AND(IFERROR(VALUE(SUBSTITUTE(TRIM(Input!H1119&amp;""),"%","")),0)&gt;0,IFERROR(VALUE(SUBSTITUTE(TRIM(Input!H1119&amp;""),"%","")),0)&lt;1),1,100))</f>
        <v/>
      </c>
      <c r="H1119" t="str">
        <f>IF(A1119="","",IFERROR(VALUE(SUBSTITUTE(TRIM(Input!I1119&amp;""),"%","")),0)/IF(AND(IFERROR(VALUE(SUBSTITUTE(TRIM(Input!I1119&amp;""),"%","")),0)&gt;0,IFERROR(VALUE(SUBSTITUTE(TRIM(Input!I1119&amp;""),"%","")),0)&lt;1),1,100))</f>
        <v/>
      </c>
    </row>
    <row r="1120" spans="1:8">
      <c r="A1120" t="str">
        <f>IF(TRIM(Input!B1120&amp;"")="","",UPPER(TRIM(Input!B1120&amp;"")))</f>
        <v/>
      </c>
      <c r="B1120" t="str">
        <f>IF(A1120="","",IFERROR(VALUE(RIGHT(TRIM(Input!D1120&amp;""),1)),0))</f>
        <v/>
      </c>
      <c r="C1120" t="str">
        <f t="shared" si="17"/>
        <v/>
      </c>
      <c r="D1120" t="str">
        <f>IF(A1120="","",IFERROR(VALUE(SUBSTITUTE(TRIM(Input!E1120&amp;""),"%","")),0)/IF(AND(IFERROR(VALUE(SUBSTITUTE(TRIM(Input!E1120&amp;""),"%","")),0)&gt;0,IFERROR(VALUE(SUBSTITUTE(TRIM(Input!E1120&amp;""),"%","")),0)&lt;1),1,100))</f>
        <v/>
      </c>
      <c r="E1120" t="str">
        <f>IF(A1120="","",IFERROR(VALUE(SUBSTITUTE(TRIM(Input!F1120&amp;""),"%","")),0)/IF(AND(IFERROR(VALUE(SUBSTITUTE(TRIM(Input!F1120&amp;""),"%","")),0)&gt;0,IFERROR(VALUE(SUBSTITUTE(TRIM(Input!F1120&amp;""),"%","")),0)&lt;1),1,100))</f>
        <v/>
      </c>
      <c r="F1120" t="str">
        <f>IF(A1120="","",IFERROR(VALUE(SUBSTITUTE(TRIM(Input!G1120&amp;""),"%","")),0)/IF(AND(IFERROR(VALUE(SUBSTITUTE(TRIM(Input!G1120&amp;""),"%","")),0)&gt;0,IFERROR(VALUE(SUBSTITUTE(TRIM(Input!G1120&amp;""),"%","")),0)&lt;1),1,100))</f>
        <v/>
      </c>
      <c r="G1120" t="str">
        <f>IF(A1120="","",IFERROR(VALUE(SUBSTITUTE(TRIM(Input!H1120&amp;""),"%","")),0)/IF(AND(IFERROR(VALUE(SUBSTITUTE(TRIM(Input!H1120&amp;""),"%","")),0)&gt;0,IFERROR(VALUE(SUBSTITUTE(TRIM(Input!H1120&amp;""),"%","")),0)&lt;1),1,100))</f>
        <v/>
      </c>
      <c r="H1120" t="str">
        <f>IF(A1120="","",IFERROR(VALUE(SUBSTITUTE(TRIM(Input!I1120&amp;""),"%","")),0)/IF(AND(IFERROR(VALUE(SUBSTITUTE(TRIM(Input!I1120&amp;""),"%","")),0)&gt;0,IFERROR(VALUE(SUBSTITUTE(TRIM(Input!I1120&amp;""),"%","")),0)&lt;1),1,100))</f>
        <v/>
      </c>
    </row>
    <row r="1121" spans="1:8">
      <c r="A1121" t="str">
        <f>IF(TRIM(Input!B1121&amp;"")="","",UPPER(TRIM(Input!B1121&amp;"")))</f>
        <v/>
      </c>
      <c r="B1121" t="str">
        <f>IF(A1121="","",IFERROR(VALUE(RIGHT(TRIM(Input!D1121&amp;""),1)),0))</f>
        <v/>
      </c>
      <c r="C1121" t="str">
        <f t="shared" si="17"/>
        <v/>
      </c>
      <c r="D1121" t="str">
        <f>IF(A1121="","",IFERROR(VALUE(SUBSTITUTE(TRIM(Input!E1121&amp;""),"%","")),0)/IF(AND(IFERROR(VALUE(SUBSTITUTE(TRIM(Input!E1121&amp;""),"%","")),0)&gt;0,IFERROR(VALUE(SUBSTITUTE(TRIM(Input!E1121&amp;""),"%","")),0)&lt;1),1,100))</f>
        <v/>
      </c>
      <c r="E1121" t="str">
        <f>IF(A1121="","",IFERROR(VALUE(SUBSTITUTE(TRIM(Input!F1121&amp;""),"%","")),0)/IF(AND(IFERROR(VALUE(SUBSTITUTE(TRIM(Input!F1121&amp;""),"%","")),0)&gt;0,IFERROR(VALUE(SUBSTITUTE(TRIM(Input!F1121&amp;""),"%","")),0)&lt;1),1,100))</f>
        <v/>
      </c>
      <c r="F1121" t="str">
        <f>IF(A1121="","",IFERROR(VALUE(SUBSTITUTE(TRIM(Input!G1121&amp;""),"%","")),0)/IF(AND(IFERROR(VALUE(SUBSTITUTE(TRIM(Input!G1121&amp;""),"%","")),0)&gt;0,IFERROR(VALUE(SUBSTITUTE(TRIM(Input!G1121&amp;""),"%","")),0)&lt;1),1,100))</f>
        <v/>
      </c>
      <c r="G1121" t="str">
        <f>IF(A1121="","",IFERROR(VALUE(SUBSTITUTE(TRIM(Input!H1121&amp;""),"%","")),0)/IF(AND(IFERROR(VALUE(SUBSTITUTE(TRIM(Input!H1121&amp;""),"%","")),0)&gt;0,IFERROR(VALUE(SUBSTITUTE(TRIM(Input!H1121&amp;""),"%","")),0)&lt;1),1,100))</f>
        <v/>
      </c>
      <c r="H1121" t="str">
        <f>IF(A1121="","",IFERROR(VALUE(SUBSTITUTE(TRIM(Input!I1121&amp;""),"%","")),0)/IF(AND(IFERROR(VALUE(SUBSTITUTE(TRIM(Input!I1121&amp;""),"%","")),0)&gt;0,IFERROR(VALUE(SUBSTITUTE(TRIM(Input!I1121&amp;""),"%","")),0)&lt;1),1,100))</f>
        <v/>
      </c>
    </row>
    <row r="1122" spans="1:8">
      <c r="A1122" t="str">
        <f>IF(TRIM(Input!B1122&amp;"")="","",UPPER(TRIM(Input!B1122&amp;"")))</f>
        <v/>
      </c>
      <c r="B1122" t="str">
        <f>IF(A1122="","",IFERROR(VALUE(RIGHT(TRIM(Input!D1122&amp;""),1)),0))</f>
        <v/>
      </c>
      <c r="C1122" t="str">
        <f t="shared" si="17"/>
        <v/>
      </c>
      <c r="D1122" t="str">
        <f>IF(A1122="","",IFERROR(VALUE(SUBSTITUTE(TRIM(Input!E1122&amp;""),"%","")),0)/IF(AND(IFERROR(VALUE(SUBSTITUTE(TRIM(Input!E1122&amp;""),"%","")),0)&gt;0,IFERROR(VALUE(SUBSTITUTE(TRIM(Input!E1122&amp;""),"%","")),0)&lt;1),1,100))</f>
        <v/>
      </c>
      <c r="E1122" t="str">
        <f>IF(A1122="","",IFERROR(VALUE(SUBSTITUTE(TRIM(Input!F1122&amp;""),"%","")),0)/IF(AND(IFERROR(VALUE(SUBSTITUTE(TRIM(Input!F1122&amp;""),"%","")),0)&gt;0,IFERROR(VALUE(SUBSTITUTE(TRIM(Input!F1122&amp;""),"%","")),0)&lt;1),1,100))</f>
        <v/>
      </c>
      <c r="F1122" t="str">
        <f>IF(A1122="","",IFERROR(VALUE(SUBSTITUTE(TRIM(Input!G1122&amp;""),"%","")),0)/IF(AND(IFERROR(VALUE(SUBSTITUTE(TRIM(Input!G1122&amp;""),"%","")),0)&gt;0,IFERROR(VALUE(SUBSTITUTE(TRIM(Input!G1122&amp;""),"%","")),0)&lt;1),1,100))</f>
        <v/>
      </c>
      <c r="G1122" t="str">
        <f>IF(A1122="","",IFERROR(VALUE(SUBSTITUTE(TRIM(Input!H1122&amp;""),"%","")),0)/IF(AND(IFERROR(VALUE(SUBSTITUTE(TRIM(Input!H1122&amp;""),"%","")),0)&gt;0,IFERROR(VALUE(SUBSTITUTE(TRIM(Input!H1122&amp;""),"%","")),0)&lt;1),1,100))</f>
        <v/>
      </c>
      <c r="H1122" t="str">
        <f>IF(A1122="","",IFERROR(VALUE(SUBSTITUTE(TRIM(Input!I1122&amp;""),"%","")),0)/IF(AND(IFERROR(VALUE(SUBSTITUTE(TRIM(Input!I1122&amp;""),"%","")),0)&gt;0,IFERROR(VALUE(SUBSTITUTE(TRIM(Input!I1122&amp;""),"%","")),0)&lt;1),1,100))</f>
        <v/>
      </c>
    </row>
    <row r="1123" spans="1:8">
      <c r="A1123" t="str">
        <f>IF(TRIM(Input!B1123&amp;"")="","",UPPER(TRIM(Input!B1123&amp;"")))</f>
        <v/>
      </c>
      <c r="B1123" t="str">
        <f>IF(A1123="","",IFERROR(VALUE(RIGHT(TRIM(Input!D1123&amp;""),1)),0))</f>
        <v/>
      </c>
      <c r="C1123" t="str">
        <f t="shared" si="17"/>
        <v/>
      </c>
      <c r="D1123" t="str">
        <f>IF(A1123="","",IFERROR(VALUE(SUBSTITUTE(TRIM(Input!E1123&amp;""),"%","")),0)/IF(AND(IFERROR(VALUE(SUBSTITUTE(TRIM(Input!E1123&amp;""),"%","")),0)&gt;0,IFERROR(VALUE(SUBSTITUTE(TRIM(Input!E1123&amp;""),"%","")),0)&lt;1),1,100))</f>
        <v/>
      </c>
      <c r="E1123" t="str">
        <f>IF(A1123="","",IFERROR(VALUE(SUBSTITUTE(TRIM(Input!F1123&amp;""),"%","")),0)/IF(AND(IFERROR(VALUE(SUBSTITUTE(TRIM(Input!F1123&amp;""),"%","")),0)&gt;0,IFERROR(VALUE(SUBSTITUTE(TRIM(Input!F1123&amp;""),"%","")),0)&lt;1),1,100))</f>
        <v/>
      </c>
      <c r="F1123" t="str">
        <f>IF(A1123="","",IFERROR(VALUE(SUBSTITUTE(TRIM(Input!G1123&amp;""),"%","")),0)/IF(AND(IFERROR(VALUE(SUBSTITUTE(TRIM(Input!G1123&amp;""),"%","")),0)&gt;0,IFERROR(VALUE(SUBSTITUTE(TRIM(Input!G1123&amp;""),"%","")),0)&lt;1),1,100))</f>
        <v/>
      </c>
      <c r="G1123" t="str">
        <f>IF(A1123="","",IFERROR(VALUE(SUBSTITUTE(TRIM(Input!H1123&amp;""),"%","")),0)/IF(AND(IFERROR(VALUE(SUBSTITUTE(TRIM(Input!H1123&amp;""),"%","")),0)&gt;0,IFERROR(VALUE(SUBSTITUTE(TRIM(Input!H1123&amp;""),"%","")),0)&lt;1),1,100))</f>
        <v/>
      </c>
      <c r="H1123" t="str">
        <f>IF(A1123="","",IFERROR(VALUE(SUBSTITUTE(TRIM(Input!I1123&amp;""),"%","")),0)/IF(AND(IFERROR(VALUE(SUBSTITUTE(TRIM(Input!I1123&amp;""),"%","")),0)&gt;0,IFERROR(VALUE(SUBSTITUTE(TRIM(Input!I1123&amp;""),"%","")),0)&lt;1),1,100))</f>
        <v/>
      </c>
    </row>
    <row r="1124" spans="1:8">
      <c r="A1124" t="str">
        <f>IF(TRIM(Input!B1124&amp;"")="","",UPPER(TRIM(Input!B1124&amp;"")))</f>
        <v/>
      </c>
      <c r="B1124" t="str">
        <f>IF(A1124="","",IFERROR(VALUE(RIGHT(TRIM(Input!D1124&amp;""),1)),0))</f>
        <v/>
      </c>
      <c r="C1124" t="str">
        <f t="shared" si="17"/>
        <v/>
      </c>
      <c r="D1124" t="str">
        <f>IF(A1124="","",IFERROR(VALUE(SUBSTITUTE(TRIM(Input!E1124&amp;""),"%","")),0)/IF(AND(IFERROR(VALUE(SUBSTITUTE(TRIM(Input!E1124&amp;""),"%","")),0)&gt;0,IFERROR(VALUE(SUBSTITUTE(TRIM(Input!E1124&amp;""),"%","")),0)&lt;1),1,100))</f>
        <v/>
      </c>
      <c r="E1124" t="str">
        <f>IF(A1124="","",IFERROR(VALUE(SUBSTITUTE(TRIM(Input!F1124&amp;""),"%","")),0)/IF(AND(IFERROR(VALUE(SUBSTITUTE(TRIM(Input!F1124&amp;""),"%","")),0)&gt;0,IFERROR(VALUE(SUBSTITUTE(TRIM(Input!F1124&amp;""),"%","")),0)&lt;1),1,100))</f>
        <v/>
      </c>
      <c r="F1124" t="str">
        <f>IF(A1124="","",IFERROR(VALUE(SUBSTITUTE(TRIM(Input!G1124&amp;""),"%","")),0)/IF(AND(IFERROR(VALUE(SUBSTITUTE(TRIM(Input!G1124&amp;""),"%","")),0)&gt;0,IFERROR(VALUE(SUBSTITUTE(TRIM(Input!G1124&amp;""),"%","")),0)&lt;1),1,100))</f>
        <v/>
      </c>
      <c r="G1124" t="str">
        <f>IF(A1124="","",IFERROR(VALUE(SUBSTITUTE(TRIM(Input!H1124&amp;""),"%","")),0)/IF(AND(IFERROR(VALUE(SUBSTITUTE(TRIM(Input!H1124&amp;""),"%","")),0)&gt;0,IFERROR(VALUE(SUBSTITUTE(TRIM(Input!H1124&amp;""),"%","")),0)&lt;1),1,100))</f>
        <v/>
      </c>
      <c r="H1124" t="str">
        <f>IF(A1124="","",IFERROR(VALUE(SUBSTITUTE(TRIM(Input!I1124&amp;""),"%","")),0)/IF(AND(IFERROR(VALUE(SUBSTITUTE(TRIM(Input!I1124&amp;""),"%","")),0)&gt;0,IFERROR(VALUE(SUBSTITUTE(TRIM(Input!I1124&amp;""),"%","")),0)&lt;1),1,100))</f>
        <v/>
      </c>
    </row>
    <row r="1125" spans="1:8">
      <c r="A1125" t="str">
        <f>IF(TRIM(Input!B1125&amp;"")="","",UPPER(TRIM(Input!B1125&amp;"")))</f>
        <v/>
      </c>
      <c r="B1125" t="str">
        <f>IF(A1125="","",IFERROR(VALUE(RIGHT(TRIM(Input!D1125&amp;""),1)),0))</f>
        <v/>
      </c>
      <c r="C1125" t="str">
        <f t="shared" si="17"/>
        <v/>
      </c>
      <c r="D1125" t="str">
        <f>IF(A1125="","",IFERROR(VALUE(SUBSTITUTE(TRIM(Input!E1125&amp;""),"%","")),0)/IF(AND(IFERROR(VALUE(SUBSTITUTE(TRIM(Input!E1125&amp;""),"%","")),0)&gt;0,IFERROR(VALUE(SUBSTITUTE(TRIM(Input!E1125&amp;""),"%","")),0)&lt;1),1,100))</f>
        <v/>
      </c>
      <c r="E1125" t="str">
        <f>IF(A1125="","",IFERROR(VALUE(SUBSTITUTE(TRIM(Input!F1125&amp;""),"%","")),0)/IF(AND(IFERROR(VALUE(SUBSTITUTE(TRIM(Input!F1125&amp;""),"%","")),0)&gt;0,IFERROR(VALUE(SUBSTITUTE(TRIM(Input!F1125&amp;""),"%","")),0)&lt;1),1,100))</f>
        <v/>
      </c>
      <c r="F1125" t="str">
        <f>IF(A1125="","",IFERROR(VALUE(SUBSTITUTE(TRIM(Input!G1125&amp;""),"%","")),0)/IF(AND(IFERROR(VALUE(SUBSTITUTE(TRIM(Input!G1125&amp;""),"%","")),0)&gt;0,IFERROR(VALUE(SUBSTITUTE(TRIM(Input!G1125&amp;""),"%","")),0)&lt;1),1,100))</f>
        <v/>
      </c>
      <c r="G1125" t="str">
        <f>IF(A1125="","",IFERROR(VALUE(SUBSTITUTE(TRIM(Input!H1125&amp;""),"%","")),0)/IF(AND(IFERROR(VALUE(SUBSTITUTE(TRIM(Input!H1125&amp;""),"%","")),0)&gt;0,IFERROR(VALUE(SUBSTITUTE(TRIM(Input!H1125&amp;""),"%","")),0)&lt;1),1,100))</f>
        <v/>
      </c>
      <c r="H1125" t="str">
        <f>IF(A1125="","",IFERROR(VALUE(SUBSTITUTE(TRIM(Input!I1125&amp;""),"%","")),0)/IF(AND(IFERROR(VALUE(SUBSTITUTE(TRIM(Input!I1125&amp;""),"%","")),0)&gt;0,IFERROR(VALUE(SUBSTITUTE(TRIM(Input!I1125&amp;""),"%","")),0)&lt;1),1,100))</f>
        <v/>
      </c>
    </row>
    <row r="1126" spans="1:8">
      <c r="A1126" t="str">
        <f>IF(TRIM(Input!B1126&amp;"")="","",UPPER(TRIM(Input!B1126&amp;"")))</f>
        <v/>
      </c>
      <c r="B1126" t="str">
        <f>IF(A1126="","",IFERROR(VALUE(RIGHT(TRIM(Input!D1126&amp;""),1)),0))</f>
        <v/>
      </c>
      <c r="C1126" t="str">
        <f t="shared" si="17"/>
        <v/>
      </c>
      <c r="D1126" t="str">
        <f>IF(A1126="","",IFERROR(VALUE(SUBSTITUTE(TRIM(Input!E1126&amp;""),"%","")),0)/IF(AND(IFERROR(VALUE(SUBSTITUTE(TRIM(Input!E1126&amp;""),"%","")),0)&gt;0,IFERROR(VALUE(SUBSTITUTE(TRIM(Input!E1126&amp;""),"%","")),0)&lt;1),1,100))</f>
        <v/>
      </c>
      <c r="E1126" t="str">
        <f>IF(A1126="","",IFERROR(VALUE(SUBSTITUTE(TRIM(Input!F1126&amp;""),"%","")),0)/IF(AND(IFERROR(VALUE(SUBSTITUTE(TRIM(Input!F1126&amp;""),"%","")),0)&gt;0,IFERROR(VALUE(SUBSTITUTE(TRIM(Input!F1126&amp;""),"%","")),0)&lt;1),1,100))</f>
        <v/>
      </c>
      <c r="F1126" t="str">
        <f>IF(A1126="","",IFERROR(VALUE(SUBSTITUTE(TRIM(Input!G1126&amp;""),"%","")),0)/IF(AND(IFERROR(VALUE(SUBSTITUTE(TRIM(Input!G1126&amp;""),"%","")),0)&gt;0,IFERROR(VALUE(SUBSTITUTE(TRIM(Input!G1126&amp;""),"%","")),0)&lt;1),1,100))</f>
        <v/>
      </c>
      <c r="G1126" t="str">
        <f>IF(A1126="","",IFERROR(VALUE(SUBSTITUTE(TRIM(Input!H1126&amp;""),"%","")),0)/IF(AND(IFERROR(VALUE(SUBSTITUTE(TRIM(Input!H1126&amp;""),"%","")),0)&gt;0,IFERROR(VALUE(SUBSTITUTE(TRIM(Input!H1126&amp;""),"%","")),0)&lt;1),1,100))</f>
        <v/>
      </c>
      <c r="H1126" t="str">
        <f>IF(A1126="","",IFERROR(VALUE(SUBSTITUTE(TRIM(Input!I1126&amp;""),"%","")),0)/IF(AND(IFERROR(VALUE(SUBSTITUTE(TRIM(Input!I1126&amp;""),"%","")),0)&gt;0,IFERROR(VALUE(SUBSTITUTE(TRIM(Input!I1126&amp;""),"%","")),0)&lt;1),1,100))</f>
        <v/>
      </c>
    </row>
    <row r="1127" spans="1:8">
      <c r="A1127" t="str">
        <f>IF(TRIM(Input!B1127&amp;"")="","",UPPER(TRIM(Input!B1127&amp;"")))</f>
        <v/>
      </c>
      <c r="B1127" t="str">
        <f>IF(A1127="","",IFERROR(VALUE(RIGHT(TRIM(Input!D1127&amp;""),1)),0))</f>
        <v/>
      </c>
      <c r="C1127" t="str">
        <f t="shared" si="17"/>
        <v/>
      </c>
      <c r="D1127" t="str">
        <f>IF(A1127="","",IFERROR(VALUE(SUBSTITUTE(TRIM(Input!E1127&amp;""),"%","")),0)/IF(AND(IFERROR(VALUE(SUBSTITUTE(TRIM(Input!E1127&amp;""),"%","")),0)&gt;0,IFERROR(VALUE(SUBSTITUTE(TRIM(Input!E1127&amp;""),"%","")),0)&lt;1),1,100))</f>
        <v/>
      </c>
      <c r="E1127" t="str">
        <f>IF(A1127="","",IFERROR(VALUE(SUBSTITUTE(TRIM(Input!F1127&amp;""),"%","")),0)/IF(AND(IFERROR(VALUE(SUBSTITUTE(TRIM(Input!F1127&amp;""),"%","")),0)&gt;0,IFERROR(VALUE(SUBSTITUTE(TRIM(Input!F1127&amp;""),"%","")),0)&lt;1),1,100))</f>
        <v/>
      </c>
      <c r="F1127" t="str">
        <f>IF(A1127="","",IFERROR(VALUE(SUBSTITUTE(TRIM(Input!G1127&amp;""),"%","")),0)/IF(AND(IFERROR(VALUE(SUBSTITUTE(TRIM(Input!G1127&amp;""),"%","")),0)&gt;0,IFERROR(VALUE(SUBSTITUTE(TRIM(Input!G1127&amp;""),"%","")),0)&lt;1),1,100))</f>
        <v/>
      </c>
      <c r="G1127" t="str">
        <f>IF(A1127="","",IFERROR(VALUE(SUBSTITUTE(TRIM(Input!H1127&amp;""),"%","")),0)/IF(AND(IFERROR(VALUE(SUBSTITUTE(TRIM(Input!H1127&amp;""),"%","")),0)&gt;0,IFERROR(VALUE(SUBSTITUTE(TRIM(Input!H1127&amp;""),"%","")),0)&lt;1),1,100))</f>
        <v/>
      </c>
      <c r="H1127" t="str">
        <f>IF(A1127="","",IFERROR(VALUE(SUBSTITUTE(TRIM(Input!I1127&amp;""),"%","")),0)/IF(AND(IFERROR(VALUE(SUBSTITUTE(TRIM(Input!I1127&amp;""),"%","")),0)&gt;0,IFERROR(VALUE(SUBSTITUTE(TRIM(Input!I1127&amp;""),"%","")),0)&lt;1),1,100))</f>
        <v/>
      </c>
    </row>
    <row r="1128" spans="1:8">
      <c r="A1128" t="str">
        <f>IF(TRIM(Input!B1128&amp;"")="","",UPPER(TRIM(Input!B1128&amp;"")))</f>
        <v/>
      </c>
      <c r="B1128" t="str">
        <f>IF(A1128="","",IFERROR(VALUE(RIGHT(TRIM(Input!D1128&amp;""),1)),0))</f>
        <v/>
      </c>
      <c r="C1128" t="str">
        <f t="shared" si="17"/>
        <v/>
      </c>
      <c r="D1128" t="str">
        <f>IF(A1128="","",IFERROR(VALUE(SUBSTITUTE(TRIM(Input!E1128&amp;""),"%","")),0)/IF(AND(IFERROR(VALUE(SUBSTITUTE(TRIM(Input!E1128&amp;""),"%","")),0)&gt;0,IFERROR(VALUE(SUBSTITUTE(TRIM(Input!E1128&amp;""),"%","")),0)&lt;1),1,100))</f>
        <v/>
      </c>
      <c r="E1128" t="str">
        <f>IF(A1128="","",IFERROR(VALUE(SUBSTITUTE(TRIM(Input!F1128&amp;""),"%","")),0)/IF(AND(IFERROR(VALUE(SUBSTITUTE(TRIM(Input!F1128&amp;""),"%","")),0)&gt;0,IFERROR(VALUE(SUBSTITUTE(TRIM(Input!F1128&amp;""),"%","")),0)&lt;1),1,100))</f>
        <v/>
      </c>
      <c r="F1128" t="str">
        <f>IF(A1128="","",IFERROR(VALUE(SUBSTITUTE(TRIM(Input!G1128&amp;""),"%","")),0)/IF(AND(IFERROR(VALUE(SUBSTITUTE(TRIM(Input!G1128&amp;""),"%","")),0)&gt;0,IFERROR(VALUE(SUBSTITUTE(TRIM(Input!G1128&amp;""),"%","")),0)&lt;1),1,100))</f>
        <v/>
      </c>
      <c r="G1128" t="str">
        <f>IF(A1128="","",IFERROR(VALUE(SUBSTITUTE(TRIM(Input!H1128&amp;""),"%","")),0)/IF(AND(IFERROR(VALUE(SUBSTITUTE(TRIM(Input!H1128&amp;""),"%","")),0)&gt;0,IFERROR(VALUE(SUBSTITUTE(TRIM(Input!H1128&amp;""),"%","")),0)&lt;1),1,100))</f>
        <v/>
      </c>
      <c r="H1128" t="str">
        <f>IF(A1128="","",IFERROR(VALUE(SUBSTITUTE(TRIM(Input!I1128&amp;""),"%","")),0)/IF(AND(IFERROR(VALUE(SUBSTITUTE(TRIM(Input!I1128&amp;""),"%","")),0)&gt;0,IFERROR(VALUE(SUBSTITUTE(TRIM(Input!I1128&amp;""),"%","")),0)&lt;1),1,100))</f>
        <v/>
      </c>
    </row>
    <row r="1129" spans="1:8">
      <c r="A1129" t="str">
        <f>IF(TRIM(Input!B1129&amp;"")="","",UPPER(TRIM(Input!B1129&amp;"")))</f>
        <v/>
      </c>
      <c r="B1129" t="str">
        <f>IF(A1129="","",IFERROR(VALUE(RIGHT(TRIM(Input!D1129&amp;""),1)),0))</f>
        <v/>
      </c>
      <c r="C1129" t="str">
        <f t="shared" si="17"/>
        <v/>
      </c>
      <c r="D1129" t="str">
        <f>IF(A1129="","",IFERROR(VALUE(SUBSTITUTE(TRIM(Input!E1129&amp;""),"%","")),0)/IF(AND(IFERROR(VALUE(SUBSTITUTE(TRIM(Input!E1129&amp;""),"%","")),0)&gt;0,IFERROR(VALUE(SUBSTITUTE(TRIM(Input!E1129&amp;""),"%","")),0)&lt;1),1,100))</f>
        <v/>
      </c>
      <c r="E1129" t="str">
        <f>IF(A1129="","",IFERROR(VALUE(SUBSTITUTE(TRIM(Input!F1129&amp;""),"%","")),0)/IF(AND(IFERROR(VALUE(SUBSTITUTE(TRIM(Input!F1129&amp;""),"%","")),0)&gt;0,IFERROR(VALUE(SUBSTITUTE(TRIM(Input!F1129&amp;""),"%","")),0)&lt;1),1,100))</f>
        <v/>
      </c>
      <c r="F1129" t="str">
        <f>IF(A1129="","",IFERROR(VALUE(SUBSTITUTE(TRIM(Input!G1129&amp;""),"%","")),0)/IF(AND(IFERROR(VALUE(SUBSTITUTE(TRIM(Input!G1129&amp;""),"%","")),0)&gt;0,IFERROR(VALUE(SUBSTITUTE(TRIM(Input!G1129&amp;""),"%","")),0)&lt;1),1,100))</f>
        <v/>
      </c>
      <c r="G1129" t="str">
        <f>IF(A1129="","",IFERROR(VALUE(SUBSTITUTE(TRIM(Input!H1129&amp;""),"%","")),0)/IF(AND(IFERROR(VALUE(SUBSTITUTE(TRIM(Input!H1129&amp;""),"%","")),0)&gt;0,IFERROR(VALUE(SUBSTITUTE(TRIM(Input!H1129&amp;""),"%","")),0)&lt;1),1,100))</f>
        <v/>
      </c>
      <c r="H1129" t="str">
        <f>IF(A1129="","",IFERROR(VALUE(SUBSTITUTE(TRIM(Input!I1129&amp;""),"%","")),0)/IF(AND(IFERROR(VALUE(SUBSTITUTE(TRIM(Input!I1129&amp;""),"%","")),0)&gt;0,IFERROR(VALUE(SUBSTITUTE(TRIM(Input!I1129&amp;""),"%","")),0)&lt;1),1,100))</f>
        <v/>
      </c>
    </row>
    <row r="1130" spans="1:8">
      <c r="A1130" t="str">
        <f>IF(TRIM(Input!B1130&amp;"")="","",UPPER(TRIM(Input!B1130&amp;"")))</f>
        <v/>
      </c>
      <c r="B1130" t="str">
        <f>IF(A1130="","",IFERROR(VALUE(RIGHT(TRIM(Input!D1130&amp;""),1)),0))</f>
        <v/>
      </c>
      <c r="C1130" t="str">
        <f t="shared" si="17"/>
        <v/>
      </c>
      <c r="D1130" t="str">
        <f>IF(A1130="","",IFERROR(VALUE(SUBSTITUTE(TRIM(Input!E1130&amp;""),"%","")),0)/IF(AND(IFERROR(VALUE(SUBSTITUTE(TRIM(Input!E1130&amp;""),"%","")),0)&gt;0,IFERROR(VALUE(SUBSTITUTE(TRIM(Input!E1130&amp;""),"%","")),0)&lt;1),1,100))</f>
        <v/>
      </c>
      <c r="E1130" t="str">
        <f>IF(A1130="","",IFERROR(VALUE(SUBSTITUTE(TRIM(Input!F1130&amp;""),"%","")),0)/IF(AND(IFERROR(VALUE(SUBSTITUTE(TRIM(Input!F1130&amp;""),"%","")),0)&gt;0,IFERROR(VALUE(SUBSTITUTE(TRIM(Input!F1130&amp;""),"%","")),0)&lt;1),1,100))</f>
        <v/>
      </c>
      <c r="F1130" t="str">
        <f>IF(A1130="","",IFERROR(VALUE(SUBSTITUTE(TRIM(Input!G1130&amp;""),"%","")),0)/IF(AND(IFERROR(VALUE(SUBSTITUTE(TRIM(Input!G1130&amp;""),"%","")),0)&gt;0,IFERROR(VALUE(SUBSTITUTE(TRIM(Input!G1130&amp;""),"%","")),0)&lt;1),1,100))</f>
        <v/>
      </c>
      <c r="G1130" t="str">
        <f>IF(A1130="","",IFERROR(VALUE(SUBSTITUTE(TRIM(Input!H1130&amp;""),"%","")),0)/IF(AND(IFERROR(VALUE(SUBSTITUTE(TRIM(Input!H1130&amp;""),"%","")),0)&gt;0,IFERROR(VALUE(SUBSTITUTE(TRIM(Input!H1130&amp;""),"%","")),0)&lt;1),1,100))</f>
        <v/>
      </c>
      <c r="H1130" t="str">
        <f>IF(A1130="","",IFERROR(VALUE(SUBSTITUTE(TRIM(Input!I1130&amp;""),"%","")),0)/IF(AND(IFERROR(VALUE(SUBSTITUTE(TRIM(Input!I1130&amp;""),"%","")),0)&gt;0,IFERROR(VALUE(SUBSTITUTE(TRIM(Input!I1130&amp;""),"%","")),0)&lt;1),1,100))</f>
        <v/>
      </c>
    </row>
    <row r="1131" spans="1:8">
      <c r="A1131" t="str">
        <f>IF(TRIM(Input!B1131&amp;"")="","",UPPER(TRIM(Input!B1131&amp;"")))</f>
        <v/>
      </c>
      <c r="B1131" t="str">
        <f>IF(A1131="","",IFERROR(VALUE(RIGHT(TRIM(Input!D1131&amp;""),1)),0))</f>
        <v/>
      </c>
      <c r="C1131" t="str">
        <f t="shared" si="17"/>
        <v/>
      </c>
      <c r="D1131" t="str">
        <f>IF(A1131="","",IFERROR(VALUE(SUBSTITUTE(TRIM(Input!E1131&amp;""),"%","")),0)/IF(AND(IFERROR(VALUE(SUBSTITUTE(TRIM(Input!E1131&amp;""),"%","")),0)&gt;0,IFERROR(VALUE(SUBSTITUTE(TRIM(Input!E1131&amp;""),"%","")),0)&lt;1),1,100))</f>
        <v/>
      </c>
      <c r="E1131" t="str">
        <f>IF(A1131="","",IFERROR(VALUE(SUBSTITUTE(TRIM(Input!F1131&amp;""),"%","")),0)/IF(AND(IFERROR(VALUE(SUBSTITUTE(TRIM(Input!F1131&amp;""),"%","")),0)&gt;0,IFERROR(VALUE(SUBSTITUTE(TRIM(Input!F1131&amp;""),"%","")),0)&lt;1),1,100))</f>
        <v/>
      </c>
      <c r="F1131" t="str">
        <f>IF(A1131="","",IFERROR(VALUE(SUBSTITUTE(TRIM(Input!G1131&amp;""),"%","")),0)/IF(AND(IFERROR(VALUE(SUBSTITUTE(TRIM(Input!G1131&amp;""),"%","")),0)&gt;0,IFERROR(VALUE(SUBSTITUTE(TRIM(Input!G1131&amp;""),"%","")),0)&lt;1),1,100))</f>
        <v/>
      </c>
      <c r="G1131" t="str">
        <f>IF(A1131="","",IFERROR(VALUE(SUBSTITUTE(TRIM(Input!H1131&amp;""),"%","")),0)/IF(AND(IFERROR(VALUE(SUBSTITUTE(TRIM(Input!H1131&amp;""),"%","")),0)&gt;0,IFERROR(VALUE(SUBSTITUTE(TRIM(Input!H1131&amp;""),"%","")),0)&lt;1),1,100))</f>
        <v/>
      </c>
      <c r="H1131" t="str">
        <f>IF(A1131="","",IFERROR(VALUE(SUBSTITUTE(TRIM(Input!I1131&amp;""),"%","")),0)/IF(AND(IFERROR(VALUE(SUBSTITUTE(TRIM(Input!I1131&amp;""),"%","")),0)&gt;0,IFERROR(VALUE(SUBSTITUTE(TRIM(Input!I1131&amp;""),"%","")),0)&lt;1),1,100))</f>
        <v/>
      </c>
    </row>
    <row r="1132" spans="1:8">
      <c r="A1132" t="str">
        <f>IF(TRIM(Input!B1132&amp;"")="","",UPPER(TRIM(Input!B1132&amp;"")))</f>
        <v/>
      </c>
      <c r="B1132" t="str">
        <f>IF(A1132="","",IFERROR(VALUE(RIGHT(TRIM(Input!D1132&amp;""),1)),0))</f>
        <v/>
      </c>
      <c r="C1132" t="str">
        <f t="shared" si="17"/>
        <v/>
      </c>
      <c r="D1132" t="str">
        <f>IF(A1132="","",IFERROR(VALUE(SUBSTITUTE(TRIM(Input!E1132&amp;""),"%","")),0)/IF(AND(IFERROR(VALUE(SUBSTITUTE(TRIM(Input!E1132&amp;""),"%","")),0)&gt;0,IFERROR(VALUE(SUBSTITUTE(TRIM(Input!E1132&amp;""),"%","")),0)&lt;1),1,100))</f>
        <v/>
      </c>
      <c r="E1132" t="str">
        <f>IF(A1132="","",IFERROR(VALUE(SUBSTITUTE(TRIM(Input!F1132&amp;""),"%","")),0)/IF(AND(IFERROR(VALUE(SUBSTITUTE(TRIM(Input!F1132&amp;""),"%","")),0)&gt;0,IFERROR(VALUE(SUBSTITUTE(TRIM(Input!F1132&amp;""),"%","")),0)&lt;1),1,100))</f>
        <v/>
      </c>
      <c r="F1132" t="str">
        <f>IF(A1132="","",IFERROR(VALUE(SUBSTITUTE(TRIM(Input!G1132&amp;""),"%","")),0)/IF(AND(IFERROR(VALUE(SUBSTITUTE(TRIM(Input!G1132&amp;""),"%","")),0)&gt;0,IFERROR(VALUE(SUBSTITUTE(TRIM(Input!G1132&amp;""),"%","")),0)&lt;1),1,100))</f>
        <v/>
      </c>
      <c r="G1132" t="str">
        <f>IF(A1132="","",IFERROR(VALUE(SUBSTITUTE(TRIM(Input!H1132&amp;""),"%","")),0)/IF(AND(IFERROR(VALUE(SUBSTITUTE(TRIM(Input!H1132&amp;""),"%","")),0)&gt;0,IFERROR(VALUE(SUBSTITUTE(TRIM(Input!H1132&amp;""),"%","")),0)&lt;1),1,100))</f>
        <v/>
      </c>
      <c r="H1132" t="str">
        <f>IF(A1132="","",IFERROR(VALUE(SUBSTITUTE(TRIM(Input!I1132&amp;""),"%","")),0)/IF(AND(IFERROR(VALUE(SUBSTITUTE(TRIM(Input!I1132&amp;""),"%","")),0)&gt;0,IFERROR(VALUE(SUBSTITUTE(TRIM(Input!I1132&amp;""),"%","")),0)&lt;1),1,100))</f>
        <v/>
      </c>
    </row>
    <row r="1133" spans="1:8">
      <c r="A1133" t="str">
        <f>IF(TRIM(Input!B1133&amp;"")="","",UPPER(TRIM(Input!B1133&amp;"")))</f>
        <v/>
      </c>
      <c r="B1133" t="str">
        <f>IF(A1133="","",IFERROR(VALUE(RIGHT(TRIM(Input!D1133&amp;""),1)),0))</f>
        <v/>
      </c>
      <c r="C1133" t="str">
        <f t="shared" si="17"/>
        <v/>
      </c>
      <c r="D1133" t="str">
        <f>IF(A1133="","",IFERROR(VALUE(SUBSTITUTE(TRIM(Input!E1133&amp;""),"%","")),0)/IF(AND(IFERROR(VALUE(SUBSTITUTE(TRIM(Input!E1133&amp;""),"%","")),0)&gt;0,IFERROR(VALUE(SUBSTITUTE(TRIM(Input!E1133&amp;""),"%","")),0)&lt;1),1,100))</f>
        <v/>
      </c>
      <c r="E1133" t="str">
        <f>IF(A1133="","",IFERROR(VALUE(SUBSTITUTE(TRIM(Input!F1133&amp;""),"%","")),0)/IF(AND(IFERROR(VALUE(SUBSTITUTE(TRIM(Input!F1133&amp;""),"%","")),0)&gt;0,IFERROR(VALUE(SUBSTITUTE(TRIM(Input!F1133&amp;""),"%","")),0)&lt;1),1,100))</f>
        <v/>
      </c>
      <c r="F1133" t="str">
        <f>IF(A1133="","",IFERROR(VALUE(SUBSTITUTE(TRIM(Input!G1133&amp;""),"%","")),0)/IF(AND(IFERROR(VALUE(SUBSTITUTE(TRIM(Input!G1133&amp;""),"%","")),0)&gt;0,IFERROR(VALUE(SUBSTITUTE(TRIM(Input!G1133&amp;""),"%","")),0)&lt;1),1,100))</f>
        <v/>
      </c>
      <c r="G1133" t="str">
        <f>IF(A1133="","",IFERROR(VALUE(SUBSTITUTE(TRIM(Input!H1133&amp;""),"%","")),0)/IF(AND(IFERROR(VALUE(SUBSTITUTE(TRIM(Input!H1133&amp;""),"%","")),0)&gt;0,IFERROR(VALUE(SUBSTITUTE(TRIM(Input!H1133&amp;""),"%","")),0)&lt;1),1,100))</f>
        <v/>
      </c>
      <c r="H1133" t="str">
        <f>IF(A1133="","",IFERROR(VALUE(SUBSTITUTE(TRIM(Input!I1133&amp;""),"%","")),0)/IF(AND(IFERROR(VALUE(SUBSTITUTE(TRIM(Input!I1133&amp;""),"%","")),0)&gt;0,IFERROR(VALUE(SUBSTITUTE(TRIM(Input!I1133&amp;""),"%","")),0)&lt;1),1,100))</f>
        <v/>
      </c>
    </row>
    <row r="1134" spans="1:8">
      <c r="A1134" t="str">
        <f>IF(TRIM(Input!B1134&amp;"")="","",UPPER(TRIM(Input!B1134&amp;"")))</f>
        <v/>
      </c>
      <c r="B1134" t="str">
        <f>IF(A1134="","",IFERROR(VALUE(RIGHT(TRIM(Input!D1134&amp;""),1)),0))</f>
        <v/>
      </c>
      <c r="C1134" t="str">
        <f t="shared" si="17"/>
        <v/>
      </c>
      <c r="D1134" t="str">
        <f>IF(A1134="","",IFERROR(VALUE(SUBSTITUTE(TRIM(Input!E1134&amp;""),"%","")),0)/IF(AND(IFERROR(VALUE(SUBSTITUTE(TRIM(Input!E1134&amp;""),"%","")),0)&gt;0,IFERROR(VALUE(SUBSTITUTE(TRIM(Input!E1134&amp;""),"%","")),0)&lt;1),1,100))</f>
        <v/>
      </c>
      <c r="E1134" t="str">
        <f>IF(A1134="","",IFERROR(VALUE(SUBSTITUTE(TRIM(Input!F1134&amp;""),"%","")),0)/IF(AND(IFERROR(VALUE(SUBSTITUTE(TRIM(Input!F1134&amp;""),"%","")),0)&gt;0,IFERROR(VALUE(SUBSTITUTE(TRIM(Input!F1134&amp;""),"%","")),0)&lt;1),1,100))</f>
        <v/>
      </c>
      <c r="F1134" t="str">
        <f>IF(A1134="","",IFERROR(VALUE(SUBSTITUTE(TRIM(Input!G1134&amp;""),"%","")),0)/IF(AND(IFERROR(VALUE(SUBSTITUTE(TRIM(Input!G1134&amp;""),"%","")),0)&gt;0,IFERROR(VALUE(SUBSTITUTE(TRIM(Input!G1134&amp;""),"%","")),0)&lt;1),1,100))</f>
        <v/>
      </c>
      <c r="G1134" t="str">
        <f>IF(A1134="","",IFERROR(VALUE(SUBSTITUTE(TRIM(Input!H1134&amp;""),"%","")),0)/IF(AND(IFERROR(VALUE(SUBSTITUTE(TRIM(Input!H1134&amp;""),"%","")),0)&gt;0,IFERROR(VALUE(SUBSTITUTE(TRIM(Input!H1134&amp;""),"%","")),0)&lt;1),1,100))</f>
        <v/>
      </c>
      <c r="H1134" t="str">
        <f>IF(A1134="","",IFERROR(VALUE(SUBSTITUTE(TRIM(Input!I1134&amp;""),"%","")),0)/IF(AND(IFERROR(VALUE(SUBSTITUTE(TRIM(Input!I1134&amp;""),"%","")),0)&gt;0,IFERROR(VALUE(SUBSTITUTE(TRIM(Input!I1134&amp;""),"%","")),0)&lt;1),1,100))</f>
        <v/>
      </c>
    </row>
    <row r="1135" spans="1:8">
      <c r="A1135" t="str">
        <f>IF(TRIM(Input!B1135&amp;"")="","",UPPER(TRIM(Input!B1135&amp;"")))</f>
        <v/>
      </c>
      <c r="B1135" t="str">
        <f>IF(A1135="","",IFERROR(VALUE(RIGHT(TRIM(Input!D1135&amp;""),1)),0))</f>
        <v/>
      </c>
      <c r="C1135" t="str">
        <f t="shared" si="17"/>
        <v/>
      </c>
      <c r="D1135" t="str">
        <f>IF(A1135="","",IFERROR(VALUE(SUBSTITUTE(TRIM(Input!E1135&amp;""),"%","")),0)/IF(AND(IFERROR(VALUE(SUBSTITUTE(TRIM(Input!E1135&amp;""),"%","")),0)&gt;0,IFERROR(VALUE(SUBSTITUTE(TRIM(Input!E1135&amp;""),"%","")),0)&lt;1),1,100))</f>
        <v/>
      </c>
      <c r="E1135" t="str">
        <f>IF(A1135="","",IFERROR(VALUE(SUBSTITUTE(TRIM(Input!F1135&amp;""),"%","")),0)/IF(AND(IFERROR(VALUE(SUBSTITUTE(TRIM(Input!F1135&amp;""),"%","")),0)&gt;0,IFERROR(VALUE(SUBSTITUTE(TRIM(Input!F1135&amp;""),"%","")),0)&lt;1),1,100))</f>
        <v/>
      </c>
      <c r="F1135" t="str">
        <f>IF(A1135="","",IFERROR(VALUE(SUBSTITUTE(TRIM(Input!G1135&amp;""),"%","")),0)/IF(AND(IFERROR(VALUE(SUBSTITUTE(TRIM(Input!G1135&amp;""),"%","")),0)&gt;0,IFERROR(VALUE(SUBSTITUTE(TRIM(Input!G1135&amp;""),"%","")),0)&lt;1),1,100))</f>
        <v/>
      </c>
      <c r="G1135" t="str">
        <f>IF(A1135="","",IFERROR(VALUE(SUBSTITUTE(TRIM(Input!H1135&amp;""),"%","")),0)/IF(AND(IFERROR(VALUE(SUBSTITUTE(TRIM(Input!H1135&amp;""),"%","")),0)&gt;0,IFERROR(VALUE(SUBSTITUTE(TRIM(Input!H1135&amp;""),"%","")),0)&lt;1),1,100))</f>
        <v/>
      </c>
      <c r="H1135" t="str">
        <f>IF(A1135="","",IFERROR(VALUE(SUBSTITUTE(TRIM(Input!I1135&amp;""),"%","")),0)/IF(AND(IFERROR(VALUE(SUBSTITUTE(TRIM(Input!I1135&amp;""),"%","")),0)&gt;0,IFERROR(VALUE(SUBSTITUTE(TRIM(Input!I1135&amp;""),"%","")),0)&lt;1),1,100))</f>
        <v/>
      </c>
    </row>
    <row r="1136" spans="1:8">
      <c r="A1136" t="str">
        <f>IF(TRIM(Input!B1136&amp;"")="","",UPPER(TRIM(Input!B1136&amp;"")))</f>
        <v/>
      </c>
      <c r="B1136" t="str">
        <f>IF(A1136="","",IFERROR(VALUE(RIGHT(TRIM(Input!D1136&amp;""),1)),0))</f>
        <v/>
      </c>
      <c r="C1136" t="str">
        <f t="shared" si="17"/>
        <v/>
      </c>
      <c r="D1136" t="str">
        <f>IF(A1136="","",IFERROR(VALUE(SUBSTITUTE(TRIM(Input!E1136&amp;""),"%","")),0)/IF(AND(IFERROR(VALUE(SUBSTITUTE(TRIM(Input!E1136&amp;""),"%","")),0)&gt;0,IFERROR(VALUE(SUBSTITUTE(TRIM(Input!E1136&amp;""),"%","")),0)&lt;1),1,100))</f>
        <v/>
      </c>
      <c r="E1136" t="str">
        <f>IF(A1136="","",IFERROR(VALUE(SUBSTITUTE(TRIM(Input!F1136&amp;""),"%","")),0)/IF(AND(IFERROR(VALUE(SUBSTITUTE(TRIM(Input!F1136&amp;""),"%","")),0)&gt;0,IFERROR(VALUE(SUBSTITUTE(TRIM(Input!F1136&amp;""),"%","")),0)&lt;1),1,100))</f>
        <v/>
      </c>
      <c r="F1136" t="str">
        <f>IF(A1136="","",IFERROR(VALUE(SUBSTITUTE(TRIM(Input!G1136&amp;""),"%","")),0)/IF(AND(IFERROR(VALUE(SUBSTITUTE(TRIM(Input!G1136&amp;""),"%","")),0)&gt;0,IFERROR(VALUE(SUBSTITUTE(TRIM(Input!G1136&amp;""),"%","")),0)&lt;1),1,100))</f>
        <v/>
      </c>
      <c r="G1136" t="str">
        <f>IF(A1136="","",IFERROR(VALUE(SUBSTITUTE(TRIM(Input!H1136&amp;""),"%","")),0)/IF(AND(IFERROR(VALUE(SUBSTITUTE(TRIM(Input!H1136&amp;""),"%","")),0)&gt;0,IFERROR(VALUE(SUBSTITUTE(TRIM(Input!H1136&amp;""),"%","")),0)&lt;1),1,100))</f>
        <v/>
      </c>
      <c r="H1136" t="str">
        <f>IF(A1136="","",IFERROR(VALUE(SUBSTITUTE(TRIM(Input!I1136&amp;""),"%","")),0)/IF(AND(IFERROR(VALUE(SUBSTITUTE(TRIM(Input!I1136&amp;""),"%","")),0)&gt;0,IFERROR(VALUE(SUBSTITUTE(TRIM(Input!I1136&amp;""),"%","")),0)&lt;1),1,100))</f>
        <v/>
      </c>
    </row>
    <row r="1137" spans="1:8">
      <c r="A1137" t="str">
        <f>IF(TRIM(Input!B1137&amp;"")="","",UPPER(TRIM(Input!B1137&amp;"")))</f>
        <v/>
      </c>
      <c r="B1137" t="str">
        <f>IF(A1137="","",IFERROR(VALUE(RIGHT(TRIM(Input!D1137&amp;""),1)),0))</f>
        <v/>
      </c>
      <c r="C1137" t="str">
        <f t="shared" si="17"/>
        <v/>
      </c>
      <c r="D1137" t="str">
        <f>IF(A1137="","",IFERROR(VALUE(SUBSTITUTE(TRIM(Input!E1137&amp;""),"%","")),0)/IF(AND(IFERROR(VALUE(SUBSTITUTE(TRIM(Input!E1137&amp;""),"%","")),0)&gt;0,IFERROR(VALUE(SUBSTITUTE(TRIM(Input!E1137&amp;""),"%","")),0)&lt;1),1,100))</f>
        <v/>
      </c>
      <c r="E1137" t="str">
        <f>IF(A1137="","",IFERROR(VALUE(SUBSTITUTE(TRIM(Input!F1137&amp;""),"%","")),0)/IF(AND(IFERROR(VALUE(SUBSTITUTE(TRIM(Input!F1137&amp;""),"%","")),0)&gt;0,IFERROR(VALUE(SUBSTITUTE(TRIM(Input!F1137&amp;""),"%","")),0)&lt;1),1,100))</f>
        <v/>
      </c>
      <c r="F1137" t="str">
        <f>IF(A1137="","",IFERROR(VALUE(SUBSTITUTE(TRIM(Input!G1137&amp;""),"%","")),0)/IF(AND(IFERROR(VALUE(SUBSTITUTE(TRIM(Input!G1137&amp;""),"%","")),0)&gt;0,IFERROR(VALUE(SUBSTITUTE(TRIM(Input!G1137&amp;""),"%","")),0)&lt;1),1,100))</f>
        <v/>
      </c>
      <c r="G1137" t="str">
        <f>IF(A1137="","",IFERROR(VALUE(SUBSTITUTE(TRIM(Input!H1137&amp;""),"%","")),0)/IF(AND(IFERROR(VALUE(SUBSTITUTE(TRIM(Input!H1137&amp;""),"%","")),0)&gt;0,IFERROR(VALUE(SUBSTITUTE(TRIM(Input!H1137&amp;""),"%","")),0)&lt;1),1,100))</f>
        <v/>
      </c>
      <c r="H1137" t="str">
        <f>IF(A1137="","",IFERROR(VALUE(SUBSTITUTE(TRIM(Input!I1137&amp;""),"%","")),0)/IF(AND(IFERROR(VALUE(SUBSTITUTE(TRIM(Input!I1137&amp;""),"%","")),0)&gt;0,IFERROR(VALUE(SUBSTITUTE(TRIM(Input!I1137&amp;""),"%","")),0)&lt;1),1,100))</f>
        <v/>
      </c>
    </row>
    <row r="1138" spans="1:8">
      <c r="A1138" t="str">
        <f>IF(TRIM(Input!B1138&amp;"")="","",UPPER(TRIM(Input!B1138&amp;"")))</f>
        <v/>
      </c>
      <c r="B1138" t="str">
        <f>IF(A1138="","",IFERROR(VALUE(RIGHT(TRIM(Input!D1138&amp;""),1)),0))</f>
        <v/>
      </c>
      <c r="C1138" t="str">
        <f t="shared" si="17"/>
        <v/>
      </c>
      <c r="D1138" t="str">
        <f>IF(A1138="","",IFERROR(VALUE(SUBSTITUTE(TRIM(Input!E1138&amp;""),"%","")),0)/IF(AND(IFERROR(VALUE(SUBSTITUTE(TRIM(Input!E1138&amp;""),"%","")),0)&gt;0,IFERROR(VALUE(SUBSTITUTE(TRIM(Input!E1138&amp;""),"%","")),0)&lt;1),1,100))</f>
        <v/>
      </c>
      <c r="E1138" t="str">
        <f>IF(A1138="","",IFERROR(VALUE(SUBSTITUTE(TRIM(Input!F1138&amp;""),"%","")),0)/IF(AND(IFERROR(VALUE(SUBSTITUTE(TRIM(Input!F1138&amp;""),"%","")),0)&gt;0,IFERROR(VALUE(SUBSTITUTE(TRIM(Input!F1138&amp;""),"%","")),0)&lt;1),1,100))</f>
        <v/>
      </c>
      <c r="F1138" t="str">
        <f>IF(A1138="","",IFERROR(VALUE(SUBSTITUTE(TRIM(Input!G1138&amp;""),"%","")),0)/IF(AND(IFERROR(VALUE(SUBSTITUTE(TRIM(Input!G1138&amp;""),"%","")),0)&gt;0,IFERROR(VALUE(SUBSTITUTE(TRIM(Input!G1138&amp;""),"%","")),0)&lt;1),1,100))</f>
        <v/>
      </c>
      <c r="G1138" t="str">
        <f>IF(A1138="","",IFERROR(VALUE(SUBSTITUTE(TRIM(Input!H1138&amp;""),"%","")),0)/IF(AND(IFERROR(VALUE(SUBSTITUTE(TRIM(Input!H1138&amp;""),"%","")),0)&gt;0,IFERROR(VALUE(SUBSTITUTE(TRIM(Input!H1138&amp;""),"%","")),0)&lt;1),1,100))</f>
        <v/>
      </c>
      <c r="H1138" t="str">
        <f>IF(A1138="","",IFERROR(VALUE(SUBSTITUTE(TRIM(Input!I1138&amp;""),"%","")),0)/IF(AND(IFERROR(VALUE(SUBSTITUTE(TRIM(Input!I1138&amp;""),"%","")),0)&gt;0,IFERROR(VALUE(SUBSTITUTE(TRIM(Input!I1138&amp;""),"%","")),0)&lt;1),1,100))</f>
        <v/>
      </c>
    </row>
    <row r="1139" spans="1:8">
      <c r="A1139" t="str">
        <f>IF(TRIM(Input!B1139&amp;"")="","",UPPER(TRIM(Input!B1139&amp;"")))</f>
        <v/>
      </c>
      <c r="B1139" t="str">
        <f>IF(A1139="","",IFERROR(VALUE(RIGHT(TRIM(Input!D1139&amp;""),1)),0))</f>
        <v/>
      </c>
      <c r="C1139" t="str">
        <f t="shared" si="17"/>
        <v/>
      </c>
      <c r="D1139" t="str">
        <f>IF(A1139="","",IFERROR(VALUE(SUBSTITUTE(TRIM(Input!E1139&amp;""),"%","")),0)/IF(AND(IFERROR(VALUE(SUBSTITUTE(TRIM(Input!E1139&amp;""),"%","")),0)&gt;0,IFERROR(VALUE(SUBSTITUTE(TRIM(Input!E1139&amp;""),"%","")),0)&lt;1),1,100))</f>
        <v/>
      </c>
      <c r="E1139" t="str">
        <f>IF(A1139="","",IFERROR(VALUE(SUBSTITUTE(TRIM(Input!F1139&amp;""),"%","")),0)/IF(AND(IFERROR(VALUE(SUBSTITUTE(TRIM(Input!F1139&amp;""),"%","")),0)&gt;0,IFERROR(VALUE(SUBSTITUTE(TRIM(Input!F1139&amp;""),"%","")),0)&lt;1),1,100))</f>
        <v/>
      </c>
      <c r="F1139" t="str">
        <f>IF(A1139="","",IFERROR(VALUE(SUBSTITUTE(TRIM(Input!G1139&amp;""),"%","")),0)/IF(AND(IFERROR(VALUE(SUBSTITUTE(TRIM(Input!G1139&amp;""),"%","")),0)&gt;0,IFERROR(VALUE(SUBSTITUTE(TRIM(Input!G1139&amp;""),"%","")),0)&lt;1),1,100))</f>
        <v/>
      </c>
      <c r="G1139" t="str">
        <f>IF(A1139="","",IFERROR(VALUE(SUBSTITUTE(TRIM(Input!H1139&amp;""),"%","")),0)/IF(AND(IFERROR(VALUE(SUBSTITUTE(TRIM(Input!H1139&amp;""),"%","")),0)&gt;0,IFERROR(VALUE(SUBSTITUTE(TRIM(Input!H1139&amp;""),"%","")),0)&lt;1),1,100))</f>
        <v/>
      </c>
      <c r="H1139" t="str">
        <f>IF(A1139="","",IFERROR(VALUE(SUBSTITUTE(TRIM(Input!I1139&amp;""),"%","")),0)/IF(AND(IFERROR(VALUE(SUBSTITUTE(TRIM(Input!I1139&amp;""),"%","")),0)&gt;0,IFERROR(VALUE(SUBSTITUTE(TRIM(Input!I1139&amp;""),"%","")),0)&lt;1),1,100))</f>
        <v/>
      </c>
    </row>
    <row r="1140" spans="1:8">
      <c r="A1140" t="str">
        <f>IF(TRIM(Input!B1140&amp;"")="","",UPPER(TRIM(Input!B1140&amp;"")))</f>
        <v/>
      </c>
      <c r="B1140" t="str">
        <f>IF(A1140="","",IFERROR(VALUE(RIGHT(TRIM(Input!D1140&amp;""),1)),0))</f>
        <v/>
      </c>
      <c r="C1140" t="str">
        <f t="shared" si="17"/>
        <v/>
      </c>
      <c r="D1140" t="str">
        <f>IF(A1140="","",IFERROR(VALUE(SUBSTITUTE(TRIM(Input!E1140&amp;""),"%","")),0)/IF(AND(IFERROR(VALUE(SUBSTITUTE(TRIM(Input!E1140&amp;""),"%","")),0)&gt;0,IFERROR(VALUE(SUBSTITUTE(TRIM(Input!E1140&amp;""),"%","")),0)&lt;1),1,100))</f>
        <v/>
      </c>
      <c r="E1140" t="str">
        <f>IF(A1140="","",IFERROR(VALUE(SUBSTITUTE(TRIM(Input!F1140&amp;""),"%","")),0)/IF(AND(IFERROR(VALUE(SUBSTITUTE(TRIM(Input!F1140&amp;""),"%","")),0)&gt;0,IFERROR(VALUE(SUBSTITUTE(TRIM(Input!F1140&amp;""),"%","")),0)&lt;1),1,100))</f>
        <v/>
      </c>
      <c r="F1140" t="str">
        <f>IF(A1140="","",IFERROR(VALUE(SUBSTITUTE(TRIM(Input!G1140&amp;""),"%","")),0)/IF(AND(IFERROR(VALUE(SUBSTITUTE(TRIM(Input!G1140&amp;""),"%","")),0)&gt;0,IFERROR(VALUE(SUBSTITUTE(TRIM(Input!G1140&amp;""),"%","")),0)&lt;1),1,100))</f>
        <v/>
      </c>
      <c r="G1140" t="str">
        <f>IF(A1140="","",IFERROR(VALUE(SUBSTITUTE(TRIM(Input!H1140&amp;""),"%","")),0)/IF(AND(IFERROR(VALUE(SUBSTITUTE(TRIM(Input!H1140&amp;""),"%","")),0)&gt;0,IFERROR(VALUE(SUBSTITUTE(TRIM(Input!H1140&amp;""),"%","")),0)&lt;1),1,100))</f>
        <v/>
      </c>
      <c r="H1140" t="str">
        <f>IF(A1140="","",IFERROR(VALUE(SUBSTITUTE(TRIM(Input!I1140&amp;""),"%","")),0)/IF(AND(IFERROR(VALUE(SUBSTITUTE(TRIM(Input!I1140&amp;""),"%","")),0)&gt;0,IFERROR(VALUE(SUBSTITUTE(TRIM(Input!I1140&amp;""),"%","")),0)&lt;1),1,100))</f>
        <v/>
      </c>
    </row>
    <row r="1141" spans="1:8">
      <c r="A1141" t="str">
        <f>IF(TRIM(Input!B1141&amp;"")="","",UPPER(TRIM(Input!B1141&amp;"")))</f>
        <v/>
      </c>
      <c r="B1141" t="str">
        <f>IF(A1141="","",IFERROR(VALUE(RIGHT(TRIM(Input!D1141&amp;""),1)),0))</f>
        <v/>
      </c>
      <c r="C1141" t="str">
        <f t="shared" si="17"/>
        <v/>
      </c>
      <c r="D1141" t="str">
        <f>IF(A1141="","",IFERROR(VALUE(SUBSTITUTE(TRIM(Input!E1141&amp;""),"%","")),0)/IF(AND(IFERROR(VALUE(SUBSTITUTE(TRIM(Input!E1141&amp;""),"%","")),0)&gt;0,IFERROR(VALUE(SUBSTITUTE(TRIM(Input!E1141&amp;""),"%","")),0)&lt;1),1,100))</f>
        <v/>
      </c>
      <c r="E1141" t="str">
        <f>IF(A1141="","",IFERROR(VALUE(SUBSTITUTE(TRIM(Input!F1141&amp;""),"%","")),0)/IF(AND(IFERROR(VALUE(SUBSTITUTE(TRIM(Input!F1141&amp;""),"%","")),0)&gt;0,IFERROR(VALUE(SUBSTITUTE(TRIM(Input!F1141&amp;""),"%","")),0)&lt;1),1,100))</f>
        <v/>
      </c>
      <c r="F1141" t="str">
        <f>IF(A1141="","",IFERROR(VALUE(SUBSTITUTE(TRIM(Input!G1141&amp;""),"%","")),0)/IF(AND(IFERROR(VALUE(SUBSTITUTE(TRIM(Input!G1141&amp;""),"%","")),0)&gt;0,IFERROR(VALUE(SUBSTITUTE(TRIM(Input!G1141&amp;""),"%","")),0)&lt;1),1,100))</f>
        <v/>
      </c>
      <c r="G1141" t="str">
        <f>IF(A1141="","",IFERROR(VALUE(SUBSTITUTE(TRIM(Input!H1141&amp;""),"%","")),0)/IF(AND(IFERROR(VALUE(SUBSTITUTE(TRIM(Input!H1141&amp;""),"%","")),0)&gt;0,IFERROR(VALUE(SUBSTITUTE(TRIM(Input!H1141&amp;""),"%","")),0)&lt;1),1,100))</f>
        <v/>
      </c>
      <c r="H1141" t="str">
        <f>IF(A1141="","",IFERROR(VALUE(SUBSTITUTE(TRIM(Input!I1141&amp;""),"%","")),0)/IF(AND(IFERROR(VALUE(SUBSTITUTE(TRIM(Input!I1141&amp;""),"%","")),0)&gt;0,IFERROR(VALUE(SUBSTITUTE(TRIM(Input!I1141&amp;""),"%","")),0)&lt;1),1,100))</f>
        <v/>
      </c>
    </row>
    <row r="1142" spans="1:8">
      <c r="A1142" t="str">
        <f>IF(TRIM(Input!B1142&amp;"")="","",UPPER(TRIM(Input!B1142&amp;"")))</f>
        <v/>
      </c>
      <c r="B1142" t="str">
        <f>IF(A1142="","",IFERROR(VALUE(RIGHT(TRIM(Input!D1142&amp;""),1)),0))</f>
        <v/>
      </c>
      <c r="C1142" t="str">
        <f t="shared" si="17"/>
        <v/>
      </c>
      <c r="D1142" t="str">
        <f>IF(A1142="","",IFERROR(VALUE(SUBSTITUTE(TRIM(Input!E1142&amp;""),"%","")),0)/IF(AND(IFERROR(VALUE(SUBSTITUTE(TRIM(Input!E1142&amp;""),"%","")),0)&gt;0,IFERROR(VALUE(SUBSTITUTE(TRIM(Input!E1142&amp;""),"%","")),0)&lt;1),1,100))</f>
        <v/>
      </c>
      <c r="E1142" t="str">
        <f>IF(A1142="","",IFERROR(VALUE(SUBSTITUTE(TRIM(Input!F1142&amp;""),"%","")),0)/IF(AND(IFERROR(VALUE(SUBSTITUTE(TRIM(Input!F1142&amp;""),"%","")),0)&gt;0,IFERROR(VALUE(SUBSTITUTE(TRIM(Input!F1142&amp;""),"%","")),0)&lt;1),1,100))</f>
        <v/>
      </c>
      <c r="F1142" t="str">
        <f>IF(A1142="","",IFERROR(VALUE(SUBSTITUTE(TRIM(Input!G1142&amp;""),"%","")),0)/IF(AND(IFERROR(VALUE(SUBSTITUTE(TRIM(Input!G1142&amp;""),"%","")),0)&gt;0,IFERROR(VALUE(SUBSTITUTE(TRIM(Input!G1142&amp;""),"%","")),0)&lt;1),1,100))</f>
        <v/>
      </c>
      <c r="G1142" t="str">
        <f>IF(A1142="","",IFERROR(VALUE(SUBSTITUTE(TRIM(Input!H1142&amp;""),"%","")),0)/IF(AND(IFERROR(VALUE(SUBSTITUTE(TRIM(Input!H1142&amp;""),"%","")),0)&gt;0,IFERROR(VALUE(SUBSTITUTE(TRIM(Input!H1142&amp;""),"%","")),0)&lt;1),1,100))</f>
        <v/>
      </c>
      <c r="H1142" t="str">
        <f>IF(A1142="","",IFERROR(VALUE(SUBSTITUTE(TRIM(Input!I1142&amp;""),"%","")),0)/IF(AND(IFERROR(VALUE(SUBSTITUTE(TRIM(Input!I1142&amp;""),"%","")),0)&gt;0,IFERROR(VALUE(SUBSTITUTE(TRIM(Input!I1142&amp;""),"%","")),0)&lt;1),1,100))</f>
        <v/>
      </c>
    </row>
    <row r="1143" spans="1:8">
      <c r="A1143" t="str">
        <f>IF(TRIM(Input!B1143&amp;"")="","",UPPER(TRIM(Input!B1143&amp;"")))</f>
        <v/>
      </c>
      <c r="B1143" t="str">
        <f>IF(A1143="","",IFERROR(VALUE(RIGHT(TRIM(Input!D1143&amp;""),1)),0))</f>
        <v/>
      </c>
      <c r="C1143" t="str">
        <f t="shared" si="17"/>
        <v/>
      </c>
      <c r="D1143" t="str">
        <f>IF(A1143="","",IFERROR(VALUE(SUBSTITUTE(TRIM(Input!E1143&amp;""),"%","")),0)/IF(AND(IFERROR(VALUE(SUBSTITUTE(TRIM(Input!E1143&amp;""),"%","")),0)&gt;0,IFERROR(VALUE(SUBSTITUTE(TRIM(Input!E1143&amp;""),"%","")),0)&lt;1),1,100))</f>
        <v/>
      </c>
      <c r="E1143" t="str">
        <f>IF(A1143="","",IFERROR(VALUE(SUBSTITUTE(TRIM(Input!F1143&amp;""),"%","")),0)/IF(AND(IFERROR(VALUE(SUBSTITUTE(TRIM(Input!F1143&amp;""),"%","")),0)&gt;0,IFERROR(VALUE(SUBSTITUTE(TRIM(Input!F1143&amp;""),"%","")),0)&lt;1),1,100))</f>
        <v/>
      </c>
      <c r="F1143" t="str">
        <f>IF(A1143="","",IFERROR(VALUE(SUBSTITUTE(TRIM(Input!G1143&amp;""),"%","")),0)/IF(AND(IFERROR(VALUE(SUBSTITUTE(TRIM(Input!G1143&amp;""),"%","")),0)&gt;0,IFERROR(VALUE(SUBSTITUTE(TRIM(Input!G1143&amp;""),"%","")),0)&lt;1),1,100))</f>
        <v/>
      </c>
      <c r="G1143" t="str">
        <f>IF(A1143="","",IFERROR(VALUE(SUBSTITUTE(TRIM(Input!H1143&amp;""),"%","")),0)/IF(AND(IFERROR(VALUE(SUBSTITUTE(TRIM(Input!H1143&amp;""),"%","")),0)&gt;0,IFERROR(VALUE(SUBSTITUTE(TRIM(Input!H1143&amp;""),"%","")),0)&lt;1),1,100))</f>
        <v/>
      </c>
      <c r="H1143" t="str">
        <f>IF(A1143="","",IFERROR(VALUE(SUBSTITUTE(TRIM(Input!I1143&amp;""),"%","")),0)/IF(AND(IFERROR(VALUE(SUBSTITUTE(TRIM(Input!I1143&amp;""),"%","")),0)&gt;0,IFERROR(VALUE(SUBSTITUTE(TRIM(Input!I1143&amp;""),"%","")),0)&lt;1),1,100))</f>
        <v/>
      </c>
    </row>
    <row r="1144" spans="1:8">
      <c r="A1144" t="str">
        <f>IF(TRIM(Input!B1144&amp;"")="","",UPPER(TRIM(Input!B1144&amp;"")))</f>
        <v/>
      </c>
      <c r="B1144" t="str">
        <f>IF(A1144="","",IFERROR(VALUE(RIGHT(TRIM(Input!D1144&amp;""),1)),0))</f>
        <v/>
      </c>
      <c r="C1144" t="str">
        <f t="shared" si="17"/>
        <v/>
      </c>
      <c r="D1144" t="str">
        <f>IF(A1144="","",IFERROR(VALUE(SUBSTITUTE(TRIM(Input!E1144&amp;""),"%","")),0)/IF(AND(IFERROR(VALUE(SUBSTITUTE(TRIM(Input!E1144&amp;""),"%","")),0)&gt;0,IFERROR(VALUE(SUBSTITUTE(TRIM(Input!E1144&amp;""),"%","")),0)&lt;1),1,100))</f>
        <v/>
      </c>
      <c r="E1144" t="str">
        <f>IF(A1144="","",IFERROR(VALUE(SUBSTITUTE(TRIM(Input!F1144&amp;""),"%","")),0)/IF(AND(IFERROR(VALUE(SUBSTITUTE(TRIM(Input!F1144&amp;""),"%","")),0)&gt;0,IFERROR(VALUE(SUBSTITUTE(TRIM(Input!F1144&amp;""),"%","")),0)&lt;1),1,100))</f>
        <v/>
      </c>
      <c r="F1144" t="str">
        <f>IF(A1144="","",IFERROR(VALUE(SUBSTITUTE(TRIM(Input!G1144&amp;""),"%","")),0)/IF(AND(IFERROR(VALUE(SUBSTITUTE(TRIM(Input!G1144&amp;""),"%","")),0)&gt;0,IFERROR(VALUE(SUBSTITUTE(TRIM(Input!G1144&amp;""),"%","")),0)&lt;1),1,100))</f>
        <v/>
      </c>
      <c r="G1144" t="str">
        <f>IF(A1144="","",IFERROR(VALUE(SUBSTITUTE(TRIM(Input!H1144&amp;""),"%","")),0)/IF(AND(IFERROR(VALUE(SUBSTITUTE(TRIM(Input!H1144&amp;""),"%","")),0)&gt;0,IFERROR(VALUE(SUBSTITUTE(TRIM(Input!H1144&amp;""),"%","")),0)&lt;1),1,100))</f>
        <v/>
      </c>
      <c r="H1144" t="str">
        <f>IF(A1144="","",IFERROR(VALUE(SUBSTITUTE(TRIM(Input!I1144&amp;""),"%","")),0)/IF(AND(IFERROR(VALUE(SUBSTITUTE(TRIM(Input!I1144&amp;""),"%","")),0)&gt;0,IFERROR(VALUE(SUBSTITUTE(TRIM(Input!I1144&amp;""),"%","")),0)&lt;1),1,100))</f>
        <v/>
      </c>
    </row>
    <row r="1145" spans="1:8">
      <c r="A1145" t="str">
        <f>IF(TRIM(Input!B1145&amp;"")="","",UPPER(TRIM(Input!B1145&amp;"")))</f>
        <v/>
      </c>
      <c r="B1145" t="str">
        <f>IF(A1145="","",IFERROR(VALUE(RIGHT(TRIM(Input!D1145&amp;""),1)),0))</f>
        <v/>
      </c>
      <c r="C1145" t="str">
        <f t="shared" si="17"/>
        <v/>
      </c>
      <c r="D1145" t="str">
        <f>IF(A1145="","",IFERROR(VALUE(SUBSTITUTE(TRIM(Input!E1145&amp;""),"%","")),0)/IF(AND(IFERROR(VALUE(SUBSTITUTE(TRIM(Input!E1145&amp;""),"%","")),0)&gt;0,IFERROR(VALUE(SUBSTITUTE(TRIM(Input!E1145&amp;""),"%","")),0)&lt;1),1,100))</f>
        <v/>
      </c>
      <c r="E1145" t="str">
        <f>IF(A1145="","",IFERROR(VALUE(SUBSTITUTE(TRIM(Input!F1145&amp;""),"%","")),0)/IF(AND(IFERROR(VALUE(SUBSTITUTE(TRIM(Input!F1145&amp;""),"%","")),0)&gt;0,IFERROR(VALUE(SUBSTITUTE(TRIM(Input!F1145&amp;""),"%","")),0)&lt;1),1,100))</f>
        <v/>
      </c>
      <c r="F1145" t="str">
        <f>IF(A1145="","",IFERROR(VALUE(SUBSTITUTE(TRIM(Input!G1145&amp;""),"%","")),0)/IF(AND(IFERROR(VALUE(SUBSTITUTE(TRIM(Input!G1145&amp;""),"%","")),0)&gt;0,IFERROR(VALUE(SUBSTITUTE(TRIM(Input!G1145&amp;""),"%","")),0)&lt;1),1,100))</f>
        <v/>
      </c>
      <c r="G1145" t="str">
        <f>IF(A1145="","",IFERROR(VALUE(SUBSTITUTE(TRIM(Input!H1145&amp;""),"%","")),0)/IF(AND(IFERROR(VALUE(SUBSTITUTE(TRIM(Input!H1145&amp;""),"%","")),0)&gt;0,IFERROR(VALUE(SUBSTITUTE(TRIM(Input!H1145&amp;""),"%","")),0)&lt;1),1,100))</f>
        <v/>
      </c>
      <c r="H1145" t="str">
        <f>IF(A1145="","",IFERROR(VALUE(SUBSTITUTE(TRIM(Input!I1145&amp;""),"%","")),0)/IF(AND(IFERROR(VALUE(SUBSTITUTE(TRIM(Input!I1145&amp;""),"%","")),0)&gt;0,IFERROR(VALUE(SUBSTITUTE(TRIM(Input!I1145&amp;""),"%","")),0)&lt;1),1,100))</f>
        <v/>
      </c>
    </row>
    <row r="1146" spans="1:8">
      <c r="A1146" t="str">
        <f>IF(TRIM(Input!B1146&amp;"")="","",UPPER(TRIM(Input!B1146&amp;"")))</f>
        <v/>
      </c>
      <c r="B1146" t="str">
        <f>IF(A1146="","",IFERROR(VALUE(RIGHT(TRIM(Input!D1146&amp;""),1)),0))</f>
        <v/>
      </c>
      <c r="C1146" t="str">
        <f t="shared" si="17"/>
        <v/>
      </c>
      <c r="D1146" t="str">
        <f>IF(A1146="","",IFERROR(VALUE(SUBSTITUTE(TRIM(Input!E1146&amp;""),"%","")),0)/IF(AND(IFERROR(VALUE(SUBSTITUTE(TRIM(Input!E1146&amp;""),"%","")),0)&gt;0,IFERROR(VALUE(SUBSTITUTE(TRIM(Input!E1146&amp;""),"%","")),0)&lt;1),1,100))</f>
        <v/>
      </c>
      <c r="E1146" t="str">
        <f>IF(A1146="","",IFERROR(VALUE(SUBSTITUTE(TRIM(Input!F1146&amp;""),"%","")),0)/IF(AND(IFERROR(VALUE(SUBSTITUTE(TRIM(Input!F1146&amp;""),"%","")),0)&gt;0,IFERROR(VALUE(SUBSTITUTE(TRIM(Input!F1146&amp;""),"%","")),0)&lt;1),1,100))</f>
        <v/>
      </c>
      <c r="F1146" t="str">
        <f>IF(A1146="","",IFERROR(VALUE(SUBSTITUTE(TRIM(Input!G1146&amp;""),"%","")),0)/IF(AND(IFERROR(VALUE(SUBSTITUTE(TRIM(Input!G1146&amp;""),"%","")),0)&gt;0,IFERROR(VALUE(SUBSTITUTE(TRIM(Input!G1146&amp;""),"%","")),0)&lt;1),1,100))</f>
        <v/>
      </c>
      <c r="G1146" t="str">
        <f>IF(A1146="","",IFERROR(VALUE(SUBSTITUTE(TRIM(Input!H1146&amp;""),"%","")),0)/IF(AND(IFERROR(VALUE(SUBSTITUTE(TRIM(Input!H1146&amp;""),"%","")),0)&gt;0,IFERROR(VALUE(SUBSTITUTE(TRIM(Input!H1146&amp;""),"%","")),0)&lt;1),1,100))</f>
        <v/>
      </c>
      <c r="H1146" t="str">
        <f>IF(A1146="","",IFERROR(VALUE(SUBSTITUTE(TRIM(Input!I1146&amp;""),"%","")),0)/IF(AND(IFERROR(VALUE(SUBSTITUTE(TRIM(Input!I1146&amp;""),"%","")),0)&gt;0,IFERROR(VALUE(SUBSTITUTE(TRIM(Input!I1146&amp;""),"%","")),0)&lt;1),1,100))</f>
        <v/>
      </c>
    </row>
    <row r="1147" spans="1:8">
      <c r="A1147" t="str">
        <f>IF(TRIM(Input!B1147&amp;"")="","",UPPER(TRIM(Input!B1147&amp;"")))</f>
        <v/>
      </c>
      <c r="B1147" t="str">
        <f>IF(A1147="","",IFERROR(VALUE(RIGHT(TRIM(Input!D1147&amp;""),1)),0))</f>
        <v/>
      </c>
      <c r="C1147" t="str">
        <f t="shared" si="17"/>
        <v/>
      </c>
      <c r="D1147" t="str">
        <f>IF(A1147="","",IFERROR(VALUE(SUBSTITUTE(TRIM(Input!E1147&amp;""),"%","")),0)/IF(AND(IFERROR(VALUE(SUBSTITUTE(TRIM(Input!E1147&amp;""),"%","")),0)&gt;0,IFERROR(VALUE(SUBSTITUTE(TRIM(Input!E1147&amp;""),"%","")),0)&lt;1),1,100))</f>
        <v/>
      </c>
      <c r="E1147" t="str">
        <f>IF(A1147="","",IFERROR(VALUE(SUBSTITUTE(TRIM(Input!F1147&amp;""),"%","")),0)/IF(AND(IFERROR(VALUE(SUBSTITUTE(TRIM(Input!F1147&amp;""),"%","")),0)&gt;0,IFERROR(VALUE(SUBSTITUTE(TRIM(Input!F1147&amp;""),"%","")),0)&lt;1),1,100))</f>
        <v/>
      </c>
      <c r="F1147" t="str">
        <f>IF(A1147="","",IFERROR(VALUE(SUBSTITUTE(TRIM(Input!G1147&amp;""),"%","")),0)/IF(AND(IFERROR(VALUE(SUBSTITUTE(TRIM(Input!G1147&amp;""),"%","")),0)&gt;0,IFERROR(VALUE(SUBSTITUTE(TRIM(Input!G1147&amp;""),"%","")),0)&lt;1),1,100))</f>
        <v/>
      </c>
      <c r="G1147" t="str">
        <f>IF(A1147="","",IFERROR(VALUE(SUBSTITUTE(TRIM(Input!H1147&amp;""),"%","")),0)/IF(AND(IFERROR(VALUE(SUBSTITUTE(TRIM(Input!H1147&amp;""),"%","")),0)&gt;0,IFERROR(VALUE(SUBSTITUTE(TRIM(Input!H1147&amp;""),"%","")),0)&lt;1),1,100))</f>
        <v/>
      </c>
      <c r="H1147" t="str">
        <f>IF(A1147="","",IFERROR(VALUE(SUBSTITUTE(TRIM(Input!I1147&amp;""),"%","")),0)/IF(AND(IFERROR(VALUE(SUBSTITUTE(TRIM(Input!I1147&amp;""),"%","")),0)&gt;0,IFERROR(VALUE(SUBSTITUTE(TRIM(Input!I1147&amp;""),"%","")),0)&lt;1),1,100))</f>
        <v/>
      </c>
    </row>
    <row r="1148" spans="1:8">
      <c r="A1148" t="str">
        <f>IF(TRIM(Input!B1148&amp;"")="","",UPPER(TRIM(Input!B1148&amp;"")))</f>
        <v/>
      </c>
      <c r="B1148" t="str">
        <f>IF(A1148="","",IFERROR(VALUE(RIGHT(TRIM(Input!D1148&amp;""),1)),0))</f>
        <v/>
      </c>
      <c r="C1148" t="str">
        <f t="shared" si="17"/>
        <v/>
      </c>
      <c r="D1148" t="str">
        <f>IF(A1148="","",IFERROR(VALUE(SUBSTITUTE(TRIM(Input!E1148&amp;""),"%","")),0)/IF(AND(IFERROR(VALUE(SUBSTITUTE(TRIM(Input!E1148&amp;""),"%","")),0)&gt;0,IFERROR(VALUE(SUBSTITUTE(TRIM(Input!E1148&amp;""),"%","")),0)&lt;1),1,100))</f>
        <v/>
      </c>
      <c r="E1148" t="str">
        <f>IF(A1148="","",IFERROR(VALUE(SUBSTITUTE(TRIM(Input!F1148&amp;""),"%","")),0)/IF(AND(IFERROR(VALUE(SUBSTITUTE(TRIM(Input!F1148&amp;""),"%","")),0)&gt;0,IFERROR(VALUE(SUBSTITUTE(TRIM(Input!F1148&amp;""),"%","")),0)&lt;1),1,100))</f>
        <v/>
      </c>
      <c r="F1148" t="str">
        <f>IF(A1148="","",IFERROR(VALUE(SUBSTITUTE(TRIM(Input!G1148&amp;""),"%","")),0)/IF(AND(IFERROR(VALUE(SUBSTITUTE(TRIM(Input!G1148&amp;""),"%","")),0)&gt;0,IFERROR(VALUE(SUBSTITUTE(TRIM(Input!G1148&amp;""),"%","")),0)&lt;1),1,100))</f>
        <v/>
      </c>
      <c r="G1148" t="str">
        <f>IF(A1148="","",IFERROR(VALUE(SUBSTITUTE(TRIM(Input!H1148&amp;""),"%","")),0)/IF(AND(IFERROR(VALUE(SUBSTITUTE(TRIM(Input!H1148&amp;""),"%","")),0)&gt;0,IFERROR(VALUE(SUBSTITUTE(TRIM(Input!H1148&amp;""),"%","")),0)&lt;1),1,100))</f>
        <v/>
      </c>
      <c r="H1148" t="str">
        <f>IF(A1148="","",IFERROR(VALUE(SUBSTITUTE(TRIM(Input!I1148&amp;""),"%","")),0)/IF(AND(IFERROR(VALUE(SUBSTITUTE(TRIM(Input!I1148&amp;""),"%","")),0)&gt;0,IFERROR(VALUE(SUBSTITUTE(TRIM(Input!I1148&amp;""),"%","")),0)&lt;1),1,100))</f>
        <v/>
      </c>
    </row>
    <row r="1149" spans="1:8">
      <c r="A1149" t="str">
        <f>IF(TRIM(Input!B1149&amp;"")="","",UPPER(TRIM(Input!B1149&amp;"")))</f>
        <v/>
      </c>
      <c r="B1149" t="str">
        <f>IF(A1149="","",IFERROR(VALUE(RIGHT(TRIM(Input!D1149&amp;""),1)),0))</f>
        <v/>
      </c>
      <c r="C1149" t="str">
        <f t="shared" si="17"/>
        <v/>
      </c>
      <c r="D1149" t="str">
        <f>IF(A1149="","",IFERROR(VALUE(SUBSTITUTE(TRIM(Input!E1149&amp;""),"%","")),0)/IF(AND(IFERROR(VALUE(SUBSTITUTE(TRIM(Input!E1149&amp;""),"%","")),0)&gt;0,IFERROR(VALUE(SUBSTITUTE(TRIM(Input!E1149&amp;""),"%","")),0)&lt;1),1,100))</f>
        <v/>
      </c>
      <c r="E1149" t="str">
        <f>IF(A1149="","",IFERROR(VALUE(SUBSTITUTE(TRIM(Input!F1149&amp;""),"%","")),0)/IF(AND(IFERROR(VALUE(SUBSTITUTE(TRIM(Input!F1149&amp;""),"%","")),0)&gt;0,IFERROR(VALUE(SUBSTITUTE(TRIM(Input!F1149&amp;""),"%","")),0)&lt;1),1,100))</f>
        <v/>
      </c>
      <c r="F1149" t="str">
        <f>IF(A1149="","",IFERROR(VALUE(SUBSTITUTE(TRIM(Input!G1149&amp;""),"%","")),0)/IF(AND(IFERROR(VALUE(SUBSTITUTE(TRIM(Input!G1149&amp;""),"%","")),0)&gt;0,IFERROR(VALUE(SUBSTITUTE(TRIM(Input!G1149&amp;""),"%","")),0)&lt;1),1,100))</f>
        <v/>
      </c>
      <c r="G1149" t="str">
        <f>IF(A1149="","",IFERROR(VALUE(SUBSTITUTE(TRIM(Input!H1149&amp;""),"%","")),0)/IF(AND(IFERROR(VALUE(SUBSTITUTE(TRIM(Input!H1149&amp;""),"%","")),0)&gt;0,IFERROR(VALUE(SUBSTITUTE(TRIM(Input!H1149&amp;""),"%","")),0)&lt;1),1,100))</f>
        <v/>
      </c>
      <c r="H1149" t="str">
        <f>IF(A1149="","",IFERROR(VALUE(SUBSTITUTE(TRIM(Input!I1149&amp;""),"%","")),0)/IF(AND(IFERROR(VALUE(SUBSTITUTE(TRIM(Input!I1149&amp;""),"%","")),0)&gt;0,IFERROR(VALUE(SUBSTITUTE(TRIM(Input!I1149&amp;""),"%","")),0)&lt;1),1,100))</f>
        <v/>
      </c>
    </row>
    <row r="1150" spans="1:8">
      <c r="A1150" t="str">
        <f>IF(TRIM(Input!B1150&amp;"")="","",UPPER(TRIM(Input!B1150&amp;"")))</f>
        <v/>
      </c>
      <c r="B1150" t="str">
        <f>IF(A1150="","",IFERROR(VALUE(RIGHT(TRIM(Input!D1150&amp;""),1)),0))</f>
        <v/>
      </c>
      <c r="C1150" t="str">
        <f t="shared" si="17"/>
        <v/>
      </c>
      <c r="D1150" t="str">
        <f>IF(A1150="","",IFERROR(VALUE(SUBSTITUTE(TRIM(Input!E1150&amp;""),"%","")),0)/IF(AND(IFERROR(VALUE(SUBSTITUTE(TRIM(Input!E1150&amp;""),"%","")),0)&gt;0,IFERROR(VALUE(SUBSTITUTE(TRIM(Input!E1150&amp;""),"%","")),0)&lt;1),1,100))</f>
        <v/>
      </c>
      <c r="E1150" t="str">
        <f>IF(A1150="","",IFERROR(VALUE(SUBSTITUTE(TRIM(Input!F1150&amp;""),"%","")),0)/IF(AND(IFERROR(VALUE(SUBSTITUTE(TRIM(Input!F1150&amp;""),"%","")),0)&gt;0,IFERROR(VALUE(SUBSTITUTE(TRIM(Input!F1150&amp;""),"%","")),0)&lt;1),1,100))</f>
        <v/>
      </c>
      <c r="F1150" t="str">
        <f>IF(A1150="","",IFERROR(VALUE(SUBSTITUTE(TRIM(Input!G1150&amp;""),"%","")),0)/IF(AND(IFERROR(VALUE(SUBSTITUTE(TRIM(Input!G1150&amp;""),"%","")),0)&gt;0,IFERROR(VALUE(SUBSTITUTE(TRIM(Input!G1150&amp;""),"%","")),0)&lt;1),1,100))</f>
        <v/>
      </c>
      <c r="G1150" t="str">
        <f>IF(A1150="","",IFERROR(VALUE(SUBSTITUTE(TRIM(Input!H1150&amp;""),"%","")),0)/IF(AND(IFERROR(VALUE(SUBSTITUTE(TRIM(Input!H1150&amp;""),"%","")),0)&gt;0,IFERROR(VALUE(SUBSTITUTE(TRIM(Input!H1150&amp;""),"%","")),0)&lt;1),1,100))</f>
        <v/>
      </c>
      <c r="H1150" t="str">
        <f>IF(A1150="","",IFERROR(VALUE(SUBSTITUTE(TRIM(Input!I1150&amp;""),"%","")),0)/IF(AND(IFERROR(VALUE(SUBSTITUTE(TRIM(Input!I1150&amp;""),"%","")),0)&gt;0,IFERROR(VALUE(SUBSTITUTE(TRIM(Input!I1150&amp;""),"%","")),0)&lt;1),1,100))</f>
        <v/>
      </c>
    </row>
    <row r="1151" spans="1:8">
      <c r="A1151" t="str">
        <f>IF(TRIM(Input!B1151&amp;"")="","",UPPER(TRIM(Input!B1151&amp;"")))</f>
        <v/>
      </c>
      <c r="B1151" t="str">
        <f>IF(A1151="","",IFERROR(VALUE(RIGHT(TRIM(Input!D1151&amp;""),1)),0))</f>
        <v/>
      </c>
      <c r="C1151" t="str">
        <f t="shared" si="17"/>
        <v/>
      </c>
      <c r="D1151" t="str">
        <f>IF(A1151="","",IFERROR(VALUE(SUBSTITUTE(TRIM(Input!E1151&amp;""),"%","")),0)/IF(AND(IFERROR(VALUE(SUBSTITUTE(TRIM(Input!E1151&amp;""),"%","")),0)&gt;0,IFERROR(VALUE(SUBSTITUTE(TRIM(Input!E1151&amp;""),"%","")),0)&lt;1),1,100))</f>
        <v/>
      </c>
      <c r="E1151" t="str">
        <f>IF(A1151="","",IFERROR(VALUE(SUBSTITUTE(TRIM(Input!F1151&amp;""),"%","")),0)/IF(AND(IFERROR(VALUE(SUBSTITUTE(TRIM(Input!F1151&amp;""),"%","")),0)&gt;0,IFERROR(VALUE(SUBSTITUTE(TRIM(Input!F1151&amp;""),"%","")),0)&lt;1),1,100))</f>
        <v/>
      </c>
      <c r="F1151" t="str">
        <f>IF(A1151="","",IFERROR(VALUE(SUBSTITUTE(TRIM(Input!G1151&amp;""),"%","")),0)/IF(AND(IFERROR(VALUE(SUBSTITUTE(TRIM(Input!G1151&amp;""),"%","")),0)&gt;0,IFERROR(VALUE(SUBSTITUTE(TRIM(Input!G1151&amp;""),"%","")),0)&lt;1),1,100))</f>
        <v/>
      </c>
      <c r="G1151" t="str">
        <f>IF(A1151="","",IFERROR(VALUE(SUBSTITUTE(TRIM(Input!H1151&amp;""),"%","")),0)/IF(AND(IFERROR(VALUE(SUBSTITUTE(TRIM(Input!H1151&amp;""),"%","")),0)&gt;0,IFERROR(VALUE(SUBSTITUTE(TRIM(Input!H1151&amp;""),"%","")),0)&lt;1),1,100))</f>
        <v/>
      </c>
      <c r="H1151" t="str">
        <f>IF(A1151="","",IFERROR(VALUE(SUBSTITUTE(TRIM(Input!I1151&amp;""),"%","")),0)/IF(AND(IFERROR(VALUE(SUBSTITUTE(TRIM(Input!I1151&amp;""),"%","")),0)&gt;0,IFERROR(VALUE(SUBSTITUTE(TRIM(Input!I1151&amp;""),"%","")),0)&lt;1),1,100))</f>
        <v/>
      </c>
    </row>
    <row r="1152" spans="1:8">
      <c r="A1152" t="str">
        <f>IF(TRIM(Input!B1152&amp;"")="","",UPPER(TRIM(Input!B1152&amp;"")))</f>
        <v/>
      </c>
      <c r="B1152" t="str">
        <f>IF(A1152="","",IFERROR(VALUE(RIGHT(TRIM(Input!D1152&amp;""),1)),0))</f>
        <v/>
      </c>
      <c r="C1152" t="str">
        <f t="shared" si="17"/>
        <v/>
      </c>
      <c r="D1152" t="str">
        <f>IF(A1152="","",IFERROR(VALUE(SUBSTITUTE(TRIM(Input!E1152&amp;""),"%","")),0)/IF(AND(IFERROR(VALUE(SUBSTITUTE(TRIM(Input!E1152&amp;""),"%","")),0)&gt;0,IFERROR(VALUE(SUBSTITUTE(TRIM(Input!E1152&amp;""),"%","")),0)&lt;1),1,100))</f>
        <v/>
      </c>
      <c r="E1152" t="str">
        <f>IF(A1152="","",IFERROR(VALUE(SUBSTITUTE(TRIM(Input!F1152&amp;""),"%","")),0)/IF(AND(IFERROR(VALUE(SUBSTITUTE(TRIM(Input!F1152&amp;""),"%","")),0)&gt;0,IFERROR(VALUE(SUBSTITUTE(TRIM(Input!F1152&amp;""),"%","")),0)&lt;1),1,100))</f>
        <v/>
      </c>
      <c r="F1152" t="str">
        <f>IF(A1152="","",IFERROR(VALUE(SUBSTITUTE(TRIM(Input!G1152&amp;""),"%","")),0)/IF(AND(IFERROR(VALUE(SUBSTITUTE(TRIM(Input!G1152&amp;""),"%","")),0)&gt;0,IFERROR(VALUE(SUBSTITUTE(TRIM(Input!G1152&amp;""),"%","")),0)&lt;1),1,100))</f>
        <v/>
      </c>
      <c r="G1152" t="str">
        <f>IF(A1152="","",IFERROR(VALUE(SUBSTITUTE(TRIM(Input!H1152&amp;""),"%","")),0)/IF(AND(IFERROR(VALUE(SUBSTITUTE(TRIM(Input!H1152&amp;""),"%","")),0)&gt;0,IFERROR(VALUE(SUBSTITUTE(TRIM(Input!H1152&amp;""),"%","")),0)&lt;1),1,100))</f>
        <v/>
      </c>
      <c r="H1152" t="str">
        <f>IF(A1152="","",IFERROR(VALUE(SUBSTITUTE(TRIM(Input!I1152&amp;""),"%","")),0)/IF(AND(IFERROR(VALUE(SUBSTITUTE(TRIM(Input!I1152&amp;""),"%","")),0)&gt;0,IFERROR(VALUE(SUBSTITUTE(TRIM(Input!I1152&amp;""),"%","")),0)&lt;1),1,100))</f>
        <v/>
      </c>
    </row>
    <row r="1153" spans="1:8">
      <c r="A1153" t="str">
        <f>IF(TRIM(Input!B1153&amp;"")="","",UPPER(TRIM(Input!B1153&amp;"")))</f>
        <v/>
      </c>
      <c r="B1153" t="str">
        <f>IF(A1153="","",IFERROR(VALUE(RIGHT(TRIM(Input!D1153&amp;""),1)),0))</f>
        <v/>
      </c>
      <c r="C1153" t="str">
        <f t="shared" si="17"/>
        <v/>
      </c>
      <c r="D1153" t="str">
        <f>IF(A1153="","",IFERROR(VALUE(SUBSTITUTE(TRIM(Input!E1153&amp;""),"%","")),0)/IF(AND(IFERROR(VALUE(SUBSTITUTE(TRIM(Input!E1153&amp;""),"%","")),0)&gt;0,IFERROR(VALUE(SUBSTITUTE(TRIM(Input!E1153&amp;""),"%","")),0)&lt;1),1,100))</f>
        <v/>
      </c>
      <c r="E1153" t="str">
        <f>IF(A1153="","",IFERROR(VALUE(SUBSTITUTE(TRIM(Input!F1153&amp;""),"%","")),0)/IF(AND(IFERROR(VALUE(SUBSTITUTE(TRIM(Input!F1153&amp;""),"%","")),0)&gt;0,IFERROR(VALUE(SUBSTITUTE(TRIM(Input!F1153&amp;""),"%","")),0)&lt;1),1,100))</f>
        <v/>
      </c>
      <c r="F1153" t="str">
        <f>IF(A1153="","",IFERROR(VALUE(SUBSTITUTE(TRIM(Input!G1153&amp;""),"%","")),0)/IF(AND(IFERROR(VALUE(SUBSTITUTE(TRIM(Input!G1153&amp;""),"%","")),0)&gt;0,IFERROR(VALUE(SUBSTITUTE(TRIM(Input!G1153&amp;""),"%","")),0)&lt;1),1,100))</f>
        <v/>
      </c>
      <c r="G1153" t="str">
        <f>IF(A1153="","",IFERROR(VALUE(SUBSTITUTE(TRIM(Input!H1153&amp;""),"%","")),0)/IF(AND(IFERROR(VALUE(SUBSTITUTE(TRIM(Input!H1153&amp;""),"%","")),0)&gt;0,IFERROR(VALUE(SUBSTITUTE(TRIM(Input!H1153&amp;""),"%","")),0)&lt;1),1,100))</f>
        <v/>
      </c>
      <c r="H1153" t="str">
        <f>IF(A1153="","",IFERROR(VALUE(SUBSTITUTE(TRIM(Input!I1153&amp;""),"%","")),0)/IF(AND(IFERROR(VALUE(SUBSTITUTE(TRIM(Input!I1153&amp;""),"%","")),0)&gt;0,IFERROR(VALUE(SUBSTITUTE(TRIM(Input!I1153&amp;""),"%","")),0)&lt;1),1,100))</f>
        <v/>
      </c>
    </row>
    <row r="1154" spans="1:8">
      <c r="A1154" t="str">
        <f>IF(TRIM(Input!B1154&amp;"")="","",UPPER(TRIM(Input!B1154&amp;"")))</f>
        <v/>
      </c>
      <c r="B1154" t="str">
        <f>IF(A1154="","",IFERROR(VALUE(RIGHT(TRIM(Input!D1154&amp;""),1)),0))</f>
        <v/>
      </c>
      <c r="C1154" t="str">
        <f t="shared" ref="C1154:C1217" si="18">IF(A1154="","",A1154&amp;"|"&amp;B1154)</f>
        <v/>
      </c>
      <c r="D1154" t="str">
        <f>IF(A1154="","",IFERROR(VALUE(SUBSTITUTE(TRIM(Input!E1154&amp;""),"%","")),0)/IF(AND(IFERROR(VALUE(SUBSTITUTE(TRIM(Input!E1154&amp;""),"%","")),0)&gt;0,IFERROR(VALUE(SUBSTITUTE(TRIM(Input!E1154&amp;""),"%","")),0)&lt;1),1,100))</f>
        <v/>
      </c>
      <c r="E1154" t="str">
        <f>IF(A1154="","",IFERROR(VALUE(SUBSTITUTE(TRIM(Input!F1154&amp;""),"%","")),0)/IF(AND(IFERROR(VALUE(SUBSTITUTE(TRIM(Input!F1154&amp;""),"%","")),0)&gt;0,IFERROR(VALUE(SUBSTITUTE(TRIM(Input!F1154&amp;""),"%","")),0)&lt;1),1,100))</f>
        <v/>
      </c>
      <c r="F1154" t="str">
        <f>IF(A1154="","",IFERROR(VALUE(SUBSTITUTE(TRIM(Input!G1154&amp;""),"%","")),0)/IF(AND(IFERROR(VALUE(SUBSTITUTE(TRIM(Input!G1154&amp;""),"%","")),0)&gt;0,IFERROR(VALUE(SUBSTITUTE(TRIM(Input!G1154&amp;""),"%","")),0)&lt;1),1,100))</f>
        <v/>
      </c>
      <c r="G1154" t="str">
        <f>IF(A1154="","",IFERROR(VALUE(SUBSTITUTE(TRIM(Input!H1154&amp;""),"%","")),0)/IF(AND(IFERROR(VALUE(SUBSTITUTE(TRIM(Input!H1154&amp;""),"%","")),0)&gt;0,IFERROR(VALUE(SUBSTITUTE(TRIM(Input!H1154&amp;""),"%","")),0)&lt;1),1,100))</f>
        <v/>
      </c>
      <c r="H1154" t="str">
        <f>IF(A1154="","",IFERROR(VALUE(SUBSTITUTE(TRIM(Input!I1154&amp;""),"%","")),0)/IF(AND(IFERROR(VALUE(SUBSTITUTE(TRIM(Input!I1154&amp;""),"%","")),0)&gt;0,IFERROR(VALUE(SUBSTITUTE(TRIM(Input!I1154&amp;""),"%","")),0)&lt;1),1,100))</f>
        <v/>
      </c>
    </row>
    <row r="1155" spans="1:8">
      <c r="A1155" t="str">
        <f>IF(TRIM(Input!B1155&amp;"")="","",UPPER(TRIM(Input!B1155&amp;"")))</f>
        <v/>
      </c>
      <c r="B1155" t="str">
        <f>IF(A1155="","",IFERROR(VALUE(RIGHT(TRIM(Input!D1155&amp;""),1)),0))</f>
        <v/>
      </c>
      <c r="C1155" t="str">
        <f t="shared" si="18"/>
        <v/>
      </c>
      <c r="D1155" t="str">
        <f>IF(A1155="","",IFERROR(VALUE(SUBSTITUTE(TRIM(Input!E1155&amp;""),"%","")),0)/IF(AND(IFERROR(VALUE(SUBSTITUTE(TRIM(Input!E1155&amp;""),"%","")),0)&gt;0,IFERROR(VALUE(SUBSTITUTE(TRIM(Input!E1155&amp;""),"%","")),0)&lt;1),1,100))</f>
        <v/>
      </c>
      <c r="E1155" t="str">
        <f>IF(A1155="","",IFERROR(VALUE(SUBSTITUTE(TRIM(Input!F1155&amp;""),"%","")),0)/IF(AND(IFERROR(VALUE(SUBSTITUTE(TRIM(Input!F1155&amp;""),"%","")),0)&gt;0,IFERROR(VALUE(SUBSTITUTE(TRIM(Input!F1155&amp;""),"%","")),0)&lt;1),1,100))</f>
        <v/>
      </c>
      <c r="F1155" t="str">
        <f>IF(A1155="","",IFERROR(VALUE(SUBSTITUTE(TRIM(Input!G1155&amp;""),"%","")),0)/IF(AND(IFERROR(VALUE(SUBSTITUTE(TRIM(Input!G1155&amp;""),"%","")),0)&gt;0,IFERROR(VALUE(SUBSTITUTE(TRIM(Input!G1155&amp;""),"%","")),0)&lt;1),1,100))</f>
        <v/>
      </c>
      <c r="G1155" t="str">
        <f>IF(A1155="","",IFERROR(VALUE(SUBSTITUTE(TRIM(Input!H1155&amp;""),"%","")),0)/IF(AND(IFERROR(VALUE(SUBSTITUTE(TRIM(Input!H1155&amp;""),"%","")),0)&gt;0,IFERROR(VALUE(SUBSTITUTE(TRIM(Input!H1155&amp;""),"%","")),0)&lt;1),1,100))</f>
        <v/>
      </c>
      <c r="H1155" t="str">
        <f>IF(A1155="","",IFERROR(VALUE(SUBSTITUTE(TRIM(Input!I1155&amp;""),"%","")),0)/IF(AND(IFERROR(VALUE(SUBSTITUTE(TRIM(Input!I1155&amp;""),"%","")),0)&gt;0,IFERROR(VALUE(SUBSTITUTE(TRIM(Input!I1155&amp;""),"%","")),0)&lt;1),1,100))</f>
        <v/>
      </c>
    </row>
    <row r="1156" spans="1:8">
      <c r="A1156" t="str">
        <f>IF(TRIM(Input!B1156&amp;"")="","",UPPER(TRIM(Input!B1156&amp;"")))</f>
        <v/>
      </c>
      <c r="B1156" t="str">
        <f>IF(A1156="","",IFERROR(VALUE(RIGHT(TRIM(Input!D1156&amp;""),1)),0))</f>
        <v/>
      </c>
      <c r="C1156" t="str">
        <f t="shared" si="18"/>
        <v/>
      </c>
      <c r="D1156" t="str">
        <f>IF(A1156="","",IFERROR(VALUE(SUBSTITUTE(TRIM(Input!E1156&amp;""),"%","")),0)/IF(AND(IFERROR(VALUE(SUBSTITUTE(TRIM(Input!E1156&amp;""),"%","")),0)&gt;0,IFERROR(VALUE(SUBSTITUTE(TRIM(Input!E1156&amp;""),"%","")),0)&lt;1),1,100))</f>
        <v/>
      </c>
      <c r="E1156" t="str">
        <f>IF(A1156="","",IFERROR(VALUE(SUBSTITUTE(TRIM(Input!F1156&amp;""),"%","")),0)/IF(AND(IFERROR(VALUE(SUBSTITUTE(TRIM(Input!F1156&amp;""),"%","")),0)&gt;0,IFERROR(VALUE(SUBSTITUTE(TRIM(Input!F1156&amp;""),"%","")),0)&lt;1),1,100))</f>
        <v/>
      </c>
      <c r="F1156" t="str">
        <f>IF(A1156="","",IFERROR(VALUE(SUBSTITUTE(TRIM(Input!G1156&amp;""),"%","")),0)/IF(AND(IFERROR(VALUE(SUBSTITUTE(TRIM(Input!G1156&amp;""),"%","")),0)&gt;0,IFERROR(VALUE(SUBSTITUTE(TRIM(Input!G1156&amp;""),"%","")),0)&lt;1),1,100))</f>
        <v/>
      </c>
      <c r="G1156" t="str">
        <f>IF(A1156="","",IFERROR(VALUE(SUBSTITUTE(TRIM(Input!H1156&amp;""),"%","")),0)/IF(AND(IFERROR(VALUE(SUBSTITUTE(TRIM(Input!H1156&amp;""),"%","")),0)&gt;0,IFERROR(VALUE(SUBSTITUTE(TRIM(Input!H1156&amp;""),"%","")),0)&lt;1),1,100))</f>
        <v/>
      </c>
      <c r="H1156" t="str">
        <f>IF(A1156="","",IFERROR(VALUE(SUBSTITUTE(TRIM(Input!I1156&amp;""),"%","")),0)/IF(AND(IFERROR(VALUE(SUBSTITUTE(TRIM(Input!I1156&amp;""),"%","")),0)&gt;0,IFERROR(VALUE(SUBSTITUTE(TRIM(Input!I1156&amp;""),"%","")),0)&lt;1),1,100))</f>
        <v/>
      </c>
    </row>
    <row r="1157" spans="1:8">
      <c r="A1157" t="str">
        <f>IF(TRIM(Input!B1157&amp;"")="","",UPPER(TRIM(Input!B1157&amp;"")))</f>
        <v/>
      </c>
      <c r="B1157" t="str">
        <f>IF(A1157="","",IFERROR(VALUE(RIGHT(TRIM(Input!D1157&amp;""),1)),0))</f>
        <v/>
      </c>
      <c r="C1157" t="str">
        <f t="shared" si="18"/>
        <v/>
      </c>
      <c r="D1157" t="str">
        <f>IF(A1157="","",IFERROR(VALUE(SUBSTITUTE(TRIM(Input!E1157&amp;""),"%","")),0)/IF(AND(IFERROR(VALUE(SUBSTITUTE(TRIM(Input!E1157&amp;""),"%","")),0)&gt;0,IFERROR(VALUE(SUBSTITUTE(TRIM(Input!E1157&amp;""),"%","")),0)&lt;1),1,100))</f>
        <v/>
      </c>
      <c r="E1157" t="str">
        <f>IF(A1157="","",IFERROR(VALUE(SUBSTITUTE(TRIM(Input!F1157&amp;""),"%","")),0)/IF(AND(IFERROR(VALUE(SUBSTITUTE(TRIM(Input!F1157&amp;""),"%","")),0)&gt;0,IFERROR(VALUE(SUBSTITUTE(TRIM(Input!F1157&amp;""),"%","")),0)&lt;1),1,100))</f>
        <v/>
      </c>
      <c r="F1157" t="str">
        <f>IF(A1157="","",IFERROR(VALUE(SUBSTITUTE(TRIM(Input!G1157&amp;""),"%","")),0)/IF(AND(IFERROR(VALUE(SUBSTITUTE(TRIM(Input!G1157&amp;""),"%","")),0)&gt;0,IFERROR(VALUE(SUBSTITUTE(TRIM(Input!G1157&amp;""),"%","")),0)&lt;1),1,100))</f>
        <v/>
      </c>
      <c r="G1157" t="str">
        <f>IF(A1157="","",IFERROR(VALUE(SUBSTITUTE(TRIM(Input!H1157&amp;""),"%","")),0)/IF(AND(IFERROR(VALUE(SUBSTITUTE(TRIM(Input!H1157&amp;""),"%","")),0)&gt;0,IFERROR(VALUE(SUBSTITUTE(TRIM(Input!H1157&amp;""),"%","")),0)&lt;1),1,100))</f>
        <v/>
      </c>
      <c r="H1157" t="str">
        <f>IF(A1157="","",IFERROR(VALUE(SUBSTITUTE(TRIM(Input!I1157&amp;""),"%","")),0)/IF(AND(IFERROR(VALUE(SUBSTITUTE(TRIM(Input!I1157&amp;""),"%","")),0)&gt;0,IFERROR(VALUE(SUBSTITUTE(TRIM(Input!I1157&amp;""),"%","")),0)&lt;1),1,100))</f>
        <v/>
      </c>
    </row>
    <row r="1158" spans="1:8">
      <c r="A1158" t="str">
        <f>IF(TRIM(Input!B1158&amp;"")="","",UPPER(TRIM(Input!B1158&amp;"")))</f>
        <v/>
      </c>
      <c r="B1158" t="str">
        <f>IF(A1158="","",IFERROR(VALUE(RIGHT(TRIM(Input!D1158&amp;""),1)),0))</f>
        <v/>
      </c>
      <c r="C1158" t="str">
        <f t="shared" si="18"/>
        <v/>
      </c>
      <c r="D1158" t="str">
        <f>IF(A1158="","",IFERROR(VALUE(SUBSTITUTE(TRIM(Input!E1158&amp;""),"%","")),0)/IF(AND(IFERROR(VALUE(SUBSTITUTE(TRIM(Input!E1158&amp;""),"%","")),0)&gt;0,IFERROR(VALUE(SUBSTITUTE(TRIM(Input!E1158&amp;""),"%","")),0)&lt;1),1,100))</f>
        <v/>
      </c>
      <c r="E1158" t="str">
        <f>IF(A1158="","",IFERROR(VALUE(SUBSTITUTE(TRIM(Input!F1158&amp;""),"%","")),0)/IF(AND(IFERROR(VALUE(SUBSTITUTE(TRIM(Input!F1158&amp;""),"%","")),0)&gt;0,IFERROR(VALUE(SUBSTITUTE(TRIM(Input!F1158&amp;""),"%","")),0)&lt;1),1,100))</f>
        <v/>
      </c>
      <c r="F1158" t="str">
        <f>IF(A1158="","",IFERROR(VALUE(SUBSTITUTE(TRIM(Input!G1158&amp;""),"%","")),0)/IF(AND(IFERROR(VALUE(SUBSTITUTE(TRIM(Input!G1158&amp;""),"%","")),0)&gt;0,IFERROR(VALUE(SUBSTITUTE(TRIM(Input!G1158&amp;""),"%","")),0)&lt;1),1,100))</f>
        <v/>
      </c>
      <c r="G1158" t="str">
        <f>IF(A1158="","",IFERROR(VALUE(SUBSTITUTE(TRIM(Input!H1158&amp;""),"%","")),0)/IF(AND(IFERROR(VALUE(SUBSTITUTE(TRIM(Input!H1158&amp;""),"%","")),0)&gt;0,IFERROR(VALUE(SUBSTITUTE(TRIM(Input!H1158&amp;""),"%","")),0)&lt;1),1,100))</f>
        <v/>
      </c>
      <c r="H1158" t="str">
        <f>IF(A1158="","",IFERROR(VALUE(SUBSTITUTE(TRIM(Input!I1158&amp;""),"%","")),0)/IF(AND(IFERROR(VALUE(SUBSTITUTE(TRIM(Input!I1158&amp;""),"%","")),0)&gt;0,IFERROR(VALUE(SUBSTITUTE(TRIM(Input!I1158&amp;""),"%","")),0)&lt;1),1,100))</f>
        <v/>
      </c>
    </row>
    <row r="1159" spans="1:8">
      <c r="A1159" t="str">
        <f>IF(TRIM(Input!B1159&amp;"")="","",UPPER(TRIM(Input!B1159&amp;"")))</f>
        <v/>
      </c>
      <c r="B1159" t="str">
        <f>IF(A1159="","",IFERROR(VALUE(RIGHT(TRIM(Input!D1159&amp;""),1)),0))</f>
        <v/>
      </c>
      <c r="C1159" t="str">
        <f t="shared" si="18"/>
        <v/>
      </c>
      <c r="D1159" t="str">
        <f>IF(A1159="","",IFERROR(VALUE(SUBSTITUTE(TRIM(Input!E1159&amp;""),"%","")),0)/IF(AND(IFERROR(VALUE(SUBSTITUTE(TRIM(Input!E1159&amp;""),"%","")),0)&gt;0,IFERROR(VALUE(SUBSTITUTE(TRIM(Input!E1159&amp;""),"%","")),0)&lt;1),1,100))</f>
        <v/>
      </c>
      <c r="E1159" t="str">
        <f>IF(A1159="","",IFERROR(VALUE(SUBSTITUTE(TRIM(Input!F1159&amp;""),"%","")),0)/IF(AND(IFERROR(VALUE(SUBSTITUTE(TRIM(Input!F1159&amp;""),"%","")),0)&gt;0,IFERROR(VALUE(SUBSTITUTE(TRIM(Input!F1159&amp;""),"%","")),0)&lt;1),1,100))</f>
        <v/>
      </c>
      <c r="F1159" t="str">
        <f>IF(A1159="","",IFERROR(VALUE(SUBSTITUTE(TRIM(Input!G1159&amp;""),"%","")),0)/IF(AND(IFERROR(VALUE(SUBSTITUTE(TRIM(Input!G1159&amp;""),"%","")),0)&gt;0,IFERROR(VALUE(SUBSTITUTE(TRIM(Input!G1159&amp;""),"%","")),0)&lt;1),1,100))</f>
        <v/>
      </c>
      <c r="G1159" t="str">
        <f>IF(A1159="","",IFERROR(VALUE(SUBSTITUTE(TRIM(Input!H1159&amp;""),"%","")),0)/IF(AND(IFERROR(VALUE(SUBSTITUTE(TRIM(Input!H1159&amp;""),"%","")),0)&gt;0,IFERROR(VALUE(SUBSTITUTE(TRIM(Input!H1159&amp;""),"%","")),0)&lt;1),1,100))</f>
        <v/>
      </c>
      <c r="H1159" t="str">
        <f>IF(A1159="","",IFERROR(VALUE(SUBSTITUTE(TRIM(Input!I1159&amp;""),"%","")),0)/IF(AND(IFERROR(VALUE(SUBSTITUTE(TRIM(Input!I1159&amp;""),"%","")),0)&gt;0,IFERROR(VALUE(SUBSTITUTE(TRIM(Input!I1159&amp;""),"%","")),0)&lt;1),1,100))</f>
        <v/>
      </c>
    </row>
    <row r="1160" spans="1:8">
      <c r="A1160" t="str">
        <f>IF(TRIM(Input!B1160&amp;"")="","",UPPER(TRIM(Input!B1160&amp;"")))</f>
        <v/>
      </c>
      <c r="B1160" t="str">
        <f>IF(A1160="","",IFERROR(VALUE(RIGHT(TRIM(Input!D1160&amp;""),1)),0))</f>
        <v/>
      </c>
      <c r="C1160" t="str">
        <f t="shared" si="18"/>
        <v/>
      </c>
      <c r="D1160" t="str">
        <f>IF(A1160="","",IFERROR(VALUE(SUBSTITUTE(TRIM(Input!E1160&amp;""),"%","")),0)/IF(AND(IFERROR(VALUE(SUBSTITUTE(TRIM(Input!E1160&amp;""),"%","")),0)&gt;0,IFERROR(VALUE(SUBSTITUTE(TRIM(Input!E1160&amp;""),"%","")),0)&lt;1),1,100))</f>
        <v/>
      </c>
      <c r="E1160" t="str">
        <f>IF(A1160="","",IFERROR(VALUE(SUBSTITUTE(TRIM(Input!F1160&amp;""),"%","")),0)/IF(AND(IFERROR(VALUE(SUBSTITUTE(TRIM(Input!F1160&amp;""),"%","")),0)&gt;0,IFERROR(VALUE(SUBSTITUTE(TRIM(Input!F1160&amp;""),"%","")),0)&lt;1),1,100))</f>
        <v/>
      </c>
      <c r="F1160" t="str">
        <f>IF(A1160="","",IFERROR(VALUE(SUBSTITUTE(TRIM(Input!G1160&amp;""),"%","")),0)/IF(AND(IFERROR(VALUE(SUBSTITUTE(TRIM(Input!G1160&amp;""),"%","")),0)&gt;0,IFERROR(VALUE(SUBSTITUTE(TRIM(Input!G1160&amp;""),"%","")),0)&lt;1),1,100))</f>
        <v/>
      </c>
      <c r="G1160" t="str">
        <f>IF(A1160="","",IFERROR(VALUE(SUBSTITUTE(TRIM(Input!H1160&amp;""),"%","")),0)/IF(AND(IFERROR(VALUE(SUBSTITUTE(TRIM(Input!H1160&amp;""),"%","")),0)&gt;0,IFERROR(VALUE(SUBSTITUTE(TRIM(Input!H1160&amp;""),"%","")),0)&lt;1),1,100))</f>
        <v/>
      </c>
      <c r="H1160" t="str">
        <f>IF(A1160="","",IFERROR(VALUE(SUBSTITUTE(TRIM(Input!I1160&amp;""),"%","")),0)/IF(AND(IFERROR(VALUE(SUBSTITUTE(TRIM(Input!I1160&amp;""),"%","")),0)&gt;0,IFERROR(VALUE(SUBSTITUTE(TRIM(Input!I1160&amp;""),"%","")),0)&lt;1),1,100))</f>
        <v/>
      </c>
    </row>
    <row r="1161" spans="1:8">
      <c r="A1161" t="str">
        <f>IF(TRIM(Input!B1161&amp;"")="","",UPPER(TRIM(Input!B1161&amp;"")))</f>
        <v/>
      </c>
      <c r="B1161" t="str">
        <f>IF(A1161="","",IFERROR(VALUE(RIGHT(TRIM(Input!D1161&amp;""),1)),0))</f>
        <v/>
      </c>
      <c r="C1161" t="str">
        <f t="shared" si="18"/>
        <v/>
      </c>
      <c r="D1161" t="str">
        <f>IF(A1161="","",IFERROR(VALUE(SUBSTITUTE(TRIM(Input!E1161&amp;""),"%","")),0)/IF(AND(IFERROR(VALUE(SUBSTITUTE(TRIM(Input!E1161&amp;""),"%","")),0)&gt;0,IFERROR(VALUE(SUBSTITUTE(TRIM(Input!E1161&amp;""),"%","")),0)&lt;1),1,100))</f>
        <v/>
      </c>
      <c r="E1161" t="str">
        <f>IF(A1161="","",IFERROR(VALUE(SUBSTITUTE(TRIM(Input!F1161&amp;""),"%","")),0)/IF(AND(IFERROR(VALUE(SUBSTITUTE(TRIM(Input!F1161&amp;""),"%","")),0)&gt;0,IFERROR(VALUE(SUBSTITUTE(TRIM(Input!F1161&amp;""),"%","")),0)&lt;1),1,100))</f>
        <v/>
      </c>
      <c r="F1161" t="str">
        <f>IF(A1161="","",IFERROR(VALUE(SUBSTITUTE(TRIM(Input!G1161&amp;""),"%","")),0)/IF(AND(IFERROR(VALUE(SUBSTITUTE(TRIM(Input!G1161&amp;""),"%","")),0)&gt;0,IFERROR(VALUE(SUBSTITUTE(TRIM(Input!G1161&amp;""),"%","")),0)&lt;1),1,100))</f>
        <v/>
      </c>
      <c r="G1161" t="str">
        <f>IF(A1161="","",IFERROR(VALUE(SUBSTITUTE(TRIM(Input!H1161&amp;""),"%","")),0)/IF(AND(IFERROR(VALUE(SUBSTITUTE(TRIM(Input!H1161&amp;""),"%","")),0)&gt;0,IFERROR(VALUE(SUBSTITUTE(TRIM(Input!H1161&amp;""),"%","")),0)&lt;1),1,100))</f>
        <v/>
      </c>
      <c r="H1161" t="str">
        <f>IF(A1161="","",IFERROR(VALUE(SUBSTITUTE(TRIM(Input!I1161&amp;""),"%","")),0)/IF(AND(IFERROR(VALUE(SUBSTITUTE(TRIM(Input!I1161&amp;""),"%","")),0)&gt;0,IFERROR(VALUE(SUBSTITUTE(TRIM(Input!I1161&amp;""),"%","")),0)&lt;1),1,100))</f>
        <v/>
      </c>
    </row>
    <row r="1162" spans="1:8">
      <c r="A1162" t="str">
        <f>IF(TRIM(Input!B1162&amp;"")="","",UPPER(TRIM(Input!B1162&amp;"")))</f>
        <v/>
      </c>
      <c r="B1162" t="str">
        <f>IF(A1162="","",IFERROR(VALUE(RIGHT(TRIM(Input!D1162&amp;""),1)),0))</f>
        <v/>
      </c>
      <c r="C1162" t="str">
        <f t="shared" si="18"/>
        <v/>
      </c>
      <c r="D1162" t="str">
        <f>IF(A1162="","",IFERROR(VALUE(SUBSTITUTE(TRIM(Input!E1162&amp;""),"%","")),0)/IF(AND(IFERROR(VALUE(SUBSTITUTE(TRIM(Input!E1162&amp;""),"%","")),0)&gt;0,IFERROR(VALUE(SUBSTITUTE(TRIM(Input!E1162&amp;""),"%","")),0)&lt;1),1,100))</f>
        <v/>
      </c>
      <c r="E1162" t="str">
        <f>IF(A1162="","",IFERROR(VALUE(SUBSTITUTE(TRIM(Input!F1162&amp;""),"%","")),0)/IF(AND(IFERROR(VALUE(SUBSTITUTE(TRIM(Input!F1162&amp;""),"%","")),0)&gt;0,IFERROR(VALUE(SUBSTITUTE(TRIM(Input!F1162&amp;""),"%","")),0)&lt;1),1,100))</f>
        <v/>
      </c>
      <c r="F1162" t="str">
        <f>IF(A1162="","",IFERROR(VALUE(SUBSTITUTE(TRIM(Input!G1162&amp;""),"%","")),0)/IF(AND(IFERROR(VALUE(SUBSTITUTE(TRIM(Input!G1162&amp;""),"%","")),0)&gt;0,IFERROR(VALUE(SUBSTITUTE(TRIM(Input!G1162&amp;""),"%","")),0)&lt;1),1,100))</f>
        <v/>
      </c>
      <c r="G1162" t="str">
        <f>IF(A1162="","",IFERROR(VALUE(SUBSTITUTE(TRIM(Input!H1162&amp;""),"%","")),0)/IF(AND(IFERROR(VALUE(SUBSTITUTE(TRIM(Input!H1162&amp;""),"%","")),0)&gt;0,IFERROR(VALUE(SUBSTITUTE(TRIM(Input!H1162&amp;""),"%","")),0)&lt;1),1,100))</f>
        <v/>
      </c>
      <c r="H1162" t="str">
        <f>IF(A1162="","",IFERROR(VALUE(SUBSTITUTE(TRIM(Input!I1162&amp;""),"%","")),0)/IF(AND(IFERROR(VALUE(SUBSTITUTE(TRIM(Input!I1162&amp;""),"%","")),0)&gt;0,IFERROR(VALUE(SUBSTITUTE(TRIM(Input!I1162&amp;""),"%","")),0)&lt;1),1,100))</f>
        <v/>
      </c>
    </row>
    <row r="1163" spans="1:8">
      <c r="A1163" t="str">
        <f>IF(TRIM(Input!B1163&amp;"")="","",UPPER(TRIM(Input!B1163&amp;"")))</f>
        <v/>
      </c>
      <c r="B1163" t="str">
        <f>IF(A1163="","",IFERROR(VALUE(RIGHT(TRIM(Input!D1163&amp;""),1)),0))</f>
        <v/>
      </c>
      <c r="C1163" t="str">
        <f t="shared" si="18"/>
        <v/>
      </c>
      <c r="D1163" t="str">
        <f>IF(A1163="","",IFERROR(VALUE(SUBSTITUTE(TRIM(Input!E1163&amp;""),"%","")),0)/IF(AND(IFERROR(VALUE(SUBSTITUTE(TRIM(Input!E1163&amp;""),"%","")),0)&gt;0,IFERROR(VALUE(SUBSTITUTE(TRIM(Input!E1163&amp;""),"%","")),0)&lt;1),1,100))</f>
        <v/>
      </c>
      <c r="E1163" t="str">
        <f>IF(A1163="","",IFERROR(VALUE(SUBSTITUTE(TRIM(Input!F1163&amp;""),"%","")),0)/IF(AND(IFERROR(VALUE(SUBSTITUTE(TRIM(Input!F1163&amp;""),"%","")),0)&gt;0,IFERROR(VALUE(SUBSTITUTE(TRIM(Input!F1163&amp;""),"%","")),0)&lt;1),1,100))</f>
        <v/>
      </c>
      <c r="F1163" t="str">
        <f>IF(A1163="","",IFERROR(VALUE(SUBSTITUTE(TRIM(Input!G1163&amp;""),"%","")),0)/IF(AND(IFERROR(VALUE(SUBSTITUTE(TRIM(Input!G1163&amp;""),"%","")),0)&gt;0,IFERROR(VALUE(SUBSTITUTE(TRIM(Input!G1163&amp;""),"%","")),0)&lt;1),1,100))</f>
        <v/>
      </c>
      <c r="G1163" t="str">
        <f>IF(A1163="","",IFERROR(VALUE(SUBSTITUTE(TRIM(Input!H1163&amp;""),"%","")),0)/IF(AND(IFERROR(VALUE(SUBSTITUTE(TRIM(Input!H1163&amp;""),"%","")),0)&gt;0,IFERROR(VALUE(SUBSTITUTE(TRIM(Input!H1163&amp;""),"%","")),0)&lt;1),1,100))</f>
        <v/>
      </c>
      <c r="H1163" t="str">
        <f>IF(A1163="","",IFERROR(VALUE(SUBSTITUTE(TRIM(Input!I1163&amp;""),"%","")),0)/IF(AND(IFERROR(VALUE(SUBSTITUTE(TRIM(Input!I1163&amp;""),"%","")),0)&gt;0,IFERROR(VALUE(SUBSTITUTE(TRIM(Input!I1163&amp;""),"%","")),0)&lt;1),1,100))</f>
        <v/>
      </c>
    </row>
    <row r="1164" spans="1:8">
      <c r="A1164" t="str">
        <f>IF(TRIM(Input!B1164&amp;"")="","",UPPER(TRIM(Input!B1164&amp;"")))</f>
        <v/>
      </c>
      <c r="B1164" t="str">
        <f>IF(A1164="","",IFERROR(VALUE(RIGHT(TRIM(Input!D1164&amp;""),1)),0))</f>
        <v/>
      </c>
      <c r="C1164" t="str">
        <f t="shared" si="18"/>
        <v/>
      </c>
      <c r="D1164" t="str">
        <f>IF(A1164="","",IFERROR(VALUE(SUBSTITUTE(TRIM(Input!E1164&amp;""),"%","")),0)/IF(AND(IFERROR(VALUE(SUBSTITUTE(TRIM(Input!E1164&amp;""),"%","")),0)&gt;0,IFERROR(VALUE(SUBSTITUTE(TRIM(Input!E1164&amp;""),"%","")),0)&lt;1),1,100))</f>
        <v/>
      </c>
      <c r="E1164" t="str">
        <f>IF(A1164="","",IFERROR(VALUE(SUBSTITUTE(TRIM(Input!F1164&amp;""),"%","")),0)/IF(AND(IFERROR(VALUE(SUBSTITUTE(TRIM(Input!F1164&amp;""),"%","")),0)&gt;0,IFERROR(VALUE(SUBSTITUTE(TRIM(Input!F1164&amp;""),"%","")),0)&lt;1),1,100))</f>
        <v/>
      </c>
      <c r="F1164" t="str">
        <f>IF(A1164="","",IFERROR(VALUE(SUBSTITUTE(TRIM(Input!G1164&amp;""),"%","")),0)/IF(AND(IFERROR(VALUE(SUBSTITUTE(TRIM(Input!G1164&amp;""),"%","")),0)&gt;0,IFERROR(VALUE(SUBSTITUTE(TRIM(Input!G1164&amp;""),"%","")),0)&lt;1),1,100))</f>
        <v/>
      </c>
      <c r="G1164" t="str">
        <f>IF(A1164="","",IFERROR(VALUE(SUBSTITUTE(TRIM(Input!H1164&amp;""),"%","")),0)/IF(AND(IFERROR(VALUE(SUBSTITUTE(TRIM(Input!H1164&amp;""),"%","")),0)&gt;0,IFERROR(VALUE(SUBSTITUTE(TRIM(Input!H1164&amp;""),"%","")),0)&lt;1),1,100))</f>
        <v/>
      </c>
      <c r="H1164" t="str">
        <f>IF(A1164="","",IFERROR(VALUE(SUBSTITUTE(TRIM(Input!I1164&amp;""),"%","")),0)/IF(AND(IFERROR(VALUE(SUBSTITUTE(TRIM(Input!I1164&amp;""),"%","")),0)&gt;0,IFERROR(VALUE(SUBSTITUTE(TRIM(Input!I1164&amp;""),"%","")),0)&lt;1),1,100))</f>
        <v/>
      </c>
    </row>
    <row r="1165" spans="1:8">
      <c r="A1165" t="str">
        <f>IF(TRIM(Input!B1165&amp;"")="","",UPPER(TRIM(Input!B1165&amp;"")))</f>
        <v/>
      </c>
      <c r="B1165" t="str">
        <f>IF(A1165="","",IFERROR(VALUE(RIGHT(TRIM(Input!D1165&amp;""),1)),0))</f>
        <v/>
      </c>
      <c r="C1165" t="str">
        <f t="shared" si="18"/>
        <v/>
      </c>
      <c r="D1165" t="str">
        <f>IF(A1165="","",IFERROR(VALUE(SUBSTITUTE(TRIM(Input!E1165&amp;""),"%","")),0)/IF(AND(IFERROR(VALUE(SUBSTITUTE(TRIM(Input!E1165&amp;""),"%","")),0)&gt;0,IFERROR(VALUE(SUBSTITUTE(TRIM(Input!E1165&amp;""),"%","")),0)&lt;1),1,100))</f>
        <v/>
      </c>
      <c r="E1165" t="str">
        <f>IF(A1165="","",IFERROR(VALUE(SUBSTITUTE(TRIM(Input!F1165&amp;""),"%","")),0)/IF(AND(IFERROR(VALUE(SUBSTITUTE(TRIM(Input!F1165&amp;""),"%","")),0)&gt;0,IFERROR(VALUE(SUBSTITUTE(TRIM(Input!F1165&amp;""),"%","")),0)&lt;1),1,100))</f>
        <v/>
      </c>
      <c r="F1165" t="str">
        <f>IF(A1165="","",IFERROR(VALUE(SUBSTITUTE(TRIM(Input!G1165&amp;""),"%","")),0)/IF(AND(IFERROR(VALUE(SUBSTITUTE(TRIM(Input!G1165&amp;""),"%","")),0)&gt;0,IFERROR(VALUE(SUBSTITUTE(TRIM(Input!G1165&amp;""),"%","")),0)&lt;1),1,100))</f>
        <v/>
      </c>
      <c r="G1165" t="str">
        <f>IF(A1165="","",IFERROR(VALUE(SUBSTITUTE(TRIM(Input!H1165&amp;""),"%","")),0)/IF(AND(IFERROR(VALUE(SUBSTITUTE(TRIM(Input!H1165&amp;""),"%","")),0)&gt;0,IFERROR(VALUE(SUBSTITUTE(TRIM(Input!H1165&amp;""),"%","")),0)&lt;1),1,100))</f>
        <v/>
      </c>
      <c r="H1165" t="str">
        <f>IF(A1165="","",IFERROR(VALUE(SUBSTITUTE(TRIM(Input!I1165&amp;""),"%","")),0)/IF(AND(IFERROR(VALUE(SUBSTITUTE(TRIM(Input!I1165&amp;""),"%","")),0)&gt;0,IFERROR(VALUE(SUBSTITUTE(TRIM(Input!I1165&amp;""),"%","")),0)&lt;1),1,100))</f>
        <v/>
      </c>
    </row>
    <row r="1166" spans="1:8">
      <c r="A1166" t="str">
        <f>IF(TRIM(Input!B1166&amp;"")="","",UPPER(TRIM(Input!B1166&amp;"")))</f>
        <v/>
      </c>
      <c r="B1166" t="str">
        <f>IF(A1166="","",IFERROR(VALUE(RIGHT(TRIM(Input!D1166&amp;""),1)),0))</f>
        <v/>
      </c>
      <c r="C1166" t="str">
        <f t="shared" si="18"/>
        <v/>
      </c>
      <c r="D1166" t="str">
        <f>IF(A1166="","",IFERROR(VALUE(SUBSTITUTE(TRIM(Input!E1166&amp;""),"%","")),0)/IF(AND(IFERROR(VALUE(SUBSTITUTE(TRIM(Input!E1166&amp;""),"%","")),0)&gt;0,IFERROR(VALUE(SUBSTITUTE(TRIM(Input!E1166&amp;""),"%","")),0)&lt;1),1,100))</f>
        <v/>
      </c>
      <c r="E1166" t="str">
        <f>IF(A1166="","",IFERROR(VALUE(SUBSTITUTE(TRIM(Input!F1166&amp;""),"%","")),0)/IF(AND(IFERROR(VALUE(SUBSTITUTE(TRIM(Input!F1166&amp;""),"%","")),0)&gt;0,IFERROR(VALUE(SUBSTITUTE(TRIM(Input!F1166&amp;""),"%","")),0)&lt;1),1,100))</f>
        <v/>
      </c>
      <c r="F1166" t="str">
        <f>IF(A1166="","",IFERROR(VALUE(SUBSTITUTE(TRIM(Input!G1166&amp;""),"%","")),0)/IF(AND(IFERROR(VALUE(SUBSTITUTE(TRIM(Input!G1166&amp;""),"%","")),0)&gt;0,IFERROR(VALUE(SUBSTITUTE(TRIM(Input!G1166&amp;""),"%","")),0)&lt;1),1,100))</f>
        <v/>
      </c>
      <c r="G1166" t="str">
        <f>IF(A1166="","",IFERROR(VALUE(SUBSTITUTE(TRIM(Input!H1166&amp;""),"%","")),0)/IF(AND(IFERROR(VALUE(SUBSTITUTE(TRIM(Input!H1166&amp;""),"%","")),0)&gt;0,IFERROR(VALUE(SUBSTITUTE(TRIM(Input!H1166&amp;""),"%","")),0)&lt;1),1,100))</f>
        <v/>
      </c>
      <c r="H1166" t="str">
        <f>IF(A1166="","",IFERROR(VALUE(SUBSTITUTE(TRIM(Input!I1166&amp;""),"%","")),0)/IF(AND(IFERROR(VALUE(SUBSTITUTE(TRIM(Input!I1166&amp;""),"%","")),0)&gt;0,IFERROR(VALUE(SUBSTITUTE(TRIM(Input!I1166&amp;""),"%","")),0)&lt;1),1,100))</f>
        <v/>
      </c>
    </row>
    <row r="1167" spans="1:8">
      <c r="A1167" t="str">
        <f>IF(TRIM(Input!B1167&amp;"")="","",UPPER(TRIM(Input!B1167&amp;"")))</f>
        <v/>
      </c>
      <c r="B1167" t="str">
        <f>IF(A1167="","",IFERROR(VALUE(RIGHT(TRIM(Input!D1167&amp;""),1)),0))</f>
        <v/>
      </c>
      <c r="C1167" t="str">
        <f t="shared" si="18"/>
        <v/>
      </c>
      <c r="D1167" t="str">
        <f>IF(A1167="","",IFERROR(VALUE(SUBSTITUTE(TRIM(Input!E1167&amp;""),"%","")),0)/IF(AND(IFERROR(VALUE(SUBSTITUTE(TRIM(Input!E1167&amp;""),"%","")),0)&gt;0,IFERROR(VALUE(SUBSTITUTE(TRIM(Input!E1167&amp;""),"%","")),0)&lt;1),1,100))</f>
        <v/>
      </c>
      <c r="E1167" t="str">
        <f>IF(A1167="","",IFERROR(VALUE(SUBSTITUTE(TRIM(Input!F1167&amp;""),"%","")),0)/IF(AND(IFERROR(VALUE(SUBSTITUTE(TRIM(Input!F1167&amp;""),"%","")),0)&gt;0,IFERROR(VALUE(SUBSTITUTE(TRIM(Input!F1167&amp;""),"%","")),0)&lt;1),1,100))</f>
        <v/>
      </c>
      <c r="F1167" t="str">
        <f>IF(A1167="","",IFERROR(VALUE(SUBSTITUTE(TRIM(Input!G1167&amp;""),"%","")),0)/IF(AND(IFERROR(VALUE(SUBSTITUTE(TRIM(Input!G1167&amp;""),"%","")),0)&gt;0,IFERROR(VALUE(SUBSTITUTE(TRIM(Input!G1167&amp;""),"%","")),0)&lt;1),1,100))</f>
        <v/>
      </c>
      <c r="G1167" t="str">
        <f>IF(A1167="","",IFERROR(VALUE(SUBSTITUTE(TRIM(Input!H1167&amp;""),"%","")),0)/IF(AND(IFERROR(VALUE(SUBSTITUTE(TRIM(Input!H1167&amp;""),"%","")),0)&gt;0,IFERROR(VALUE(SUBSTITUTE(TRIM(Input!H1167&amp;""),"%","")),0)&lt;1),1,100))</f>
        <v/>
      </c>
      <c r="H1167" t="str">
        <f>IF(A1167="","",IFERROR(VALUE(SUBSTITUTE(TRIM(Input!I1167&amp;""),"%","")),0)/IF(AND(IFERROR(VALUE(SUBSTITUTE(TRIM(Input!I1167&amp;""),"%","")),0)&gt;0,IFERROR(VALUE(SUBSTITUTE(TRIM(Input!I1167&amp;""),"%","")),0)&lt;1),1,100))</f>
        <v/>
      </c>
    </row>
    <row r="1168" spans="1:8">
      <c r="A1168" t="str">
        <f>IF(TRIM(Input!B1168&amp;"")="","",UPPER(TRIM(Input!B1168&amp;"")))</f>
        <v/>
      </c>
      <c r="B1168" t="str">
        <f>IF(A1168="","",IFERROR(VALUE(RIGHT(TRIM(Input!D1168&amp;""),1)),0))</f>
        <v/>
      </c>
      <c r="C1168" t="str">
        <f t="shared" si="18"/>
        <v/>
      </c>
      <c r="D1168" t="str">
        <f>IF(A1168="","",IFERROR(VALUE(SUBSTITUTE(TRIM(Input!E1168&amp;""),"%","")),0)/IF(AND(IFERROR(VALUE(SUBSTITUTE(TRIM(Input!E1168&amp;""),"%","")),0)&gt;0,IFERROR(VALUE(SUBSTITUTE(TRIM(Input!E1168&amp;""),"%","")),0)&lt;1),1,100))</f>
        <v/>
      </c>
      <c r="E1168" t="str">
        <f>IF(A1168="","",IFERROR(VALUE(SUBSTITUTE(TRIM(Input!F1168&amp;""),"%","")),0)/IF(AND(IFERROR(VALUE(SUBSTITUTE(TRIM(Input!F1168&amp;""),"%","")),0)&gt;0,IFERROR(VALUE(SUBSTITUTE(TRIM(Input!F1168&amp;""),"%","")),0)&lt;1),1,100))</f>
        <v/>
      </c>
      <c r="F1168" t="str">
        <f>IF(A1168="","",IFERROR(VALUE(SUBSTITUTE(TRIM(Input!G1168&amp;""),"%","")),0)/IF(AND(IFERROR(VALUE(SUBSTITUTE(TRIM(Input!G1168&amp;""),"%","")),0)&gt;0,IFERROR(VALUE(SUBSTITUTE(TRIM(Input!G1168&amp;""),"%","")),0)&lt;1),1,100))</f>
        <v/>
      </c>
      <c r="G1168" t="str">
        <f>IF(A1168="","",IFERROR(VALUE(SUBSTITUTE(TRIM(Input!H1168&amp;""),"%","")),0)/IF(AND(IFERROR(VALUE(SUBSTITUTE(TRIM(Input!H1168&amp;""),"%","")),0)&gt;0,IFERROR(VALUE(SUBSTITUTE(TRIM(Input!H1168&amp;""),"%","")),0)&lt;1),1,100))</f>
        <v/>
      </c>
      <c r="H1168" t="str">
        <f>IF(A1168="","",IFERROR(VALUE(SUBSTITUTE(TRIM(Input!I1168&amp;""),"%","")),0)/IF(AND(IFERROR(VALUE(SUBSTITUTE(TRIM(Input!I1168&amp;""),"%","")),0)&gt;0,IFERROR(VALUE(SUBSTITUTE(TRIM(Input!I1168&amp;""),"%","")),0)&lt;1),1,100))</f>
        <v/>
      </c>
    </row>
    <row r="1169" spans="1:8">
      <c r="A1169" t="str">
        <f>IF(TRIM(Input!B1169&amp;"")="","",UPPER(TRIM(Input!B1169&amp;"")))</f>
        <v/>
      </c>
      <c r="B1169" t="str">
        <f>IF(A1169="","",IFERROR(VALUE(RIGHT(TRIM(Input!D1169&amp;""),1)),0))</f>
        <v/>
      </c>
      <c r="C1169" t="str">
        <f t="shared" si="18"/>
        <v/>
      </c>
      <c r="D1169" t="str">
        <f>IF(A1169="","",IFERROR(VALUE(SUBSTITUTE(TRIM(Input!E1169&amp;""),"%","")),0)/IF(AND(IFERROR(VALUE(SUBSTITUTE(TRIM(Input!E1169&amp;""),"%","")),0)&gt;0,IFERROR(VALUE(SUBSTITUTE(TRIM(Input!E1169&amp;""),"%","")),0)&lt;1),1,100))</f>
        <v/>
      </c>
      <c r="E1169" t="str">
        <f>IF(A1169="","",IFERROR(VALUE(SUBSTITUTE(TRIM(Input!F1169&amp;""),"%","")),0)/IF(AND(IFERROR(VALUE(SUBSTITUTE(TRIM(Input!F1169&amp;""),"%","")),0)&gt;0,IFERROR(VALUE(SUBSTITUTE(TRIM(Input!F1169&amp;""),"%","")),0)&lt;1),1,100))</f>
        <v/>
      </c>
      <c r="F1169" t="str">
        <f>IF(A1169="","",IFERROR(VALUE(SUBSTITUTE(TRIM(Input!G1169&amp;""),"%","")),0)/IF(AND(IFERROR(VALUE(SUBSTITUTE(TRIM(Input!G1169&amp;""),"%","")),0)&gt;0,IFERROR(VALUE(SUBSTITUTE(TRIM(Input!G1169&amp;""),"%","")),0)&lt;1),1,100))</f>
        <v/>
      </c>
      <c r="G1169" t="str">
        <f>IF(A1169="","",IFERROR(VALUE(SUBSTITUTE(TRIM(Input!H1169&amp;""),"%","")),0)/IF(AND(IFERROR(VALUE(SUBSTITUTE(TRIM(Input!H1169&amp;""),"%","")),0)&gt;0,IFERROR(VALUE(SUBSTITUTE(TRIM(Input!H1169&amp;""),"%","")),0)&lt;1),1,100))</f>
        <v/>
      </c>
      <c r="H1169" t="str">
        <f>IF(A1169="","",IFERROR(VALUE(SUBSTITUTE(TRIM(Input!I1169&amp;""),"%","")),0)/IF(AND(IFERROR(VALUE(SUBSTITUTE(TRIM(Input!I1169&amp;""),"%","")),0)&gt;0,IFERROR(VALUE(SUBSTITUTE(TRIM(Input!I1169&amp;""),"%","")),0)&lt;1),1,100))</f>
        <v/>
      </c>
    </row>
    <row r="1170" spans="1:8">
      <c r="A1170" t="str">
        <f>IF(TRIM(Input!B1170&amp;"")="","",UPPER(TRIM(Input!B1170&amp;"")))</f>
        <v/>
      </c>
      <c r="B1170" t="str">
        <f>IF(A1170="","",IFERROR(VALUE(RIGHT(TRIM(Input!D1170&amp;""),1)),0))</f>
        <v/>
      </c>
      <c r="C1170" t="str">
        <f t="shared" si="18"/>
        <v/>
      </c>
      <c r="D1170" t="str">
        <f>IF(A1170="","",IFERROR(VALUE(SUBSTITUTE(TRIM(Input!E1170&amp;""),"%","")),0)/IF(AND(IFERROR(VALUE(SUBSTITUTE(TRIM(Input!E1170&amp;""),"%","")),0)&gt;0,IFERROR(VALUE(SUBSTITUTE(TRIM(Input!E1170&amp;""),"%","")),0)&lt;1),1,100))</f>
        <v/>
      </c>
      <c r="E1170" t="str">
        <f>IF(A1170="","",IFERROR(VALUE(SUBSTITUTE(TRIM(Input!F1170&amp;""),"%","")),0)/IF(AND(IFERROR(VALUE(SUBSTITUTE(TRIM(Input!F1170&amp;""),"%","")),0)&gt;0,IFERROR(VALUE(SUBSTITUTE(TRIM(Input!F1170&amp;""),"%","")),0)&lt;1),1,100))</f>
        <v/>
      </c>
      <c r="F1170" t="str">
        <f>IF(A1170="","",IFERROR(VALUE(SUBSTITUTE(TRIM(Input!G1170&amp;""),"%","")),0)/IF(AND(IFERROR(VALUE(SUBSTITUTE(TRIM(Input!G1170&amp;""),"%","")),0)&gt;0,IFERROR(VALUE(SUBSTITUTE(TRIM(Input!G1170&amp;""),"%","")),0)&lt;1),1,100))</f>
        <v/>
      </c>
      <c r="G1170" t="str">
        <f>IF(A1170="","",IFERROR(VALUE(SUBSTITUTE(TRIM(Input!H1170&amp;""),"%","")),0)/IF(AND(IFERROR(VALUE(SUBSTITUTE(TRIM(Input!H1170&amp;""),"%","")),0)&gt;0,IFERROR(VALUE(SUBSTITUTE(TRIM(Input!H1170&amp;""),"%","")),0)&lt;1),1,100))</f>
        <v/>
      </c>
      <c r="H1170" t="str">
        <f>IF(A1170="","",IFERROR(VALUE(SUBSTITUTE(TRIM(Input!I1170&amp;""),"%","")),0)/IF(AND(IFERROR(VALUE(SUBSTITUTE(TRIM(Input!I1170&amp;""),"%","")),0)&gt;0,IFERROR(VALUE(SUBSTITUTE(TRIM(Input!I1170&amp;""),"%","")),0)&lt;1),1,100))</f>
        <v/>
      </c>
    </row>
    <row r="1171" spans="1:8">
      <c r="A1171" t="str">
        <f>IF(TRIM(Input!B1171&amp;"")="","",UPPER(TRIM(Input!B1171&amp;"")))</f>
        <v/>
      </c>
      <c r="B1171" t="str">
        <f>IF(A1171="","",IFERROR(VALUE(RIGHT(TRIM(Input!D1171&amp;""),1)),0))</f>
        <v/>
      </c>
      <c r="C1171" t="str">
        <f t="shared" si="18"/>
        <v/>
      </c>
      <c r="D1171" t="str">
        <f>IF(A1171="","",IFERROR(VALUE(SUBSTITUTE(TRIM(Input!E1171&amp;""),"%","")),0)/IF(AND(IFERROR(VALUE(SUBSTITUTE(TRIM(Input!E1171&amp;""),"%","")),0)&gt;0,IFERROR(VALUE(SUBSTITUTE(TRIM(Input!E1171&amp;""),"%","")),0)&lt;1),1,100))</f>
        <v/>
      </c>
      <c r="E1171" t="str">
        <f>IF(A1171="","",IFERROR(VALUE(SUBSTITUTE(TRIM(Input!F1171&amp;""),"%","")),0)/IF(AND(IFERROR(VALUE(SUBSTITUTE(TRIM(Input!F1171&amp;""),"%","")),0)&gt;0,IFERROR(VALUE(SUBSTITUTE(TRIM(Input!F1171&amp;""),"%","")),0)&lt;1),1,100))</f>
        <v/>
      </c>
      <c r="F1171" t="str">
        <f>IF(A1171="","",IFERROR(VALUE(SUBSTITUTE(TRIM(Input!G1171&amp;""),"%","")),0)/IF(AND(IFERROR(VALUE(SUBSTITUTE(TRIM(Input!G1171&amp;""),"%","")),0)&gt;0,IFERROR(VALUE(SUBSTITUTE(TRIM(Input!G1171&amp;""),"%","")),0)&lt;1),1,100))</f>
        <v/>
      </c>
      <c r="G1171" t="str">
        <f>IF(A1171="","",IFERROR(VALUE(SUBSTITUTE(TRIM(Input!H1171&amp;""),"%","")),0)/IF(AND(IFERROR(VALUE(SUBSTITUTE(TRIM(Input!H1171&amp;""),"%","")),0)&gt;0,IFERROR(VALUE(SUBSTITUTE(TRIM(Input!H1171&amp;""),"%","")),0)&lt;1),1,100))</f>
        <v/>
      </c>
      <c r="H1171" t="str">
        <f>IF(A1171="","",IFERROR(VALUE(SUBSTITUTE(TRIM(Input!I1171&amp;""),"%","")),0)/IF(AND(IFERROR(VALUE(SUBSTITUTE(TRIM(Input!I1171&amp;""),"%","")),0)&gt;0,IFERROR(VALUE(SUBSTITUTE(TRIM(Input!I1171&amp;""),"%","")),0)&lt;1),1,100))</f>
        <v/>
      </c>
    </row>
    <row r="1172" spans="1:8">
      <c r="A1172" t="str">
        <f>IF(TRIM(Input!B1172&amp;"")="","",UPPER(TRIM(Input!B1172&amp;"")))</f>
        <v/>
      </c>
      <c r="B1172" t="str">
        <f>IF(A1172="","",IFERROR(VALUE(RIGHT(TRIM(Input!D1172&amp;""),1)),0))</f>
        <v/>
      </c>
      <c r="C1172" t="str">
        <f t="shared" si="18"/>
        <v/>
      </c>
      <c r="D1172" t="str">
        <f>IF(A1172="","",IFERROR(VALUE(SUBSTITUTE(TRIM(Input!E1172&amp;""),"%","")),0)/IF(AND(IFERROR(VALUE(SUBSTITUTE(TRIM(Input!E1172&amp;""),"%","")),0)&gt;0,IFERROR(VALUE(SUBSTITUTE(TRIM(Input!E1172&amp;""),"%","")),0)&lt;1),1,100))</f>
        <v/>
      </c>
      <c r="E1172" t="str">
        <f>IF(A1172="","",IFERROR(VALUE(SUBSTITUTE(TRIM(Input!F1172&amp;""),"%","")),0)/IF(AND(IFERROR(VALUE(SUBSTITUTE(TRIM(Input!F1172&amp;""),"%","")),0)&gt;0,IFERROR(VALUE(SUBSTITUTE(TRIM(Input!F1172&amp;""),"%","")),0)&lt;1),1,100))</f>
        <v/>
      </c>
      <c r="F1172" t="str">
        <f>IF(A1172="","",IFERROR(VALUE(SUBSTITUTE(TRIM(Input!G1172&amp;""),"%","")),0)/IF(AND(IFERROR(VALUE(SUBSTITUTE(TRIM(Input!G1172&amp;""),"%","")),0)&gt;0,IFERROR(VALUE(SUBSTITUTE(TRIM(Input!G1172&amp;""),"%","")),0)&lt;1),1,100))</f>
        <v/>
      </c>
      <c r="G1172" t="str">
        <f>IF(A1172="","",IFERROR(VALUE(SUBSTITUTE(TRIM(Input!H1172&amp;""),"%","")),0)/IF(AND(IFERROR(VALUE(SUBSTITUTE(TRIM(Input!H1172&amp;""),"%","")),0)&gt;0,IFERROR(VALUE(SUBSTITUTE(TRIM(Input!H1172&amp;""),"%","")),0)&lt;1),1,100))</f>
        <v/>
      </c>
      <c r="H1172" t="str">
        <f>IF(A1172="","",IFERROR(VALUE(SUBSTITUTE(TRIM(Input!I1172&amp;""),"%","")),0)/IF(AND(IFERROR(VALUE(SUBSTITUTE(TRIM(Input!I1172&amp;""),"%","")),0)&gt;0,IFERROR(VALUE(SUBSTITUTE(TRIM(Input!I1172&amp;""),"%","")),0)&lt;1),1,100))</f>
        <v/>
      </c>
    </row>
    <row r="1173" spans="1:8">
      <c r="A1173" t="str">
        <f>IF(TRIM(Input!B1173&amp;"")="","",UPPER(TRIM(Input!B1173&amp;"")))</f>
        <v/>
      </c>
      <c r="B1173" t="str">
        <f>IF(A1173="","",IFERROR(VALUE(RIGHT(TRIM(Input!D1173&amp;""),1)),0))</f>
        <v/>
      </c>
      <c r="C1173" t="str">
        <f t="shared" si="18"/>
        <v/>
      </c>
      <c r="D1173" t="str">
        <f>IF(A1173="","",IFERROR(VALUE(SUBSTITUTE(TRIM(Input!E1173&amp;""),"%","")),0)/IF(AND(IFERROR(VALUE(SUBSTITUTE(TRIM(Input!E1173&amp;""),"%","")),0)&gt;0,IFERROR(VALUE(SUBSTITUTE(TRIM(Input!E1173&amp;""),"%","")),0)&lt;1),1,100))</f>
        <v/>
      </c>
      <c r="E1173" t="str">
        <f>IF(A1173="","",IFERROR(VALUE(SUBSTITUTE(TRIM(Input!F1173&amp;""),"%","")),0)/IF(AND(IFERROR(VALUE(SUBSTITUTE(TRIM(Input!F1173&amp;""),"%","")),0)&gt;0,IFERROR(VALUE(SUBSTITUTE(TRIM(Input!F1173&amp;""),"%","")),0)&lt;1),1,100))</f>
        <v/>
      </c>
      <c r="F1173" t="str">
        <f>IF(A1173="","",IFERROR(VALUE(SUBSTITUTE(TRIM(Input!G1173&amp;""),"%","")),0)/IF(AND(IFERROR(VALUE(SUBSTITUTE(TRIM(Input!G1173&amp;""),"%","")),0)&gt;0,IFERROR(VALUE(SUBSTITUTE(TRIM(Input!G1173&amp;""),"%","")),0)&lt;1),1,100))</f>
        <v/>
      </c>
      <c r="G1173" t="str">
        <f>IF(A1173="","",IFERROR(VALUE(SUBSTITUTE(TRIM(Input!H1173&amp;""),"%","")),0)/IF(AND(IFERROR(VALUE(SUBSTITUTE(TRIM(Input!H1173&amp;""),"%","")),0)&gt;0,IFERROR(VALUE(SUBSTITUTE(TRIM(Input!H1173&amp;""),"%","")),0)&lt;1),1,100))</f>
        <v/>
      </c>
      <c r="H1173" t="str">
        <f>IF(A1173="","",IFERROR(VALUE(SUBSTITUTE(TRIM(Input!I1173&amp;""),"%","")),0)/IF(AND(IFERROR(VALUE(SUBSTITUTE(TRIM(Input!I1173&amp;""),"%","")),0)&gt;0,IFERROR(VALUE(SUBSTITUTE(TRIM(Input!I1173&amp;""),"%","")),0)&lt;1),1,100))</f>
        <v/>
      </c>
    </row>
    <row r="1174" spans="1:8">
      <c r="A1174" t="str">
        <f>IF(TRIM(Input!B1174&amp;"")="","",UPPER(TRIM(Input!B1174&amp;"")))</f>
        <v/>
      </c>
      <c r="B1174" t="str">
        <f>IF(A1174="","",IFERROR(VALUE(RIGHT(TRIM(Input!D1174&amp;""),1)),0))</f>
        <v/>
      </c>
      <c r="C1174" t="str">
        <f t="shared" si="18"/>
        <v/>
      </c>
      <c r="D1174" t="str">
        <f>IF(A1174="","",IFERROR(VALUE(SUBSTITUTE(TRIM(Input!E1174&amp;""),"%","")),0)/IF(AND(IFERROR(VALUE(SUBSTITUTE(TRIM(Input!E1174&amp;""),"%","")),0)&gt;0,IFERROR(VALUE(SUBSTITUTE(TRIM(Input!E1174&amp;""),"%","")),0)&lt;1),1,100))</f>
        <v/>
      </c>
      <c r="E1174" t="str">
        <f>IF(A1174="","",IFERROR(VALUE(SUBSTITUTE(TRIM(Input!F1174&amp;""),"%","")),0)/IF(AND(IFERROR(VALUE(SUBSTITUTE(TRIM(Input!F1174&amp;""),"%","")),0)&gt;0,IFERROR(VALUE(SUBSTITUTE(TRIM(Input!F1174&amp;""),"%","")),0)&lt;1),1,100))</f>
        <v/>
      </c>
      <c r="F1174" t="str">
        <f>IF(A1174="","",IFERROR(VALUE(SUBSTITUTE(TRIM(Input!G1174&amp;""),"%","")),0)/IF(AND(IFERROR(VALUE(SUBSTITUTE(TRIM(Input!G1174&amp;""),"%","")),0)&gt;0,IFERROR(VALUE(SUBSTITUTE(TRIM(Input!G1174&amp;""),"%","")),0)&lt;1),1,100))</f>
        <v/>
      </c>
      <c r="G1174" t="str">
        <f>IF(A1174="","",IFERROR(VALUE(SUBSTITUTE(TRIM(Input!H1174&amp;""),"%","")),0)/IF(AND(IFERROR(VALUE(SUBSTITUTE(TRIM(Input!H1174&amp;""),"%","")),0)&gt;0,IFERROR(VALUE(SUBSTITUTE(TRIM(Input!H1174&amp;""),"%","")),0)&lt;1),1,100))</f>
        <v/>
      </c>
      <c r="H1174" t="str">
        <f>IF(A1174="","",IFERROR(VALUE(SUBSTITUTE(TRIM(Input!I1174&amp;""),"%","")),0)/IF(AND(IFERROR(VALUE(SUBSTITUTE(TRIM(Input!I1174&amp;""),"%","")),0)&gt;0,IFERROR(VALUE(SUBSTITUTE(TRIM(Input!I1174&amp;""),"%","")),0)&lt;1),1,100))</f>
        <v/>
      </c>
    </row>
    <row r="1175" spans="1:8">
      <c r="A1175" t="str">
        <f>IF(TRIM(Input!B1175&amp;"")="","",UPPER(TRIM(Input!B1175&amp;"")))</f>
        <v/>
      </c>
      <c r="B1175" t="str">
        <f>IF(A1175="","",IFERROR(VALUE(RIGHT(TRIM(Input!D1175&amp;""),1)),0))</f>
        <v/>
      </c>
      <c r="C1175" t="str">
        <f t="shared" si="18"/>
        <v/>
      </c>
      <c r="D1175" t="str">
        <f>IF(A1175="","",IFERROR(VALUE(SUBSTITUTE(TRIM(Input!E1175&amp;""),"%","")),0)/IF(AND(IFERROR(VALUE(SUBSTITUTE(TRIM(Input!E1175&amp;""),"%","")),0)&gt;0,IFERROR(VALUE(SUBSTITUTE(TRIM(Input!E1175&amp;""),"%","")),0)&lt;1),1,100))</f>
        <v/>
      </c>
      <c r="E1175" t="str">
        <f>IF(A1175="","",IFERROR(VALUE(SUBSTITUTE(TRIM(Input!F1175&amp;""),"%","")),0)/IF(AND(IFERROR(VALUE(SUBSTITUTE(TRIM(Input!F1175&amp;""),"%","")),0)&gt;0,IFERROR(VALUE(SUBSTITUTE(TRIM(Input!F1175&amp;""),"%","")),0)&lt;1),1,100))</f>
        <v/>
      </c>
      <c r="F1175" t="str">
        <f>IF(A1175="","",IFERROR(VALUE(SUBSTITUTE(TRIM(Input!G1175&amp;""),"%","")),0)/IF(AND(IFERROR(VALUE(SUBSTITUTE(TRIM(Input!G1175&amp;""),"%","")),0)&gt;0,IFERROR(VALUE(SUBSTITUTE(TRIM(Input!G1175&amp;""),"%","")),0)&lt;1),1,100))</f>
        <v/>
      </c>
      <c r="G1175" t="str">
        <f>IF(A1175="","",IFERROR(VALUE(SUBSTITUTE(TRIM(Input!H1175&amp;""),"%","")),0)/IF(AND(IFERROR(VALUE(SUBSTITUTE(TRIM(Input!H1175&amp;""),"%","")),0)&gt;0,IFERROR(VALUE(SUBSTITUTE(TRIM(Input!H1175&amp;""),"%","")),0)&lt;1),1,100))</f>
        <v/>
      </c>
      <c r="H1175" t="str">
        <f>IF(A1175="","",IFERROR(VALUE(SUBSTITUTE(TRIM(Input!I1175&amp;""),"%","")),0)/IF(AND(IFERROR(VALUE(SUBSTITUTE(TRIM(Input!I1175&amp;""),"%","")),0)&gt;0,IFERROR(VALUE(SUBSTITUTE(TRIM(Input!I1175&amp;""),"%","")),0)&lt;1),1,100))</f>
        <v/>
      </c>
    </row>
    <row r="1176" spans="1:8">
      <c r="A1176" t="str">
        <f>IF(TRIM(Input!B1176&amp;"")="","",UPPER(TRIM(Input!B1176&amp;"")))</f>
        <v/>
      </c>
      <c r="B1176" t="str">
        <f>IF(A1176="","",IFERROR(VALUE(RIGHT(TRIM(Input!D1176&amp;""),1)),0))</f>
        <v/>
      </c>
      <c r="C1176" t="str">
        <f t="shared" si="18"/>
        <v/>
      </c>
      <c r="D1176" t="str">
        <f>IF(A1176="","",IFERROR(VALUE(SUBSTITUTE(TRIM(Input!E1176&amp;""),"%","")),0)/IF(AND(IFERROR(VALUE(SUBSTITUTE(TRIM(Input!E1176&amp;""),"%","")),0)&gt;0,IFERROR(VALUE(SUBSTITUTE(TRIM(Input!E1176&amp;""),"%","")),0)&lt;1),1,100))</f>
        <v/>
      </c>
      <c r="E1176" t="str">
        <f>IF(A1176="","",IFERROR(VALUE(SUBSTITUTE(TRIM(Input!F1176&amp;""),"%","")),0)/IF(AND(IFERROR(VALUE(SUBSTITUTE(TRIM(Input!F1176&amp;""),"%","")),0)&gt;0,IFERROR(VALUE(SUBSTITUTE(TRIM(Input!F1176&amp;""),"%","")),0)&lt;1),1,100))</f>
        <v/>
      </c>
      <c r="F1176" t="str">
        <f>IF(A1176="","",IFERROR(VALUE(SUBSTITUTE(TRIM(Input!G1176&amp;""),"%","")),0)/IF(AND(IFERROR(VALUE(SUBSTITUTE(TRIM(Input!G1176&amp;""),"%","")),0)&gt;0,IFERROR(VALUE(SUBSTITUTE(TRIM(Input!G1176&amp;""),"%","")),0)&lt;1),1,100))</f>
        <v/>
      </c>
      <c r="G1176" t="str">
        <f>IF(A1176="","",IFERROR(VALUE(SUBSTITUTE(TRIM(Input!H1176&amp;""),"%","")),0)/IF(AND(IFERROR(VALUE(SUBSTITUTE(TRIM(Input!H1176&amp;""),"%","")),0)&gt;0,IFERROR(VALUE(SUBSTITUTE(TRIM(Input!H1176&amp;""),"%","")),0)&lt;1),1,100))</f>
        <v/>
      </c>
      <c r="H1176" t="str">
        <f>IF(A1176="","",IFERROR(VALUE(SUBSTITUTE(TRIM(Input!I1176&amp;""),"%","")),0)/IF(AND(IFERROR(VALUE(SUBSTITUTE(TRIM(Input!I1176&amp;""),"%","")),0)&gt;0,IFERROR(VALUE(SUBSTITUTE(TRIM(Input!I1176&amp;""),"%","")),0)&lt;1),1,100))</f>
        <v/>
      </c>
    </row>
    <row r="1177" spans="1:8">
      <c r="A1177" t="str">
        <f>IF(TRIM(Input!B1177&amp;"")="","",UPPER(TRIM(Input!B1177&amp;"")))</f>
        <v/>
      </c>
      <c r="B1177" t="str">
        <f>IF(A1177="","",IFERROR(VALUE(RIGHT(TRIM(Input!D1177&amp;""),1)),0))</f>
        <v/>
      </c>
      <c r="C1177" t="str">
        <f t="shared" si="18"/>
        <v/>
      </c>
      <c r="D1177" t="str">
        <f>IF(A1177="","",IFERROR(VALUE(SUBSTITUTE(TRIM(Input!E1177&amp;""),"%","")),0)/IF(AND(IFERROR(VALUE(SUBSTITUTE(TRIM(Input!E1177&amp;""),"%","")),0)&gt;0,IFERROR(VALUE(SUBSTITUTE(TRIM(Input!E1177&amp;""),"%","")),0)&lt;1),1,100))</f>
        <v/>
      </c>
      <c r="E1177" t="str">
        <f>IF(A1177="","",IFERROR(VALUE(SUBSTITUTE(TRIM(Input!F1177&amp;""),"%","")),0)/IF(AND(IFERROR(VALUE(SUBSTITUTE(TRIM(Input!F1177&amp;""),"%","")),0)&gt;0,IFERROR(VALUE(SUBSTITUTE(TRIM(Input!F1177&amp;""),"%","")),0)&lt;1),1,100))</f>
        <v/>
      </c>
      <c r="F1177" t="str">
        <f>IF(A1177="","",IFERROR(VALUE(SUBSTITUTE(TRIM(Input!G1177&amp;""),"%","")),0)/IF(AND(IFERROR(VALUE(SUBSTITUTE(TRIM(Input!G1177&amp;""),"%","")),0)&gt;0,IFERROR(VALUE(SUBSTITUTE(TRIM(Input!G1177&amp;""),"%","")),0)&lt;1),1,100))</f>
        <v/>
      </c>
      <c r="G1177" t="str">
        <f>IF(A1177="","",IFERROR(VALUE(SUBSTITUTE(TRIM(Input!H1177&amp;""),"%","")),0)/IF(AND(IFERROR(VALUE(SUBSTITUTE(TRIM(Input!H1177&amp;""),"%","")),0)&gt;0,IFERROR(VALUE(SUBSTITUTE(TRIM(Input!H1177&amp;""),"%","")),0)&lt;1),1,100))</f>
        <v/>
      </c>
      <c r="H1177" t="str">
        <f>IF(A1177="","",IFERROR(VALUE(SUBSTITUTE(TRIM(Input!I1177&amp;""),"%","")),0)/IF(AND(IFERROR(VALUE(SUBSTITUTE(TRIM(Input!I1177&amp;""),"%","")),0)&gt;0,IFERROR(VALUE(SUBSTITUTE(TRIM(Input!I1177&amp;""),"%","")),0)&lt;1),1,100))</f>
        <v/>
      </c>
    </row>
    <row r="1178" spans="1:8">
      <c r="A1178" t="str">
        <f>IF(TRIM(Input!B1178&amp;"")="","",UPPER(TRIM(Input!B1178&amp;"")))</f>
        <v/>
      </c>
      <c r="B1178" t="str">
        <f>IF(A1178="","",IFERROR(VALUE(RIGHT(TRIM(Input!D1178&amp;""),1)),0))</f>
        <v/>
      </c>
      <c r="C1178" t="str">
        <f t="shared" si="18"/>
        <v/>
      </c>
      <c r="D1178" t="str">
        <f>IF(A1178="","",IFERROR(VALUE(SUBSTITUTE(TRIM(Input!E1178&amp;""),"%","")),0)/IF(AND(IFERROR(VALUE(SUBSTITUTE(TRIM(Input!E1178&amp;""),"%","")),0)&gt;0,IFERROR(VALUE(SUBSTITUTE(TRIM(Input!E1178&amp;""),"%","")),0)&lt;1),1,100))</f>
        <v/>
      </c>
      <c r="E1178" t="str">
        <f>IF(A1178="","",IFERROR(VALUE(SUBSTITUTE(TRIM(Input!F1178&amp;""),"%","")),0)/IF(AND(IFERROR(VALUE(SUBSTITUTE(TRIM(Input!F1178&amp;""),"%","")),0)&gt;0,IFERROR(VALUE(SUBSTITUTE(TRIM(Input!F1178&amp;""),"%","")),0)&lt;1),1,100))</f>
        <v/>
      </c>
      <c r="F1178" t="str">
        <f>IF(A1178="","",IFERROR(VALUE(SUBSTITUTE(TRIM(Input!G1178&amp;""),"%","")),0)/IF(AND(IFERROR(VALUE(SUBSTITUTE(TRIM(Input!G1178&amp;""),"%","")),0)&gt;0,IFERROR(VALUE(SUBSTITUTE(TRIM(Input!G1178&amp;""),"%","")),0)&lt;1),1,100))</f>
        <v/>
      </c>
      <c r="G1178" t="str">
        <f>IF(A1178="","",IFERROR(VALUE(SUBSTITUTE(TRIM(Input!H1178&amp;""),"%","")),0)/IF(AND(IFERROR(VALUE(SUBSTITUTE(TRIM(Input!H1178&amp;""),"%","")),0)&gt;0,IFERROR(VALUE(SUBSTITUTE(TRIM(Input!H1178&amp;""),"%","")),0)&lt;1),1,100))</f>
        <v/>
      </c>
      <c r="H1178" t="str">
        <f>IF(A1178="","",IFERROR(VALUE(SUBSTITUTE(TRIM(Input!I1178&amp;""),"%","")),0)/IF(AND(IFERROR(VALUE(SUBSTITUTE(TRIM(Input!I1178&amp;""),"%","")),0)&gt;0,IFERROR(VALUE(SUBSTITUTE(TRIM(Input!I1178&amp;""),"%","")),0)&lt;1),1,100))</f>
        <v/>
      </c>
    </row>
    <row r="1179" spans="1:8">
      <c r="A1179" t="str">
        <f>IF(TRIM(Input!B1179&amp;"")="","",UPPER(TRIM(Input!B1179&amp;"")))</f>
        <v/>
      </c>
      <c r="B1179" t="str">
        <f>IF(A1179="","",IFERROR(VALUE(RIGHT(TRIM(Input!D1179&amp;""),1)),0))</f>
        <v/>
      </c>
      <c r="C1179" t="str">
        <f t="shared" si="18"/>
        <v/>
      </c>
      <c r="D1179" t="str">
        <f>IF(A1179="","",IFERROR(VALUE(SUBSTITUTE(TRIM(Input!E1179&amp;""),"%","")),0)/IF(AND(IFERROR(VALUE(SUBSTITUTE(TRIM(Input!E1179&amp;""),"%","")),0)&gt;0,IFERROR(VALUE(SUBSTITUTE(TRIM(Input!E1179&amp;""),"%","")),0)&lt;1),1,100))</f>
        <v/>
      </c>
      <c r="E1179" t="str">
        <f>IF(A1179="","",IFERROR(VALUE(SUBSTITUTE(TRIM(Input!F1179&amp;""),"%","")),0)/IF(AND(IFERROR(VALUE(SUBSTITUTE(TRIM(Input!F1179&amp;""),"%","")),0)&gt;0,IFERROR(VALUE(SUBSTITUTE(TRIM(Input!F1179&amp;""),"%","")),0)&lt;1),1,100))</f>
        <v/>
      </c>
      <c r="F1179" t="str">
        <f>IF(A1179="","",IFERROR(VALUE(SUBSTITUTE(TRIM(Input!G1179&amp;""),"%","")),0)/IF(AND(IFERROR(VALUE(SUBSTITUTE(TRIM(Input!G1179&amp;""),"%","")),0)&gt;0,IFERROR(VALUE(SUBSTITUTE(TRIM(Input!G1179&amp;""),"%","")),0)&lt;1),1,100))</f>
        <v/>
      </c>
      <c r="G1179" t="str">
        <f>IF(A1179="","",IFERROR(VALUE(SUBSTITUTE(TRIM(Input!H1179&amp;""),"%","")),0)/IF(AND(IFERROR(VALUE(SUBSTITUTE(TRIM(Input!H1179&amp;""),"%","")),0)&gt;0,IFERROR(VALUE(SUBSTITUTE(TRIM(Input!H1179&amp;""),"%","")),0)&lt;1),1,100))</f>
        <v/>
      </c>
      <c r="H1179" t="str">
        <f>IF(A1179="","",IFERROR(VALUE(SUBSTITUTE(TRIM(Input!I1179&amp;""),"%","")),0)/IF(AND(IFERROR(VALUE(SUBSTITUTE(TRIM(Input!I1179&amp;""),"%","")),0)&gt;0,IFERROR(VALUE(SUBSTITUTE(TRIM(Input!I1179&amp;""),"%","")),0)&lt;1),1,100))</f>
        <v/>
      </c>
    </row>
    <row r="1180" spans="1:8">
      <c r="A1180" t="str">
        <f>IF(TRIM(Input!B1180&amp;"")="","",UPPER(TRIM(Input!B1180&amp;"")))</f>
        <v/>
      </c>
      <c r="B1180" t="str">
        <f>IF(A1180="","",IFERROR(VALUE(RIGHT(TRIM(Input!D1180&amp;""),1)),0))</f>
        <v/>
      </c>
      <c r="C1180" t="str">
        <f t="shared" si="18"/>
        <v/>
      </c>
      <c r="D1180" t="str">
        <f>IF(A1180="","",IFERROR(VALUE(SUBSTITUTE(TRIM(Input!E1180&amp;""),"%","")),0)/IF(AND(IFERROR(VALUE(SUBSTITUTE(TRIM(Input!E1180&amp;""),"%","")),0)&gt;0,IFERROR(VALUE(SUBSTITUTE(TRIM(Input!E1180&amp;""),"%","")),0)&lt;1),1,100))</f>
        <v/>
      </c>
      <c r="E1180" t="str">
        <f>IF(A1180="","",IFERROR(VALUE(SUBSTITUTE(TRIM(Input!F1180&amp;""),"%","")),0)/IF(AND(IFERROR(VALUE(SUBSTITUTE(TRIM(Input!F1180&amp;""),"%","")),0)&gt;0,IFERROR(VALUE(SUBSTITUTE(TRIM(Input!F1180&amp;""),"%","")),0)&lt;1),1,100))</f>
        <v/>
      </c>
      <c r="F1180" t="str">
        <f>IF(A1180="","",IFERROR(VALUE(SUBSTITUTE(TRIM(Input!G1180&amp;""),"%","")),0)/IF(AND(IFERROR(VALUE(SUBSTITUTE(TRIM(Input!G1180&amp;""),"%","")),0)&gt;0,IFERROR(VALUE(SUBSTITUTE(TRIM(Input!G1180&amp;""),"%","")),0)&lt;1),1,100))</f>
        <v/>
      </c>
      <c r="G1180" t="str">
        <f>IF(A1180="","",IFERROR(VALUE(SUBSTITUTE(TRIM(Input!H1180&amp;""),"%","")),0)/IF(AND(IFERROR(VALUE(SUBSTITUTE(TRIM(Input!H1180&amp;""),"%","")),0)&gt;0,IFERROR(VALUE(SUBSTITUTE(TRIM(Input!H1180&amp;""),"%","")),0)&lt;1),1,100))</f>
        <v/>
      </c>
      <c r="H1180" t="str">
        <f>IF(A1180="","",IFERROR(VALUE(SUBSTITUTE(TRIM(Input!I1180&amp;""),"%","")),0)/IF(AND(IFERROR(VALUE(SUBSTITUTE(TRIM(Input!I1180&amp;""),"%","")),0)&gt;0,IFERROR(VALUE(SUBSTITUTE(TRIM(Input!I1180&amp;""),"%","")),0)&lt;1),1,100))</f>
        <v/>
      </c>
    </row>
    <row r="1181" spans="1:8">
      <c r="A1181" t="str">
        <f>IF(TRIM(Input!B1181&amp;"")="","",UPPER(TRIM(Input!B1181&amp;"")))</f>
        <v/>
      </c>
      <c r="B1181" t="str">
        <f>IF(A1181="","",IFERROR(VALUE(RIGHT(TRIM(Input!D1181&amp;""),1)),0))</f>
        <v/>
      </c>
      <c r="C1181" t="str">
        <f t="shared" si="18"/>
        <v/>
      </c>
      <c r="D1181" t="str">
        <f>IF(A1181="","",IFERROR(VALUE(SUBSTITUTE(TRIM(Input!E1181&amp;""),"%","")),0)/IF(AND(IFERROR(VALUE(SUBSTITUTE(TRIM(Input!E1181&amp;""),"%","")),0)&gt;0,IFERROR(VALUE(SUBSTITUTE(TRIM(Input!E1181&amp;""),"%","")),0)&lt;1),1,100))</f>
        <v/>
      </c>
      <c r="E1181" t="str">
        <f>IF(A1181="","",IFERROR(VALUE(SUBSTITUTE(TRIM(Input!F1181&amp;""),"%","")),0)/IF(AND(IFERROR(VALUE(SUBSTITUTE(TRIM(Input!F1181&amp;""),"%","")),0)&gt;0,IFERROR(VALUE(SUBSTITUTE(TRIM(Input!F1181&amp;""),"%","")),0)&lt;1),1,100))</f>
        <v/>
      </c>
      <c r="F1181" t="str">
        <f>IF(A1181="","",IFERROR(VALUE(SUBSTITUTE(TRIM(Input!G1181&amp;""),"%","")),0)/IF(AND(IFERROR(VALUE(SUBSTITUTE(TRIM(Input!G1181&amp;""),"%","")),0)&gt;0,IFERROR(VALUE(SUBSTITUTE(TRIM(Input!G1181&amp;""),"%","")),0)&lt;1),1,100))</f>
        <v/>
      </c>
      <c r="G1181" t="str">
        <f>IF(A1181="","",IFERROR(VALUE(SUBSTITUTE(TRIM(Input!H1181&amp;""),"%","")),0)/IF(AND(IFERROR(VALUE(SUBSTITUTE(TRIM(Input!H1181&amp;""),"%","")),0)&gt;0,IFERROR(VALUE(SUBSTITUTE(TRIM(Input!H1181&amp;""),"%","")),0)&lt;1),1,100))</f>
        <v/>
      </c>
      <c r="H1181" t="str">
        <f>IF(A1181="","",IFERROR(VALUE(SUBSTITUTE(TRIM(Input!I1181&amp;""),"%","")),0)/IF(AND(IFERROR(VALUE(SUBSTITUTE(TRIM(Input!I1181&amp;""),"%","")),0)&gt;0,IFERROR(VALUE(SUBSTITUTE(TRIM(Input!I1181&amp;""),"%","")),0)&lt;1),1,100))</f>
        <v/>
      </c>
    </row>
    <row r="1182" spans="1:8">
      <c r="A1182" t="str">
        <f>IF(TRIM(Input!B1182&amp;"")="","",UPPER(TRIM(Input!B1182&amp;"")))</f>
        <v/>
      </c>
      <c r="B1182" t="str">
        <f>IF(A1182="","",IFERROR(VALUE(RIGHT(TRIM(Input!D1182&amp;""),1)),0))</f>
        <v/>
      </c>
      <c r="C1182" t="str">
        <f t="shared" si="18"/>
        <v/>
      </c>
      <c r="D1182" t="str">
        <f>IF(A1182="","",IFERROR(VALUE(SUBSTITUTE(TRIM(Input!E1182&amp;""),"%","")),0)/IF(AND(IFERROR(VALUE(SUBSTITUTE(TRIM(Input!E1182&amp;""),"%","")),0)&gt;0,IFERROR(VALUE(SUBSTITUTE(TRIM(Input!E1182&amp;""),"%","")),0)&lt;1),1,100))</f>
        <v/>
      </c>
      <c r="E1182" t="str">
        <f>IF(A1182="","",IFERROR(VALUE(SUBSTITUTE(TRIM(Input!F1182&amp;""),"%","")),0)/IF(AND(IFERROR(VALUE(SUBSTITUTE(TRIM(Input!F1182&amp;""),"%","")),0)&gt;0,IFERROR(VALUE(SUBSTITUTE(TRIM(Input!F1182&amp;""),"%","")),0)&lt;1),1,100))</f>
        <v/>
      </c>
      <c r="F1182" t="str">
        <f>IF(A1182="","",IFERROR(VALUE(SUBSTITUTE(TRIM(Input!G1182&amp;""),"%","")),0)/IF(AND(IFERROR(VALUE(SUBSTITUTE(TRIM(Input!G1182&amp;""),"%","")),0)&gt;0,IFERROR(VALUE(SUBSTITUTE(TRIM(Input!G1182&amp;""),"%","")),0)&lt;1),1,100))</f>
        <v/>
      </c>
      <c r="G1182" t="str">
        <f>IF(A1182="","",IFERROR(VALUE(SUBSTITUTE(TRIM(Input!H1182&amp;""),"%","")),0)/IF(AND(IFERROR(VALUE(SUBSTITUTE(TRIM(Input!H1182&amp;""),"%","")),0)&gt;0,IFERROR(VALUE(SUBSTITUTE(TRIM(Input!H1182&amp;""),"%","")),0)&lt;1),1,100))</f>
        <v/>
      </c>
      <c r="H1182" t="str">
        <f>IF(A1182="","",IFERROR(VALUE(SUBSTITUTE(TRIM(Input!I1182&amp;""),"%","")),0)/IF(AND(IFERROR(VALUE(SUBSTITUTE(TRIM(Input!I1182&amp;""),"%","")),0)&gt;0,IFERROR(VALUE(SUBSTITUTE(TRIM(Input!I1182&amp;""),"%","")),0)&lt;1),1,100))</f>
        <v/>
      </c>
    </row>
    <row r="1183" spans="1:8">
      <c r="A1183" t="str">
        <f>IF(TRIM(Input!B1183&amp;"")="","",UPPER(TRIM(Input!B1183&amp;"")))</f>
        <v/>
      </c>
      <c r="B1183" t="str">
        <f>IF(A1183="","",IFERROR(VALUE(RIGHT(TRIM(Input!D1183&amp;""),1)),0))</f>
        <v/>
      </c>
      <c r="C1183" t="str">
        <f t="shared" si="18"/>
        <v/>
      </c>
      <c r="D1183" t="str">
        <f>IF(A1183="","",IFERROR(VALUE(SUBSTITUTE(TRIM(Input!E1183&amp;""),"%","")),0)/IF(AND(IFERROR(VALUE(SUBSTITUTE(TRIM(Input!E1183&amp;""),"%","")),0)&gt;0,IFERROR(VALUE(SUBSTITUTE(TRIM(Input!E1183&amp;""),"%","")),0)&lt;1),1,100))</f>
        <v/>
      </c>
      <c r="E1183" t="str">
        <f>IF(A1183="","",IFERROR(VALUE(SUBSTITUTE(TRIM(Input!F1183&amp;""),"%","")),0)/IF(AND(IFERROR(VALUE(SUBSTITUTE(TRIM(Input!F1183&amp;""),"%","")),0)&gt;0,IFERROR(VALUE(SUBSTITUTE(TRIM(Input!F1183&amp;""),"%","")),0)&lt;1),1,100))</f>
        <v/>
      </c>
      <c r="F1183" t="str">
        <f>IF(A1183="","",IFERROR(VALUE(SUBSTITUTE(TRIM(Input!G1183&amp;""),"%","")),0)/IF(AND(IFERROR(VALUE(SUBSTITUTE(TRIM(Input!G1183&amp;""),"%","")),0)&gt;0,IFERROR(VALUE(SUBSTITUTE(TRIM(Input!G1183&amp;""),"%","")),0)&lt;1),1,100))</f>
        <v/>
      </c>
      <c r="G1183" t="str">
        <f>IF(A1183="","",IFERROR(VALUE(SUBSTITUTE(TRIM(Input!H1183&amp;""),"%","")),0)/IF(AND(IFERROR(VALUE(SUBSTITUTE(TRIM(Input!H1183&amp;""),"%","")),0)&gt;0,IFERROR(VALUE(SUBSTITUTE(TRIM(Input!H1183&amp;""),"%","")),0)&lt;1),1,100))</f>
        <v/>
      </c>
      <c r="H1183" t="str">
        <f>IF(A1183="","",IFERROR(VALUE(SUBSTITUTE(TRIM(Input!I1183&amp;""),"%","")),0)/IF(AND(IFERROR(VALUE(SUBSTITUTE(TRIM(Input!I1183&amp;""),"%","")),0)&gt;0,IFERROR(VALUE(SUBSTITUTE(TRIM(Input!I1183&amp;""),"%","")),0)&lt;1),1,100))</f>
        <v/>
      </c>
    </row>
    <row r="1184" spans="1:8">
      <c r="A1184" t="str">
        <f>IF(TRIM(Input!B1184&amp;"")="","",UPPER(TRIM(Input!B1184&amp;"")))</f>
        <v/>
      </c>
      <c r="B1184" t="str">
        <f>IF(A1184="","",IFERROR(VALUE(RIGHT(TRIM(Input!D1184&amp;""),1)),0))</f>
        <v/>
      </c>
      <c r="C1184" t="str">
        <f t="shared" si="18"/>
        <v/>
      </c>
      <c r="D1184" t="str">
        <f>IF(A1184="","",IFERROR(VALUE(SUBSTITUTE(TRIM(Input!E1184&amp;""),"%","")),0)/IF(AND(IFERROR(VALUE(SUBSTITUTE(TRIM(Input!E1184&amp;""),"%","")),0)&gt;0,IFERROR(VALUE(SUBSTITUTE(TRIM(Input!E1184&amp;""),"%","")),0)&lt;1),1,100))</f>
        <v/>
      </c>
      <c r="E1184" t="str">
        <f>IF(A1184="","",IFERROR(VALUE(SUBSTITUTE(TRIM(Input!F1184&amp;""),"%","")),0)/IF(AND(IFERROR(VALUE(SUBSTITUTE(TRIM(Input!F1184&amp;""),"%","")),0)&gt;0,IFERROR(VALUE(SUBSTITUTE(TRIM(Input!F1184&amp;""),"%","")),0)&lt;1),1,100))</f>
        <v/>
      </c>
      <c r="F1184" t="str">
        <f>IF(A1184="","",IFERROR(VALUE(SUBSTITUTE(TRIM(Input!G1184&amp;""),"%","")),0)/IF(AND(IFERROR(VALUE(SUBSTITUTE(TRIM(Input!G1184&amp;""),"%","")),0)&gt;0,IFERROR(VALUE(SUBSTITUTE(TRIM(Input!G1184&amp;""),"%","")),0)&lt;1),1,100))</f>
        <v/>
      </c>
      <c r="G1184" t="str">
        <f>IF(A1184="","",IFERROR(VALUE(SUBSTITUTE(TRIM(Input!H1184&amp;""),"%","")),0)/IF(AND(IFERROR(VALUE(SUBSTITUTE(TRIM(Input!H1184&amp;""),"%","")),0)&gt;0,IFERROR(VALUE(SUBSTITUTE(TRIM(Input!H1184&amp;""),"%","")),0)&lt;1),1,100))</f>
        <v/>
      </c>
      <c r="H1184" t="str">
        <f>IF(A1184="","",IFERROR(VALUE(SUBSTITUTE(TRIM(Input!I1184&amp;""),"%","")),0)/IF(AND(IFERROR(VALUE(SUBSTITUTE(TRIM(Input!I1184&amp;""),"%","")),0)&gt;0,IFERROR(VALUE(SUBSTITUTE(TRIM(Input!I1184&amp;""),"%","")),0)&lt;1),1,100))</f>
        <v/>
      </c>
    </row>
    <row r="1185" spans="1:8">
      <c r="A1185" t="str">
        <f>IF(TRIM(Input!B1185&amp;"")="","",UPPER(TRIM(Input!B1185&amp;"")))</f>
        <v/>
      </c>
      <c r="B1185" t="str">
        <f>IF(A1185="","",IFERROR(VALUE(RIGHT(TRIM(Input!D1185&amp;""),1)),0))</f>
        <v/>
      </c>
      <c r="C1185" t="str">
        <f t="shared" si="18"/>
        <v/>
      </c>
      <c r="D1185" t="str">
        <f>IF(A1185="","",IFERROR(VALUE(SUBSTITUTE(TRIM(Input!E1185&amp;""),"%","")),0)/IF(AND(IFERROR(VALUE(SUBSTITUTE(TRIM(Input!E1185&amp;""),"%","")),0)&gt;0,IFERROR(VALUE(SUBSTITUTE(TRIM(Input!E1185&amp;""),"%","")),0)&lt;1),1,100))</f>
        <v/>
      </c>
      <c r="E1185" t="str">
        <f>IF(A1185="","",IFERROR(VALUE(SUBSTITUTE(TRIM(Input!F1185&amp;""),"%","")),0)/IF(AND(IFERROR(VALUE(SUBSTITUTE(TRIM(Input!F1185&amp;""),"%","")),0)&gt;0,IFERROR(VALUE(SUBSTITUTE(TRIM(Input!F1185&amp;""),"%","")),0)&lt;1),1,100))</f>
        <v/>
      </c>
      <c r="F1185" t="str">
        <f>IF(A1185="","",IFERROR(VALUE(SUBSTITUTE(TRIM(Input!G1185&amp;""),"%","")),0)/IF(AND(IFERROR(VALUE(SUBSTITUTE(TRIM(Input!G1185&amp;""),"%","")),0)&gt;0,IFERROR(VALUE(SUBSTITUTE(TRIM(Input!G1185&amp;""),"%","")),0)&lt;1),1,100))</f>
        <v/>
      </c>
      <c r="G1185" t="str">
        <f>IF(A1185="","",IFERROR(VALUE(SUBSTITUTE(TRIM(Input!H1185&amp;""),"%","")),0)/IF(AND(IFERROR(VALUE(SUBSTITUTE(TRIM(Input!H1185&amp;""),"%","")),0)&gt;0,IFERROR(VALUE(SUBSTITUTE(TRIM(Input!H1185&amp;""),"%","")),0)&lt;1),1,100))</f>
        <v/>
      </c>
      <c r="H1185" t="str">
        <f>IF(A1185="","",IFERROR(VALUE(SUBSTITUTE(TRIM(Input!I1185&amp;""),"%","")),0)/IF(AND(IFERROR(VALUE(SUBSTITUTE(TRIM(Input!I1185&amp;""),"%","")),0)&gt;0,IFERROR(VALUE(SUBSTITUTE(TRIM(Input!I1185&amp;""),"%","")),0)&lt;1),1,100))</f>
        <v/>
      </c>
    </row>
    <row r="1186" spans="1:8">
      <c r="A1186" t="str">
        <f>IF(TRIM(Input!B1186&amp;"")="","",UPPER(TRIM(Input!B1186&amp;"")))</f>
        <v/>
      </c>
      <c r="B1186" t="str">
        <f>IF(A1186="","",IFERROR(VALUE(RIGHT(TRIM(Input!D1186&amp;""),1)),0))</f>
        <v/>
      </c>
      <c r="C1186" t="str">
        <f t="shared" si="18"/>
        <v/>
      </c>
      <c r="D1186" t="str">
        <f>IF(A1186="","",IFERROR(VALUE(SUBSTITUTE(TRIM(Input!E1186&amp;""),"%","")),0)/IF(AND(IFERROR(VALUE(SUBSTITUTE(TRIM(Input!E1186&amp;""),"%","")),0)&gt;0,IFERROR(VALUE(SUBSTITUTE(TRIM(Input!E1186&amp;""),"%","")),0)&lt;1),1,100))</f>
        <v/>
      </c>
      <c r="E1186" t="str">
        <f>IF(A1186="","",IFERROR(VALUE(SUBSTITUTE(TRIM(Input!F1186&amp;""),"%","")),0)/IF(AND(IFERROR(VALUE(SUBSTITUTE(TRIM(Input!F1186&amp;""),"%","")),0)&gt;0,IFERROR(VALUE(SUBSTITUTE(TRIM(Input!F1186&amp;""),"%","")),0)&lt;1),1,100))</f>
        <v/>
      </c>
      <c r="F1186" t="str">
        <f>IF(A1186="","",IFERROR(VALUE(SUBSTITUTE(TRIM(Input!G1186&amp;""),"%","")),0)/IF(AND(IFERROR(VALUE(SUBSTITUTE(TRIM(Input!G1186&amp;""),"%","")),0)&gt;0,IFERROR(VALUE(SUBSTITUTE(TRIM(Input!G1186&amp;""),"%","")),0)&lt;1),1,100))</f>
        <v/>
      </c>
      <c r="G1186" t="str">
        <f>IF(A1186="","",IFERROR(VALUE(SUBSTITUTE(TRIM(Input!H1186&amp;""),"%","")),0)/IF(AND(IFERROR(VALUE(SUBSTITUTE(TRIM(Input!H1186&amp;""),"%","")),0)&gt;0,IFERROR(VALUE(SUBSTITUTE(TRIM(Input!H1186&amp;""),"%","")),0)&lt;1),1,100))</f>
        <v/>
      </c>
      <c r="H1186" t="str">
        <f>IF(A1186="","",IFERROR(VALUE(SUBSTITUTE(TRIM(Input!I1186&amp;""),"%","")),0)/IF(AND(IFERROR(VALUE(SUBSTITUTE(TRIM(Input!I1186&amp;""),"%","")),0)&gt;0,IFERROR(VALUE(SUBSTITUTE(TRIM(Input!I1186&amp;""),"%","")),0)&lt;1),1,100))</f>
        <v/>
      </c>
    </row>
    <row r="1187" spans="1:8">
      <c r="A1187" t="str">
        <f>IF(TRIM(Input!B1187&amp;"")="","",UPPER(TRIM(Input!B1187&amp;"")))</f>
        <v/>
      </c>
      <c r="B1187" t="str">
        <f>IF(A1187="","",IFERROR(VALUE(RIGHT(TRIM(Input!D1187&amp;""),1)),0))</f>
        <v/>
      </c>
      <c r="C1187" t="str">
        <f t="shared" si="18"/>
        <v/>
      </c>
      <c r="D1187" t="str">
        <f>IF(A1187="","",IFERROR(VALUE(SUBSTITUTE(TRIM(Input!E1187&amp;""),"%","")),0)/IF(AND(IFERROR(VALUE(SUBSTITUTE(TRIM(Input!E1187&amp;""),"%","")),0)&gt;0,IFERROR(VALUE(SUBSTITUTE(TRIM(Input!E1187&amp;""),"%","")),0)&lt;1),1,100))</f>
        <v/>
      </c>
      <c r="E1187" t="str">
        <f>IF(A1187="","",IFERROR(VALUE(SUBSTITUTE(TRIM(Input!F1187&amp;""),"%","")),0)/IF(AND(IFERROR(VALUE(SUBSTITUTE(TRIM(Input!F1187&amp;""),"%","")),0)&gt;0,IFERROR(VALUE(SUBSTITUTE(TRIM(Input!F1187&amp;""),"%","")),0)&lt;1),1,100))</f>
        <v/>
      </c>
      <c r="F1187" t="str">
        <f>IF(A1187="","",IFERROR(VALUE(SUBSTITUTE(TRIM(Input!G1187&amp;""),"%","")),0)/IF(AND(IFERROR(VALUE(SUBSTITUTE(TRIM(Input!G1187&amp;""),"%","")),0)&gt;0,IFERROR(VALUE(SUBSTITUTE(TRIM(Input!G1187&amp;""),"%","")),0)&lt;1),1,100))</f>
        <v/>
      </c>
      <c r="G1187" t="str">
        <f>IF(A1187="","",IFERROR(VALUE(SUBSTITUTE(TRIM(Input!H1187&amp;""),"%","")),0)/IF(AND(IFERROR(VALUE(SUBSTITUTE(TRIM(Input!H1187&amp;""),"%","")),0)&gt;0,IFERROR(VALUE(SUBSTITUTE(TRIM(Input!H1187&amp;""),"%","")),0)&lt;1),1,100))</f>
        <v/>
      </c>
      <c r="H1187" t="str">
        <f>IF(A1187="","",IFERROR(VALUE(SUBSTITUTE(TRIM(Input!I1187&amp;""),"%","")),0)/IF(AND(IFERROR(VALUE(SUBSTITUTE(TRIM(Input!I1187&amp;""),"%","")),0)&gt;0,IFERROR(VALUE(SUBSTITUTE(TRIM(Input!I1187&amp;""),"%","")),0)&lt;1),1,100))</f>
        <v/>
      </c>
    </row>
    <row r="1188" spans="1:8">
      <c r="A1188" t="str">
        <f>IF(TRIM(Input!B1188&amp;"")="","",UPPER(TRIM(Input!B1188&amp;"")))</f>
        <v/>
      </c>
      <c r="B1188" t="str">
        <f>IF(A1188="","",IFERROR(VALUE(RIGHT(TRIM(Input!D1188&amp;""),1)),0))</f>
        <v/>
      </c>
      <c r="C1188" t="str">
        <f t="shared" si="18"/>
        <v/>
      </c>
      <c r="D1188" t="str">
        <f>IF(A1188="","",IFERROR(VALUE(SUBSTITUTE(TRIM(Input!E1188&amp;""),"%","")),0)/IF(AND(IFERROR(VALUE(SUBSTITUTE(TRIM(Input!E1188&amp;""),"%","")),0)&gt;0,IFERROR(VALUE(SUBSTITUTE(TRIM(Input!E1188&amp;""),"%","")),0)&lt;1),1,100))</f>
        <v/>
      </c>
      <c r="E1188" t="str">
        <f>IF(A1188="","",IFERROR(VALUE(SUBSTITUTE(TRIM(Input!F1188&amp;""),"%","")),0)/IF(AND(IFERROR(VALUE(SUBSTITUTE(TRIM(Input!F1188&amp;""),"%","")),0)&gt;0,IFERROR(VALUE(SUBSTITUTE(TRIM(Input!F1188&amp;""),"%","")),0)&lt;1),1,100))</f>
        <v/>
      </c>
      <c r="F1188" t="str">
        <f>IF(A1188="","",IFERROR(VALUE(SUBSTITUTE(TRIM(Input!G1188&amp;""),"%","")),0)/IF(AND(IFERROR(VALUE(SUBSTITUTE(TRIM(Input!G1188&amp;""),"%","")),0)&gt;0,IFERROR(VALUE(SUBSTITUTE(TRIM(Input!G1188&amp;""),"%","")),0)&lt;1),1,100))</f>
        <v/>
      </c>
      <c r="G1188" t="str">
        <f>IF(A1188="","",IFERROR(VALUE(SUBSTITUTE(TRIM(Input!H1188&amp;""),"%","")),0)/IF(AND(IFERROR(VALUE(SUBSTITUTE(TRIM(Input!H1188&amp;""),"%","")),0)&gt;0,IFERROR(VALUE(SUBSTITUTE(TRIM(Input!H1188&amp;""),"%","")),0)&lt;1),1,100))</f>
        <v/>
      </c>
      <c r="H1188" t="str">
        <f>IF(A1188="","",IFERROR(VALUE(SUBSTITUTE(TRIM(Input!I1188&amp;""),"%","")),0)/IF(AND(IFERROR(VALUE(SUBSTITUTE(TRIM(Input!I1188&amp;""),"%","")),0)&gt;0,IFERROR(VALUE(SUBSTITUTE(TRIM(Input!I1188&amp;""),"%","")),0)&lt;1),1,100))</f>
        <v/>
      </c>
    </row>
    <row r="1189" spans="1:8">
      <c r="A1189" t="str">
        <f>IF(TRIM(Input!B1189&amp;"")="","",UPPER(TRIM(Input!B1189&amp;"")))</f>
        <v/>
      </c>
      <c r="B1189" t="str">
        <f>IF(A1189="","",IFERROR(VALUE(RIGHT(TRIM(Input!D1189&amp;""),1)),0))</f>
        <v/>
      </c>
      <c r="C1189" t="str">
        <f t="shared" si="18"/>
        <v/>
      </c>
      <c r="D1189" t="str">
        <f>IF(A1189="","",IFERROR(VALUE(SUBSTITUTE(TRIM(Input!E1189&amp;""),"%","")),0)/IF(AND(IFERROR(VALUE(SUBSTITUTE(TRIM(Input!E1189&amp;""),"%","")),0)&gt;0,IFERROR(VALUE(SUBSTITUTE(TRIM(Input!E1189&amp;""),"%","")),0)&lt;1),1,100))</f>
        <v/>
      </c>
      <c r="E1189" t="str">
        <f>IF(A1189="","",IFERROR(VALUE(SUBSTITUTE(TRIM(Input!F1189&amp;""),"%","")),0)/IF(AND(IFERROR(VALUE(SUBSTITUTE(TRIM(Input!F1189&amp;""),"%","")),0)&gt;0,IFERROR(VALUE(SUBSTITUTE(TRIM(Input!F1189&amp;""),"%","")),0)&lt;1),1,100))</f>
        <v/>
      </c>
      <c r="F1189" t="str">
        <f>IF(A1189="","",IFERROR(VALUE(SUBSTITUTE(TRIM(Input!G1189&amp;""),"%","")),0)/IF(AND(IFERROR(VALUE(SUBSTITUTE(TRIM(Input!G1189&amp;""),"%","")),0)&gt;0,IFERROR(VALUE(SUBSTITUTE(TRIM(Input!G1189&amp;""),"%","")),0)&lt;1),1,100))</f>
        <v/>
      </c>
      <c r="G1189" t="str">
        <f>IF(A1189="","",IFERROR(VALUE(SUBSTITUTE(TRIM(Input!H1189&amp;""),"%","")),0)/IF(AND(IFERROR(VALUE(SUBSTITUTE(TRIM(Input!H1189&amp;""),"%","")),0)&gt;0,IFERROR(VALUE(SUBSTITUTE(TRIM(Input!H1189&amp;""),"%","")),0)&lt;1),1,100))</f>
        <v/>
      </c>
      <c r="H1189" t="str">
        <f>IF(A1189="","",IFERROR(VALUE(SUBSTITUTE(TRIM(Input!I1189&amp;""),"%","")),0)/IF(AND(IFERROR(VALUE(SUBSTITUTE(TRIM(Input!I1189&amp;""),"%","")),0)&gt;0,IFERROR(VALUE(SUBSTITUTE(TRIM(Input!I1189&amp;""),"%","")),0)&lt;1),1,100))</f>
        <v/>
      </c>
    </row>
    <row r="1190" spans="1:8">
      <c r="A1190" t="str">
        <f>IF(TRIM(Input!B1190&amp;"")="","",UPPER(TRIM(Input!B1190&amp;"")))</f>
        <v/>
      </c>
      <c r="B1190" t="str">
        <f>IF(A1190="","",IFERROR(VALUE(RIGHT(TRIM(Input!D1190&amp;""),1)),0))</f>
        <v/>
      </c>
      <c r="C1190" t="str">
        <f t="shared" si="18"/>
        <v/>
      </c>
      <c r="D1190" t="str">
        <f>IF(A1190="","",IFERROR(VALUE(SUBSTITUTE(TRIM(Input!E1190&amp;""),"%","")),0)/IF(AND(IFERROR(VALUE(SUBSTITUTE(TRIM(Input!E1190&amp;""),"%","")),0)&gt;0,IFERROR(VALUE(SUBSTITUTE(TRIM(Input!E1190&amp;""),"%","")),0)&lt;1),1,100))</f>
        <v/>
      </c>
      <c r="E1190" t="str">
        <f>IF(A1190="","",IFERROR(VALUE(SUBSTITUTE(TRIM(Input!F1190&amp;""),"%","")),0)/IF(AND(IFERROR(VALUE(SUBSTITUTE(TRIM(Input!F1190&amp;""),"%","")),0)&gt;0,IFERROR(VALUE(SUBSTITUTE(TRIM(Input!F1190&amp;""),"%","")),0)&lt;1),1,100))</f>
        <v/>
      </c>
      <c r="F1190" t="str">
        <f>IF(A1190="","",IFERROR(VALUE(SUBSTITUTE(TRIM(Input!G1190&amp;""),"%","")),0)/IF(AND(IFERROR(VALUE(SUBSTITUTE(TRIM(Input!G1190&amp;""),"%","")),0)&gt;0,IFERROR(VALUE(SUBSTITUTE(TRIM(Input!G1190&amp;""),"%","")),0)&lt;1),1,100))</f>
        <v/>
      </c>
      <c r="G1190" t="str">
        <f>IF(A1190="","",IFERROR(VALUE(SUBSTITUTE(TRIM(Input!H1190&amp;""),"%","")),0)/IF(AND(IFERROR(VALUE(SUBSTITUTE(TRIM(Input!H1190&amp;""),"%","")),0)&gt;0,IFERROR(VALUE(SUBSTITUTE(TRIM(Input!H1190&amp;""),"%","")),0)&lt;1),1,100))</f>
        <v/>
      </c>
      <c r="H1190" t="str">
        <f>IF(A1190="","",IFERROR(VALUE(SUBSTITUTE(TRIM(Input!I1190&amp;""),"%","")),0)/IF(AND(IFERROR(VALUE(SUBSTITUTE(TRIM(Input!I1190&amp;""),"%","")),0)&gt;0,IFERROR(VALUE(SUBSTITUTE(TRIM(Input!I1190&amp;""),"%","")),0)&lt;1),1,100))</f>
        <v/>
      </c>
    </row>
    <row r="1191" spans="1:8">
      <c r="A1191" t="str">
        <f>IF(TRIM(Input!B1191&amp;"")="","",UPPER(TRIM(Input!B1191&amp;"")))</f>
        <v/>
      </c>
      <c r="B1191" t="str">
        <f>IF(A1191="","",IFERROR(VALUE(RIGHT(TRIM(Input!D1191&amp;""),1)),0))</f>
        <v/>
      </c>
      <c r="C1191" t="str">
        <f t="shared" si="18"/>
        <v/>
      </c>
      <c r="D1191" t="str">
        <f>IF(A1191="","",IFERROR(VALUE(SUBSTITUTE(TRIM(Input!E1191&amp;""),"%","")),0)/IF(AND(IFERROR(VALUE(SUBSTITUTE(TRIM(Input!E1191&amp;""),"%","")),0)&gt;0,IFERROR(VALUE(SUBSTITUTE(TRIM(Input!E1191&amp;""),"%","")),0)&lt;1),1,100))</f>
        <v/>
      </c>
      <c r="E1191" t="str">
        <f>IF(A1191="","",IFERROR(VALUE(SUBSTITUTE(TRIM(Input!F1191&amp;""),"%","")),0)/IF(AND(IFERROR(VALUE(SUBSTITUTE(TRIM(Input!F1191&amp;""),"%","")),0)&gt;0,IFERROR(VALUE(SUBSTITUTE(TRIM(Input!F1191&amp;""),"%","")),0)&lt;1),1,100))</f>
        <v/>
      </c>
      <c r="F1191" t="str">
        <f>IF(A1191="","",IFERROR(VALUE(SUBSTITUTE(TRIM(Input!G1191&amp;""),"%","")),0)/IF(AND(IFERROR(VALUE(SUBSTITUTE(TRIM(Input!G1191&amp;""),"%","")),0)&gt;0,IFERROR(VALUE(SUBSTITUTE(TRIM(Input!G1191&amp;""),"%","")),0)&lt;1),1,100))</f>
        <v/>
      </c>
      <c r="G1191" t="str">
        <f>IF(A1191="","",IFERROR(VALUE(SUBSTITUTE(TRIM(Input!H1191&amp;""),"%","")),0)/IF(AND(IFERROR(VALUE(SUBSTITUTE(TRIM(Input!H1191&amp;""),"%","")),0)&gt;0,IFERROR(VALUE(SUBSTITUTE(TRIM(Input!H1191&amp;""),"%","")),0)&lt;1),1,100))</f>
        <v/>
      </c>
      <c r="H1191" t="str">
        <f>IF(A1191="","",IFERROR(VALUE(SUBSTITUTE(TRIM(Input!I1191&amp;""),"%","")),0)/IF(AND(IFERROR(VALUE(SUBSTITUTE(TRIM(Input!I1191&amp;""),"%","")),0)&gt;0,IFERROR(VALUE(SUBSTITUTE(TRIM(Input!I1191&amp;""),"%","")),0)&lt;1),1,100))</f>
        <v/>
      </c>
    </row>
    <row r="1192" spans="1:8">
      <c r="A1192" t="str">
        <f>IF(TRIM(Input!B1192&amp;"")="","",UPPER(TRIM(Input!B1192&amp;"")))</f>
        <v/>
      </c>
      <c r="B1192" t="str">
        <f>IF(A1192="","",IFERROR(VALUE(RIGHT(TRIM(Input!D1192&amp;""),1)),0))</f>
        <v/>
      </c>
      <c r="C1192" t="str">
        <f t="shared" si="18"/>
        <v/>
      </c>
      <c r="D1192" t="str">
        <f>IF(A1192="","",IFERROR(VALUE(SUBSTITUTE(TRIM(Input!E1192&amp;""),"%","")),0)/IF(AND(IFERROR(VALUE(SUBSTITUTE(TRIM(Input!E1192&amp;""),"%","")),0)&gt;0,IFERROR(VALUE(SUBSTITUTE(TRIM(Input!E1192&amp;""),"%","")),0)&lt;1),1,100))</f>
        <v/>
      </c>
      <c r="E1192" t="str">
        <f>IF(A1192="","",IFERROR(VALUE(SUBSTITUTE(TRIM(Input!F1192&amp;""),"%","")),0)/IF(AND(IFERROR(VALUE(SUBSTITUTE(TRIM(Input!F1192&amp;""),"%","")),0)&gt;0,IFERROR(VALUE(SUBSTITUTE(TRIM(Input!F1192&amp;""),"%","")),0)&lt;1),1,100))</f>
        <v/>
      </c>
      <c r="F1192" t="str">
        <f>IF(A1192="","",IFERROR(VALUE(SUBSTITUTE(TRIM(Input!G1192&amp;""),"%","")),0)/IF(AND(IFERROR(VALUE(SUBSTITUTE(TRIM(Input!G1192&amp;""),"%","")),0)&gt;0,IFERROR(VALUE(SUBSTITUTE(TRIM(Input!G1192&amp;""),"%","")),0)&lt;1),1,100))</f>
        <v/>
      </c>
      <c r="G1192" t="str">
        <f>IF(A1192="","",IFERROR(VALUE(SUBSTITUTE(TRIM(Input!H1192&amp;""),"%","")),0)/IF(AND(IFERROR(VALUE(SUBSTITUTE(TRIM(Input!H1192&amp;""),"%","")),0)&gt;0,IFERROR(VALUE(SUBSTITUTE(TRIM(Input!H1192&amp;""),"%","")),0)&lt;1),1,100))</f>
        <v/>
      </c>
      <c r="H1192" t="str">
        <f>IF(A1192="","",IFERROR(VALUE(SUBSTITUTE(TRIM(Input!I1192&amp;""),"%","")),0)/IF(AND(IFERROR(VALUE(SUBSTITUTE(TRIM(Input!I1192&amp;""),"%","")),0)&gt;0,IFERROR(VALUE(SUBSTITUTE(TRIM(Input!I1192&amp;""),"%","")),0)&lt;1),1,100))</f>
        <v/>
      </c>
    </row>
    <row r="1193" spans="1:8">
      <c r="A1193" t="str">
        <f>IF(TRIM(Input!B1193&amp;"")="","",UPPER(TRIM(Input!B1193&amp;"")))</f>
        <v/>
      </c>
      <c r="B1193" t="str">
        <f>IF(A1193="","",IFERROR(VALUE(RIGHT(TRIM(Input!D1193&amp;""),1)),0))</f>
        <v/>
      </c>
      <c r="C1193" t="str">
        <f t="shared" si="18"/>
        <v/>
      </c>
      <c r="D1193" t="str">
        <f>IF(A1193="","",IFERROR(VALUE(SUBSTITUTE(TRIM(Input!E1193&amp;""),"%","")),0)/IF(AND(IFERROR(VALUE(SUBSTITUTE(TRIM(Input!E1193&amp;""),"%","")),0)&gt;0,IFERROR(VALUE(SUBSTITUTE(TRIM(Input!E1193&amp;""),"%","")),0)&lt;1),1,100))</f>
        <v/>
      </c>
      <c r="E1193" t="str">
        <f>IF(A1193="","",IFERROR(VALUE(SUBSTITUTE(TRIM(Input!F1193&amp;""),"%","")),0)/IF(AND(IFERROR(VALUE(SUBSTITUTE(TRIM(Input!F1193&amp;""),"%","")),0)&gt;0,IFERROR(VALUE(SUBSTITUTE(TRIM(Input!F1193&amp;""),"%","")),0)&lt;1),1,100))</f>
        <v/>
      </c>
      <c r="F1193" t="str">
        <f>IF(A1193="","",IFERROR(VALUE(SUBSTITUTE(TRIM(Input!G1193&amp;""),"%","")),0)/IF(AND(IFERROR(VALUE(SUBSTITUTE(TRIM(Input!G1193&amp;""),"%","")),0)&gt;0,IFERROR(VALUE(SUBSTITUTE(TRIM(Input!G1193&amp;""),"%","")),0)&lt;1),1,100))</f>
        <v/>
      </c>
      <c r="G1193" t="str">
        <f>IF(A1193="","",IFERROR(VALUE(SUBSTITUTE(TRIM(Input!H1193&amp;""),"%","")),0)/IF(AND(IFERROR(VALUE(SUBSTITUTE(TRIM(Input!H1193&amp;""),"%","")),0)&gt;0,IFERROR(VALUE(SUBSTITUTE(TRIM(Input!H1193&amp;""),"%","")),0)&lt;1),1,100))</f>
        <v/>
      </c>
      <c r="H1193" t="str">
        <f>IF(A1193="","",IFERROR(VALUE(SUBSTITUTE(TRIM(Input!I1193&amp;""),"%","")),0)/IF(AND(IFERROR(VALUE(SUBSTITUTE(TRIM(Input!I1193&amp;""),"%","")),0)&gt;0,IFERROR(VALUE(SUBSTITUTE(TRIM(Input!I1193&amp;""),"%","")),0)&lt;1),1,100))</f>
        <v/>
      </c>
    </row>
    <row r="1194" spans="1:8">
      <c r="A1194" t="str">
        <f>IF(TRIM(Input!B1194&amp;"")="","",UPPER(TRIM(Input!B1194&amp;"")))</f>
        <v/>
      </c>
      <c r="B1194" t="str">
        <f>IF(A1194="","",IFERROR(VALUE(RIGHT(TRIM(Input!D1194&amp;""),1)),0))</f>
        <v/>
      </c>
      <c r="C1194" t="str">
        <f t="shared" si="18"/>
        <v/>
      </c>
      <c r="D1194" t="str">
        <f>IF(A1194="","",IFERROR(VALUE(SUBSTITUTE(TRIM(Input!E1194&amp;""),"%","")),0)/IF(AND(IFERROR(VALUE(SUBSTITUTE(TRIM(Input!E1194&amp;""),"%","")),0)&gt;0,IFERROR(VALUE(SUBSTITUTE(TRIM(Input!E1194&amp;""),"%","")),0)&lt;1),1,100))</f>
        <v/>
      </c>
      <c r="E1194" t="str">
        <f>IF(A1194="","",IFERROR(VALUE(SUBSTITUTE(TRIM(Input!F1194&amp;""),"%","")),0)/IF(AND(IFERROR(VALUE(SUBSTITUTE(TRIM(Input!F1194&amp;""),"%","")),0)&gt;0,IFERROR(VALUE(SUBSTITUTE(TRIM(Input!F1194&amp;""),"%","")),0)&lt;1),1,100))</f>
        <v/>
      </c>
      <c r="F1194" t="str">
        <f>IF(A1194="","",IFERROR(VALUE(SUBSTITUTE(TRIM(Input!G1194&amp;""),"%","")),0)/IF(AND(IFERROR(VALUE(SUBSTITUTE(TRIM(Input!G1194&amp;""),"%","")),0)&gt;0,IFERROR(VALUE(SUBSTITUTE(TRIM(Input!G1194&amp;""),"%","")),0)&lt;1),1,100))</f>
        <v/>
      </c>
      <c r="G1194" t="str">
        <f>IF(A1194="","",IFERROR(VALUE(SUBSTITUTE(TRIM(Input!H1194&amp;""),"%","")),0)/IF(AND(IFERROR(VALUE(SUBSTITUTE(TRIM(Input!H1194&amp;""),"%","")),0)&gt;0,IFERROR(VALUE(SUBSTITUTE(TRIM(Input!H1194&amp;""),"%","")),0)&lt;1),1,100))</f>
        <v/>
      </c>
      <c r="H1194" t="str">
        <f>IF(A1194="","",IFERROR(VALUE(SUBSTITUTE(TRIM(Input!I1194&amp;""),"%","")),0)/IF(AND(IFERROR(VALUE(SUBSTITUTE(TRIM(Input!I1194&amp;""),"%","")),0)&gt;0,IFERROR(VALUE(SUBSTITUTE(TRIM(Input!I1194&amp;""),"%","")),0)&lt;1),1,100))</f>
        <v/>
      </c>
    </row>
    <row r="1195" spans="1:8">
      <c r="A1195" t="str">
        <f>IF(TRIM(Input!B1195&amp;"")="","",UPPER(TRIM(Input!B1195&amp;"")))</f>
        <v/>
      </c>
      <c r="B1195" t="str">
        <f>IF(A1195="","",IFERROR(VALUE(RIGHT(TRIM(Input!D1195&amp;""),1)),0))</f>
        <v/>
      </c>
      <c r="C1195" t="str">
        <f t="shared" si="18"/>
        <v/>
      </c>
      <c r="D1195" t="str">
        <f>IF(A1195="","",IFERROR(VALUE(SUBSTITUTE(TRIM(Input!E1195&amp;""),"%","")),0)/IF(AND(IFERROR(VALUE(SUBSTITUTE(TRIM(Input!E1195&amp;""),"%","")),0)&gt;0,IFERROR(VALUE(SUBSTITUTE(TRIM(Input!E1195&amp;""),"%","")),0)&lt;1),1,100))</f>
        <v/>
      </c>
      <c r="E1195" t="str">
        <f>IF(A1195="","",IFERROR(VALUE(SUBSTITUTE(TRIM(Input!F1195&amp;""),"%","")),0)/IF(AND(IFERROR(VALUE(SUBSTITUTE(TRIM(Input!F1195&amp;""),"%","")),0)&gt;0,IFERROR(VALUE(SUBSTITUTE(TRIM(Input!F1195&amp;""),"%","")),0)&lt;1),1,100))</f>
        <v/>
      </c>
      <c r="F1195" t="str">
        <f>IF(A1195="","",IFERROR(VALUE(SUBSTITUTE(TRIM(Input!G1195&amp;""),"%","")),0)/IF(AND(IFERROR(VALUE(SUBSTITUTE(TRIM(Input!G1195&amp;""),"%","")),0)&gt;0,IFERROR(VALUE(SUBSTITUTE(TRIM(Input!G1195&amp;""),"%","")),0)&lt;1),1,100))</f>
        <v/>
      </c>
      <c r="G1195" t="str">
        <f>IF(A1195="","",IFERROR(VALUE(SUBSTITUTE(TRIM(Input!H1195&amp;""),"%","")),0)/IF(AND(IFERROR(VALUE(SUBSTITUTE(TRIM(Input!H1195&amp;""),"%","")),0)&gt;0,IFERROR(VALUE(SUBSTITUTE(TRIM(Input!H1195&amp;""),"%","")),0)&lt;1),1,100))</f>
        <v/>
      </c>
      <c r="H1195" t="str">
        <f>IF(A1195="","",IFERROR(VALUE(SUBSTITUTE(TRIM(Input!I1195&amp;""),"%","")),0)/IF(AND(IFERROR(VALUE(SUBSTITUTE(TRIM(Input!I1195&amp;""),"%","")),0)&gt;0,IFERROR(VALUE(SUBSTITUTE(TRIM(Input!I1195&amp;""),"%","")),0)&lt;1),1,100))</f>
        <v/>
      </c>
    </row>
    <row r="1196" spans="1:8">
      <c r="A1196" t="str">
        <f>IF(TRIM(Input!B1196&amp;"")="","",UPPER(TRIM(Input!B1196&amp;"")))</f>
        <v/>
      </c>
      <c r="B1196" t="str">
        <f>IF(A1196="","",IFERROR(VALUE(RIGHT(TRIM(Input!D1196&amp;""),1)),0))</f>
        <v/>
      </c>
      <c r="C1196" t="str">
        <f t="shared" si="18"/>
        <v/>
      </c>
      <c r="D1196" t="str">
        <f>IF(A1196="","",IFERROR(VALUE(SUBSTITUTE(TRIM(Input!E1196&amp;""),"%","")),0)/IF(AND(IFERROR(VALUE(SUBSTITUTE(TRIM(Input!E1196&amp;""),"%","")),0)&gt;0,IFERROR(VALUE(SUBSTITUTE(TRIM(Input!E1196&amp;""),"%","")),0)&lt;1),1,100))</f>
        <v/>
      </c>
      <c r="E1196" t="str">
        <f>IF(A1196="","",IFERROR(VALUE(SUBSTITUTE(TRIM(Input!F1196&amp;""),"%","")),0)/IF(AND(IFERROR(VALUE(SUBSTITUTE(TRIM(Input!F1196&amp;""),"%","")),0)&gt;0,IFERROR(VALUE(SUBSTITUTE(TRIM(Input!F1196&amp;""),"%","")),0)&lt;1),1,100))</f>
        <v/>
      </c>
      <c r="F1196" t="str">
        <f>IF(A1196="","",IFERROR(VALUE(SUBSTITUTE(TRIM(Input!G1196&amp;""),"%","")),0)/IF(AND(IFERROR(VALUE(SUBSTITUTE(TRIM(Input!G1196&amp;""),"%","")),0)&gt;0,IFERROR(VALUE(SUBSTITUTE(TRIM(Input!G1196&amp;""),"%","")),0)&lt;1),1,100))</f>
        <v/>
      </c>
      <c r="G1196" t="str">
        <f>IF(A1196="","",IFERROR(VALUE(SUBSTITUTE(TRIM(Input!H1196&amp;""),"%","")),0)/IF(AND(IFERROR(VALUE(SUBSTITUTE(TRIM(Input!H1196&amp;""),"%","")),0)&gt;0,IFERROR(VALUE(SUBSTITUTE(TRIM(Input!H1196&amp;""),"%","")),0)&lt;1),1,100))</f>
        <v/>
      </c>
      <c r="H1196" t="str">
        <f>IF(A1196="","",IFERROR(VALUE(SUBSTITUTE(TRIM(Input!I1196&amp;""),"%","")),0)/IF(AND(IFERROR(VALUE(SUBSTITUTE(TRIM(Input!I1196&amp;""),"%","")),0)&gt;0,IFERROR(VALUE(SUBSTITUTE(TRIM(Input!I1196&amp;""),"%","")),0)&lt;1),1,100))</f>
        <v/>
      </c>
    </row>
    <row r="1197" spans="1:8">
      <c r="A1197" t="str">
        <f>IF(TRIM(Input!B1197&amp;"")="","",UPPER(TRIM(Input!B1197&amp;"")))</f>
        <v/>
      </c>
      <c r="B1197" t="str">
        <f>IF(A1197="","",IFERROR(VALUE(RIGHT(TRIM(Input!D1197&amp;""),1)),0))</f>
        <v/>
      </c>
      <c r="C1197" t="str">
        <f t="shared" si="18"/>
        <v/>
      </c>
      <c r="D1197" t="str">
        <f>IF(A1197="","",IFERROR(VALUE(SUBSTITUTE(TRIM(Input!E1197&amp;""),"%","")),0)/IF(AND(IFERROR(VALUE(SUBSTITUTE(TRIM(Input!E1197&amp;""),"%","")),0)&gt;0,IFERROR(VALUE(SUBSTITUTE(TRIM(Input!E1197&amp;""),"%","")),0)&lt;1),1,100))</f>
        <v/>
      </c>
      <c r="E1197" t="str">
        <f>IF(A1197="","",IFERROR(VALUE(SUBSTITUTE(TRIM(Input!F1197&amp;""),"%","")),0)/IF(AND(IFERROR(VALUE(SUBSTITUTE(TRIM(Input!F1197&amp;""),"%","")),0)&gt;0,IFERROR(VALUE(SUBSTITUTE(TRIM(Input!F1197&amp;""),"%","")),0)&lt;1),1,100))</f>
        <v/>
      </c>
      <c r="F1197" t="str">
        <f>IF(A1197="","",IFERROR(VALUE(SUBSTITUTE(TRIM(Input!G1197&amp;""),"%","")),0)/IF(AND(IFERROR(VALUE(SUBSTITUTE(TRIM(Input!G1197&amp;""),"%","")),0)&gt;0,IFERROR(VALUE(SUBSTITUTE(TRIM(Input!G1197&amp;""),"%","")),0)&lt;1),1,100))</f>
        <v/>
      </c>
      <c r="G1197" t="str">
        <f>IF(A1197="","",IFERROR(VALUE(SUBSTITUTE(TRIM(Input!H1197&amp;""),"%","")),0)/IF(AND(IFERROR(VALUE(SUBSTITUTE(TRIM(Input!H1197&amp;""),"%","")),0)&gt;0,IFERROR(VALUE(SUBSTITUTE(TRIM(Input!H1197&amp;""),"%","")),0)&lt;1),1,100))</f>
        <v/>
      </c>
      <c r="H1197" t="str">
        <f>IF(A1197="","",IFERROR(VALUE(SUBSTITUTE(TRIM(Input!I1197&amp;""),"%","")),0)/IF(AND(IFERROR(VALUE(SUBSTITUTE(TRIM(Input!I1197&amp;""),"%","")),0)&gt;0,IFERROR(VALUE(SUBSTITUTE(TRIM(Input!I1197&amp;""),"%","")),0)&lt;1),1,100))</f>
        <v/>
      </c>
    </row>
    <row r="1198" spans="1:8">
      <c r="A1198" t="str">
        <f>IF(TRIM(Input!B1198&amp;"")="","",UPPER(TRIM(Input!B1198&amp;"")))</f>
        <v/>
      </c>
      <c r="B1198" t="str">
        <f>IF(A1198="","",IFERROR(VALUE(RIGHT(TRIM(Input!D1198&amp;""),1)),0))</f>
        <v/>
      </c>
      <c r="C1198" t="str">
        <f t="shared" si="18"/>
        <v/>
      </c>
      <c r="D1198" t="str">
        <f>IF(A1198="","",IFERROR(VALUE(SUBSTITUTE(TRIM(Input!E1198&amp;""),"%","")),0)/IF(AND(IFERROR(VALUE(SUBSTITUTE(TRIM(Input!E1198&amp;""),"%","")),0)&gt;0,IFERROR(VALUE(SUBSTITUTE(TRIM(Input!E1198&amp;""),"%","")),0)&lt;1),1,100))</f>
        <v/>
      </c>
      <c r="E1198" t="str">
        <f>IF(A1198="","",IFERROR(VALUE(SUBSTITUTE(TRIM(Input!F1198&amp;""),"%","")),0)/IF(AND(IFERROR(VALUE(SUBSTITUTE(TRIM(Input!F1198&amp;""),"%","")),0)&gt;0,IFERROR(VALUE(SUBSTITUTE(TRIM(Input!F1198&amp;""),"%","")),0)&lt;1),1,100))</f>
        <v/>
      </c>
      <c r="F1198" t="str">
        <f>IF(A1198="","",IFERROR(VALUE(SUBSTITUTE(TRIM(Input!G1198&amp;""),"%","")),0)/IF(AND(IFERROR(VALUE(SUBSTITUTE(TRIM(Input!G1198&amp;""),"%","")),0)&gt;0,IFERROR(VALUE(SUBSTITUTE(TRIM(Input!G1198&amp;""),"%","")),0)&lt;1),1,100))</f>
        <v/>
      </c>
      <c r="G1198" t="str">
        <f>IF(A1198="","",IFERROR(VALUE(SUBSTITUTE(TRIM(Input!H1198&amp;""),"%","")),0)/IF(AND(IFERROR(VALUE(SUBSTITUTE(TRIM(Input!H1198&amp;""),"%","")),0)&gt;0,IFERROR(VALUE(SUBSTITUTE(TRIM(Input!H1198&amp;""),"%","")),0)&lt;1),1,100))</f>
        <v/>
      </c>
      <c r="H1198" t="str">
        <f>IF(A1198="","",IFERROR(VALUE(SUBSTITUTE(TRIM(Input!I1198&amp;""),"%","")),0)/IF(AND(IFERROR(VALUE(SUBSTITUTE(TRIM(Input!I1198&amp;""),"%","")),0)&gt;0,IFERROR(VALUE(SUBSTITUTE(TRIM(Input!I1198&amp;""),"%","")),0)&lt;1),1,100))</f>
        <v/>
      </c>
    </row>
    <row r="1199" spans="1:8">
      <c r="A1199" t="str">
        <f>IF(TRIM(Input!B1199&amp;"")="","",UPPER(TRIM(Input!B1199&amp;"")))</f>
        <v/>
      </c>
      <c r="B1199" t="str">
        <f>IF(A1199="","",IFERROR(VALUE(RIGHT(TRIM(Input!D1199&amp;""),1)),0))</f>
        <v/>
      </c>
      <c r="C1199" t="str">
        <f t="shared" si="18"/>
        <v/>
      </c>
      <c r="D1199" t="str">
        <f>IF(A1199="","",IFERROR(VALUE(SUBSTITUTE(TRIM(Input!E1199&amp;""),"%","")),0)/IF(AND(IFERROR(VALUE(SUBSTITUTE(TRIM(Input!E1199&amp;""),"%","")),0)&gt;0,IFERROR(VALUE(SUBSTITUTE(TRIM(Input!E1199&amp;""),"%","")),0)&lt;1),1,100))</f>
        <v/>
      </c>
      <c r="E1199" t="str">
        <f>IF(A1199="","",IFERROR(VALUE(SUBSTITUTE(TRIM(Input!F1199&amp;""),"%","")),0)/IF(AND(IFERROR(VALUE(SUBSTITUTE(TRIM(Input!F1199&amp;""),"%","")),0)&gt;0,IFERROR(VALUE(SUBSTITUTE(TRIM(Input!F1199&amp;""),"%","")),0)&lt;1),1,100))</f>
        <v/>
      </c>
      <c r="F1199" t="str">
        <f>IF(A1199="","",IFERROR(VALUE(SUBSTITUTE(TRIM(Input!G1199&amp;""),"%","")),0)/IF(AND(IFERROR(VALUE(SUBSTITUTE(TRIM(Input!G1199&amp;""),"%","")),0)&gt;0,IFERROR(VALUE(SUBSTITUTE(TRIM(Input!G1199&amp;""),"%","")),0)&lt;1),1,100))</f>
        <v/>
      </c>
      <c r="G1199" t="str">
        <f>IF(A1199="","",IFERROR(VALUE(SUBSTITUTE(TRIM(Input!H1199&amp;""),"%","")),0)/IF(AND(IFERROR(VALUE(SUBSTITUTE(TRIM(Input!H1199&amp;""),"%","")),0)&gt;0,IFERROR(VALUE(SUBSTITUTE(TRIM(Input!H1199&amp;""),"%","")),0)&lt;1),1,100))</f>
        <v/>
      </c>
      <c r="H1199" t="str">
        <f>IF(A1199="","",IFERROR(VALUE(SUBSTITUTE(TRIM(Input!I1199&amp;""),"%","")),0)/IF(AND(IFERROR(VALUE(SUBSTITUTE(TRIM(Input!I1199&amp;""),"%","")),0)&gt;0,IFERROR(VALUE(SUBSTITUTE(TRIM(Input!I1199&amp;""),"%","")),0)&lt;1),1,100))</f>
        <v/>
      </c>
    </row>
    <row r="1200" spans="1:8">
      <c r="A1200" t="str">
        <f>IF(TRIM(Input!B1200&amp;"")="","",UPPER(TRIM(Input!B1200&amp;"")))</f>
        <v/>
      </c>
      <c r="B1200" t="str">
        <f>IF(A1200="","",IFERROR(VALUE(RIGHT(TRIM(Input!D1200&amp;""),1)),0))</f>
        <v/>
      </c>
      <c r="C1200" t="str">
        <f t="shared" si="18"/>
        <v/>
      </c>
      <c r="D1200" t="str">
        <f>IF(A1200="","",IFERROR(VALUE(SUBSTITUTE(TRIM(Input!E1200&amp;""),"%","")),0)/IF(AND(IFERROR(VALUE(SUBSTITUTE(TRIM(Input!E1200&amp;""),"%","")),0)&gt;0,IFERROR(VALUE(SUBSTITUTE(TRIM(Input!E1200&amp;""),"%","")),0)&lt;1),1,100))</f>
        <v/>
      </c>
      <c r="E1200" t="str">
        <f>IF(A1200="","",IFERROR(VALUE(SUBSTITUTE(TRIM(Input!F1200&amp;""),"%","")),0)/IF(AND(IFERROR(VALUE(SUBSTITUTE(TRIM(Input!F1200&amp;""),"%","")),0)&gt;0,IFERROR(VALUE(SUBSTITUTE(TRIM(Input!F1200&amp;""),"%","")),0)&lt;1),1,100))</f>
        <v/>
      </c>
      <c r="F1200" t="str">
        <f>IF(A1200="","",IFERROR(VALUE(SUBSTITUTE(TRIM(Input!G1200&amp;""),"%","")),0)/IF(AND(IFERROR(VALUE(SUBSTITUTE(TRIM(Input!G1200&amp;""),"%","")),0)&gt;0,IFERROR(VALUE(SUBSTITUTE(TRIM(Input!G1200&amp;""),"%","")),0)&lt;1),1,100))</f>
        <v/>
      </c>
      <c r="G1200" t="str">
        <f>IF(A1200="","",IFERROR(VALUE(SUBSTITUTE(TRIM(Input!H1200&amp;""),"%","")),0)/IF(AND(IFERROR(VALUE(SUBSTITUTE(TRIM(Input!H1200&amp;""),"%","")),0)&gt;0,IFERROR(VALUE(SUBSTITUTE(TRIM(Input!H1200&amp;""),"%","")),0)&lt;1),1,100))</f>
        <v/>
      </c>
      <c r="H1200" t="str">
        <f>IF(A1200="","",IFERROR(VALUE(SUBSTITUTE(TRIM(Input!I1200&amp;""),"%","")),0)/IF(AND(IFERROR(VALUE(SUBSTITUTE(TRIM(Input!I1200&amp;""),"%","")),0)&gt;0,IFERROR(VALUE(SUBSTITUTE(TRIM(Input!I1200&amp;""),"%","")),0)&lt;1),1,100))</f>
        <v/>
      </c>
    </row>
    <row r="1201" spans="1:8">
      <c r="A1201" t="str">
        <f>IF(TRIM(Input!B1201&amp;"")="","",UPPER(TRIM(Input!B1201&amp;"")))</f>
        <v/>
      </c>
      <c r="B1201" t="str">
        <f>IF(A1201="","",IFERROR(VALUE(RIGHT(TRIM(Input!D1201&amp;""),1)),0))</f>
        <v/>
      </c>
      <c r="C1201" t="str">
        <f t="shared" si="18"/>
        <v/>
      </c>
      <c r="D1201" t="str">
        <f>IF(A1201="","",IFERROR(VALUE(SUBSTITUTE(TRIM(Input!E1201&amp;""),"%","")),0)/IF(AND(IFERROR(VALUE(SUBSTITUTE(TRIM(Input!E1201&amp;""),"%","")),0)&gt;0,IFERROR(VALUE(SUBSTITUTE(TRIM(Input!E1201&amp;""),"%","")),0)&lt;1),1,100))</f>
        <v/>
      </c>
      <c r="E1201" t="str">
        <f>IF(A1201="","",IFERROR(VALUE(SUBSTITUTE(TRIM(Input!F1201&amp;""),"%","")),0)/IF(AND(IFERROR(VALUE(SUBSTITUTE(TRIM(Input!F1201&amp;""),"%","")),0)&gt;0,IFERROR(VALUE(SUBSTITUTE(TRIM(Input!F1201&amp;""),"%","")),0)&lt;1),1,100))</f>
        <v/>
      </c>
      <c r="F1201" t="str">
        <f>IF(A1201="","",IFERROR(VALUE(SUBSTITUTE(TRIM(Input!G1201&amp;""),"%","")),0)/IF(AND(IFERROR(VALUE(SUBSTITUTE(TRIM(Input!G1201&amp;""),"%","")),0)&gt;0,IFERROR(VALUE(SUBSTITUTE(TRIM(Input!G1201&amp;""),"%","")),0)&lt;1),1,100))</f>
        <v/>
      </c>
      <c r="G1201" t="str">
        <f>IF(A1201="","",IFERROR(VALUE(SUBSTITUTE(TRIM(Input!H1201&amp;""),"%","")),0)/IF(AND(IFERROR(VALUE(SUBSTITUTE(TRIM(Input!H1201&amp;""),"%","")),0)&gt;0,IFERROR(VALUE(SUBSTITUTE(TRIM(Input!H1201&amp;""),"%","")),0)&lt;1),1,100))</f>
        <v/>
      </c>
      <c r="H1201" t="str">
        <f>IF(A1201="","",IFERROR(VALUE(SUBSTITUTE(TRIM(Input!I1201&amp;""),"%","")),0)/IF(AND(IFERROR(VALUE(SUBSTITUTE(TRIM(Input!I1201&amp;""),"%","")),0)&gt;0,IFERROR(VALUE(SUBSTITUTE(TRIM(Input!I1201&amp;""),"%","")),0)&lt;1),1,100))</f>
        <v/>
      </c>
    </row>
    <row r="1202" spans="1:8">
      <c r="A1202" t="str">
        <f>IF(TRIM(Input!B1202&amp;"")="","",UPPER(TRIM(Input!B1202&amp;"")))</f>
        <v/>
      </c>
      <c r="B1202" t="str">
        <f>IF(A1202="","",IFERROR(VALUE(RIGHT(TRIM(Input!D1202&amp;""),1)),0))</f>
        <v/>
      </c>
      <c r="C1202" t="str">
        <f t="shared" si="18"/>
        <v/>
      </c>
      <c r="D1202" t="str">
        <f>IF(A1202="","",IFERROR(VALUE(SUBSTITUTE(TRIM(Input!E1202&amp;""),"%","")),0)/IF(AND(IFERROR(VALUE(SUBSTITUTE(TRIM(Input!E1202&amp;""),"%","")),0)&gt;0,IFERROR(VALUE(SUBSTITUTE(TRIM(Input!E1202&amp;""),"%","")),0)&lt;1),1,100))</f>
        <v/>
      </c>
      <c r="E1202" t="str">
        <f>IF(A1202="","",IFERROR(VALUE(SUBSTITUTE(TRIM(Input!F1202&amp;""),"%","")),0)/IF(AND(IFERROR(VALUE(SUBSTITUTE(TRIM(Input!F1202&amp;""),"%","")),0)&gt;0,IFERROR(VALUE(SUBSTITUTE(TRIM(Input!F1202&amp;""),"%","")),0)&lt;1),1,100))</f>
        <v/>
      </c>
      <c r="F1202" t="str">
        <f>IF(A1202="","",IFERROR(VALUE(SUBSTITUTE(TRIM(Input!G1202&amp;""),"%","")),0)/IF(AND(IFERROR(VALUE(SUBSTITUTE(TRIM(Input!G1202&amp;""),"%","")),0)&gt;0,IFERROR(VALUE(SUBSTITUTE(TRIM(Input!G1202&amp;""),"%","")),0)&lt;1),1,100))</f>
        <v/>
      </c>
      <c r="G1202" t="str">
        <f>IF(A1202="","",IFERROR(VALUE(SUBSTITUTE(TRIM(Input!H1202&amp;""),"%","")),0)/IF(AND(IFERROR(VALUE(SUBSTITUTE(TRIM(Input!H1202&amp;""),"%","")),0)&gt;0,IFERROR(VALUE(SUBSTITUTE(TRIM(Input!H1202&amp;""),"%","")),0)&lt;1),1,100))</f>
        <v/>
      </c>
      <c r="H1202" t="str">
        <f>IF(A1202="","",IFERROR(VALUE(SUBSTITUTE(TRIM(Input!I1202&amp;""),"%","")),0)/IF(AND(IFERROR(VALUE(SUBSTITUTE(TRIM(Input!I1202&amp;""),"%","")),0)&gt;0,IFERROR(VALUE(SUBSTITUTE(TRIM(Input!I1202&amp;""),"%","")),0)&lt;1),1,100))</f>
        <v/>
      </c>
    </row>
    <row r="1203" spans="1:8">
      <c r="A1203" t="str">
        <f>IF(TRIM(Input!B1203&amp;"")="","",UPPER(TRIM(Input!B1203&amp;"")))</f>
        <v/>
      </c>
      <c r="B1203" t="str">
        <f>IF(A1203="","",IFERROR(VALUE(RIGHT(TRIM(Input!D1203&amp;""),1)),0))</f>
        <v/>
      </c>
      <c r="C1203" t="str">
        <f t="shared" si="18"/>
        <v/>
      </c>
      <c r="D1203" t="str">
        <f>IF(A1203="","",IFERROR(VALUE(SUBSTITUTE(TRIM(Input!E1203&amp;""),"%","")),0)/IF(AND(IFERROR(VALUE(SUBSTITUTE(TRIM(Input!E1203&amp;""),"%","")),0)&gt;0,IFERROR(VALUE(SUBSTITUTE(TRIM(Input!E1203&amp;""),"%","")),0)&lt;1),1,100))</f>
        <v/>
      </c>
      <c r="E1203" t="str">
        <f>IF(A1203="","",IFERROR(VALUE(SUBSTITUTE(TRIM(Input!F1203&amp;""),"%","")),0)/IF(AND(IFERROR(VALUE(SUBSTITUTE(TRIM(Input!F1203&amp;""),"%","")),0)&gt;0,IFERROR(VALUE(SUBSTITUTE(TRIM(Input!F1203&amp;""),"%","")),0)&lt;1),1,100))</f>
        <v/>
      </c>
      <c r="F1203" t="str">
        <f>IF(A1203="","",IFERROR(VALUE(SUBSTITUTE(TRIM(Input!G1203&amp;""),"%","")),0)/IF(AND(IFERROR(VALUE(SUBSTITUTE(TRIM(Input!G1203&amp;""),"%","")),0)&gt;0,IFERROR(VALUE(SUBSTITUTE(TRIM(Input!G1203&amp;""),"%","")),0)&lt;1),1,100))</f>
        <v/>
      </c>
      <c r="G1203" t="str">
        <f>IF(A1203="","",IFERROR(VALUE(SUBSTITUTE(TRIM(Input!H1203&amp;""),"%","")),0)/IF(AND(IFERROR(VALUE(SUBSTITUTE(TRIM(Input!H1203&amp;""),"%","")),0)&gt;0,IFERROR(VALUE(SUBSTITUTE(TRIM(Input!H1203&amp;""),"%","")),0)&lt;1),1,100))</f>
        <v/>
      </c>
      <c r="H1203" t="str">
        <f>IF(A1203="","",IFERROR(VALUE(SUBSTITUTE(TRIM(Input!I1203&amp;""),"%","")),0)/IF(AND(IFERROR(VALUE(SUBSTITUTE(TRIM(Input!I1203&amp;""),"%","")),0)&gt;0,IFERROR(VALUE(SUBSTITUTE(TRIM(Input!I1203&amp;""),"%","")),0)&lt;1),1,100))</f>
        <v/>
      </c>
    </row>
    <row r="1204" spans="1:8">
      <c r="A1204" t="str">
        <f>IF(TRIM(Input!B1204&amp;"")="","",UPPER(TRIM(Input!B1204&amp;"")))</f>
        <v/>
      </c>
      <c r="B1204" t="str">
        <f>IF(A1204="","",IFERROR(VALUE(RIGHT(TRIM(Input!D1204&amp;""),1)),0))</f>
        <v/>
      </c>
      <c r="C1204" t="str">
        <f t="shared" si="18"/>
        <v/>
      </c>
      <c r="D1204" t="str">
        <f>IF(A1204="","",IFERROR(VALUE(SUBSTITUTE(TRIM(Input!E1204&amp;""),"%","")),0)/IF(AND(IFERROR(VALUE(SUBSTITUTE(TRIM(Input!E1204&amp;""),"%","")),0)&gt;0,IFERROR(VALUE(SUBSTITUTE(TRIM(Input!E1204&amp;""),"%","")),0)&lt;1),1,100))</f>
        <v/>
      </c>
      <c r="E1204" t="str">
        <f>IF(A1204="","",IFERROR(VALUE(SUBSTITUTE(TRIM(Input!F1204&amp;""),"%","")),0)/IF(AND(IFERROR(VALUE(SUBSTITUTE(TRIM(Input!F1204&amp;""),"%","")),0)&gt;0,IFERROR(VALUE(SUBSTITUTE(TRIM(Input!F1204&amp;""),"%","")),0)&lt;1),1,100))</f>
        <v/>
      </c>
      <c r="F1204" t="str">
        <f>IF(A1204="","",IFERROR(VALUE(SUBSTITUTE(TRIM(Input!G1204&amp;""),"%","")),0)/IF(AND(IFERROR(VALUE(SUBSTITUTE(TRIM(Input!G1204&amp;""),"%","")),0)&gt;0,IFERROR(VALUE(SUBSTITUTE(TRIM(Input!G1204&amp;""),"%","")),0)&lt;1),1,100))</f>
        <v/>
      </c>
      <c r="G1204" t="str">
        <f>IF(A1204="","",IFERROR(VALUE(SUBSTITUTE(TRIM(Input!H1204&amp;""),"%","")),0)/IF(AND(IFERROR(VALUE(SUBSTITUTE(TRIM(Input!H1204&amp;""),"%","")),0)&gt;0,IFERROR(VALUE(SUBSTITUTE(TRIM(Input!H1204&amp;""),"%","")),0)&lt;1),1,100))</f>
        <v/>
      </c>
      <c r="H1204" t="str">
        <f>IF(A1204="","",IFERROR(VALUE(SUBSTITUTE(TRIM(Input!I1204&amp;""),"%","")),0)/IF(AND(IFERROR(VALUE(SUBSTITUTE(TRIM(Input!I1204&amp;""),"%","")),0)&gt;0,IFERROR(VALUE(SUBSTITUTE(TRIM(Input!I1204&amp;""),"%","")),0)&lt;1),1,100))</f>
        <v/>
      </c>
    </row>
    <row r="1205" spans="1:8">
      <c r="A1205" t="str">
        <f>IF(TRIM(Input!B1205&amp;"")="","",UPPER(TRIM(Input!B1205&amp;"")))</f>
        <v/>
      </c>
      <c r="B1205" t="str">
        <f>IF(A1205="","",IFERROR(VALUE(RIGHT(TRIM(Input!D1205&amp;""),1)),0))</f>
        <v/>
      </c>
      <c r="C1205" t="str">
        <f t="shared" si="18"/>
        <v/>
      </c>
      <c r="D1205" t="str">
        <f>IF(A1205="","",IFERROR(VALUE(SUBSTITUTE(TRIM(Input!E1205&amp;""),"%","")),0)/IF(AND(IFERROR(VALUE(SUBSTITUTE(TRIM(Input!E1205&amp;""),"%","")),0)&gt;0,IFERROR(VALUE(SUBSTITUTE(TRIM(Input!E1205&amp;""),"%","")),0)&lt;1),1,100))</f>
        <v/>
      </c>
      <c r="E1205" t="str">
        <f>IF(A1205="","",IFERROR(VALUE(SUBSTITUTE(TRIM(Input!F1205&amp;""),"%","")),0)/IF(AND(IFERROR(VALUE(SUBSTITUTE(TRIM(Input!F1205&amp;""),"%","")),0)&gt;0,IFERROR(VALUE(SUBSTITUTE(TRIM(Input!F1205&amp;""),"%","")),0)&lt;1),1,100))</f>
        <v/>
      </c>
      <c r="F1205" t="str">
        <f>IF(A1205="","",IFERROR(VALUE(SUBSTITUTE(TRIM(Input!G1205&amp;""),"%","")),0)/IF(AND(IFERROR(VALUE(SUBSTITUTE(TRIM(Input!G1205&amp;""),"%","")),0)&gt;0,IFERROR(VALUE(SUBSTITUTE(TRIM(Input!G1205&amp;""),"%","")),0)&lt;1),1,100))</f>
        <v/>
      </c>
      <c r="G1205" t="str">
        <f>IF(A1205="","",IFERROR(VALUE(SUBSTITUTE(TRIM(Input!H1205&amp;""),"%","")),0)/IF(AND(IFERROR(VALUE(SUBSTITUTE(TRIM(Input!H1205&amp;""),"%","")),0)&gt;0,IFERROR(VALUE(SUBSTITUTE(TRIM(Input!H1205&amp;""),"%","")),0)&lt;1),1,100))</f>
        <v/>
      </c>
      <c r="H1205" t="str">
        <f>IF(A1205="","",IFERROR(VALUE(SUBSTITUTE(TRIM(Input!I1205&amp;""),"%","")),0)/IF(AND(IFERROR(VALUE(SUBSTITUTE(TRIM(Input!I1205&amp;""),"%","")),0)&gt;0,IFERROR(VALUE(SUBSTITUTE(TRIM(Input!I1205&amp;""),"%","")),0)&lt;1),1,100))</f>
        <v/>
      </c>
    </row>
    <row r="1206" spans="1:8">
      <c r="A1206" t="str">
        <f>IF(TRIM(Input!B1206&amp;"")="","",UPPER(TRIM(Input!B1206&amp;"")))</f>
        <v/>
      </c>
      <c r="B1206" t="str">
        <f>IF(A1206="","",IFERROR(VALUE(RIGHT(TRIM(Input!D1206&amp;""),1)),0))</f>
        <v/>
      </c>
      <c r="C1206" t="str">
        <f t="shared" si="18"/>
        <v/>
      </c>
      <c r="D1206" t="str">
        <f>IF(A1206="","",IFERROR(VALUE(SUBSTITUTE(TRIM(Input!E1206&amp;""),"%","")),0)/IF(AND(IFERROR(VALUE(SUBSTITUTE(TRIM(Input!E1206&amp;""),"%","")),0)&gt;0,IFERROR(VALUE(SUBSTITUTE(TRIM(Input!E1206&amp;""),"%","")),0)&lt;1),1,100))</f>
        <v/>
      </c>
      <c r="E1206" t="str">
        <f>IF(A1206="","",IFERROR(VALUE(SUBSTITUTE(TRIM(Input!F1206&amp;""),"%","")),0)/IF(AND(IFERROR(VALUE(SUBSTITUTE(TRIM(Input!F1206&amp;""),"%","")),0)&gt;0,IFERROR(VALUE(SUBSTITUTE(TRIM(Input!F1206&amp;""),"%","")),0)&lt;1),1,100))</f>
        <v/>
      </c>
      <c r="F1206" t="str">
        <f>IF(A1206="","",IFERROR(VALUE(SUBSTITUTE(TRIM(Input!G1206&amp;""),"%","")),0)/IF(AND(IFERROR(VALUE(SUBSTITUTE(TRIM(Input!G1206&amp;""),"%","")),0)&gt;0,IFERROR(VALUE(SUBSTITUTE(TRIM(Input!G1206&amp;""),"%","")),0)&lt;1),1,100))</f>
        <v/>
      </c>
      <c r="G1206" t="str">
        <f>IF(A1206="","",IFERROR(VALUE(SUBSTITUTE(TRIM(Input!H1206&amp;""),"%","")),0)/IF(AND(IFERROR(VALUE(SUBSTITUTE(TRIM(Input!H1206&amp;""),"%","")),0)&gt;0,IFERROR(VALUE(SUBSTITUTE(TRIM(Input!H1206&amp;""),"%","")),0)&lt;1),1,100))</f>
        <v/>
      </c>
      <c r="H1206" t="str">
        <f>IF(A1206="","",IFERROR(VALUE(SUBSTITUTE(TRIM(Input!I1206&amp;""),"%","")),0)/IF(AND(IFERROR(VALUE(SUBSTITUTE(TRIM(Input!I1206&amp;""),"%","")),0)&gt;0,IFERROR(VALUE(SUBSTITUTE(TRIM(Input!I1206&amp;""),"%","")),0)&lt;1),1,100))</f>
        <v/>
      </c>
    </row>
    <row r="1207" spans="1:8">
      <c r="A1207" t="str">
        <f>IF(TRIM(Input!B1207&amp;"")="","",UPPER(TRIM(Input!B1207&amp;"")))</f>
        <v/>
      </c>
      <c r="B1207" t="str">
        <f>IF(A1207="","",IFERROR(VALUE(RIGHT(TRIM(Input!D1207&amp;""),1)),0))</f>
        <v/>
      </c>
      <c r="C1207" t="str">
        <f t="shared" si="18"/>
        <v/>
      </c>
      <c r="D1207" t="str">
        <f>IF(A1207="","",IFERROR(VALUE(SUBSTITUTE(TRIM(Input!E1207&amp;""),"%","")),0)/IF(AND(IFERROR(VALUE(SUBSTITUTE(TRIM(Input!E1207&amp;""),"%","")),0)&gt;0,IFERROR(VALUE(SUBSTITUTE(TRIM(Input!E1207&amp;""),"%","")),0)&lt;1),1,100))</f>
        <v/>
      </c>
      <c r="E1207" t="str">
        <f>IF(A1207="","",IFERROR(VALUE(SUBSTITUTE(TRIM(Input!F1207&amp;""),"%","")),0)/IF(AND(IFERROR(VALUE(SUBSTITUTE(TRIM(Input!F1207&amp;""),"%","")),0)&gt;0,IFERROR(VALUE(SUBSTITUTE(TRIM(Input!F1207&amp;""),"%","")),0)&lt;1),1,100))</f>
        <v/>
      </c>
      <c r="F1207" t="str">
        <f>IF(A1207="","",IFERROR(VALUE(SUBSTITUTE(TRIM(Input!G1207&amp;""),"%","")),0)/IF(AND(IFERROR(VALUE(SUBSTITUTE(TRIM(Input!G1207&amp;""),"%","")),0)&gt;0,IFERROR(VALUE(SUBSTITUTE(TRIM(Input!G1207&amp;""),"%","")),0)&lt;1),1,100))</f>
        <v/>
      </c>
      <c r="G1207" t="str">
        <f>IF(A1207="","",IFERROR(VALUE(SUBSTITUTE(TRIM(Input!H1207&amp;""),"%","")),0)/IF(AND(IFERROR(VALUE(SUBSTITUTE(TRIM(Input!H1207&amp;""),"%","")),0)&gt;0,IFERROR(VALUE(SUBSTITUTE(TRIM(Input!H1207&amp;""),"%","")),0)&lt;1),1,100))</f>
        <v/>
      </c>
      <c r="H1207" t="str">
        <f>IF(A1207="","",IFERROR(VALUE(SUBSTITUTE(TRIM(Input!I1207&amp;""),"%","")),0)/IF(AND(IFERROR(VALUE(SUBSTITUTE(TRIM(Input!I1207&amp;""),"%","")),0)&gt;0,IFERROR(VALUE(SUBSTITUTE(TRIM(Input!I1207&amp;""),"%","")),0)&lt;1),1,100))</f>
        <v/>
      </c>
    </row>
    <row r="1208" spans="1:8">
      <c r="A1208" t="str">
        <f>IF(TRIM(Input!B1208&amp;"")="","",UPPER(TRIM(Input!B1208&amp;"")))</f>
        <v/>
      </c>
      <c r="B1208" t="str">
        <f>IF(A1208="","",IFERROR(VALUE(RIGHT(TRIM(Input!D1208&amp;""),1)),0))</f>
        <v/>
      </c>
      <c r="C1208" t="str">
        <f t="shared" si="18"/>
        <v/>
      </c>
      <c r="D1208" t="str">
        <f>IF(A1208="","",IFERROR(VALUE(SUBSTITUTE(TRIM(Input!E1208&amp;""),"%","")),0)/IF(AND(IFERROR(VALUE(SUBSTITUTE(TRIM(Input!E1208&amp;""),"%","")),0)&gt;0,IFERROR(VALUE(SUBSTITUTE(TRIM(Input!E1208&amp;""),"%","")),0)&lt;1),1,100))</f>
        <v/>
      </c>
      <c r="E1208" t="str">
        <f>IF(A1208="","",IFERROR(VALUE(SUBSTITUTE(TRIM(Input!F1208&amp;""),"%","")),0)/IF(AND(IFERROR(VALUE(SUBSTITUTE(TRIM(Input!F1208&amp;""),"%","")),0)&gt;0,IFERROR(VALUE(SUBSTITUTE(TRIM(Input!F1208&amp;""),"%","")),0)&lt;1),1,100))</f>
        <v/>
      </c>
      <c r="F1208" t="str">
        <f>IF(A1208="","",IFERROR(VALUE(SUBSTITUTE(TRIM(Input!G1208&amp;""),"%","")),0)/IF(AND(IFERROR(VALUE(SUBSTITUTE(TRIM(Input!G1208&amp;""),"%","")),0)&gt;0,IFERROR(VALUE(SUBSTITUTE(TRIM(Input!G1208&amp;""),"%","")),0)&lt;1),1,100))</f>
        <v/>
      </c>
      <c r="G1208" t="str">
        <f>IF(A1208="","",IFERROR(VALUE(SUBSTITUTE(TRIM(Input!H1208&amp;""),"%","")),0)/IF(AND(IFERROR(VALUE(SUBSTITUTE(TRIM(Input!H1208&amp;""),"%","")),0)&gt;0,IFERROR(VALUE(SUBSTITUTE(TRIM(Input!H1208&amp;""),"%","")),0)&lt;1),1,100))</f>
        <v/>
      </c>
      <c r="H1208" t="str">
        <f>IF(A1208="","",IFERROR(VALUE(SUBSTITUTE(TRIM(Input!I1208&amp;""),"%","")),0)/IF(AND(IFERROR(VALUE(SUBSTITUTE(TRIM(Input!I1208&amp;""),"%","")),0)&gt;0,IFERROR(VALUE(SUBSTITUTE(TRIM(Input!I1208&amp;""),"%","")),0)&lt;1),1,100))</f>
        <v/>
      </c>
    </row>
    <row r="1209" spans="1:8">
      <c r="A1209" t="str">
        <f>IF(TRIM(Input!B1209&amp;"")="","",UPPER(TRIM(Input!B1209&amp;"")))</f>
        <v/>
      </c>
      <c r="B1209" t="str">
        <f>IF(A1209="","",IFERROR(VALUE(RIGHT(TRIM(Input!D1209&amp;""),1)),0))</f>
        <v/>
      </c>
      <c r="C1209" t="str">
        <f t="shared" si="18"/>
        <v/>
      </c>
      <c r="D1209" t="str">
        <f>IF(A1209="","",IFERROR(VALUE(SUBSTITUTE(TRIM(Input!E1209&amp;""),"%","")),0)/IF(AND(IFERROR(VALUE(SUBSTITUTE(TRIM(Input!E1209&amp;""),"%","")),0)&gt;0,IFERROR(VALUE(SUBSTITUTE(TRIM(Input!E1209&amp;""),"%","")),0)&lt;1),1,100))</f>
        <v/>
      </c>
      <c r="E1209" t="str">
        <f>IF(A1209="","",IFERROR(VALUE(SUBSTITUTE(TRIM(Input!F1209&amp;""),"%","")),0)/IF(AND(IFERROR(VALUE(SUBSTITUTE(TRIM(Input!F1209&amp;""),"%","")),0)&gt;0,IFERROR(VALUE(SUBSTITUTE(TRIM(Input!F1209&amp;""),"%","")),0)&lt;1),1,100))</f>
        <v/>
      </c>
      <c r="F1209" t="str">
        <f>IF(A1209="","",IFERROR(VALUE(SUBSTITUTE(TRIM(Input!G1209&amp;""),"%","")),0)/IF(AND(IFERROR(VALUE(SUBSTITUTE(TRIM(Input!G1209&amp;""),"%","")),0)&gt;0,IFERROR(VALUE(SUBSTITUTE(TRIM(Input!G1209&amp;""),"%","")),0)&lt;1),1,100))</f>
        <v/>
      </c>
      <c r="G1209" t="str">
        <f>IF(A1209="","",IFERROR(VALUE(SUBSTITUTE(TRIM(Input!H1209&amp;""),"%","")),0)/IF(AND(IFERROR(VALUE(SUBSTITUTE(TRIM(Input!H1209&amp;""),"%","")),0)&gt;0,IFERROR(VALUE(SUBSTITUTE(TRIM(Input!H1209&amp;""),"%","")),0)&lt;1),1,100))</f>
        <v/>
      </c>
      <c r="H1209" t="str">
        <f>IF(A1209="","",IFERROR(VALUE(SUBSTITUTE(TRIM(Input!I1209&amp;""),"%","")),0)/IF(AND(IFERROR(VALUE(SUBSTITUTE(TRIM(Input!I1209&amp;""),"%","")),0)&gt;0,IFERROR(VALUE(SUBSTITUTE(TRIM(Input!I1209&amp;""),"%","")),0)&lt;1),1,100))</f>
        <v/>
      </c>
    </row>
    <row r="1210" spans="1:8">
      <c r="A1210" t="str">
        <f>IF(TRIM(Input!B1210&amp;"")="","",UPPER(TRIM(Input!B1210&amp;"")))</f>
        <v/>
      </c>
      <c r="B1210" t="str">
        <f>IF(A1210="","",IFERROR(VALUE(RIGHT(TRIM(Input!D1210&amp;""),1)),0))</f>
        <v/>
      </c>
      <c r="C1210" t="str">
        <f t="shared" si="18"/>
        <v/>
      </c>
      <c r="D1210" t="str">
        <f>IF(A1210="","",IFERROR(VALUE(SUBSTITUTE(TRIM(Input!E1210&amp;""),"%","")),0)/IF(AND(IFERROR(VALUE(SUBSTITUTE(TRIM(Input!E1210&amp;""),"%","")),0)&gt;0,IFERROR(VALUE(SUBSTITUTE(TRIM(Input!E1210&amp;""),"%","")),0)&lt;1),1,100))</f>
        <v/>
      </c>
      <c r="E1210" t="str">
        <f>IF(A1210="","",IFERROR(VALUE(SUBSTITUTE(TRIM(Input!F1210&amp;""),"%","")),0)/IF(AND(IFERROR(VALUE(SUBSTITUTE(TRIM(Input!F1210&amp;""),"%","")),0)&gt;0,IFERROR(VALUE(SUBSTITUTE(TRIM(Input!F1210&amp;""),"%","")),0)&lt;1),1,100))</f>
        <v/>
      </c>
      <c r="F1210" t="str">
        <f>IF(A1210="","",IFERROR(VALUE(SUBSTITUTE(TRIM(Input!G1210&amp;""),"%","")),0)/IF(AND(IFERROR(VALUE(SUBSTITUTE(TRIM(Input!G1210&amp;""),"%","")),0)&gt;0,IFERROR(VALUE(SUBSTITUTE(TRIM(Input!G1210&amp;""),"%","")),0)&lt;1),1,100))</f>
        <v/>
      </c>
      <c r="G1210" t="str">
        <f>IF(A1210="","",IFERROR(VALUE(SUBSTITUTE(TRIM(Input!H1210&amp;""),"%","")),0)/IF(AND(IFERROR(VALUE(SUBSTITUTE(TRIM(Input!H1210&amp;""),"%","")),0)&gt;0,IFERROR(VALUE(SUBSTITUTE(TRIM(Input!H1210&amp;""),"%","")),0)&lt;1),1,100))</f>
        <v/>
      </c>
      <c r="H1210" t="str">
        <f>IF(A1210="","",IFERROR(VALUE(SUBSTITUTE(TRIM(Input!I1210&amp;""),"%","")),0)/IF(AND(IFERROR(VALUE(SUBSTITUTE(TRIM(Input!I1210&amp;""),"%","")),0)&gt;0,IFERROR(VALUE(SUBSTITUTE(TRIM(Input!I1210&amp;""),"%","")),0)&lt;1),1,100))</f>
        <v/>
      </c>
    </row>
    <row r="1211" spans="1:8">
      <c r="A1211" t="str">
        <f>IF(TRIM(Input!B1211&amp;"")="","",UPPER(TRIM(Input!B1211&amp;"")))</f>
        <v/>
      </c>
      <c r="B1211" t="str">
        <f>IF(A1211="","",IFERROR(VALUE(RIGHT(TRIM(Input!D1211&amp;""),1)),0))</f>
        <v/>
      </c>
      <c r="C1211" t="str">
        <f t="shared" si="18"/>
        <v/>
      </c>
      <c r="D1211" t="str">
        <f>IF(A1211="","",IFERROR(VALUE(SUBSTITUTE(TRIM(Input!E1211&amp;""),"%","")),0)/IF(AND(IFERROR(VALUE(SUBSTITUTE(TRIM(Input!E1211&amp;""),"%","")),0)&gt;0,IFERROR(VALUE(SUBSTITUTE(TRIM(Input!E1211&amp;""),"%","")),0)&lt;1),1,100))</f>
        <v/>
      </c>
      <c r="E1211" t="str">
        <f>IF(A1211="","",IFERROR(VALUE(SUBSTITUTE(TRIM(Input!F1211&amp;""),"%","")),0)/IF(AND(IFERROR(VALUE(SUBSTITUTE(TRIM(Input!F1211&amp;""),"%","")),0)&gt;0,IFERROR(VALUE(SUBSTITUTE(TRIM(Input!F1211&amp;""),"%","")),0)&lt;1),1,100))</f>
        <v/>
      </c>
      <c r="F1211" t="str">
        <f>IF(A1211="","",IFERROR(VALUE(SUBSTITUTE(TRIM(Input!G1211&amp;""),"%","")),0)/IF(AND(IFERROR(VALUE(SUBSTITUTE(TRIM(Input!G1211&amp;""),"%","")),0)&gt;0,IFERROR(VALUE(SUBSTITUTE(TRIM(Input!G1211&amp;""),"%","")),0)&lt;1),1,100))</f>
        <v/>
      </c>
      <c r="G1211" t="str">
        <f>IF(A1211="","",IFERROR(VALUE(SUBSTITUTE(TRIM(Input!H1211&amp;""),"%","")),0)/IF(AND(IFERROR(VALUE(SUBSTITUTE(TRIM(Input!H1211&amp;""),"%","")),0)&gt;0,IFERROR(VALUE(SUBSTITUTE(TRIM(Input!H1211&amp;""),"%","")),0)&lt;1),1,100))</f>
        <v/>
      </c>
      <c r="H1211" t="str">
        <f>IF(A1211="","",IFERROR(VALUE(SUBSTITUTE(TRIM(Input!I1211&amp;""),"%","")),0)/IF(AND(IFERROR(VALUE(SUBSTITUTE(TRIM(Input!I1211&amp;""),"%","")),0)&gt;0,IFERROR(VALUE(SUBSTITUTE(TRIM(Input!I1211&amp;""),"%","")),0)&lt;1),1,100))</f>
        <v/>
      </c>
    </row>
    <row r="1212" spans="1:8">
      <c r="A1212" t="str">
        <f>IF(TRIM(Input!B1212&amp;"")="","",UPPER(TRIM(Input!B1212&amp;"")))</f>
        <v/>
      </c>
      <c r="B1212" t="str">
        <f>IF(A1212="","",IFERROR(VALUE(RIGHT(TRIM(Input!D1212&amp;""),1)),0))</f>
        <v/>
      </c>
      <c r="C1212" t="str">
        <f t="shared" si="18"/>
        <v/>
      </c>
      <c r="D1212" t="str">
        <f>IF(A1212="","",IFERROR(VALUE(SUBSTITUTE(TRIM(Input!E1212&amp;""),"%","")),0)/IF(AND(IFERROR(VALUE(SUBSTITUTE(TRIM(Input!E1212&amp;""),"%","")),0)&gt;0,IFERROR(VALUE(SUBSTITUTE(TRIM(Input!E1212&amp;""),"%","")),0)&lt;1),1,100))</f>
        <v/>
      </c>
      <c r="E1212" t="str">
        <f>IF(A1212="","",IFERROR(VALUE(SUBSTITUTE(TRIM(Input!F1212&amp;""),"%","")),0)/IF(AND(IFERROR(VALUE(SUBSTITUTE(TRIM(Input!F1212&amp;""),"%","")),0)&gt;0,IFERROR(VALUE(SUBSTITUTE(TRIM(Input!F1212&amp;""),"%","")),0)&lt;1),1,100))</f>
        <v/>
      </c>
      <c r="F1212" t="str">
        <f>IF(A1212="","",IFERROR(VALUE(SUBSTITUTE(TRIM(Input!G1212&amp;""),"%","")),0)/IF(AND(IFERROR(VALUE(SUBSTITUTE(TRIM(Input!G1212&amp;""),"%","")),0)&gt;0,IFERROR(VALUE(SUBSTITUTE(TRIM(Input!G1212&amp;""),"%","")),0)&lt;1),1,100))</f>
        <v/>
      </c>
      <c r="G1212" t="str">
        <f>IF(A1212="","",IFERROR(VALUE(SUBSTITUTE(TRIM(Input!H1212&amp;""),"%","")),0)/IF(AND(IFERROR(VALUE(SUBSTITUTE(TRIM(Input!H1212&amp;""),"%","")),0)&gt;0,IFERROR(VALUE(SUBSTITUTE(TRIM(Input!H1212&amp;""),"%","")),0)&lt;1),1,100))</f>
        <v/>
      </c>
      <c r="H1212" t="str">
        <f>IF(A1212="","",IFERROR(VALUE(SUBSTITUTE(TRIM(Input!I1212&amp;""),"%","")),0)/IF(AND(IFERROR(VALUE(SUBSTITUTE(TRIM(Input!I1212&amp;""),"%","")),0)&gt;0,IFERROR(VALUE(SUBSTITUTE(TRIM(Input!I1212&amp;""),"%","")),0)&lt;1),1,100))</f>
        <v/>
      </c>
    </row>
    <row r="1213" spans="1:8">
      <c r="A1213" t="str">
        <f>IF(TRIM(Input!B1213&amp;"")="","",UPPER(TRIM(Input!B1213&amp;"")))</f>
        <v/>
      </c>
      <c r="B1213" t="str">
        <f>IF(A1213="","",IFERROR(VALUE(RIGHT(TRIM(Input!D1213&amp;""),1)),0))</f>
        <v/>
      </c>
      <c r="C1213" t="str">
        <f t="shared" si="18"/>
        <v/>
      </c>
      <c r="D1213" t="str">
        <f>IF(A1213="","",IFERROR(VALUE(SUBSTITUTE(TRIM(Input!E1213&amp;""),"%","")),0)/IF(AND(IFERROR(VALUE(SUBSTITUTE(TRIM(Input!E1213&amp;""),"%","")),0)&gt;0,IFERROR(VALUE(SUBSTITUTE(TRIM(Input!E1213&amp;""),"%","")),0)&lt;1),1,100))</f>
        <v/>
      </c>
      <c r="E1213" t="str">
        <f>IF(A1213="","",IFERROR(VALUE(SUBSTITUTE(TRIM(Input!F1213&amp;""),"%","")),0)/IF(AND(IFERROR(VALUE(SUBSTITUTE(TRIM(Input!F1213&amp;""),"%","")),0)&gt;0,IFERROR(VALUE(SUBSTITUTE(TRIM(Input!F1213&amp;""),"%","")),0)&lt;1),1,100))</f>
        <v/>
      </c>
      <c r="F1213" t="str">
        <f>IF(A1213="","",IFERROR(VALUE(SUBSTITUTE(TRIM(Input!G1213&amp;""),"%","")),0)/IF(AND(IFERROR(VALUE(SUBSTITUTE(TRIM(Input!G1213&amp;""),"%","")),0)&gt;0,IFERROR(VALUE(SUBSTITUTE(TRIM(Input!G1213&amp;""),"%","")),0)&lt;1),1,100))</f>
        <v/>
      </c>
      <c r="G1213" t="str">
        <f>IF(A1213="","",IFERROR(VALUE(SUBSTITUTE(TRIM(Input!H1213&amp;""),"%","")),0)/IF(AND(IFERROR(VALUE(SUBSTITUTE(TRIM(Input!H1213&amp;""),"%","")),0)&gt;0,IFERROR(VALUE(SUBSTITUTE(TRIM(Input!H1213&amp;""),"%","")),0)&lt;1),1,100))</f>
        <v/>
      </c>
      <c r="H1213" t="str">
        <f>IF(A1213="","",IFERROR(VALUE(SUBSTITUTE(TRIM(Input!I1213&amp;""),"%","")),0)/IF(AND(IFERROR(VALUE(SUBSTITUTE(TRIM(Input!I1213&amp;""),"%","")),0)&gt;0,IFERROR(VALUE(SUBSTITUTE(TRIM(Input!I1213&amp;""),"%","")),0)&lt;1),1,100))</f>
        <v/>
      </c>
    </row>
    <row r="1214" spans="1:8">
      <c r="A1214" t="str">
        <f>IF(TRIM(Input!B1214&amp;"")="","",UPPER(TRIM(Input!B1214&amp;"")))</f>
        <v/>
      </c>
      <c r="B1214" t="str">
        <f>IF(A1214="","",IFERROR(VALUE(RIGHT(TRIM(Input!D1214&amp;""),1)),0))</f>
        <v/>
      </c>
      <c r="C1214" t="str">
        <f t="shared" si="18"/>
        <v/>
      </c>
      <c r="D1214" t="str">
        <f>IF(A1214="","",IFERROR(VALUE(SUBSTITUTE(TRIM(Input!E1214&amp;""),"%","")),0)/IF(AND(IFERROR(VALUE(SUBSTITUTE(TRIM(Input!E1214&amp;""),"%","")),0)&gt;0,IFERROR(VALUE(SUBSTITUTE(TRIM(Input!E1214&amp;""),"%","")),0)&lt;1),1,100))</f>
        <v/>
      </c>
      <c r="E1214" t="str">
        <f>IF(A1214="","",IFERROR(VALUE(SUBSTITUTE(TRIM(Input!F1214&amp;""),"%","")),0)/IF(AND(IFERROR(VALUE(SUBSTITUTE(TRIM(Input!F1214&amp;""),"%","")),0)&gt;0,IFERROR(VALUE(SUBSTITUTE(TRIM(Input!F1214&amp;""),"%","")),0)&lt;1),1,100))</f>
        <v/>
      </c>
      <c r="F1214" t="str">
        <f>IF(A1214="","",IFERROR(VALUE(SUBSTITUTE(TRIM(Input!G1214&amp;""),"%","")),0)/IF(AND(IFERROR(VALUE(SUBSTITUTE(TRIM(Input!G1214&amp;""),"%","")),0)&gt;0,IFERROR(VALUE(SUBSTITUTE(TRIM(Input!G1214&amp;""),"%","")),0)&lt;1),1,100))</f>
        <v/>
      </c>
      <c r="G1214" t="str">
        <f>IF(A1214="","",IFERROR(VALUE(SUBSTITUTE(TRIM(Input!H1214&amp;""),"%","")),0)/IF(AND(IFERROR(VALUE(SUBSTITUTE(TRIM(Input!H1214&amp;""),"%","")),0)&gt;0,IFERROR(VALUE(SUBSTITUTE(TRIM(Input!H1214&amp;""),"%","")),0)&lt;1),1,100))</f>
        <v/>
      </c>
      <c r="H1214" t="str">
        <f>IF(A1214="","",IFERROR(VALUE(SUBSTITUTE(TRIM(Input!I1214&amp;""),"%","")),0)/IF(AND(IFERROR(VALUE(SUBSTITUTE(TRIM(Input!I1214&amp;""),"%","")),0)&gt;0,IFERROR(VALUE(SUBSTITUTE(TRIM(Input!I1214&amp;""),"%","")),0)&lt;1),1,100))</f>
        <v/>
      </c>
    </row>
    <row r="1215" spans="1:8">
      <c r="A1215" t="str">
        <f>IF(TRIM(Input!B1215&amp;"")="","",UPPER(TRIM(Input!B1215&amp;"")))</f>
        <v/>
      </c>
      <c r="B1215" t="str">
        <f>IF(A1215="","",IFERROR(VALUE(RIGHT(TRIM(Input!D1215&amp;""),1)),0))</f>
        <v/>
      </c>
      <c r="C1215" t="str">
        <f t="shared" si="18"/>
        <v/>
      </c>
      <c r="D1215" t="str">
        <f>IF(A1215="","",IFERROR(VALUE(SUBSTITUTE(TRIM(Input!E1215&amp;""),"%","")),0)/IF(AND(IFERROR(VALUE(SUBSTITUTE(TRIM(Input!E1215&amp;""),"%","")),0)&gt;0,IFERROR(VALUE(SUBSTITUTE(TRIM(Input!E1215&amp;""),"%","")),0)&lt;1),1,100))</f>
        <v/>
      </c>
      <c r="E1215" t="str">
        <f>IF(A1215="","",IFERROR(VALUE(SUBSTITUTE(TRIM(Input!F1215&amp;""),"%","")),0)/IF(AND(IFERROR(VALUE(SUBSTITUTE(TRIM(Input!F1215&amp;""),"%","")),0)&gt;0,IFERROR(VALUE(SUBSTITUTE(TRIM(Input!F1215&amp;""),"%","")),0)&lt;1),1,100))</f>
        <v/>
      </c>
      <c r="F1215" t="str">
        <f>IF(A1215="","",IFERROR(VALUE(SUBSTITUTE(TRIM(Input!G1215&amp;""),"%","")),0)/IF(AND(IFERROR(VALUE(SUBSTITUTE(TRIM(Input!G1215&amp;""),"%","")),0)&gt;0,IFERROR(VALUE(SUBSTITUTE(TRIM(Input!G1215&amp;""),"%","")),0)&lt;1),1,100))</f>
        <v/>
      </c>
      <c r="G1215" t="str">
        <f>IF(A1215="","",IFERROR(VALUE(SUBSTITUTE(TRIM(Input!H1215&amp;""),"%","")),0)/IF(AND(IFERROR(VALUE(SUBSTITUTE(TRIM(Input!H1215&amp;""),"%","")),0)&gt;0,IFERROR(VALUE(SUBSTITUTE(TRIM(Input!H1215&amp;""),"%","")),0)&lt;1),1,100))</f>
        <v/>
      </c>
      <c r="H1215" t="str">
        <f>IF(A1215="","",IFERROR(VALUE(SUBSTITUTE(TRIM(Input!I1215&amp;""),"%","")),0)/IF(AND(IFERROR(VALUE(SUBSTITUTE(TRIM(Input!I1215&amp;""),"%","")),0)&gt;0,IFERROR(VALUE(SUBSTITUTE(TRIM(Input!I1215&amp;""),"%","")),0)&lt;1),1,100))</f>
        <v/>
      </c>
    </row>
    <row r="1216" spans="1:8">
      <c r="A1216" t="str">
        <f>IF(TRIM(Input!B1216&amp;"")="","",UPPER(TRIM(Input!B1216&amp;"")))</f>
        <v/>
      </c>
      <c r="B1216" t="str">
        <f>IF(A1216="","",IFERROR(VALUE(RIGHT(TRIM(Input!D1216&amp;""),1)),0))</f>
        <v/>
      </c>
      <c r="C1216" t="str">
        <f t="shared" si="18"/>
        <v/>
      </c>
      <c r="D1216" t="str">
        <f>IF(A1216="","",IFERROR(VALUE(SUBSTITUTE(TRIM(Input!E1216&amp;""),"%","")),0)/IF(AND(IFERROR(VALUE(SUBSTITUTE(TRIM(Input!E1216&amp;""),"%","")),0)&gt;0,IFERROR(VALUE(SUBSTITUTE(TRIM(Input!E1216&amp;""),"%","")),0)&lt;1),1,100))</f>
        <v/>
      </c>
      <c r="E1216" t="str">
        <f>IF(A1216="","",IFERROR(VALUE(SUBSTITUTE(TRIM(Input!F1216&amp;""),"%","")),0)/IF(AND(IFERROR(VALUE(SUBSTITUTE(TRIM(Input!F1216&amp;""),"%","")),0)&gt;0,IFERROR(VALUE(SUBSTITUTE(TRIM(Input!F1216&amp;""),"%","")),0)&lt;1),1,100))</f>
        <v/>
      </c>
      <c r="F1216" t="str">
        <f>IF(A1216="","",IFERROR(VALUE(SUBSTITUTE(TRIM(Input!G1216&amp;""),"%","")),0)/IF(AND(IFERROR(VALUE(SUBSTITUTE(TRIM(Input!G1216&amp;""),"%","")),0)&gt;0,IFERROR(VALUE(SUBSTITUTE(TRIM(Input!G1216&amp;""),"%","")),0)&lt;1),1,100))</f>
        <v/>
      </c>
      <c r="G1216" t="str">
        <f>IF(A1216="","",IFERROR(VALUE(SUBSTITUTE(TRIM(Input!H1216&amp;""),"%","")),0)/IF(AND(IFERROR(VALUE(SUBSTITUTE(TRIM(Input!H1216&amp;""),"%","")),0)&gt;0,IFERROR(VALUE(SUBSTITUTE(TRIM(Input!H1216&amp;""),"%","")),0)&lt;1),1,100))</f>
        <v/>
      </c>
      <c r="H1216" t="str">
        <f>IF(A1216="","",IFERROR(VALUE(SUBSTITUTE(TRIM(Input!I1216&amp;""),"%","")),0)/IF(AND(IFERROR(VALUE(SUBSTITUTE(TRIM(Input!I1216&amp;""),"%","")),0)&gt;0,IFERROR(VALUE(SUBSTITUTE(TRIM(Input!I1216&amp;""),"%","")),0)&lt;1),1,100))</f>
        <v/>
      </c>
    </row>
    <row r="1217" spans="1:8">
      <c r="A1217" t="str">
        <f>IF(TRIM(Input!B1217&amp;"")="","",UPPER(TRIM(Input!B1217&amp;"")))</f>
        <v/>
      </c>
      <c r="B1217" t="str">
        <f>IF(A1217="","",IFERROR(VALUE(RIGHT(TRIM(Input!D1217&amp;""),1)),0))</f>
        <v/>
      </c>
      <c r="C1217" t="str">
        <f t="shared" si="18"/>
        <v/>
      </c>
      <c r="D1217" t="str">
        <f>IF(A1217="","",IFERROR(VALUE(SUBSTITUTE(TRIM(Input!E1217&amp;""),"%","")),0)/IF(AND(IFERROR(VALUE(SUBSTITUTE(TRIM(Input!E1217&amp;""),"%","")),0)&gt;0,IFERROR(VALUE(SUBSTITUTE(TRIM(Input!E1217&amp;""),"%","")),0)&lt;1),1,100))</f>
        <v/>
      </c>
      <c r="E1217" t="str">
        <f>IF(A1217="","",IFERROR(VALUE(SUBSTITUTE(TRIM(Input!F1217&amp;""),"%","")),0)/IF(AND(IFERROR(VALUE(SUBSTITUTE(TRIM(Input!F1217&amp;""),"%","")),0)&gt;0,IFERROR(VALUE(SUBSTITUTE(TRIM(Input!F1217&amp;""),"%","")),0)&lt;1),1,100))</f>
        <v/>
      </c>
      <c r="F1217" t="str">
        <f>IF(A1217="","",IFERROR(VALUE(SUBSTITUTE(TRIM(Input!G1217&amp;""),"%","")),0)/IF(AND(IFERROR(VALUE(SUBSTITUTE(TRIM(Input!G1217&amp;""),"%","")),0)&gt;0,IFERROR(VALUE(SUBSTITUTE(TRIM(Input!G1217&amp;""),"%","")),0)&lt;1),1,100))</f>
        <v/>
      </c>
      <c r="G1217" t="str">
        <f>IF(A1217="","",IFERROR(VALUE(SUBSTITUTE(TRIM(Input!H1217&amp;""),"%","")),0)/IF(AND(IFERROR(VALUE(SUBSTITUTE(TRIM(Input!H1217&amp;""),"%","")),0)&gt;0,IFERROR(VALUE(SUBSTITUTE(TRIM(Input!H1217&amp;""),"%","")),0)&lt;1),1,100))</f>
        <v/>
      </c>
      <c r="H1217" t="str">
        <f>IF(A1217="","",IFERROR(VALUE(SUBSTITUTE(TRIM(Input!I1217&amp;""),"%","")),0)/IF(AND(IFERROR(VALUE(SUBSTITUTE(TRIM(Input!I1217&amp;""),"%","")),0)&gt;0,IFERROR(VALUE(SUBSTITUTE(TRIM(Input!I1217&amp;""),"%","")),0)&lt;1),1,100))</f>
        <v/>
      </c>
    </row>
    <row r="1218" spans="1:8">
      <c r="A1218" t="str">
        <f>IF(TRIM(Input!B1218&amp;"")="","",UPPER(TRIM(Input!B1218&amp;"")))</f>
        <v/>
      </c>
      <c r="B1218" t="str">
        <f>IF(A1218="","",IFERROR(VALUE(RIGHT(TRIM(Input!D1218&amp;""),1)),0))</f>
        <v/>
      </c>
      <c r="C1218" t="str">
        <f t="shared" ref="C1218:C1281" si="19">IF(A1218="","",A1218&amp;"|"&amp;B1218)</f>
        <v/>
      </c>
      <c r="D1218" t="str">
        <f>IF(A1218="","",IFERROR(VALUE(SUBSTITUTE(TRIM(Input!E1218&amp;""),"%","")),0)/IF(AND(IFERROR(VALUE(SUBSTITUTE(TRIM(Input!E1218&amp;""),"%","")),0)&gt;0,IFERROR(VALUE(SUBSTITUTE(TRIM(Input!E1218&amp;""),"%","")),0)&lt;1),1,100))</f>
        <v/>
      </c>
      <c r="E1218" t="str">
        <f>IF(A1218="","",IFERROR(VALUE(SUBSTITUTE(TRIM(Input!F1218&amp;""),"%","")),0)/IF(AND(IFERROR(VALUE(SUBSTITUTE(TRIM(Input!F1218&amp;""),"%","")),0)&gt;0,IFERROR(VALUE(SUBSTITUTE(TRIM(Input!F1218&amp;""),"%","")),0)&lt;1),1,100))</f>
        <v/>
      </c>
      <c r="F1218" t="str">
        <f>IF(A1218="","",IFERROR(VALUE(SUBSTITUTE(TRIM(Input!G1218&amp;""),"%","")),0)/IF(AND(IFERROR(VALUE(SUBSTITUTE(TRIM(Input!G1218&amp;""),"%","")),0)&gt;0,IFERROR(VALUE(SUBSTITUTE(TRIM(Input!G1218&amp;""),"%","")),0)&lt;1),1,100))</f>
        <v/>
      </c>
      <c r="G1218" t="str">
        <f>IF(A1218="","",IFERROR(VALUE(SUBSTITUTE(TRIM(Input!H1218&amp;""),"%","")),0)/IF(AND(IFERROR(VALUE(SUBSTITUTE(TRIM(Input!H1218&amp;""),"%","")),0)&gt;0,IFERROR(VALUE(SUBSTITUTE(TRIM(Input!H1218&amp;""),"%","")),0)&lt;1),1,100))</f>
        <v/>
      </c>
      <c r="H1218" t="str">
        <f>IF(A1218="","",IFERROR(VALUE(SUBSTITUTE(TRIM(Input!I1218&amp;""),"%","")),0)/IF(AND(IFERROR(VALUE(SUBSTITUTE(TRIM(Input!I1218&amp;""),"%","")),0)&gt;0,IFERROR(VALUE(SUBSTITUTE(TRIM(Input!I1218&amp;""),"%","")),0)&lt;1),1,100))</f>
        <v/>
      </c>
    </row>
    <row r="1219" spans="1:8">
      <c r="A1219" t="str">
        <f>IF(TRIM(Input!B1219&amp;"")="","",UPPER(TRIM(Input!B1219&amp;"")))</f>
        <v/>
      </c>
      <c r="B1219" t="str">
        <f>IF(A1219="","",IFERROR(VALUE(RIGHT(TRIM(Input!D1219&amp;""),1)),0))</f>
        <v/>
      </c>
      <c r="C1219" t="str">
        <f t="shared" si="19"/>
        <v/>
      </c>
      <c r="D1219" t="str">
        <f>IF(A1219="","",IFERROR(VALUE(SUBSTITUTE(TRIM(Input!E1219&amp;""),"%","")),0)/IF(AND(IFERROR(VALUE(SUBSTITUTE(TRIM(Input!E1219&amp;""),"%","")),0)&gt;0,IFERROR(VALUE(SUBSTITUTE(TRIM(Input!E1219&amp;""),"%","")),0)&lt;1),1,100))</f>
        <v/>
      </c>
      <c r="E1219" t="str">
        <f>IF(A1219="","",IFERROR(VALUE(SUBSTITUTE(TRIM(Input!F1219&amp;""),"%","")),0)/IF(AND(IFERROR(VALUE(SUBSTITUTE(TRIM(Input!F1219&amp;""),"%","")),0)&gt;0,IFERROR(VALUE(SUBSTITUTE(TRIM(Input!F1219&amp;""),"%","")),0)&lt;1),1,100))</f>
        <v/>
      </c>
      <c r="F1219" t="str">
        <f>IF(A1219="","",IFERROR(VALUE(SUBSTITUTE(TRIM(Input!G1219&amp;""),"%","")),0)/IF(AND(IFERROR(VALUE(SUBSTITUTE(TRIM(Input!G1219&amp;""),"%","")),0)&gt;0,IFERROR(VALUE(SUBSTITUTE(TRIM(Input!G1219&amp;""),"%","")),0)&lt;1),1,100))</f>
        <v/>
      </c>
      <c r="G1219" t="str">
        <f>IF(A1219="","",IFERROR(VALUE(SUBSTITUTE(TRIM(Input!H1219&amp;""),"%","")),0)/IF(AND(IFERROR(VALUE(SUBSTITUTE(TRIM(Input!H1219&amp;""),"%","")),0)&gt;0,IFERROR(VALUE(SUBSTITUTE(TRIM(Input!H1219&amp;""),"%","")),0)&lt;1),1,100))</f>
        <v/>
      </c>
      <c r="H1219" t="str">
        <f>IF(A1219="","",IFERROR(VALUE(SUBSTITUTE(TRIM(Input!I1219&amp;""),"%","")),0)/IF(AND(IFERROR(VALUE(SUBSTITUTE(TRIM(Input!I1219&amp;""),"%","")),0)&gt;0,IFERROR(VALUE(SUBSTITUTE(TRIM(Input!I1219&amp;""),"%","")),0)&lt;1),1,100))</f>
        <v/>
      </c>
    </row>
    <row r="1220" spans="1:8">
      <c r="A1220" t="str">
        <f>IF(TRIM(Input!B1220&amp;"")="","",UPPER(TRIM(Input!B1220&amp;"")))</f>
        <v/>
      </c>
      <c r="B1220" t="str">
        <f>IF(A1220="","",IFERROR(VALUE(RIGHT(TRIM(Input!D1220&amp;""),1)),0))</f>
        <v/>
      </c>
      <c r="C1220" t="str">
        <f t="shared" si="19"/>
        <v/>
      </c>
      <c r="D1220" t="str">
        <f>IF(A1220="","",IFERROR(VALUE(SUBSTITUTE(TRIM(Input!E1220&amp;""),"%","")),0)/IF(AND(IFERROR(VALUE(SUBSTITUTE(TRIM(Input!E1220&amp;""),"%","")),0)&gt;0,IFERROR(VALUE(SUBSTITUTE(TRIM(Input!E1220&amp;""),"%","")),0)&lt;1),1,100))</f>
        <v/>
      </c>
      <c r="E1220" t="str">
        <f>IF(A1220="","",IFERROR(VALUE(SUBSTITUTE(TRIM(Input!F1220&amp;""),"%","")),0)/IF(AND(IFERROR(VALUE(SUBSTITUTE(TRIM(Input!F1220&amp;""),"%","")),0)&gt;0,IFERROR(VALUE(SUBSTITUTE(TRIM(Input!F1220&amp;""),"%","")),0)&lt;1),1,100))</f>
        <v/>
      </c>
      <c r="F1220" t="str">
        <f>IF(A1220="","",IFERROR(VALUE(SUBSTITUTE(TRIM(Input!G1220&amp;""),"%","")),0)/IF(AND(IFERROR(VALUE(SUBSTITUTE(TRIM(Input!G1220&amp;""),"%","")),0)&gt;0,IFERROR(VALUE(SUBSTITUTE(TRIM(Input!G1220&amp;""),"%","")),0)&lt;1),1,100))</f>
        <v/>
      </c>
      <c r="G1220" t="str">
        <f>IF(A1220="","",IFERROR(VALUE(SUBSTITUTE(TRIM(Input!H1220&amp;""),"%","")),0)/IF(AND(IFERROR(VALUE(SUBSTITUTE(TRIM(Input!H1220&amp;""),"%","")),0)&gt;0,IFERROR(VALUE(SUBSTITUTE(TRIM(Input!H1220&amp;""),"%","")),0)&lt;1),1,100))</f>
        <v/>
      </c>
      <c r="H1220" t="str">
        <f>IF(A1220="","",IFERROR(VALUE(SUBSTITUTE(TRIM(Input!I1220&amp;""),"%","")),0)/IF(AND(IFERROR(VALUE(SUBSTITUTE(TRIM(Input!I1220&amp;""),"%","")),0)&gt;0,IFERROR(VALUE(SUBSTITUTE(TRIM(Input!I1220&amp;""),"%","")),0)&lt;1),1,100))</f>
        <v/>
      </c>
    </row>
    <row r="1221" spans="1:8">
      <c r="A1221" t="str">
        <f>IF(TRIM(Input!B1221&amp;"")="","",UPPER(TRIM(Input!B1221&amp;"")))</f>
        <v/>
      </c>
      <c r="B1221" t="str">
        <f>IF(A1221="","",IFERROR(VALUE(RIGHT(TRIM(Input!D1221&amp;""),1)),0))</f>
        <v/>
      </c>
      <c r="C1221" t="str">
        <f t="shared" si="19"/>
        <v/>
      </c>
      <c r="D1221" t="str">
        <f>IF(A1221="","",IFERROR(VALUE(SUBSTITUTE(TRIM(Input!E1221&amp;""),"%","")),0)/IF(AND(IFERROR(VALUE(SUBSTITUTE(TRIM(Input!E1221&amp;""),"%","")),0)&gt;0,IFERROR(VALUE(SUBSTITUTE(TRIM(Input!E1221&amp;""),"%","")),0)&lt;1),1,100))</f>
        <v/>
      </c>
      <c r="E1221" t="str">
        <f>IF(A1221="","",IFERROR(VALUE(SUBSTITUTE(TRIM(Input!F1221&amp;""),"%","")),0)/IF(AND(IFERROR(VALUE(SUBSTITUTE(TRIM(Input!F1221&amp;""),"%","")),0)&gt;0,IFERROR(VALUE(SUBSTITUTE(TRIM(Input!F1221&amp;""),"%","")),0)&lt;1),1,100))</f>
        <v/>
      </c>
      <c r="F1221" t="str">
        <f>IF(A1221="","",IFERROR(VALUE(SUBSTITUTE(TRIM(Input!G1221&amp;""),"%","")),0)/IF(AND(IFERROR(VALUE(SUBSTITUTE(TRIM(Input!G1221&amp;""),"%","")),0)&gt;0,IFERROR(VALUE(SUBSTITUTE(TRIM(Input!G1221&amp;""),"%","")),0)&lt;1),1,100))</f>
        <v/>
      </c>
      <c r="G1221" t="str">
        <f>IF(A1221="","",IFERROR(VALUE(SUBSTITUTE(TRIM(Input!H1221&amp;""),"%","")),0)/IF(AND(IFERROR(VALUE(SUBSTITUTE(TRIM(Input!H1221&amp;""),"%","")),0)&gt;0,IFERROR(VALUE(SUBSTITUTE(TRIM(Input!H1221&amp;""),"%","")),0)&lt;1),1,100))</f>
        <v/>
      </c>
      <c r="H1221" t="str">
        <f>IF(A1221="","",IFERROR(VALUE(SUBSTITUTE(TRIM(Input!I1221&amp;""),"%","")),0)/IF(AND(IFERROR(VALUE(SUBSTITUTE(TRIM(Input!I1221&amp;""),"%","")),0)&gt;0,IFERROR(VALUE(SUBSTITUTE(TRIM(Input!I1221&amp;""),"%","")),0)&lt;1),1,100))</f>
        <v/>
      </c>
    </row>
    <row r="1222" spans="1:8">
      <c r="A1222" t="str">
        <f>IF(TRIM(Input!B1222&amp;"")="","",UPPER(TRIM(Input!B1222&amp;"")))</f>
        <v/>
      </c>
      <c r="B1222" t="str">
        <f>IF(A1222="","",IFERROR(VALUE(RIGHT(TRIM(Input!D1222&amp;""),1)),0))</f>
        <v/>
      </c>
      <c r="C1222" t="str">
        <f t="shared" si="19"/>
        <v/>
      </c>
      <c r="D1222" t="str">
        <f>IF(A1222="","",IFERROR(VALUE(SUBSTITUTE(TRIM(Input!E1222&amp;""),"%","")),0)/IF(AND(IFERROR(VALUE(SUBSTITUTE(TRIM(Input!E1222&amp;""),"%","")),0)&gt;0,IFERROR(VALUE(SUBSTITUTE(TRIM(Input!E1222&amp;""),"%","")),0)&lt;1),1,100))</f>
        <v/>
      </c>
      <c r="E1222" t="str">
        <f>IF(A1222="","",IFERROR(VALUE(SUBSTITUTE(TRIM(Input!F1222&amp;""),"%","")),0)/IF(AND(IFERROR(VALUE(SUBSTITUTE(TRIM(Input!F1222&amp;""),"%","")),0)&gt;0,IFERROR(VALUE(SUBSTITUTE(TRIM(Input!F1222&amp;""),"%","")),0)&lt;1),1,100))</f>
        <v/>
      </c>
      <c r="F1222" t="str">
        <f>IF(A1222="","",IFERROR(VALUE(SUBSTITUTE(TRIM(Input!G1222&amp;""),"%","")),0)/IF(AND(IFERROR(VALUE(SUBSTITUTE(TRIM(Input!G1222&amp;""),"%","")),0)&gt;0,IFERROR(VALUE(SUBSTITUTE(TRIM(Input!G1222&amp;""),"%","")),0)&lt;1),1,100))</f>
        <v/>
      </c>
      <c r="G1222" t="str">
        <f>IF(A1222="","",IFERROR(VALUE(SUBSTITUTE(TRIM(Input!H1222&amp;""),"%","")),0)/IF(AND(IFERROR(VALUE(SUBSTITUTE(TRIM(Input!H1222&amp;""),"%","")),0)&gt;0,IFERROR(VALUE(SUBSTITUTE(TRIM(Input!H1222&amp;""),"%","")),0)&lt;1),1,100))</f>
        <v/>
      </c>
      <c r="H1222" t="str">
        <f>IF(A1222="","",IFERROR(VALUE(SUBSTITUTE(TRIM(Input!I1222&amp;""),"%","")),0)/IF(AND(IFERROR(VALUE(SUBSTITUTE(TRIM(Input!I1222&amp;""),"%","")),0)&gt;0,IFERROR(VALUE(SUBSTITUTE(TRIM(Input!I1222&amp;""),"%","")),0)&lt;1),1,100))</f>
        <v/>
      </c>
    </row>
    <row r="1223" spans="1:8">
      <c r="A1223" t="str">
        <f>IF(TRIM(Input!B1223&amp;"")="","",UPPER(TRIM(Input!B1223&amp;"")))</f>
        <v/>
      </c>
      <c r="B1223" t="str">
        <f>IF(A1223="","",IFERROR(VALUE(RIGHT(TRIM(Input!D1223&amp;""),1)),0))</f>
        <v/>
      </c>
      <c r="C1223" t="str">
        <f t="shared" si="19"/>
        <v/>
      </c>
      <c r="D1223" t="str">
        <f>IF(A1223="","",IFERROR(VALUE(SUBSTITUTE(TRIM(Input!E1223&amp;""),"%","")),0)/IF(AND(IFERROR(VALUE(SUBSTITUTE(TRIM(Input!E1223&amp;""),"%","")),0)&gt;0,IFERROR(VALUE(SUBSTITUTE(TRIM(Input!E1223&amp;""),"%","")),0)&lt;1),1,100))</f>
        <v/>
      </c>
      <c r="E1223" t="str">
        <f>IF(A1223="","",IFERROR(VALUE(SUBSTITUTE(TRIM(Input!F1223&amp;""),"%","")),0)/IF(AND(IFERROR(VALUE(SUBSTITUTE(TRIM(Input!F1223&amp;""),"%","")),0)&gt;0,IFERROR(VALUE(SUBSTITUTE(TRIM(Input!F1223&amp;""),"%","")),0)&lt;1),1,100))</f>
        <v/>
      </c>
      <c r="F1223" t="str">
        <f>IF(A1223="","",IFERROR(VALUE(SUBSTITUTE(TRIM(Input!G1223&amp;""),"%","")),0)/IF(AND(IFERROR(VALUE(SUBSTITUTE(TRIM(Input!G1223&amp;""),"%","")),0)&gt;0,IFERROR(VALUE(SUBSTITUTE(TRIM(Input!G1223&amp;""),"%","")),0)&lt;1),1,100))</f>
        <v/>
      </c>
      <c r="G1223" t="str">
        <f>IF(A1223="","",IFERROR(VALUE(SUBSTITUTE(TRIM(Input!H1223&amp;""),"%","")),0)/IF(AND(IFERROR(VALUE(SUBSTITUTE(TRIM(Input!H1223&amp;""),"%","")),0)&gt;0,IFERROR(VALUE(SUBSTITUTE(TRIM(Input!H1223&amp;""),"%","")),0)&lt;1),1,100))</f>
        <v/>
      </c>
      <c r="H1223" t="str">
        <f>IF(A1223="","",IFERROR(VALUE(SUBSTITUTE(TRIM(Input!I1223&amp;""),"%","")),0)/IF(AND(IFERROR(VALUE(SUBSTITUTE(TRIM(Input!I1223&amp;""),"%","")),0)&gt;0,IFERROR(VALUE(SUBSTITUTE(TRIM(Input!I1223&amp;""),"%","")),0)&lt;1),1,100))</f>
        <v/>
      </c>
    </row>
    <row r="1224" spans="1:8">
      <c r="A1224" t="str">
        <f>IF(TRIM(Input!B1224&amp;"")="","",UPPER(TRIM(Input!B1224&amp;"")))</f>
        <v/>
      </c>
      <c r="B1224" t="str">
        <f>IF(A1224="","",IFERROR(VALUE(RIGHT(TRIM(Input!D1224&amp;""),1)),0))</f>
        <v/>
      </c>
      <c r="C1224" t="str">
        <f t="shared" si="19"/>
        <v/>
      </c>
      <c r="D1224" t="str">
        <f>IF(A1224="","",IFERROR(VALUE(SUBSTITUTE(TRIM(Input!E1224&amp;""),"%","")),0)/IF(AND(IFERROR(VALUE(SUBSTITUTE(TRIM(Input!E1224&amp;""),"%","")),0)&gt;0,IFERROR(VALUE(SUBSTITUTE(TRIM(Input!E1224&amp;""),"%","")),0)&lt;1),1,100))</f>
        <v/>
      </c>
      <c r="E1224" t="str">
        <f>IF(A1224="","",IFERROR(VALUE(SUBSTITUTE(TRIM(Input!F1224&amp;""),"%","")),0)/IF(AND(IFERROR(VALUE(SUBSTITUTE(TRIM(Input!F1224&amp;""),"%","")),0)&gt;0,IFERROR(VALUE(SUBSTITUTE(TRIM(Input!F1224&amp;""),"%","")),0)&lt;1),1,100))</f>
        <v/>
      </c>
      <c r="F1224" t="str">
        <f>IF(A1224="","",IFERROR(VALUE(SUBSTITUTE(TRIM(Input!G1224&amp;""),"%","")),0)/IF(AND(IFERROR(VALUE(SUBSTITUTE(TRIM(Input!G1224&amp;""),"%","")),0)&gt;0,IFERROR(VALUE(SUBSTITUTE(TRIM(Input!G1224&amp;""),"%","")),0)&lt;1),1,100))</f>
        <v/>
      </c>
      <c r="G1224" t="str">
        <f>IF(A1224="","",IFERROR(VALUE(SUBSTITUTE(TRIM(Input!H1224&amp;""),"%","")),0)/IF(AND(IFERROR(VALUE(SUBSTITUTE(TRIM(Input!H1224&amp;""),"%","")),0)&gt;0,IFERROR(VALUE(SUBSTITUTE(TRIM(Input!H1224&amp;""),"%","")),0)&lt;1),1,100))</f>
        <v/>
      </c>
      <c r="H1224" t="str">
        <f>IF(A1224="","",IFERROR(VALUE(SUBSTITUTE(TRIM(Input!I1224&amp;""),"%","")),0)/IF(AND(IFERROR(VALUE(SUBSTITUTE(TRIM(Input!I1224&amp;""),"%","")),0)&gt;0,IFERROR(VALUE(SUBSTITUTE(TRIM(Input!I1224&amp;""),"%","")),0)&lt;1),1,100))</f>
        <v/>
      </c>
    </row>
    <row r="1225" spans="1:8">
      <c r="A1225" t="str">
        <f>IF(TRIM(Input!B1225&amp;"")="","",UPPER(TRIM(Input!B1225&amp;"")))</f>
        <v/>
      </c>
      <c r="B1225" t="str">
        <f>IF(A1225="","",IFERROR(VALUE(RIGHT(TRIM(Input!D1225&amp;""),1)),0))</f>
        <v/>
      </c>
      <c r="C1225" t="str">
        <f t="shared" si="19"/>
        <v/>
      </c>
      <c r="D1225" t="str">
        <f>IF(A1225="","",IFERROR(VALUE(SUBSTITUTE(TRIM(Input!E1225&amp;""),"%","")),0)/IF(AND(IFERROR(VALUE(SUBSTITUTE(TRIM(Input!E1225&amp;""),"%","")),0)&gt;0,IFERROR(VALUE(SUBSTITUTE(TRIM(Input!E1225&amp;""),"%","")),0)&lt;1),1,100))</f>
        <v/>
      </c>
      <c r="E1225" t="str">
        <f>IF(A1225="","",IFERROR(VALUE(SUBSTITUTE(TRIM(Input!F1225&amp;""),"%","")),0)/IF(AND(IFERROR(VALUE(SUBSTITUTE(TRIM(Input!F1225&amp;""),"%","")),0)&gt;0,IFERROR(VALUE(SUBSTITUTE(TRIM(Input!F1225&amp;""),"%","")),0)&lt;1),1,100))</f>
        <v/>
      </c>
      <c r="F1225" t="str">
        <f>IF(A1225="","",IFERROR(VALUE(SUBSTITUTE(TRIM(Input!G1225&amp;""),"%","")),0)/IF(AND(IFERROR(VALUE(SUBSTITUTE(TRIM(Input!G1225&amp;""),"%","")),0)&gt;0,IFERROR(VALUE(SUBSTITUTE(TRIM(Input!G1225&amp;""),"%","")),0)&lt;1),1,100))</f>
        <v/>
      </c>
      <c r="G1225" t="str">
        <f>IF(A1225="","",IFERROR(VALUE(SUBSTITUTE(TRIM(Input!H1225&amp;""),"%","")),0)/IF(AND(IFERROR(VALUE(SUBSTITUTE(TRIM(Input!H1225&amp;""),"%","")),0)&gt;0,IFERROR(VALUE(SUBSTITUTE(TRIM(Input!H1225&amp;""),"%","")),0)&lt;1),1,100))</f>
        <v/>
      </c>
      <c r="H1225" t="str">
        <f>IF(A1225="","",IFERROR(VALUE(SUBSTITUTE(TRIM(Input!I1225&amp;""),"%","")),0)/IF(AND(IFERROR(VALUE(SUBSTITUTE(TRIM(Input!I1225&amp;""),"%","")),0)&gt;0,IFERROR(VALUE(SUBSTITUTE(TRIM(Input!I1225&amp;""),"%","")),0)&lt;1),1,100))</f>
        <v/>
      </c>
    </row>
    <row r="1226" spans="1:8">
      <c r="A1226" t="str">
        <f>IF(TRIM(Input!B1226&amp;"")="","",UPPER(TRIM(Input!B1226&amp;"")))</f>
        <v/>
      </c>
      <c r="B1226" t="str">
        <f>IF(A1226="","",IFERROR(VALUE(RIGHT(TRIM(Input!D1226&amp;""),1)),0))</f>
        <v/>
      </c>
      <c r="C1226" t="str">
        <f t="shared" si="19"/>
        <v/>
      </c>
      <c r="D1226" t="str">
        <f>IF(A1226="","",IFERROR(VALUE(SUBSTITUTE(TRIM(Input!E1226&amp;""),"%","")),0)/IF(AND(IFERROR(VALUE(SUBSTITUTE(TRIM(Input!E1226&amp;""),"%","")),0)&gt;0,IFERROR(VALUE(SUBSTITUTE(TRIM(Input!E1226&amp;""),"%","")),0)&lt;1),1,100))</f>
        <v/>
      </c>
      <c r="E1226" t="str">
        <f>IF(A1226="","",IFERROR(VALUE(SUBSTITUTE(TRIM(Input!F1226&amp;""),"%","")),0)/IF(AND(IFERROR(VALUE(SUBSTITUTE(TRIM(Input!F1226&amp;""),"%","")),0)&gt;0,IFERROR(VALUE(SUBSTITUTE(TRIM(Input!F1226&amp;""),"%","")),0)&lt;1),1,100))</f>
        <v/>
      </c>
      <c r="F1226" t="str">
        <f>IF(A1226="","",IFERROR(VALUE(SUBSTITUTE(TRIM(Input!G1226&amp;""),"%","")),0)/IF(AND(IFERROR(VALUE(SUBSTITUTE(TRIM(Input!G1226&amp;""),"%","")),0)&gt;0,IFERROR(VALUE(SUBSTITUTE(TRIM(Input!G1226&amp;""),"%","")),0)&lt;1),1,100))</f>
        <v/>
      </c>
      <c r="G1226" t="str">
        <f>IF(A1226="","",IFERROR(VALUE(SUBSTITUTE(TRIM(Input!H1226&amp;""),"%","")),0)/IF(AND(IFERROR(VALUE(SUBSTITUTE(TRIM(Input!H1226&amp;""),"%","")),0)&gt;0,IFERROR(VALUE(SUBSTITUTE(TRIM(Input!H1226&amp;""),"%","")),0)&lt;1),1,100))</f>
        <v/>
      </c>
      <c r="H1226" t="str">
        <f>IF(A1226="","",IFERROR(VALUE(SUBSTITUTE(TRIM(Input!I1226&amp;""),"%","")),0)/IF(AND(IFERROR(VALUE(SUBSTITUTE(TRIM(Input!I1226&amp;""),"%","")),0)&gt;0,IFERROR(VALUE(SUBSTITUTE(TRIM(Input!I1226&amp;""),"%","")),0)&lt;1),1,100))</f>
        <v/>
      </c>
    </row>
    <row r="1227" spans="1:8">
      <c r="A1227" t="str">
        <f>IF(TRIM(Input!B1227&amp;"")="","",UPPER(TRIM(Input!B1227&amp;"")))</f>
        <v/>
      </c>
      <c r="B1227" t="str">
        <f>IF(A1227="","",IFERROR(VALUE(RIGHT(TRIM(Input!D1227&amp;""),1)),0))</f>
        <v/>
      </c>
      <c r="C1227" t="str">
        <f t="shared" si="19"/>
        <v/>
      </c>
      <c r="D1227" t="str">
        <f>IF(A1227="","",IFERROR(VALUE(SUBSTITUTE(TRIM(Input!E1227&amp;""),"%","")),0)/IF(AND(IFERROR(VALUE(SUBSTITUTE(TRIM(Input!E1227&amp;""),"%","")),0)&gt;0,IFERROR(VALUE(SUBSTITUTE(TRIM(Input!E1227&amp;""),"%","")),0)&lt;1),1,100))</f>
        <v/>
      </c>
      <c r="E1227" t="str">
        <f>IF(A1227="","",IFERROR(VALUE(SUBSTITUTE(TRIM(Input!F1227&amp;""),"%","")),0)/IF(AND(IFERROR(VALUE(SUBSTITUTE(TRIM(Input!F1227&amp;""),"%","")),0)&gt;0,IFERROR(VALUE(SUBSTITUTE(TRIM(Input!F1227&amp;""),"%","")),0)&lt;1),1,100))</f>
        <v/>
      </c>
      <c r="F1227" t="str">
        <f>IF(A1227="","",IFERROR(VALUE(SUBSTITUTE(TRIM(Input!G1227&amp;""),"%","")),0)/IF(AND(IFERROR(VALUE(SUBSTITUTE(TRIM(Input!G1227&amp;""),"%","")),0)&gt;0,IFERROR(VALUE(SUBSTITUTE(TRIM(Input!G1227&amp;""),"%","")),0)&lt;1),1,100))</f>
        <v/>
      </c>
      <c r="G1227" t="str">
        <f>IF(A1227="","",IFERROR(VALUE(SUBSTITUTE(TRIM(Input!H1227&amp;""),"%","")),0)/IF(AND(IFERROR(VALUE(SUBSTITUTE(TRIM(Input!H1227&amp;""),"%","")),0)&gt;0,IFERROR(VALUE(SUBSTITUTE(TRIM(Input!H1227&amp;""),"%","")),0)&lt;1),1,100))</f>
        <v/>
      </c>
      <c r="H1227" t="str">
        <f>IF(A1227="","",IFERROR(VALUE(SUBSTITUTE(TRIM(Input!I1227&amp;""),"%","")),0)/IF(AND(IFERROR(VALUE(SUBSTITUTE(TRIM(Input!I1227&amp;""),"%","")),0)&gt;0,IFERROR(VALUE(SUBSTITUTE(TRIM(Input!I1227&amp;""),"%","")),0)&lt;1),1,100))</f>
        <v/>
      </c>
    </row>
    <row r="1228" spans="1:8">
      <c r="A1228" t="str">
        <f>IF(TRIM(Input!B1228&amp;"")="","",UPPER(TRIM(Input!B1228&amp;"")))</f>
        <v/>
      </c>
      <c r="B1228" t="str">
        <f>IF(A1228="","",IFERROR(VALUE(RIGHT(TRIM(Input!D1228&amp;""),1)),0))</f>
        <v/>
      </c>
      <c r="C1228" t="str">
        <f t="shared" si="19"/>
        <v/>
      </c>
      <c r="D1228" t="str">
        <f>IF(A1228="","",IFERROR(VALUE(SUBSTITUTE(TRIM(Input!E1228&amp;""),"%","")),0)/IF(AND(IFERROR(VALUE(SUBSTITUTE(TRIM(Input!E1228&amp;""),"%","")),0)&gt;0,IFERROR(VALUE(SUBSTITUTE(TRIM(Input!E1228&amp;""),"%","")),0)&lt;1),1,100))</f>
        <v/>
      </c>
      <c r="E1228" t="str">
        <f>IF(A1228="","",IFERROR(VALUE(SUBSTITUTE(TRIM(Input!F1228&amp;""),"%","")),0)/IF(AND(IFERROR(VALUE(SUBSTITUTE(TRIM(Input!F1228&amp;""),"%","")),0)&gt;0,IFERROR(VALUE(SUBSTITUTE(TRIM(Input!F1228&amp;""),"%","")),0)&lt;1),1,100))</f>
        <v/>
      </c>
      <c r="F1228" t="str">
        <f>IF(A1228="","",IFERROR(VALUE(SUBSTITUTE(TRIM(Input!G1228&amp;""),"%","")),0)/IF(AND(IFERROR(VALUE(SUBSTITUTE(TRIM(Input!G1228&amp;""),"%","")),0)&gt;0,IFERROR(VALUE(SUBSTITUTE(TRIM(Input!G1228&amp;""),"%","")),0)&lt;1),1,100))</f>
        <v/>
      </c>
      <c r="G1228" t="str">
        <f>IF(A1228="","",IFERROR(VALUE(SUBSTITUTE(TRIM(Input!H1228&amp;""),"%","")),0)/IF(AND(IFERROR(VALUE(SUBSTITUTE(TRIM(Input!H1228&amp;""),"%","")),0)&gt;0,IFERROR(VALUE(SUBSTITUTE(TRIM(Input!H1228&amp;""),"%","")),0)&lt;1),1,100))</f>
        <v/>
      </c>
      <c r="H1228" t="str">
        <f>IF(A1228="","",IFERROR(VALUE(SUBSTITUTE(TRIM(Input!I1228&amp;""),"%","")),0)/IF(AND(IFERROR(VALUE(SUBSTITUTE(TRIM(Input!I1228&amp;""),"%","")),0)&gt;0,IFERROR(VALUE(SUBSTITUTE(TRIM(Input!I1228&amp;""),"%","")),0)&lt;1),1,100))</f>
        <v/>
      </c>
    </row>
    <row r="1229" spans="1:8">
      <c r="A1229" t="str">
        <f>IF(TRIM(Input!B1229&amp;"")="","",UPPER(TRIM(Input!B1229&amp;"")))</f>
        <v/>
      </c>
      <c r="B1229" t="str">
        <f>IF(A1229="","",IFERROR(VALUE(RIGHT(TRIM(Input!D1229&amp;""),1)),0))</f>
        <v/>
      </c>
      <c r="C1229" t="str">
        <f t="shared" si="19"/>
        <v/>
      </c>
      <c r="D1229" t="str">
        <f>IF(A1229="","",IFERROR(VALUE(SUBSTITUTE(TRIM(Input!E1229&amp;""),"%","")),0)/IF(AND(IFERROR(VALUE(SUBSTITUTE(TRIM(Input!E1229&amp;""),"%","")),0)&gt;0,IFERROR(VALUE(SUBSTITUTE(TRIM(Input!E1229&amp;""),"%","")),0)&lt;1),1,100))</f>
        <v/>
      </c>
      <c r="E1229" t="str">
        <f>IF(A1229="","",IFERROR(VALUE(SUBSTITUTE(TRIM(Input!F1229&amp;""),"%","")),0)/IF(AND(IFERROR(VALUE(SUBSTITUTE(TRIM(Input!F1229&amp;""),"%","")),0)&gt;0,IFERROR(VALUE(SUBSTITUTE(TRIM(Input!F1229&amp;""),"%","")),0)&lt;1),1,100))</f>
        <v/>
      </c>
      <c r="F1229" t="str">
        <f>IF(A1229="","",IFERROR(VALUE(SUBSTITUTE(TRIM(Input!G1229&amp;""),"%","")),0)/IF(AND(IFERROR(VALUE(SUBSTITUTE(TRIM(Input!G1229&amp;""),"%","")),0)&gt;0,IFERROR(VALUE(SUBSTITUTE(TRIM(Input!G1229&amp;""),"%","")),0)&lt;1),1,100))</f>
        <v/>
      </c>
      <c r="G1229" t="str">
        <f>IF(A1229="","",IFERROR(VALUE(SUBSTITUTE(TRIM(Input!H1229&amp;""),"%","")),0)/IF(AND(IFERROR(VALUE(SUBSTITUTE(TRIM(Input!H1229&amp;""),"%","")),0)&gt;0,IFERROR(VALUE(SUBSTITUTE(TRIM(Input!H1229&amp;""),"%","")),0)&lt;1),1,100))</f>
        <v/>
      </c>
      <c r="H1229" t="str">
        <f>IF(A1229="","",IFERROR(VALUE(SUBSTITUTE(TRIM(Input!I1229&amp;""),"%","")),0)/IF(AND(IFERROR(VALUE(SUBSTITUTE(TRIM(Input!I1229&amp;""),"%","")),0)&gt;0,IFERROR(VALUE(SUBSTITUTE(TRIM(Input!I1229&amp;""),"%","")),0)&lt;1),1,100))</f>
        <v/>
      </c>
    </row>
    <row r="1230" spans="1:8">
      <c r="A1230" t="str">
        <f>IF(TRIM(Input!B1230&amp;"")="","",UPPER(TRIM(Input!B1230&amp;"")))</f>
        <v/>
      </c>
      <c r="B1230" t="str">
        <f>IF(A1230="","",IFERROR(VALUE(RIGHT(TRIM(Input!D1230&amp;""),1)),0))</f>
        <v/>
      </c>
      <c r="C1230" t="str">
        <f t="shared" si="19"/>
        <v/>
      </c>
      <c r="D1230" t="str">
        <f>IF(A1230="","",IFERROR(VALUE(SUBSTITUTE(TRIM(Input!E1230&amp;""),"%","")),0)/IF(AND(IFERROR(VALUE(SUBSTITUTE(TRIM(Input!E1230&amp;""),"%","")),0)&gt;0,IFERROR(VALUE(SUBSTITUTE(TRIM(Input!E1230&amp;""),"%","")),0)&lt;1),1,100))</f>
        <v/>
      </c>
      <c r="E1230" t="str">
        <f>IF(A1230="","",IFERROR(VALUE(SUBSTITUTE(TRIM(Input!F1230&amp;""),"%","")),0)/IF(AND(IFERROR(VALUE(SUBSTITUTE(TRIM(Input!F1230&amp;""),"%","")),0)&gt;0,IFERROR(VALUE(SUBSTITUTE(TRIM(Input!F1230&amp;""),"%","")),0)&lt;1),1,100))</f>
        <v/>
      </c>
      <c r="F1230" t="str">
        <f>IF(A1230="","",IFERROR(VALUE(SUBSTITUTE(TRIM(Input!G1230&amp;""),"%","")),0)/IF(AND(IFERROR(VALUE(SUBSTITUTE(TRIM(Input!G1230&amp;""),"%","")),0)&gt;0,IFERROR(VALUE(SUBSTITUTE(TRIM(Input!G1230&amp;""),"%","")),0)&lt;1),1,100))</f>
        <v/>
      </c>
      <c r="G1230" t="str">
        <f>IF(A1230="","",IFERROR(VALUE(SUBSTITUTE(TRIM(Input!H1230&amp;""),"%","")),0)/IF(AND(IFERROR(VALUE(SUBSTITUTE(TRIM(Input!H1230&amp;""),"%","")),0)&gt;0,IFERROR(VALUE(SUBSTITUTE(TRIM(Input!H1230&amp;""),"%","")),0)&lt;1),1,100))</f>
        <v/>
      </c>
      <c r="H1230" t="str">
        <f>IF(A1230="","",IFERROR(VALUE(SUBSTITUTE(TRIM(Input!I1230&amp;""),"%","")),0)/IF(AND(IFERROR(VALUE(SUBSTITUTE(TRIM(Input!I1230&amp;""),"%","")),0)&gt;0,IFERROR(VALUE(SUBSTITUTE(TRIM(Input!I1230&amp;""),"%","")),0)&lt;1),1,100))</f>
        <v/>
      </c>
    </row>
    <row r="1231" spans="1:8">
      <c r="A1231" t="str">
        <f>IF(TRIM(Input!B1231&amp;"")="","",UPPER(TRIM(Input!B1231&amp;"")))</f>
        <v/>
      </c>
      <c r="B1231" t="str">
        <f>IF(A1231="","",IFERROR(VALUE(RIGHT(TRIM(Input!D1231&amp;""),1)),0))</f>
        <v/>
      </c>
      <c r="C1231" t="str">
        <f t="shared" si="19"/>
        <v/>
      </c>
      <c r="D1231" t="str">
        <f>IF(A1231="","",IFERROR(VALUE(SUBSTITUTE(TRIM(Input!E1231&amp;""),"%","")),0)/IF(AND(IFERROR(VALUE(SUBSTITUTE(TRIM(Input!E1231&amp;""),"%","")),0)&gt;0,IFERROR(VALUE(SUBSTITUTE(TRIM(Input!E1231&amp;""),"%","")),0)&lt;1),1,100))</f>
        <v/>
      </c>
      <c r="E1231" t="str">
        <f>IF(A1231="","",IFERROR(VALUE(SUBSTITUTE(TRIM(Input!F1231&amp;""),"%","")),0)/IF(AND(IFERROR(VALUE(SUBSTITUTE(TRIM(Input!F1231&amp;""),"%","")),0)&gt;0,IFERROR(VALUE(SUBSTITUTE(TRIM(Input!F1231&amp;""),"%","")),0)&lt;1),1,100))</f>
        <v/>
      </c>
      <c r="F1231" t="str">
        <f>IF(A1231="","",IFERROR(VALUE(SUBSTITUTE(TRIM(Input!G1231&amp;""),"%","")),0)/IF(AND(IFERROR(VALUE(SUBSTITUTE(TRIM(Input!G1231&amp;""),"%","")),0)&gt;0,IFERROR(VALUE(SUBSTITUTE(TRIM(Input!G1231&amp;""),"%","")),0)&lt;1),1,100))</f>
        <v/>
      </c>
      <c r="G1231" t="str">
        <f>IF(A1231="","",IFERROR(VALUE(SUBSTITUTE(TRIM(Input!H1231&amp;""),"%","")),0)/IF(AND(IFERROR(VALUE(SUBSTITUTE(TRIM(Input!H1231&amp;""),"%","")),0)&gt;0,IFERROR(VALUE(SUBSTITUTE(TRIM(Input!H1231&amp;""),"%","")),0)&lt;1),1,100))</f>
        <v/>
      </c>
      <c r="H1231" t="str">
        <f>IF(A1231="","",IFERROR(VALUE(SUBSTITUTE(TRIM(Input!I1231&amp;""),"%","")),0)/IF(AND(IFERROR(VALUE(SUBSTITUTE(TRIM(Input!I1231&amp;""),"%","")),0)&gt;0,IFERROR(VALUE(SUBSTITUTE(TRIM(Input!I1231&amp;""),"%","")),0)&lt;1),1,100))</f>
        <v/>
      </c>
    </row>
    <row r="1232" spans="1:8">
      <c r="A1232" t="str">
        <f>IF(TRIM(Input!B1232&amp;"")="","",UPPER(TRIM(Input!B1232&amp;"")))</f>
        <v/>
      </c>
      <c r="B1232" t="str">
        <f>IF(A1232="","",IFERROR(VALUE(RIGHT(TRIM(Input!D1232&amp;""),1)),0))</f>
        <v/>
      </c>
      <c r="C1232" t="str">
        <f t="shared" si="19"/>
        <v/>
      </c>
      <c r="D1232" t="str">
        <f>IF(A1232="","",IFERROR(VALUE(SUBSTITUTE(TRIM(Input!E1232&amp;""),"%","")),0)/IF(AND(IFERROR(VALUE(SUBSTITUTE(TRIM(Input!E1232&amp;""),"%","")),0)&gt;0,IFERROR(VALUE(SUBSTITUTE(TRIM(Input!E1232&amp;""),"%","")),0)&lt;1),1,100))</f>
        <v/>
      </c>
      <c r="E1232" t="str">
        <f>IF(A1232="","",IFERROR(VALUE(SUBSTITUTE(TRIM(Input!F1232&amp;""),"%","")),0)/IF(AND(IFERROR(VALUE(SUBSTITUTE(TRIM(Input!F1232&amp;""),"%","")),0)&gt;0,IFERROR(VALUE(SUBSTITUTE(TRIM(Input!F1232&amp;""),"%","")),0)&lt;1),1,100))</f>
        <v/>
      </c>
      <c r="F1232" t="str">
        <f>IF(A1232="","",IFERROR(VALUE(SUBSTITUTE(TRIM(Input!G1232&amp;""),"%","")),0)/IF(AND(IFERROR(VALUE(SUBSTITUTE(TRIM(Input!G1232&amp;""),"%","")),0)&gt;0,IFERROR(VALUE(SUBSTITUTE(TRIM(Input!G1232&amp;""),"%","")),0)&lt;1),1,100))</f>
        <v/>
      </c>
      <c r="G1232" t="str">
        <f>IF(A1232="","",IFERROR(VALUE(SUBSTITUTE(TRIM(Input!H1232&amp;""),"%","")),0)/IF(AND(IFERROR(VALUE(SUBSTITUTE(TRIM(Input!H1232&amp;""),"%","")),0)&gt;0,IFERROR(VALUE(SUBSTITUTE(TRIM(Input!H1232&amp;""),"%","")),0)&lt;1),1,100))</f>
        <v/>
      </c>
      <c r="H1232" t="str">
        <f>IF(A1232="","",IFERROR(VALUE(SUBSTITUTE(TRIM(Input!I1232&amp;""),"%","")),0)/IF(AND(IFERROR(VALUE(SUBSTITUTE(TRIM(Input!I1232&amp;""),"%","")),0)&gt;0,IFERROR(VALUE(SUBSTITUTE(TRIM(Input!I1232&amp;""),"%","")),0)&lt;1),1,100))</f>
        <v/>
      </c>
    </row>
    <row r="1233" spans="1:8">
      <c r="A1233" t="str">
        <f>IF(TRIM(Input!B1233&amp;"")="","",UPPER(TRIM(Input!B1233&amp;"")))</f>
        <v/>
      </c>
      <c r="B1233" t="str">
        <f>IF(A1233="","",IFERROR(VALUE(RIGHT(TRIM(Input!D1233&amp;""),1)),0))</f>
        <v/>
      </c>
      <c r="C1233" t="str">
        <f t="shared" si="19"/>
        <v/>
      </c>
      <c r="D1233" t="str">
        <f>IF(A1233="","",IFERROR(VALUE(SUBSTITUTE(TRIM(Input!E1233&amp;""),"%","")),0)/IF(AND(IFERROR(VALUE(SUBSTITUTE(TRIM(Input!E1233&amp;""),"%","")),0)&gt;0,IFERROR(VALUE(SUBSTITUTE(TRIM(Input!E1233&amp;""),"%","")),0)&lt;1),1,100))</f>
        <v/>
      </c>
      <c r="E1233" t="str">
        <f>IF(A1233="","",IFERROR(VALUE(SUBSTITUTE(TRIM(Input!F1233&amp;""),"%","")),0)/IF(AND(IFERROR(VALUE(SUBSTITUTE(TRIM(Input!F1233&amp;""),"%","")),0)&gt;0,IFERROR(VALUE(SUBSTITUTE(TRIM(Input!F1233&amp;""),"%","")),0)&lt;1),1,100))</f>
        <v/>
      </c>
      <c r="F1233" t="str">
        <f>IF(A1233="","",IFERROR(VALUE(SUBSTITUTE(TRIM(Input!G1233&amp;""),"%","")),0)/IF(AND(IFERROR(VALUE(SUBSTITUTE(TRIM(Input!G1233&amp;""),"%","")),0)&gt;0,IFERROR(VALUE(SUBSTITUTE(TRIM(Input!G1233&amp;""),"%","")),0)&lt;1),1,100))</f>
        <v/>
      </c>
      <c r="G1233" t="str">
        <f>IF(A1233="","",IFERROR(VALUE(SUBSTITUTE(TRIM(Input!H1233&amp;""),"%","")),0)/IF(AND(IFERROR(VALUE(SUBSTITUTE(TRIM(Input!H1233&amp;""),"%","")),0)&gt;0,IFERROR(VALUE(SUBSTITUTE(TRIM(Input!H1233&amp;""),"%","")),0)&lt;1),1,100))</f>
        <v/>
      </c>
      <c r="H1233" t="str">
        <f>IF(A1233="","",IFERROR(VALUE(SUBSTITUTE(TRIM(Input!I1233&amp;""),"%","")),0)/IF(AND(IFERROR(VALUE(SUBSTITUTE(TRIM(Input!I1233&amp;""),"%","")),0)&gt;0,IFERROR(VALUE(SUBSTITUTE(TRIM(Input!I1233&amp;""),"%","")),0)&lt;1),1,100))</f>
        <v/>
      </c>
    </row>
    <row r="1234" spans="1:8">
      <c r="A1234" t="str">
        <f>IF(TRIM(Input!B1234&amp;"")="","",UPPER(TRIM(Input!B1234&amp;"")))</f>
        <v/>
      </c>
      <c r="B1234" t="str">
        <f>IF(A1234="","",IFERROR(VALUE(RIGHT(TRIM(Input!D1234&amp;""),1)),0))</f>
        <v/>
      </c>
      <c r="C1234" t="str">
        <f t="shared" si="19"/>
        <v/>
      </c>
      <c r="D1234" t="str">
        <f>IF(A1234="","",IFERROR(VALUE(SUBSTITUTE(TRIM(Input!E1234&amp;""),"%","")),0)/IF(AND(IFERROR(VALUE(SUBSTITUTE(TRIM(Input!E1234&amp;""),"%","")),0)&gt;0,IFERROR(VALUE(SUBSTITUTE(TRIM(Input!E1234&amp;""),"%","")),0)&lt;1),1,100))</f>
        <v/>
      </c>
      <c r="E1234" t="str">
        <f>IF(A1234="","",IFERROR(VALUE(SUBSTITUTE(TRIM(Input!F1234&amp;""),"%","")),0)/IF(AND(IFERROR(VALUE(SUBSTITUTE(TRIM(Input!F1234&amp;""),"%","")),0)&gt;0,IFERROR(VALUE(SUBSTITUTE(TRIM(Input!F1234&amp;""),"%","")),0)&lt;1),1,100))</f>
        <v/>
      </c>
      <c r="F1234" t="str">
        <f>IF(A1234="","",IFERROR(VALUE(SUBSTITUTE(TRIM(Input!G1234&amp;""),"%","")),0)/IF(AND(IFERROR(VALUE(SUBSTITUTE(TRIM(Input!G1234&amp;""),"%","")),0)&gt;0,IFERROR(VALUE(SUBSTITUTE(TRIM(Input!G1234&amp;""),"%","")),0)&lt;1),1,100))</f>
        <v/>
      </c>
      <c r="G1234" t="str">
        <f>IF(A1234="","",IFERROR(VALUE(SUBSTITUTE(TRIM(Input!H1234&amp;""),"%","")),0)/IF(AND(IFERROR(VALUE(SUBSTITUTE(TRIM(Input!H1234&amp;""),"%","")),0)&gt;0,IFERROR(VALUE(SUBSTITUTE(TRIM(Input!H1234&amp;""),"%","")),0)&lt;1),1,100))</f>
        <v/>
      </c>
      <c r="H1234" t="str">
        <f>IF(A1234="","",IFERROR(VALUE(SUBSTITUTE(TRIM(Input!I1234&amp;""),"%","")),0)/IF(AND(IFERROR(VALUE(SUBSTITUTE(TRIM(Input!I1234&amp;""),"%","")),0)&gt;0,IFERROR(VALUE(SUBSTITUTE(TRIM(Input!I1234&amp;""),"%","")),0)&lt;1),1,100))</f>
        <v/>
      </c>
    </row>
    <row r="1235" spans="1:8">
      <c r="A1235" t="str">
        <f>IF(TRIM(Input!B1235&amp;"")="","",UPPER(TRIM(Input!B1235&amp;"")))</f>
        <v/>
      </c>
      <c r="B1235" t="str">
        <f>IF(A1235="","",IFERROR(VALUE(RIGHT(TRIM(Input!D1235&amp;""),1)),0))</f>
        <v/>
      </c>
      <c r="C1235" t="str">
        <f t="shared" si="19"/>
        <v/>
      </c>
      <c r="D1235" t="str">
        <f>IF(A1235="","",IFERROR(VALUE(SUBSTITUTE(TRIM(Input!E1235&amp;""),"%","")),0)/IF(AND(IFERROR(VALUE(SUBSTITUTE(TRIM(Input!E1235&amp;""),"%","")),0)&gt;0,IFERROR(VALUE(SUBSTITUTE(TRIM(Input!E1235&amp;""),"%","")),0)&lt;1),1,100))</f>
        <v/>
      </c>
      <c r="E1235" t="str">
        <f>IF(A1235="","",IFERROR(VALUE(SUBSTITUTE(TRIM(Input!F1235&amp;""),"%","")),0)/IF(AND(IFERROR(VALUE(SUBSTITUTE(TRIM(Input!F1235&amp;""),"%","")),0)&gt;0,IFERROR(VALUE(SUBSTITUTE(TRIM(Input!F1235&amp;""),"%","")),0)&lt;1),1,100))</f>
        <v/>
      </c>
      <c r="F1235" t="str">
        <f>IF(A1235="","",IFERROR(VALUE(SUBSTITUTE(TRIM(Input!G1235&amp;""),"%","")),0)/IF(AND(IFERROR(VALUE(SUBSTITUTE(TRIM(Input!G1235&amp;""),"%","")),0)&gt;0,IFERROR(VALUE(SUBSTITUTE(TRIM(Input!G1235&amp;""),"%","")),0)&lt;1),1,100))</f>
        <v/>
      </c>
      <c r="G1235" t="str">
        <f>IF(A1235="","",IFERROR(VALUE(SUBSTITUTE(TRIM(Input!H1235&amp;""),"%","")),0)/IF(AND(IFERROR(VALUE(SUBSTITUTE(TRIM(Input!H1235&amp;""),"%","")),0)&gt;0,IFERROR(VALUE(SUBSTITUTE(TRIM(Input!H1235&amp;""),"%","")),0)&lt;1),1,100))</f>
        <v/>
      </c>
      <c r="H1235" t="str">
        <f>IF(A1235="","",IFERROR(VALUE(SUBSTITUTE(TRIM(Input!I1235&amp;""),"%","")),0)/IF(AND(IFERROR(VALUE(SUBSTITUTE(TRIM(Input!I1235&amp;""),"%","")),0)&gt;0,IFERROR(VALUE(SUBSTITUTE(TRIM(Input!I1235&amp;""),"%","")),0)&lt;1),1,100))</f>
        <v/>
      </c>
    </row>
    <row r="1236" spans="1:8">
      <c r="A1236" t="str">
        <f>IF(TRIM(Input!B1236&amp;"")="","",UPPER(TRIM(Input!B1236&amp;"")))</f>
        <v/>
      </c>
      <c r="B1236" t="str">
        <f>IF(A1236="","",IFERROR(VALUE(RIGHT(TRIM(Input!D1236&amp;""),1)),0))</f>
        <v/>
      </c>
      <c r="C1236" t="str">
        <f t="shared" si="19"/>
        <v/>
      </c>
      <c r="D1236" t="str">
        <f>IF(A1236="","",IFERROR(VALUE(SUBSTITUTE(TRIM(Input!E1236&amp;""),"%","")),0)/IF(AND(IFERROR(VALUE(SUBSTITUTE(TRIM(Input!E1236&amp;""),"%","")),0)&gt;0,IFERROR(VALUE(SUBSTITUTE(TRIM(Input!E1236&amp;""),"%","")),0)&lt;1),1,100))</f>
        <v/>
      </c>
      <c r="E1236" t="str">
        <f>IF(A1236="","",IFERROR(VALUE(SUBSTITUTE(TRIM(Input!F1236&amp;""),"%","")),0)/IF(AND(IFERROR(VALUE(SUBSTITUTE(TRIM(Input!F1236&amp;""),"%","")),0)&gt;0,IFERROR(VALUE(SUBSTITUTE(TRIM(Input!F1236&amp;""),"%","")),0)&lt;1),1,100))</f>
        <v/>
      </c>
      <c r="F1236" t="str">
        <f>IF(A1236="","",IFERROR(VALUE(SUBSTITUTE(TRIM(Input!G1236&amp;""),"%","")),0)/IF(AND(IFERROR(VALUE(SUBSTITUTE(TRIM(Input!G1236&amp;""),"%","")),0)&gt;0,IFERROR(VALUE(SUBSTITUTE(TRIM(Input!G1236&amp;""),"%","")),0)&lt;1),1,100))</f>
        <v/>
      </c>
      <c r="G1236" t="str">
        <f>IF(A1236="","",IFERROR(VALUE(SUBSTITUTE(TRIM(Input!H1236&amp;""),"%","")),0)/IF(AND(IFERROR(VALUE(SUBSTITUTE(TRIM(Input!H1236&amp;""),"%","")),0)&gt;0,IFERROR(VALUE(SUBSTITUTE(TRIM(Input!H1236&amp;""),"%","")),0)&lt;1),1,100))</f>
        <v/>
      </c>
      <c r="H1236" t="str">
        <f>IF(A1236="","",IFERROR(VALUE(SUBSTITUTE(TRIM(Input!I1236&amp;""),"%","")),0)/IF(AND(IFERROR(VALUE(SUBSTITUTE(TRIM(Input!I1236&amp;""),"%","")),0)&gt;0,IFERROR(VALUE(SUBSTITUTE(TRIM(Input!I1236&amp;""),"%","")),0)&lt;1),1,100))</f>
        <v/>
      </c>
    </row>
    <row r="1237" spans="1:8">
      <c r="A1237" t="str">
        <f>IF(TRIM(Input!B1237&amp;"")="","",UPPER(TRIM(Input!B1237&amp;"")))</f>
        <v/>
      </c>
      <c r="B1237" t="str">
        <f>IF(A1237="","",IFERROR(VALUE(RIGHT(TRIM(Input!D1237&amp;""),1)),0))</f>
        <v/>
      </c>
      <c r="C1237" t="str">
        <f t="shared" si="19"/>
        <v/>
      </c>
      <c r="D1237" t="str">
        <f>IF(A1237="","",IFERROR(VALUE(SUBSTITUTE(TRIM(Input!E1237&amp;""),"%","")),0)/IF(AND(IFERROR(VALUE(SUBSTITUTE(TRIM(Input!E1237&amp;""),"%","")),0)&gt;0,IFERROR(VALUE(SUBSTITUTE(TRIM(Input!E1237&amp;""),"%","")),0)&lt;1),1,100))</f>
        <v/>
      </c>
      <c r="E1237" t="str">
        <f>IF(A1237="","",IFERROR(VALUE(SUBSTITUTE(TRIM(Input!F1237&amp;""),"%","")),0)/IF(AND(IFERROR(VALUE(SUBSTITUTE(TRIM(Input!F1237&amp;""),"%","")),0)&gt;0,IFERROR(VALUE(SUBSTITUTE(TRIM(Input!F1237&amp;""),"%","")),0)&lt;1),1,100))</f>
        <v/>
      </c>
      <c r="F1237" t="str">
        <f>IF(A1237="","",IFERROR(VALUE(SUBSTITUTE(TRIM(Input!G1237&amp;""),"%","")),0)/IF(AND(IFERROR(VALUE(SUBSTITUTE(TRIM(Input!G1237&amp;""),"%","")),0)&gt;0,IFERROR(VALUE(SUBSTITUTE(TRIM(Input!G1237&amp;""),"%","")),0)&lt;1),1,100))</f>
        <v/>
      </c>
      <c r="G1237" t="str">
        <f>IF(A1237="","",IFERROR(VALUE(SUBSTITUTE(TRIM(Input!H1237&amp;""),"%","")),0)/IF(AND(IFERROR(VALUE(SUBSTITUTE(TRIM(Input!H1237&amp;""),"%","")),0)&gt;0,IFERROR(VALUE(SUBSTITUTE(TRIM(Input!H1237&amp;""),"%","")),0)&lt;1),1,100))</f>
        <v/>
      </c>
      <c r="H1237" t="str">
        <f>IF(A1237="","",IFERROR(VALUE(SUBSTITUTE(TRIM(Input!I1237&amp;""),"%","")),0)/IF(AND(IFERROR(VALUE(SUBSTITUTE(TRIM(Input!I1237&amp;""),"%","")),0)&gt;0,IFERROR(VALUE(SUBSTITUTE(TRIM(Input!I1237&amp;""),"%","")),0)&lt;1),1,100))</f>
        <v/>
      </c>
    </row>
    <row r="1238" spans="1:8">
      <c r="A1238" t="str">
        <f>IF(TRIM(Input!B1238&amp;"")="","",UPPER(TRIM(Input!B1238&amp;"")))</f>
        <v/>
      </c>
      <c r="B1238" t="str">
        <f>IF(A1238="","",IFERROR(VALUE(RIGHT(TRIM(Input!D1238&amp;""),1)),0))</f>
        <v/>
      </c>
      <c r="C1238" t="str">
        <f t="shared" si="19"/>
        <v/>
      </c>
      <c r="D1238" t="str">
        <f>IF(A1238="","",IFERROR(VALUE(SUBSTITUTE(TRIM(Input!E1238&amp;""),"%","")),0)/IF(AND(IFERROR(VALUE(SUBSTITUTE(TRIM(Input!E1238&amp;""),"%","")),0)&gt;0,IFERROR(VALUE(SUBSTITUTE(TRIM(Input!E1238&amp;""),"%","")),0)&lt;1),1,100))</f>
        <v/>
      </c>
      <c r="E1238" t="str">
        <f>IF(A1238="","",IFERROR(VALUE(SUBSTITUTE(TRIM(Input!F1238&amp;""),"%","")),0)/IF(AND(IFERROR(VALUE(SUBSTITUTE(TRIM(Input!F1238&amp;""),"%","")),0)&gt;0,IFERROR(VALUE(SUBSTITUTE(TRIM(Input!F1238&amp;""),"%","")),0)&lt;1),1,100))</f>
        <v/>
      </c>
      <c r="F1238" t="str">
        <f>IF(A1238="","",IFERROR(VALUE(SUBSTITUTE(TRIM(Input!G1238&amp;""),"%","")),0)/IF(AND(IFERROR(VALUE(SUBSTITUTE(TRIM(Input!G1238&amp;""),"%","")),0)&gt;0,IFERROR(VALUE(SUBSTITUTE(TRIM(Input!G1238&amp;""),"%","")),0)&lt;1),1,100))</f>
        <v/>
      </c>
      <c r="G1238" t="str">
        <f>IF(A1238="","",IFERROR(VALUE(SUBSTITUTE(TRIM(Input!H1238&amp;""),"%","")),0)/IF(AND(IFERROR(VALUE(SUBSTITUTE(TRIM(Input!H1238&amp;""),"%","")),0)&gt;0,IFERROR(VALUE(SUBSTITUTE(TRIM(Input!H1238&amp;""),"%","")),0)&lt;1),1,100))</f>
        <v/>
      </c>
      <c r="H1238" t="str">
        <f>IF(A1238="","",IFERROR(VALUE(SUBSTITUTE(TRIM(Input!I1238&amp;""),"%","")),0)/IF(AND(IFERROR(VALUE(SUBSTITUTE(TRIM(Input!I1238&amp;""),"%","")),0)&gt;0,IFERROR(VALUE(SUBSTITUTE(TRIM(Input!I1238&amp;""),"%","")),0)&lt;1),1,100))</f>
        <v/>
      </c>
    </row>
    <row r="1239" spans="1:8">
      <c r="A1239" t="str">
        <f>IF(TRIM(Input!B1239&amp;"")="","",UPPER(TRIM(Input!B1239&amp;"")))</f>
        <v/>
      </c>
      <c r="B1239" t="str">
        <f>IF(A1239="","",IFERROR(VALUE(RIGHT(TRIM(Input!D1239&amp;""),1)),0))</f>
        <v/>
      </c>
      <c r="C1239" t="str">
        <f t="shared" si="19"/>
        <v/>
      </c>
      <c r="D1239" t="str">
        <f>IF(A1239="","",IFERROR(VALUE(SUBSTITUTE(TRIM(Input!E1239&amp;""),"%","")),0)/IF(AND(IFERROR(VALUE(SUBSTITUTE(TRIM(Input!E1239&amp;""),"%","")),0)&gt;0,IFERROR(VALUE(SUBSTITUTE(TRIM(Input!E1239&amp;""),"%","")),0)&lt;1),1,100))</f>
        <v/>
      </c>
      <c r="E1239" t="str">
        <f>IF(A1239="","",IFERROR(VALUE(SUBSTITUTE(TRIM(Input!F1239&amp;""),"%","")),0)/IF(AND(IFERROR(VALUE(SUBSTITUTE(TRIM(Input!F1239&amp;""),"%","")),0)&gt;0,IFERROR(VALUE(SUBSTITUTE(TRIM(Input!F1239&amp;""),"%","")),0)&lt;1),1,100))</f>
        <v/>
      </c>
      <c r="F1239" t="str">
        <f>IF(A1239="","",IFERROR(VALUE(SUBSTITUTE(TRIM(Input!G1239&amp;""),"%","")),0)/IF(AND(IFERROR(VALUE(SUBSTITUTE(TRIM(Input!G1239&amp;""),"%","")),0)&gt;0,IFERROR(VALUE(SUBSTITUTE(TRIM(Input!G1239&amp;""),"%","")),0)&lt;1),1,100))</f>
        <v/>
      </c>
      <c r="G1239" t="str">
        <f>IF(A1239="","",IFERROR(VALUE(SUBSTITUTE(TRIM(Input!H1239&amp;""),"%","")),0)/IF(AND(IFERROR(VALUE(SUBSTITUTE(TRIM(Input!H1239&amp;""),"%","")),0)&gt;0,IFERROR(VALUE(SUBSTITUTE(TRIM(Input!H1239&amp;""),"%","")),0)&lt;1),1,100))</f>
        <v/>
      </c>
      <c r="H1239" t="str">
        <f>IF(A1239="","",IFERROR(VALUE(SUBSTITUTE(TRIM(Input!I1239&amp;""),"%","")),0)/IF(AND(IFERROR(VALUE(SUBSTITUTE(TRIM(Input!I1239&amp;""),"%","")),0)&gt;0,IFERROR(VALUE(SUBSTITUTE(TRIM(Input!I1239&amp;""),"%","")),0)&lt;1),1,100))</f>
        <v/>
      </c>
    </row>
    <row r="1240" spans="1:8">
      <c r="A1240" t="str">
        <f>IF(TRIM(Input!B1240&amp;"")="","",UPPER(TRIM(Input!B1240&amp;"")))</f>
        <v/>
      </c>
      <c r="B1240" t="str">
        <f>IF(A1240="","",IFERROR(VALUE(RIGHT(TRIM(Input!D1240&amp;""),1)),0))</f>
        <v/>
      </c>
      <c r="C1240" t="str">
        <f t="shared" si="19"/>
        <v/>
      </c>
      <c r="D1240" t="str">
        <f>IF(A1240="","",IFERROR(VALUE(SUBSTITUTE(TRIM(Input!E1240&amp;""),"%","")),0)/IF(AND(IFERROR(VALUE(SUBSTITUTE(TRIM(Input!E1240&amp;""),"%","")),0)&gt;0,IFERROR(VALUE(SUBSTITUTE(TRIM(Input!E1240&amp;""),"%","")),0)&lt;1),1,100))</f>
        <v/>
      </c>
      <c r="E1240" t="str">
        <f>IF(A1240="","",IFERROR(VALUE(SUBSTITUTE(TRIM(Input!F1240&amp;""),"%","")),0)/IF(AND(IFERROR(VALUE(SUBSTITUTE(TRIM(Input!F1240&amp;""),"%","")),0)&gt;0,IFERROR(VALUE(SUBSTITUTE(TRIM(Input!F1240&amp;""),"%","")),0)&lt;1),1,100))</f>
        <v/>
      </c>
      <c r="F1240" t="str">
        <f>IF(A1240="","",IFERROR(VALUE(SUBSTITUTE(TRIM(Input!G1240&amp;""),"%","")),0)/IF(AND(IFERROR(VALUE(SUBSTITUTE(TRIM(Input!G1240&amp;""),"%","")),0)&gt;0,IFERROR(VALUE(SUBSTITUTE(TRIM(Input!G1240&amp;""),"%","")),0)&lt;1),1,100))</f>
        <v/>
      </c>
      <c r="G1240" t="str">
        <f>IF(A1240="","",IFERROR(VALUE(SUBSTITUTE(TRIM(Input!H1240&amp;""),"%","")),0)/IF(AND(IFERROR(VALUE(SUBSTITUTE(TRIM(Input!H1240&amp;""),"%","")),0)&gt;0,IFERROR(VALUE(SUBSTITUTE(TRIM(Input!H1240&amp;""),"%","")),0)&lt;1),1,100))</f>
        <v/>
      </c>
      <c r="H1240" t="str">
        <f>IF(A1240="","",IFERROR(VALUE(SUBSTITUTE(TRIM(Input!I1240&amp;""),"%","")),0)/IF(AND(IFERROR(VALUE(SUBSTITUTE(TRIM(Input!I1240&amp;""),"%","")),0)&gt;0,IFERROR(VALUE(SUBSTITUTE(TRIM(Input!I1240&amp;""),"%","")),0)&lt;1),1,100))</f>
        <v/>
      </c>
    </row>
    <row r="1241" spans="1:8">
      <c r="A1241" t="str">
        <f>IF(TRIM(Input!B1241&amp;"")="","",UPPER(TRIM(Input!B1241&amp;"")))</f>
        <v/>
      </c>
      <c r="B1241" t="str">
        <f>IF(A1241="","",IFERROR(VALUE(RIGHT(TRIM(Input!D1241&amp;""),1)),0))</f>
        <v/>
      </c>
      <c r="C1241" t="str">
        <f t="shared" si="19"/>
        <v/>
      </c>
      <c r="D1241" t="str">
        <f>IF(A1241="","",IFERROR(VALUE(SUBSTITUTE(TRIM(Input!E1241&amp;""),"%","")),0)/IF(AND(IFERROR(VALUE(SUBSTITUTE(TRIM(Input!E1241&amp;""),"%","")),0)&gt;0,IFERROR(VALUE(SUBSTITUTE(TRIM(Input!E1241&amp;""),"%","")),0)&lt;1),1,100))</f>
        <v/>
      </c>
      <c r="E1241" t="str">
        <f>IF(A1241="","",IFERROR(VALUE(SUBSTITUTE(TRIM(Input!F1241&amp;""),"%","")),0)/IF(AND(IFERROR(VALUE(SUBSTITUTE(TRIM(Input!F1241&amp;""),"%","")),0)&gt;0,IFERROR(VALUE(SUBSTITUTE(TRIM(Input!F1241&amp;""),"%","")),0)&lt;1),1,100))</f>
        <v/>
      </c>
      <c r="F1241" t="str">
        <f>IF(A1241="","",IFERROR(VALUE(SUBSTITUTE(TRIM(Input!G1241&amp;""),"%","")),0)/IF(AND(IFERROR(VALUE(SUBSTITUTE(TRIM(Input!G1241&amp;""),"%","")),0)&gt;0,IFERROR(VALUE(SUBSTITUTE(TRIM(Input!G1241&amp;""),"%","")),0)&lt;1),1,100))</f>
        <v/>
      </c>
      <c r="G1241" t="str">
        <f>IF(A1241="","",IFERROR(VALUE(SUBSTITUTE(TRIM(Input!H1241&amp;""),"%","")),0)/IF(AND(IFERROR(VALUE(SUBSTITUTE(TRIM(Input!H1241&amp;""),"%","")),0)&gt;0,IFERROR(VALUE(SUBSTITUTE(TRIM(Input!H1241&amp;""),"%","")),0)&lt;1),1,100))</f>
        <v/>
      </c>
      <c r="H1241" t="str">
        <f>IF(A1241="","",IFERROR(VALUE(SUBSTITUTE(TRIM(Input!I1241&amp;""),"%","")),0)/IF(AND(IFERROR(VALUE(SUBSTITUTE(TRIM(Input!I1241&amp;""),"%","")),0)&gt;0,IFERROR(VALUE(SUBSTITUTE(TRIM(Input!I1241&amp;""),"%","")),0)&lt;1),1,100))</f>
        <v/>
      </c>
    </row>
    <row r="1242" spans="1:8">
      <c r="A1242" t="str">
        <f>IF(TRIM(Input!B1242&amp;"")="","",UPPER(TRIM(Input!B1242&amp;"")))</f>
        <v/>
      </c>
      <c r="B1242" t="str">
        <f>IF(A1242="","",IFERROR(VALUE(RIGHT(TRIM(Input!D1242&amp;""),1)),0))</f>
        <v/>
      </c>
      <c r="C1242" t="str">
        <f t="shared" si="19"/>
        <v/>
      </c>
      <c r="D1242" t="str">
        <f>IF(A1242="","",IFERROR(VALUE(SUBSTITUTE(TRIM(Input!E1242&amp;""),"%","")),0)/IF(AND(IFERROR(VALUE(SUBSTITUTE(TRIM(Input!E1242&amp;""),"%","")),0)&gt;0,IFERROR(VALUE(SUBSTITUTE(TRIM(Input!E1242&amp;""),"%","")),0)&lt;1),1,100))</f>
        <v/>
      </c>
      <c r="E1242" t="str">
        <f>IF(A1242="","",IFERROR(VALUE(SUBSTITUTE(TRIM(Input!F1242&amp;""),"%","")),0)/IF(AND(IFERROR(VALUE(SUBSTITUTE(TRIM(Input!F1242&amp;""),"%","")),0)&gt;0,IFERROR(VALUE(SUBSTITUTE(TRIM(Input!F1242&amp;""),"%","")),0)&lt;1),1,100))</f>
        <v/>
      </c>
      <c r="F1242" t="str">
        <f>IF(A1242="","",IFERROR(VALUE(SUBSTITUTE(TRIM(Input!G1242&amp;""),"%","")),0)/IF(AND(IFERROR(VALUE(SUBSTITUTE(TRIM(Input!G1242&amp;""),"%","")),0)&gt;0,IFERROR(VALUE(SUBSTITUTE(TRIM(Input!G1242&amp;""),"%","")),0)&lt;1),1,100))</f>
        <v/>
      </c>
      <c r="G1242" t="str">
        <f>IF(A1242="","",IFERROR(VALUE(SUBSTITUTE(TRIM(Input!H1242&amp;""),"%","")),0)/IF(AND(IFERROR(VALUE(SUBSTITUTE(TRIM(Input!H1242&amp;""),"%","")),0)&gt;0,IFERROR(VALUE(SUBSTITUTE(TRIM(Input!H1242&amp;""),"%","")),0)&lt;1),1,100))</f>
        <v/>
      </c>
      <c r="H1242" t="str">
        <f>IF(A1242="","",IFERROR(VALUE(SUBSTITUTE(TRIM(Input!I1242&amp;""),"%","")),0)/IF(AND(IFERROR(VALUE(SUBSTITUTE(TRIM(Input!I1242&amp;""),"%","")),0)&gt;0,IFERROR(VALUE(SUBSTITUTE(TRIM(Input!I1242&amp;""),"%","")),0)&lt;1),1,100))</f>
        <v/>
      </c>
    </row>
    <row r="1243" spans="1:8">
      <c r="A1243" t="str">
        <f>IF(TRIM(Input!B1243&amp;"")="","",UPPER(TRIM(Input!B1243&amp;"")))</f>
        <v/>
      </c>
      <c r="B1243" t="str">
        <f>IF(A1243="","",IFERROR(VALUE(RIGHT(TRIM(Input!D1243&amp;""),1)),0))</f>
        <v/>
      </c>
      <c r="C1243" t="str">
        <f t="shared" si="19"/>
        <v/>
      </c>
      <c r="D1243" t="str">
        <f>IF(A1243="","",IFERROR(VALUE(SUBSTITUTE(TRIM(Input!E1243&amp;""),"%","")),0)/IF(AND(IFERROR(VALUE(SUBSTITUTE(TRIM(Input!E1243&amp;""),"%","")),0)&gt;0,IFERROR(VALUE(SUBSTITUTE(TRIM(Input!E1243&amp;""),"%","")),0)&lt;1),1,100))</f>
        <v/>
      </c>
      <c r="E1243" t="str">
        <f>IF(A1243="","",IFERROR(VALUE(SUBSTITUTE(TRIM(Input!F1243&amp;""),"%","")),0)/IF(AND(IFERROR(VALUE(SUBSTITUTE(TRIM(Input!F1243&amp;""),"%","")),0)&gt;0,IFERROR(VALUE(SUBSTITUTE(TRIM(Input!F1243&amp;""),"%","")),0)&lt;1),1,100))</f>
        <v/>
      </c>
      <c r="F1243" t="str">
        <f>IF(A1243="","",IFERROR(VALUE(SUBSTITUTE(TRIM(Input!G1243&amp;""),"%","")),0)/IF(AND(IFERROR(VALUE(SUBSTITUTE(TRIM(Input!G1243&amp;""),"%","")),0)&gt;0,IFERROR(VALUE(SUBSTITUTE(TRIM(Input!G1243&amp;""),"%","")),0)&lt;1),1,100))</f>
        <v/>
      </c>
      <c r="G1243" t="str">
        <f>IF(A1243="","",IFERROR(VALUE(SUBSTITUTE(TRIM(Input!H1243&amp;""),"%","")),0)/IF(AND(IFERROR(VALUE(SUBSTITUTE(TRIM(Input!H1243&amp;""),"%","")),0)&gt;0,IFERROR(VALUE(SUBSTITUTE(TRIM(Input!H1243&amp;""),"%","")),0)&lt;1),1,100))</f>
        <v/>
      </c>
      <c r="H1243" t="str">
        <f>IF(A1243="","",IFERROR(VALUE(SUBSTITUTE(TRIM(Input!I1243&amp;""),"%","")),0)/IF(AND(IFERROR(VALUE(SUBSTITUTE(TRIM(Input!I1243&amp;""),"%","")),0)&gt;0,IFERROR(VALUE(SUBSTITUTE(TRIM(Input!I1243&amp;""),"%","")),0)&lt;1),1,100))</f>
        <v/>
      </c>
    </row>
    <row r="1244" spans="1:8">
      <c r="A1244" t="str">
        <f>IF(TRIM(Input!B1244&amp;"")="","",UPPER(TRIM(Input!B1244&amp;"")))</f>
        <v/>
      </c>
      <c r="B1244" t="str">
        <f>IF(A1244="","",IFERROR(VALUE(RIGHT(TRIM(Input!D1244&amp;""),1)),0))</f>
        <v/>
      </c>
      <c r="C1244" t="str">
        <f t="shared" si="19"/>
        <v/>
      </c>
      <c r="D1244" t="str">
        <f>IF(A1244="","",IFERROR(VALUE(SUBSTITUTE(TRIM(Input!E1244&amp;""),"%","")),0)/IF(AND(IFERROR(VALUE(SUBSTITUTE(TRIM(Input!E1244&amp;""),"%","")),0)&gt;0,IFERROR(VALUE(SUBSTITUTE(TRIM(Input!E1244&amp;""),"%","")),0)&lt;1),1,100))</f>
        <v/>
      </c>
      <c r="E1244" t="str">
        <f>IF(A1244="","",IFERROR(VALUE(SUBSTITUTE(TRIM(Input!F1244&amp;""),"%","")),0)/IF(AND(IFERROR(VALUE(SUBSTITUTE(TRIM(Input!F1244&amp;""),"%","")),0)&gt;0,IFERROR(VALUE(SUBSTITUTE(TRIM(Input!F1244&amp;""),"%","")),0)&lt;1),1,100))</f>
        <v/>
      </c>
      <c r="F1244" t="str">
        <f>IF(A1244="","",IFERROR(VALUE(SUBSTITUTE(TRIM(Input!G1244&amp;""),"%","")),0)/IF(AND(IFERROR(VALUE(SUBSTITUTE(TRIM(Input!G1244&amp;""),"%","")),0)&gt;0,IFERROR(VALUE(SUBSTITUTE(TRIM(Input!G1244&amp;""),"%","")),0)&lt;1),1,100))</f>
        <v/>
      </c>
      <c r="G1244" t="str">
        <f>IF(A1244="","",IFERROR(VALUE(SUBSTITUTE(TRIM(Input!H1244&amp;""),"%","")),0)/IF(AND(IFERROR(VALUE(SUBSTITUTE(TRIM(Input!H1244&amp;""),"%","")),0)&gt;0,IFERROR(VALUE(SUBSTITUTE(TRIM(Input!H1244&amp;""),"%","")),0)&lt;1),1,100))</f>
        <v/>
      </c>
      <c r="H1244" t="str">
        <f>IF(A1244="","",IFERROR(VALUE(SUBSTITUTE(TRIM(Input!I1244&amp;""),"%","")),0)/IF(AND(IFERROR(VALUE(SUBSTITUTE(TRIM(Input!I1244&amp;""),"%","")),0)&gt;0,IFERROR(VALUE(SUBSTITUTE(TRIM(Input!I1244&amp;""),"%","")),0)&lt;1),1,100))</f>
        <v/>
      </c>
    </row>
    <row r="1245" spans="1:8">
      <c r="A1245" t="str">
        <f>IF(TRIM(Input!B1245&amp;"")="","",UPPER(TRIM(Input!B1245&amp;"")))</f>
        <v/>
      </c>
      <c r="B1245" t="str">
        <f>IF(A1245="","",IFERROR(VALUE(RIGHT(TRIM(Input!D1245&amp;""),1)),0))</f>
        <v/>
      </c>
      <c r="C1245" t="str">
        <f t="shared" si="19"/>
        <v/>
      </c>
      <c r="D1245" t="str">
        <f>IF(A1245="","",IFERROR(VALUE(SUBSTITUTE(TRIM(Input!E1245&amp;""),"%","")),0)/IF(AND(IFERROR(VALUE(SUBSTITUTE(TRIM(Input!E1245&amp;""),"%","")),0)&gt;0,IFERROR(VALUE(SUBSTITUTE(TRIM(Input!E1245&amp;""),"%","")),0)&lt;1),1,100))</f>
        <v/>
      </c>
      <c r="E1245" t="str">
        <f>IF(A1245="","",IFERROR(VALUE(SUBSTITUTE(TRIM(Input!F1245&amp;""),"%","")),0)/IF(AND(IFERROR(VALUE(SUBSTITUTE(TRIM(Input!F1245&amp;""),"%","")),0)&gt;0,IFERROR(VALUE(SUBSTITUTE(TRIM(Input!F1245&amp;""),"%","")),0)&lt;1),1,100))</f>
        <v/>
      </c>
      <c r="F1245" t="str">
        <f>IF(A1245="","",IFERROR(VALUE(SUBSTITUTE(TRIM(Input!G1245&amp;""),"%","")),0)/IF(AND(IFERROR(VALUE(SUBSTITUTE(TRIM(Input!G1245&amp;""),"%","")),0)&gt;0,IFERROR(VALUE(SUBSTITUTE(TRIM(Input!G1245&amp;""),"%","")),0)&lt;1),1,100))</f>
        <v/>
      </c>
      <c r="G1245" t="str">
        <f>IF(A1245="","",IFERROR(VALUE(SUBSTITUTE(TRIM(Input!H1245&amp;""),"%","")),0)/IF(AND(IFERROR(VALUE(SUBSTITUTE(TRIM(Input!H1245&amp;""),"%","")),0)&gt;0,IFERROR(VALUE(SUBSTITUTE(TRIM(Input!H1245&amp;""),"%","")),0)&lt;1),1,100))</f>
        <v/>
      </c>
      <c r="H1245" t="str">
        <f>IF(A1245="","",IFERROR(VALUE(SUBSTITUTE(TRIM(Input!I1245&amp;""),"%","")),0)/IF(AND(IFERROR(VALUE(SUBSTITUTE(TRIM(Input!I1245&amp;""),"%","")),0)&gt;0,IFERROR(VALUE(SUBSTITUTE(TRIM(Input!I1245&amp;""),"%","")),0)&lt;1),1,100))</f>
        <v/>
      </c>
    </row>
    <row r="1246" spans="1:8">
      <c r="A1246" t="str">
        <f>IF(TRIM(Input!B1246&amp;"")="","",UPPER(TRIM(Input!B1246&amp;"")))</f>
        <v/>
      </c>
      <c r="B1246" t="str">
        <f>IF(A1246="","",IFERROR(VALUE(RIGHT(TRIM(Input!D1246&amp;""),1)),0))</f>
        <v/>
      </c>
      <c r="C1246" t="str">
        <f t="shared" si="19"/>
        <v/>
      </c>
      <c r="D1246" t="str">
        <f>IF(A1246="","",IFERROR(VALUE(SUBSTITUTE(TRIM(Input!E1246&amp;""),"%","")),0)/IF(AND(IFERROR(VALUE(SUBSTITUTE(TRIM(Input!E1246&amp;""),"%","")),0)&gt;0,IFERROR(VALUE(SUBSTITUTE(TRIM(Input!E1246&amp;""),"%","")),0)&lt;1),1,100))</f>
        <v/>
      </c>
      <c r="E1246" t="str">
        <f>IF(A1246="","",IFERROR(VALUE(SUBSTITUTE(TRIM(Input!F1246&amp;""),"%","")),0)/IF(AND(IFERROR(VALUE(SUBSTITUTE(TRIM(Input!F1246&amp;""),"%","")),0)&gt;0,IFERROR(VALUE(SUBSTITUTE(TRIM(Input!F1246&amp;""),"%","")),0)&lt;1),1,100))</f>
        <v/>
      </c>
      <c r="F1246" t="str">
        <f>IF(A1246="","",IFERROR(VALUE(SUBSTITUTE(TRIM(Input!G1246&amp;""),"%","")),0)/IF(AND(IFERROR(VALUE(SUBSTITUTE(TRIM(Input!G1246&amp;""),"%","")),0)&gt;0,IFERROR(VALUE(SUBSTITUTE(TRIM(Input!G1246&amp;""),"%","")),0)&lt;1),1,100))</f>
        <v/>
      </c>
      <c r="G1246" t="str">
        <f>IF(A1246="","",IFERROR(VALUE(SUBSTITUTE(TRIM(Input!H1246&amp;""),"%","")),0)/IF(AND(IFERROR(VALUE(SUBSTITUTE(TRIM(Input!H1246&amp;""),"%","")),0)&gt;0,IFERROR(VALUE(SUBSTITUTE(TRIM(Input!H1246&amp;""),"%","")),0)&lt;1),1,100))</f>
        <v/>
      </c>
      <c r="H1246" t="str">
        <f>IF(A1246="","",IFERROR(VALUE(SUBSTITUTE(TRIM(Input!I1246&amp;""),"%","")),0)/IF(AND(IFERROR(VALUE(SUBSTITUTE(TRIM(Input!I1246&amp;""),"%","")),0)&gt;0,IFERROR(VALUE(SUBSTITUTE(TRIM(Input!I1246&amp;""),"%","")),0)&lt;1),1,100))</f>
        <v/>
      </c>
    </row>
    <row r="1247" spans="1:8">
      <c r="A1247" t="str">
        <f>IF(TRIM(Input!B1247&amp;"")="","",UPPER(TRIM(Input!B1247&amp;"")))</f>
        <v/>
      </c>
      <c r="B1247" t="str">
        <f>IF(A1247="","",IFERROR(VALUE(RIGHT(TRIM(Input!D1247&amp;""),1)),0))</f>
        <v/>
      </c>
      <c r="C1247" t="str">
        <f t="shared" si="19"/>
        <v/>
      </c>
      <c r="D1247" t="str">
        <f>IF(A1247="","",IFERROR(VALUE(SUBSTITUTE(TRIM(Input!E1247&amp;""),"%","")),0)/IF(AND(IFERROR(VALUE(SUBSTITUTE(TRIM(Input!E1247&amp;""),"%","")),0)&gt;0,IFERROR(VALUE(SUBSTITUTE(TRIM(Input!E1247&amp;""),"%","")),0)&lt;1),1,100))</f>
        <v/>
      </c>
      <c r="E1247" t="str">
        <f>IF(A1247="","",IFERROR(VALUE(SUBSTITUTE(TRIM(Input!F1247&amp;""),"%","")),0)/IF(AND(IFERROR(VALUE(SUBSTITUTE(TRIM(Input!F1247&amp;""),"%","")),0)&gt;0,IFERROR(VALUE(SUBSTITUTE(TRIM(Input!F1247&amp;""),"%","")),0)&lt;1),1,100))</f>
        <v/>
      </c>
      <c r="F1247" t="str">
        <f>IF(A1247="","",IFERROR(VALUE(SUBSTITUTE(TRIM(Input!G1247&amp;""),"%","")),0)/IF(AND(IFERROR(VALUE(SUBSTITUTE(TRIM(Input!G1247&amp;""),"%","")),0)&gt;0,IFERROR(VALUE(SUBSTITUTE(TRIM(Input!G1247&amp;""),"%","")),0)&lt;1),1,100))</f>
        <v/>
      </c>
      <c r="G1247" t="str">
        <f>IF(A1247="","",IFERROR(VALUE(SUBSTITUTE(TRIM(Input!H1247&amp;""),"%","")),0)/IF(AND(IFERROR(VALUE(SUBSTITUTE(TRIM(Input!H1247&amp;""),"%","")),0)&gt;0,IFERROR(VALUE(SUBSTITUTE(TRIM(Input!H1247&amp;""),"%","")),0)&lt;1),1,100))</f>
        <v/>
      </c>
      <c r="H1247" t="str">
        <f>IF(A1247="","",IFERROR(VALUE(SUBSTITUTE(TRIM(Input!I1247&amp;""),"%","")),0)/IF(AND(IFERROR(VALUE(SUBSTITUTE(TRIM(Input!I1247&amp;""),"%","")),0)&gt;0,IFERROR(VALUE(SUBSTITUTE(TRIM(Input!I1247&amp;""),"%","")),0)&lt;1),1,100))</f>
        <v/>
      </c>
    </row>
    <row r="1248" spans="1:8">
      <c r="A1248" t="str">
        <f>IF(TRIM(Input!B1248&amp;"")="","",UPPER(TRIM(Input!B1248&amp;"")))</f>
        <v/>
      </c>
      <c r="B1248" t="str">
        <f>IF(A1248="","",IFERROR(VALUE(RIGHT(TRIM(Input!D1248&amp;""),1)),0))</f>
        <v/>
      </c>
      <c r="C1248" t="str">
        <f t="shared" si="19"/>
        <v/>
      </c>
      <c r="D1248" t="str">
        <f>IF(A1248="","",IFERROR(VALUE(SUBSTITUTE(TRIM(Input!E1248&amp;""),"%","")),0)/IF(AND(IFERROR(VALUE(SUBSTITUTE(TRIM(Input!E1248&amp;""),"%","")),0)&gt;0,IFERROR(VALUE(SUBSTITUTE(TRIM(Input!E1248&amp;""),"%","")),0)&lt;1),1,100))</f>
        <v/>
      </c>
      <c r="E1248" t="str">
        <f>IF(A1248="","",IFERROR(VALUE(SUBSTITUTE(TRIM(Input!F1248&amp;""),"%","")),0)/IF(AND(IFERROR(VALUE(SUBSTITUTE(TRIM(Input!F1248&amp;""),"%","")),0)&gt;0,IFERROR(VALUE(SUBSTITUTE(TRIM(Input!F1248&amp;""),"%","")),0)&lt;1),1,100))</f>
        <v/>
      </c>
      <c r="F1248" t="str">
        <f>IF(A1248="","",IFERROR(VALUE(SUBSTITUTE(TRIM(Input!G1248&amp;""),"%","")),0)/IF(AND(IFERROR(VALUE(SUBSTITUTE(TRIM(Input!G1248&amp;""),"%","")),0)&gt;0,IFERROR(VALUE(SUBSTITUTE(TRIM(Input!G1248&amp;""),"%","")),0)&lt;1),1,100))</f>
        <v/>
      </c>
      <c r="G1248" t="str">
        <f>IF(A1248="","",IFERROR(VALUE(SUBSTITUTE(TRIM(Input!H1248&amp;""),"%","")),0)/IF(AND(IFERROR(VALUE(SUBSTITUTE(TRIM(Input!H1248&amp;""),"%","")),0)&gt;0,IFERROR(VALUE(SUBSTITUTE(TRIM(Input!H1248&amp;""),"%","")),0)&lt;1),1,100))</f>
        <v/>
      </c>
      <c r="H1248" t="str">
        <f>IF(A1248="","",IFERROR(VALUE(SUBSTITUTE(TRIM(Input!I1248&amp;""),"%","")),0)/IF(AND(IFERROR(VALUE(SUBSTITUTE(TRIM(Input!I1248&amp;""),"%","")),0)&gt;0,IFERROR(VALUE(SUBSTITUTE(TRIM(Input!I1248&amp;""),"%","")),0)&lt;1),1,100))</f>
        <v/>
      </c>
    </row>
    <row r="1249" spans="1:8">
      <c r="A1249" t="str">
        <f>IF(TRIM(Input!B1249&amp;"")="","",UPPER(TRIM(Input!B1249&amp;"")))</f>
        <v/>
      </c>
      <c r="B1249" t="str">
        <f>IF(A1249="","",IFERROR(VALUE(RIGHT(TRIM(Input!D1249&amp;""),1)),0))</f>
        <v/>
      </c>
      <c r="C1249" t="str">
        <f t="shared" si="19"/>
        <v/>
      </c>
      <c r="D1249" t="str">
        <f>IF(A1249="","",IFERROR(VALUE(SUBSTITUTE(TRIM(Input!E1249&amp;""),"%","")),0)/IF(AND(IFERROR(VALUE(SUBSTITUTE(TRIM(Input!E1249&amp;""),"%","")),0)&gt;0,IFERROR(VALUE(SUBSTITUTE(TRIM(Input!E1249&amp;""),"%","")),0)&lt;1),1,100))</f>
        <v/>
      </c>
      <c r="E1249" t="str">
        <f>IF(A1249="","",IFERROR(VALUE(SUBSTITUTE(TRIM(Input!F1249&amp;""),"%","")),0)/IF(AND(IFERROR(VALUE(SUBSTITUTE(TRIM(Input!F1249&amp;""),"%","")),0)&gt;0,IFERROR(VALUE(SUBSTITUTE(TRIM(Input!F1249&amp;""),"%","")),0)&lt;1),1,100))</f>
        <v/>
      </c>
      <c r="F1249" t="str">
        <f>IF(A1249="","",IFERROR(VALUE(SUBSTITUTE(TRIM(Input!G1249&amp;""),"%","")),0)/IF(AND(IFERROR(VALUE(SUBSTITUTE(TRIM(Input!G1249&amp;""),"%","")),0)&gt;0,IFERROR(VALUE(SUBSTITUTE(TRIM(Input!G1249&amp;""),"%","")),0)&lt;1),1,100))</f>
        <v/>
      </c>
      <c r="G1249" t="str">
        <f>IF(A1249="","",IFERROR(VALUE(SUBSTITUTE(TRIM(Input!H1249&amp;""),"%","")),0)/IF(AND(IFERROR(VALUE(SUBSTITUTE(TRIM(Input!H1249&amp;""),"%","")),0)&gt;0,IFERROR(VALUE(SUBSTITUTE(TRIM(Input!H1249&amp;""),"%","")),0)&lt;1),1,100))</f>
        <v/>
      </c>
      <c r="H1249" t="str">
        <f>IF(A1249="","",IFERROR(VALUE(SUBSTITUTE(TRIM(Input!I1249&amp;""),"%","")),0)/IF(AND(IFERROR(VALUE(SUBSTITUTE(TRIM(Input!I1249&amp;""),"%","")),0)&gt;0,IFERROR(VALUE(SUBSTITUTE(TRIM(Input!I1249&amp;""),"%","")),0)&lt;1),1,100))</f>
        <v/>
      </c>
    </row>
    <row r="1250" spans="1:8">
      <c r="A1250" t="str">
        <f>IF(TRIM(Input!B1250&amp;"")="","",UPPER(TRIM(Input!B1250&amp;"")))</f>
        <v/>
      </c>
      <c r="B1250" t="str">
        <f>IF(A1250="","",IFERROR(VALUE(RIGHT(TRIM(Input!D1250&amp;""),1)),0))</f>
        <v/>
      </c>
      <c r="C1250" t="str">
        <f t="shared" si="19"/>
        <v/>
      </c>
      <c r="D1250" t="str">
        <f>IF(A1250="","",IFERROR(VALUE(SUBSTITUTE(TRIM(Input!E1250&amp;""),"%","")),0)/IF(AND(IFERROR(VALUE(SUBSTITUTE(TRIM(Input!E1250&amp;""),"%","")),0)&gt;0,IFERROR(VALUE(SUBSTITUTE(TRIM(Input!E1250&amp;""),"%","")),0)&lt;1),1,100))</f>
        <v/>
      </c>
      <c r="E1250" t="str">
        <f>IF(A1250="","",IFERROR(VALUE(SUBSTITUTE(TRIM(Input!F1250&amp;""),"%","")),0)/IF(AND(IFERROR(VALUE(SUBSTITUTE(TRIM(Input!F1250&amp;""),"%","")),0)&gt;0,IFERROR(VALUE(SUBSTITUTE(TRIM(Input!F1250&amp;""),"%","")),0)&lt;1),1,100))</f>
        <v/>
      </c>
      <c r="F1250" t="str">
        <f>IF(A1250="","",IFERROR(VALUE(SUBSTITUTE(TRIM(Input!G1250&amp;""),"%","")),0)/IF(AND(IFERROR(VALUE(SUBSTITUTE(TRIM(Input!G1250&amp;""),"%","")),0)&gt;0,IFERROR(VALUE(SUBSTITUTE(TRIM(Input!G1250&amp;""),"%","")),0)&lt;1),1,100))</f>
        <v/>
      </c>
      <c r="G1250" t="str">
        <f>IF(A1250="","",IFERROR(VALUE(SUBSTITUTE(TRIM(Input!H1250&amp;""),"%","")),0)/IF(AND(IFERROR(VALUE(SUBSTITUTE(TRIM(Input!H1250&amp;""),"%","")),0)&gt;0,IFERROR(VALUE(SUBSTITUTE(TRIM(Input!H1250&amp;""),"%","")),0)&lt;1),1,100))</f>
        <v/>
      </c>
      <c r="H1250" t="str">
        <f>IF(A1250="","",IFERROR(VALUE(SUBSTITUTE(TRIM(Input!I1250&amp;""),"%","")),0)/IF(AND(IFERROR(VALUE(SUBSTITUTE(TRIM(Input!I1250&amp;""),"%","")),0)&gt;0,IFERROR(VALUE(SUBSTITUTE(TRIM(Input!I1250&amp;""),"%","")),0)&lt;1),1,100))</f>
        <v/>
      </c>
    </row>
    <row r="1251" spans="1:8">
      <c r="A1251" t="str">
        <f>IF(TRIM(Input!B1251&amp;"")="","",UPPER(TRIM(Input!B1251&amp;"")))</f>
        <v/>
      </c>
      <c r="B1251" t="str">
        <f>IF(A1251="","",IFERROR(VALUE(RIGHT(TRIM(Input!D1251&amp;""),1)),0))</f>
        <v/>
      </c>
      <c r="C1251" t="str">
        <f t="shared" si="19"/>
        <v/>
      </c>
      <c r="D1251" t="str">
        <f>IF(A1251="","",IFERROR(VALUE(SUBSTITUTE(TRIM(Input!E1251&amp;""),"%","")),0)/IF(AND(IFERROR(VALUE(SUBSTITUTE(TRIM(Input!E1251&amp;""),"%","")),0)&gt;0,IFERROR(VALUE(SUBSTITUTE(TRIM(Input!E1251&amp;""),"%","")),0)&lt;1),1,100))</f>
        <v/>
      </c>
      <c r="E1251" t="str">
        <f>IF(A1251="","",IFERROR(VALUE(SUBSTITUTE(TRIM(Input!F1251&amp;""),"%","")),0)/IF(AND(IFERROR(VALUE(SUBSTITUTE(TRIM(Input!F1251&amp;""),"%","")),0)&gt;0,IFERROR(VALUE(SUBSTITUTE(TRIM(Input!F1251&amp;""),"%","")),0)&lt;1),1,100))</f>
        <v/>
      </c>
      <c r="F1251" t="str">
        <f>IF(A1251="","",IFERROR(VALUE(SUBSTITUTE(TRIM(Input!G1251&amp;""),"%","")),0)/IF(AND(IFERROR(VALUE(SUBSTITUTE(TRIM(Input!G1251&amp;""),"%","")),0)&gt;0,IFERROR(VALUE(SUBSTITUTE(TRIM(Input!G1251&amp;""),"%","")),0)&lt;1),1,100))</f>
        <v/>
      </c>
      <c r="G1251" t="str">
        <f>IF(A1251="","",IFERROR(VALUE(SUBSTITUTE(TRIM(Input!H1251&amp;""),"%","")),0)/IF(AND(IFERROR(VALUE(SUBSTITUTE(TRIM(Input!H1251&amp;""),"%","")),0)&gt;0,IFERROR(VALUE(SUBSTITUTE(TRIM(Input!H1251&amp;""),"%","")),0)&lt;1),1,100))</f>
        <v/>
      </c>
      <c r="H1251" t="str">
        <f>IF(A1251="","",IFERROR(VALUE(SUBSTITUTE(TRIM(Input!I1251&amp;""),"%","")),0)/IF(AND(IFERROR(VALUE(SUBSTITUTE(TRIM(Input!I1251&amp;""),"%","")),0)&gt;0,IFERROR(VALUE(SUBSTITUTE(TRIM(Input!I1251&amp;""),"%","")),0)&lt;1),1,100))</f>
        <v/>
      </c>
    </row>
    <row r="1252" spans="1:8">
      <c r="A1252" t="str">
        <f>IF(TRIM(Input!B1252&amp;"")="","",UPPER(TRIM(Input!B1252&amp;"")))</f>
        <v/>
      </c>
      <c r="B1252" t="str">
        <f>IF(A1252="","",IFERROR(VALUE(RIGHT(TRIM(Input!D1252&amp;""),1)),0))</f>
        <v/>
      </c>
      <c r="C1252" t="str">
        <f t="shared" si="19"/>
        <v/>
      </c>
      <c r="D1252" t="str">
        <f>IF(A1252="","",IFERROR(VALUE(SUBSTITUTE(TRIM(Input!E1252&amp;""),"%","")),0)/IF(AND(IFERROR(VALUE(SUBSTITUTE(TRIM(Input!E1252&amp;""),"%","")),0)&gt;0,IFERROR(VALUE(SUBSTITUTE(TRIM(Input!E1252&amp;""),"%","")),0)&lt;1),1,100))</f>
        <v/>
      </c>
      <c r="E1252" t="str">
        <f>IF(A1252="","",IFERROR(VALUE(SUBSTITUTE(TRIM(Input!F1252&amp;""),"%","")),0)/IF(AND(IFERROR(VALUE(SUBSTITUTE(TRIM(Input!F1252&amp;""),"%","")),0)&gt;0,IFERROR(VALUE(SUBSTITUTE(TRIM(Input!F1252&amp;""),"%","")),0)&lt;1),1,100))</f>
        <v/>
      </c>
      <c r="F1252" t="str">
        <f>IF(A1252="","",IFERROR(VALUE(SUBSTITUTE(TRIM(Input!G1252&amp;""),"%","")),0)/IF(AND(IFERROR(VALUE(SUBSTITUTE(TRIM(Input!G1252&amp;""),"%","")),0)&gt;0,IFERROR(VALUE(SUBSTITUTE(TRIM(Input!G1252&amp;""),"%","")),0)&lt;1),1,100))</f>
        <v/>
      </c>
      <c r="G1252" t="str">
        <f>IF(A1252="","",IFERROR(VALUE(SUBSTITUTE(TRIM(Input!H1252&amp;""),"%","")),0)/IF(AND(IFERROR(VALUE(SUBSTITUTE(TRIM(Input!H1252&amp;""),"%","")),0)&gt;0,IFERROR(VALUE(SUBSTITUTE(TRIM(Input!H1252&amp;""),"%","")),0)&lt;1),1,100))</f>
        <v/>
      </c>
      <c r="H1252" t="str">
        <f>IF(A1252="","",IFERROR(VALUE(SUBSTITUTE(TRIM(Input!I1252&amp;""),"%","")),0)/IF(AND(IFERROR(VALUE(SUBSTITUTE(TRIM(Input!I1252&amp;""),"%","")),0)&gt;0,IFERROR(VALUE(SUBSTITUTE(TRIM(Input!I1252&amp;""),"%","")),0)&lt;1),1,100))</f>
        <v/>
      </c>
    </row>
    <row r="1253" spans="1:8">
      <c r="A1253" t="str">
        <f>IF(TRIM(Input!B1253&amp;"")="","",UPPER(TRIM(Input!B1253&amp;"")))</f>
        <v/>
      </c>
      <c r="B1253" t="str">
        <f>IF(A1253="","",IFERROR(VALUE(RIGHT(TRIM(Input!D1253&amp;""),1)),0))</f>
        <v/>
      </c>
      <c r="C1253" t="str">
        <f t="shared" si="19"/>
        <v/>
      </c>
      <c r="D1253" t="str">
        <f>IF(A1253="","",IFERROR(VALUE(SUBSTITUTE(TRIM(Input!E1253&amp;""),"%","")),0)/IF(AND(IFERROR(VALUE(SUBSTITUTE(TRIM(Input!E1253&amp;""),"%","")),0)&gt;0,IFERROR(VALUE(SUBSTITUTE(TRIM(Input!E1253&amp;""),"%","")),0)&lt;1),1,100))</f>
        <v/>
      </c>
      <c r="E1253" t="str">
        <f>IF(A1253="","",IFERROR(VALUE(SUBSTITUTE(TRIM(Input!F1253&amp;""),"%","")),0)/IF(AND(IFERROR(VALUE(SUBSTITUTE(TRIM(Input!F1253&amp;""),"%","")),0)&gt;0,IFERROR(VALUE(SUBSTITUTE(TRIM(Input!F1253&amp;""),"%","")),0)&lt;1),1,100))</f>
        <v/>
      </c>
      <c r="F1253" t="str">
        <f>IF(A1253="","",IFERROR(VALUE(SUBSTITUTE(TRIM(Input!G1253&amp;""),"%","")),0)/IF(AND(IFERROR(VALUE(SUBSTITUTE(TRIM(Input!G1253&amp;""),"%","")),0)&gt;0,IFERROR(VALUE(SUBSTITUTE(TRIM(Input!G1253&amp;""),"%","")),0)&lt;1),1,100))</f>
        <v/>
      </c>
      <c r="G1253" t="str">
        <f>IF(A1253="","",IFERROR(VALUE(SUBSTITUTE(TRIM(Input!H1253&amp;""),"%","")),0)/IF(AND(IFERROR(VALUE(SUBSTITUTE(TRIM(Input!H1253&amp;""),"%","")),0)&gt;0,IFERROR(VALUE(SUBSTITUTE(TRIM(Input!H1253&amp;""),"%","")),0)&lt;1),1,100))</f>
        <v/>
      </c>
      <c r="H1253" t="str">
        <f>IF(A1253="","",IFERROR(VALUE(SUBSTITUTE(TRIM(Input!I1253&amp;""),"%","")),0)/IF(AND(IFERROR(VALUE(SUBSTITUTE(TRIM(Input!I1253&amp;""),"%","")),0)&gt;0,IFERROR(VALUE(SUBSTITUTE(TRIM(Input!I1253&amp;""),"%","")),0)&lt;1),1,100))</f>
        <v/>
      </c>
    </row>
    <row r="1254" spans="1:8">
      <c r="A1254" t="str">
        <f>IF(TRIM(Input!B1254&amp;"")="","",UPPER(TRIM(Input!B1254&amp;"")))</f>
        <v/>
      </c>
      <c r="B1254" t="str">
        <f>IF(A1254="","",IFERROR(VALUE(RIGHT(TRIM(Input!D1254&amp;""),1)),0))</f>
        <v/>
      </c>
      <c r="C1254" t="str">
        <f t="shared" si="19"/>
        <v/>
      </c>
      <c r="D1254" t="str">
        <f>IF(A1254="","",IFERROR(VALUE(SUBSTITUTE(TRIM(Input!E1254&amp;""),"%","")),0)/IF(AND(IFERROR(VALUE(SUBSTITUTE(TRIM(Input!E1254&amp;""),"%","")),0)&gt;0,IFERROR(VALUE(SUBSTITUTE(TRIM(Input!E1254&amp;""),"%","")),0)&lt;1),1,100))</f>
        <v/>
      </c>
      <c r="E1254" t="str">
        <f>IF(A1254="","",IFERROR(VALUE(SUBSTITUTE(TRIM(Input!F1254&amp;""),"%","")),0)/IF(AND(IFERROR(VALUE(SUBSTITUTE(TRIM(Input!F1254&amp;""),"%","")),0)&gt;0,IFERROR(VALUE(SUBSTITUTE(TRIM(Input!F1254&amp;""),"%","")),0)&lt;1),1,100))</f>
        <v/>
      </c>
      <c r="F1254" t="str">
        <f>IF(A1254="","",IFERROR(VALUE(SUBSTITUTE(TRIM(Input!G1254&amp;""),"%","")),0)/IF(AND(IFERROR(VALUE(SUBSTITUTE(TRIM(Input!G1254&amp;""),"%","")),0)&gt;0,IFERROR(VALUE(SUBSTITUTE(TRIM(Input!G1254&amp;""),"%","")),0)&lt;1),1,100))</f>
        <v/>
      </c>
      <c r="G1254" t="str">
        <f>IF(A1254="","",IFERROR(VALUE(SUBSTITUTE(TRIM(Input!H1254&amp;""),"%","")),0)/IF(AND(IFERROR(VALUE(SUBSTITUTE(TRIM(Input!H1254&amp;""),"%","")),0)&gt;0,IFERROR(VALUE(SUBSTITUTE(TRIM(Input!H1254&amp;""),"%","")),0)&lt;1),1,100))</f>
        <v/>
      </c>
      <c r="H1254" t="str">
        <f>IF(A1254="","",IFERROR(VALUE(SUBSTITUTE(TRIM(Input!I1254&amp;""),"%","")),0)/IF(AND(IFERROR(VALUE(SUBSTITUTE(TRIM(Input!I1254&amp;""),"%","")),0)&gt;0,IFERROR(VALUE(SUBSTITUTE(TRIM(Input!I1254&amp;""),"%","")),0)&lt;1),1,100))</f>
        <v/>
      </c>
    </row>
    <row r="1255" spans="1:8">
      <c r="A1255" t="str">
        <f>IF(TRIM(Input!B1255&amp;"")="","",UPPER(TRIM(Input!B1255&amp;"")))</f>
        <v/>
      </c>
      <c r="B1255" t="str">
        <f>IF(A1255="","",IFERROR(VALUE(RIGHT(TRIM(Input!D1255&amp;""),1)),0))</f>
        <v/>
      </c>
      <c r="C1255" t="str">
        <f t="shared" si="19"/>
        <v/>
      </c>
      <c r="D1255" t="str">
        <f>IF(A1255="","",IFERROR(VALUE(SUBSTITUTE(TRIM(Input!E1255&amp;""),"%","")),0)/IF(AND(IFERROR(VALUE(SUBSTITUTE(TRIM(Input!E1255&amp;""),"%","")),0)&gt;0,IFERROR(VALUE(SUBSTITUTE(TRIM(Input!E1255&amp;""),"%","")),0)&lt;1),1,100))</f>
        <v/>
      </c>
      <c r="E1255" t="str">
        <f>IF(A1255="","",IFERROR(VALUE(SUBSTITUTE(TRIM(Input!F1255&amp;""),"%","")),0)/IF(AND(IFERROR(VALUE(SUBSTITUTE(TRIM(Input!F1255&amp;""),"%","")),0)&gt;0,IFERROR(VALUE(SUBSTITUTE(TRIM(Input!F1255&amp;""),"%","")),0)&lt;1),1,100))</f>
        <v/>
      </c>
      <c r="F1255" t="str">
        <f>IF(A1255="","",IFERROR(VALUE(SUBSTITUTE(TRIM(Input!G1255&amp;""),"%","")),0)/IF(AND(IFERROR(VALUE(SUBSTITUTE(TRIM(Input!G1255&amp;""),"%","")),0)&gt;0,IFERROR(VALUE(SUBSTITUTE(TRIM(Input!G1255&amp;""),"%","")),0)&lt;1),1,100))</f>
        <v/>
      </c>
      <c r="G1255" t="str">
        <f>IF(A1255="","",IFERROR(VALUE(SUBSTITUTE(TRIM(Input!H1255&amp;""),"%","")),0)/IF(AND(IFERROR(VALUE(SUBSTITUTE(TRIM(Input!H1255&amp;""),"%","")),0)&gt;0,IFERROR(VALUE(SUBSTITUTE(TRIM(Input!H1255&amp;""),"%","")),0)&lt;1),1,100))</f>
        <v/>
      </c>
      <c r="H1255" t="str">
        <f>IF(A1255="","",IFERROR(VALUE(SUBSTITUTE(TRIM(Input!I1255&amp;""),"%","")),0)/IF(AND(IFERROR(VALUE(SUBSTITUTE(TRIM(Input!I1255&amp;""),"%","")),0)&gt;0,IFERROR(VALUE(SUBSTITUTE(TRIM(Input!I1255&amp;""),"%","")),0)&lt;1),1,100))</f>
        <v/>
      </c>
    </row>
    <row r="1256" spans="1:8">
      <c r="A1256" t="str">
        <f>IF(TRIM(Input!B1256&amp;"")="","",UPPER(TRIM(Input!B1256&amp;"")))</f>
        <v/>
      </c>
      <c r="B1256" t="str">
        <f>IF(A1256="","",IFERROR(VALUE(RIGHT(TRIM(Input!D1256&amp;""),1)),0))</f>
        <v/>
      </c>
      <c r="C1256" t="str">
        <f t="shared" si="19"/>
        <v/>
      </c>
      <c r="D1256" t="str">
        <f>IF(A1256="","",IFERROR(VALUE(SUBSTITUTE(TRIM(Input!E1256&amp;""),"%","")),0)/IF(AND(IFERROR(VALUE(SUBSTITUTE(TRIM(Input!E1256&amp;""),"%","")),0)&gt;0,IFERROR(VALUE(SUBSTITUTE(TRIM(Input!E1256&amp;""),"%","")),0)&lt;1),1,100))</f>
        <v/>
      </c>
      <c r="E1256" t="str">
        <f>IF(A1256="","",IFERROR(VALUE(SUBSTITUTE(TRIM(Input!F1256&amp;""),"%","")),0)/IF(AND(IFERROR(VALUE(SUBSTITUTE(TRIM(Input!F1256&amp;""),"%","")),0)&gt;0,IFERROR(VALUE(SUBSTITUTE(TRIM(Input!F1256&amp;""),"%","")),0)&lt;1),1,100))</f>
        <v/>
      </c>
      <c r="F1256" t="str">
        <f>IF(A1256="","",IFERROR(VALUE(SUBSTITUTE(TRIM(Input!G1256&amp;""),"%","")),0)/IF(AND(IFERROR(VALUE(SUBSTITUTE(TRIM(Input!G1256&amp;""),"%","")),0)&gt;0,IFERROR(VALUE(SUBSTITUTE(TRIM(Input!G1256&amp;""),"%","")),0)&lt;1),1,100))</f>
        <v/>
      </c>
      <c r="G1256" t="str">
        <f>IF(A1256="","",IFERROR(VALUE(SUBSTITUTE(TRIM(Input!H1256&amp;""),"%","")),0)/IF(AND(IFERROR(VALUE(SUBSTITUTE(TRIM(Input!H1256&amp;""),"%","")),0)&gt;0,IFERROR(VALUE(SUBSTITUTE(TRIM(Input!H1256&amp;""),"%","")),0)&lt;1),1,100))</f>
        <v/>
      </c>
      <c r="H1256" t="str">
        <f>IF(A1256="","",IFERROR(VALUE(SUBSTITUTE(TRIM(Input!I1256&amp;""),"%","")),0)/IF(AND(IFERROR(VALUE(SUBSTITUTE(TRIM(Input!I1256&amp;""),"%","")),0)&gt;0,IFERROR(VALUE(SUBSTITUTE(TRIM(Input!I1256&amp;""),"%","")),0)&lt;1),1,100))</f>
        <v/>
      </c>
    </row>
    <row r="1257" spans="1:8">
      <c r="A1257" t="str">
        <f>IF(TRIM(Input!B1257&amp;"")="","",UPPER(TRIM(Input!B1257&amp;"")))</f>
        <v/>
      </c>
      <c r="B1257" t="str">
        <f>IF(A1257="","",IFERROR(VALUE(RIGHT(TRIM(Input!D1257&amp;""),1)),0))</f>
        <v/>
      </c>
      <c r="C1257" t="str">
        <f t="shared" si="19"/>
        <v/>
      </c>
      <c r="D1257" t="str">
        <f>IF(A1257="","",IFERROR(VALUE(SUBSTITUTE(TRIM(Input!E1257&amp;""),"%","")),0)/IF(AND(IFERROR(VALUE(SUBSTITUTE(TRIM(Input!E1257&amp;""),"%","")),0)&gt;0,IFERROR(VALUE(SUBSTITUTE(TRIM(Input!E1257&amp;""),"%","")),0)&lt;1),1,100))</f>
        <v/>
      </c>
      <c r="E1257" t="str">
        <f>IF(A1257="","",IFERROR(VALUE(SUBSTITUTE(TRIM(Input!F1257&amp;""),"%","")),0)/IF(AND(IFERROR(VALUE(SUBSTITUTE(TRIM(Input!F1257&amp;""),"%","")),0)&gt;0,IFERROR(VALUE(SUBSTITUTE(TRIM(Input!F1257&amp;""),"%","")),0)&lt;1),1,100))</f>
        <v/>
      </c>
      <c r="F1257" t="str">
        <f>IF(A1257="","",IFERROR(VALUE(SUBSTITUTE(TRIM(Input!G1257&amp;""),"%","")),0)/IF(AND(IFERROR(VALUE(SUBSTITUTE(TRIM(Input!G1257&amp;""),"%","")),0)&gt;0,IFERROR(VALUE(SUBSTITUTE(TRIM(Input!G1257&amp;""),"%","")),0)&lt;1),1,100))</f>
        <v/>
      </c>
      <c r="G1257" t="str">
        <f>IF(A1257="","",IFERROR(VALUE(SUBSTITUTE(TRIM(Input!H1257&amp;""),"%","")),0)/IF(AND(IFERROR(VALUE(SUBSTITUTE(TRIM(Input!H1257&amp;""),"%","")),0)&gt;0,IFERROR(VALUE(SUBSTITUTE(TRIM(Input!H1257&amp;""),"%","")),0)&lt;1),1,100))</f>
        <v/>
      </c>
      <c r="H1257" t="str">
        <f>IF(A1257="","",IFERROR(VALUE(SUBSTITUTE(TRIM(Input!I1257&amp;""),"%","")),0)/IF(AND(IFERROR(VALUE(SUBSTITUTE(TRIM(Input!I1257&amp;""),"%","")),0)&gt;0,IFERROR(VALUE(SUBSTITUTE(TRIM(Input!I1257&amp;""),"%","")),0)&lt;1),1,100))</f>
        <v/>
      </c>
    </row>
    <row r="1258" spans="1:8">
      <c r="A1258" t="str">
        <f>IF(TRIM(Input!B1258&amp;"")="","",UPPER(TRIM(Input!B1258&amp;"")))</f>
        <v/>
      </c>
      <c r="B1258" t="str">
        <f>IF(A1258="","",IFERROR(VALUE(RIGHT(TRIM(Input!D1258&amp;""),1)),0))</f>
        <v/>
      </c>
      <c r="C1258" t="str">
        <f t="shared" si="19"/>
        <v/>
      </c>
      <c r="D1258" t="str">
        <f>IF(A1258="","",IFERROR(VALUE(SUBSTITUTE(TRIM(Input!E1258&amp;""),"%","")),0)/IF(AND(IFERROR(VALUE(SUBSTITUTE(TRIM(Input!E1258&amp;""),"%","")),0)&gt;0,IFERROR(VALUE(SUBSTITUTE(TRIM(Input!E1258&amp;""),"%","")),0)&lt;1),1,100))</f>
        <v/>
      </c>
      <c r="E1258" t="str">
        <f>IF(A1258="","",IFERROR(VALUE(SUBSTITUTE(TRIM(Input!F1258&amp;""),"%","")),0)/IF(AND(IFERROR(VALUE(SUBSTITUTE(TRIM(Input!F1258&amp;""),"%","")),0)&gt;0,IFERROR(VALUE(SUBSTITUTE(TRIM(Input!F1258&amp;""),"%","")),0)&lt;1),1,100))</f>
        <v/>
      </c>
      <c r="F1258" t="str">
        <f>IF(A1258="","",IFERROR(VALUE(SUBSTITUTE(TRIM(Input!G1258&amp;""),"%","")),0)/IF(AND(IFERROR(VALUE(SUBSTITUTE(TRIM(Input!G1258&amp;""),"%","")),0)&gt;0,IFERROR(VALUE(SUBSTITUTE(TRIM(Input!G1258&amp;""),"%","")),0)&lt;1),1,100))</f>
        <v/>
      </c>
      <c r="G1258" t="str">
        <f>IF(A1258="","",IFERROR(VALUE(SUBSTITUTE(TRIM(Input!H1258&amp;""),"%","")),0)/IF(AND(IFERROR(VALUE(SUBSTITUTE(TRIM(Input!H1258&amp;""),"%","")),0)&gt;0,IFERROR(VALUE(SUBSTITUTE(TRIM(Input!H1258&amp;""),"%","")),0)&lt;1),1,100))</f>
        <v/>
      </c>
      <c r="H1258" t="str">
        <f>IF(A1258="","",IFERROR(VALUE(SUBSTITUTE(TRIM(Input!I1258&amp;""),"%","")),0)/IF(AND(IFERROR(VALUE(SUBSTITUTE(TRIM(Input!I1258&amp;""),"%","")),0)&gt;0,IFERROR(VALUE(SUBSTITUTE(TRIM(Input!I1258&amp;""),"%","")),0)&lt;1),1,100))</f>
        <v/>
      </c>
    </row>
    <row r="1259" spans="1:8">
      <c r="A1259" t="str">
        <f>IF(TRIM(Input!B1259&amp;"")="","",UPPER(TRIM(Input!B1259&amp;"")))</f>
        <v/>
      </c>
      <c r="B1259" t="str">
        <f>IF(A1259="","",IFERROR(VALUE(RIGHT(TRIM(Input!D1259&amp;""),1)),0))</f>
        <v/>
      </c>
      <c r="C1259" t="str">
        <f t="shared" si="19"/>
        <v/>
      </c>
      <c r="D1259" t="str">
        <f>IF(A1259="","",IFERROR(VALUE(SUBSTITUTE(TRIM(Input!E1259&amp;""),"%","")),0)/IF(AND(IFERROR(VALUE(SUBSTITUTE(TRIM(Input!E1259&amp;""),"%","")),0)&gt;0,IFERROR(VALUE(SUBSTITUTE(TRIM(Input!E1259&amp;""),"%","")),0)&lt;1),1,100))</f>
        <v/>
      </c>
      <c r="E1259" t="str">
        <f>IF(A1259="","",IFERROR(VALUE(SUBSTITUTE(TRIM(Input!F1259&amp;""),"%","")),0)/IF(AND(IFERROR(VALUE(SUBSTITUTE(TRIM(Input!F1259&amp;""),"%","")),0)&gt;0,IFERROR(VALUE(SUBSTITUTE(TRIM(Input!F1259&amp;""),"%","")),0)&lt;1),1,100))</f>
        <v/>
      </c>
      <c r="F1259" t="str">
        <f>IF(A1259="","",IFERROR(VALUE(SUBSTITUTE(TRIM(Input!G1259&amp;""),"%","")),0)/IF(AND(IFERROR(VALUE(SUBSTITUTE(TRIM(Input!G1259&amp;""),"%","")),0)&gt;0,IFERROR(VALUE(SUBSTITUTE(TRIM(Input!G1259&amp;""),"%","")),0)&lt;1),1,100))</f>
        <v/>
      </c>
      <c r="G1259" t="str">
        <f>IF(A1259="","",IFERROR(VALUE(SUBSTITUTE(TRIM(Input!H1259&amp;""),"%","")),0)/IF(AND(IFERROR(VALUE(SUBSTITUTE(TRIM(Input!H1259&amp;""),"%","")),0)&gt;0,IFERROR(VALUE(SUBSTITUTE(TRIM(Input!H1259&amp;""),"%","")),0)&lt;1),1,100))</f>
        <v/>
      </c>
      <c r="H1259" t="str">
        <f>IF(A1259="","",IFERROR(VALUE(SUBSTITUTE(TRIM(Input!I1259&amp;""),"%","")),0)/IF(AND(IFERROR(VALUE(SUBSTITUTE(TRIM(Input!I1259&amp;""),"%","")),0)&gt;0,IFERROR(VALUE(SUBSTITUTE(TRIM(Input!I1259&amp;""),"%","")),0)&lt;1),1,100))</f>
        <v/>
      </c>
    </row>
    <row r="1260" spans="1:8">
      <c r="A1260" t="str">
        <f>IF(TRIM(Input!B1260&amp;"")="","",UPPER(TRIM(Input!B1260&amp;"")))</f>
        <v/>
      </c>
      <c r="B1260" t="str">
        <f>IF(A1260="","",IFERROR(VALUE(RIGHT(TRIM(Input!D1260&amp;""),1)),0))</f>
        <v/>
      </c>
      <c r="C1260" t="str">
        <f t="shared" si="19"/>
        <v/>
      </c>
      <c r="D1260" t="str">
        <f>IF(A1260="","",IFERROR(VALUE(SUBSTITUTE(TRIM(Input!E1260&amp;""),"%","")),0)/IF(AND(IFERROR(VALUE(SUBSTITUTE(TRIM(Input!E1260&amp;""),"%","")),0)&gt;0,IFERROR(VALUE(SUBSTITUTE(TRIM(Input!E1260&amp;""),"%","")),0)&lt;1),1,100))</f>
        <v/>
      </c>
      <c r="E1260" t="str">
        <f>IF(A1260="","",IFERROR(VALUE(SUBSTITUTE(TRIM(Input!F1260&amp;""),"%","")),0)/IF(AND(IFERROR(VALUE(SUBSTITUTE(TRIM(Input!F1260&amp;""),"%","")),0)&gt;0,IFERROR(VALUE(SUBSTITUTE(TRIM(Input!F1260&amp;""),"%","")),0)&lt;1),1,100))</f>
        <v/>
      </c>
      <c r="F1260" t="str">
        <f>IF(A1260="","",IFERROR(VALUE(SUBSTITUTE(TRIM(Input!G1260&amp;""),"%","")),0)/IF(AND(IFERROR(VALUE(SUBSTITUTE(TRIM(Input!G1260&amp;""),"%","")),0)&gt;0,IFERROR(VALUE(SUBSTITUTE(TRIM(Input!G1260&amp;""),"%","")),0)&lt;1),1,100))</f>
        <v/>
      </c>
      <c r="G1260" t="str">
        <f>IF(A1260="","",IFERROR(VALUE(SUBSTITUTE(TRIM(Input!H1260&amp;""),"%","")),0)/IF(AND(IFERROR(VALUE(SUBSTITUTE(TRIM(Input!H1260&amp;""),"%","")),0)&gt;0,IFERROR(VALUE(SUBSTITUTE(TRIM(Input!H1260&amp;""),"%","")),0)&lt;1),1,100))</f>
        <v/>
      </c>
      <c r="H1260" t="str">
        <f>IF(A1260="","",IFERROR(VALUE(SUBSTITUTE(TRIM(Input!I1260&amp;""),"%","")),0)/IF(AND(IFERROR(VALUE(SUBSTITUTE(TRIM(Input!I1260&amp;""),"%","")),0)&gt;0,IFERROR(VALUE(SUBSTITUTE(TRIM(Input!I1260&amp;""),"%","")),0)&lt;1),1,100))</f>
        <v/>
      </c>
    </row>
    <row r="1261" spans="1:8">
      <c r="A1261" t="str">
        <f>IF(TRIM(Input!B1261&amp;"")="","",UPPER(TRIM(Input!B1261&amp;"")))</f>
        <v/>
      </c>
      <c r="B1261" t="str">
        <f>IF(A1261="","",IFERROR(VALUE(RIGHT(TRIM(Input!D1261&amp;""),1)),0))</f>
        <v/>
      </c>
      <c r="C1261" t="str">
        <f t="shared" si="19"/>
        <v/>
      </c>
      <c r="D1261" t="str">
        <f>IF(A1261="","",IFERROR(VALUE(SUBSTITUTE(TRIM(Input!E1261&amp;""),"%","")),0)/IF(AND(IFERROR(VALUE(SUBSTITUTE(TRIM(Input!E1261&amp;""),"%","")),0)&gt;0,IFERROR(VALUE(SUBSTITUTE(TRIM(Input!E1261&amp;""),"%","")),0)&lt;1),1,100))</f>
        <v/>
      </c>
      <c r="E1261" t="str">
        <f>IF(A1261="","",IFERROR(VALUE(SUBSTITUTE(TRIM(Input!F1261&amp;""),"%","")),0)/IF(AND(IFERROR(VALUE(SUBSTITUTE(TRIM(Input!F1261&amp;""),"%","")),0)&gt;0,IFERROR(VALUE(SUBSTITUTE(TRIM(Input!F1261&amp;""),"%","")),0)&lt;1),1,100))</f>
        <v/>
      </c>
      <c r="F1261" t="str">
        <f>IF(A1261="","",IFERROR(VALUE(SUBSTITUTE(TRIM(Input!G1261&amp;""),"%","")),0)/IF(AND(IFERROR(VALUE(SUBSTITUTE(TRIM(Input!G1261&amp;""),"%","")),0)&gt;0,IFERROR(VALUE(SUBSTITUTE(TRIM(Input!G1261&amp;""),"%","")),0)&lt;1),1,100))</f>
        <v/>
      </c>
      <c r="G1261" t="str">
        <f>IF(A1261="","",IFERROR(VALUE(SUBSTITUTE(TRIM(Input!H1261&amp;""),"%","")),0)/IF(AND(IFERROR(VALUE(SUBSTITUTE(TRIM(Input!H1261&amp;""),"%","")),0)&gt;0,IFERROR(VALUE(SUBSTITUTE(TRIM(Input!H1261&amp;""),"%","")),0)&lt;1),1,100))</f>
        <v/>
      </c>
      <c r="H1261" t="str">
        <f>IF(A1261="","",IFERROR(VALUE(SUBSTITUTE(TRIM(Input!I1261&amp;""),"%","")),0)/IF(AND(IFERROR(VALUE(SUBSTITUTE(TRIM(Input!I1261&amp;""),"%","")),0)&gt;0,IFERROR(VALUE(SUBSTITUTE(TRIM(Input!I1261&amp;""),"%","")),0)&lt;1),1,100))</f>
        <v/>
      </c>
    </row>
    <row r="1262" spans="1:8">
      <c r="A1262" t="str">
        <f>IF(TRIM(Input!B1262&amp;"")="","",UPPER(TRIM(Input!B1262&amp;"")))</f>
        <v/>
      </c>
      <c r="B1262" t="str">
        <f>IF(A1262="","",IFERROR(VALUE(RIGHT(TRIM(Input!D1262&amp;""),1)),0))</f>
        <v/>
      </c>
      <c r="C1262" t="str">
        <f t="shared" si="19"/>
        <v/>
      </c>
      <c r="D1262" t="str">
        <f>IF(A1262="","",IFERROR(VALUE(SUBSTITUTE(TRIM(Input!E1262&amp;""),"%","")),0)/IF(AND(IFERROR(VALUE(SUBSTITUTE(TRIM(Input!E1262&amp;""),"%","")),0)&gt;0,IFERROR(VALUE(SUBSTITUTE(TRIM(Input!E1262&amp;""),"%","")),0)&lt;1),1,100))</f>
        <v/>
      </c>
      <c r="E1262" t="str">
        <f>IF(A1262="","",IFERROR(VALUE(SUBSTITUTE(TRIM(Input!F1262&amp;""),"%","")),0)/IF(AND(IFERROR(VALUE(SUBSTITUTE(TRIM(Input!F1262&amp;""),"%","")),0)&gt;0,IFERROR(VALUE(SUBSTITUTE(TRIM(Input!F1262&amp;""),"%","")),0)&lt;1),1,100))</f>
        <v/>
      </c>
      <c r="F1262" t="str">
        <f>IF(A1262="","",IFERROR(VALUE(SUBSTITUTE(TRIM(Input!G1262&amp;""),"%","")),0)/IF(AND(IFERROR(VALUE(SUBSTITUTE(TRIM(Input!G1262&amp;""),"%","")),0)&gt;0,IFERROR(VALUE(SUBSTITUTE(TRIM(Input!G1262&amp;""),"%","")),0)&lt;1),1,100))</f>
        <v/>
      </c>
      <c r="G1262" t="str">
        <f>IF(A1262="","",IFERROR(VALUE(SUBSTITUTE(TRIM(Input!H1262&amp;""),"%","")),0)/IF(AND(IFERROR(VALUE(SUBSTITUTE(TRIM(Input!H1262&amp;""),"%","")),0)&gt;0,IFERROR(VALUE(SUBSTITUTE(TRIM(Input!H1262&amp;""),"%","")),0)&lt;1),1,100))</f>
        <v/>
      </c>
      <c r="H1262" t="str">
        <f>IF(A1262="","",IFERROR(VALUE(SUBSTITUTE(TRIM(Input!I1262&amp;""),"%","")),0)/IF(AND(IFERROR(VALUE(SUBSTITUTE(TRIM(Input!I1262&amp;""),"%","")),0)&gt;0,IFERROR(VALUE(SUBSTITUTE(TRIM(Input!I1262&amp;""),"%","")),0)&lt;1),1,100))</f>
        <v/>
      </c>
    </row>
    <row r="1263" spans="1:8">
      <c r="A1263" t="str">
        <f>IF(TRIM(Input!B1263&amp;"")="","",UPPER(TRIM(Input!B1263&amp;"")))</f>
        <v/>
      </c>
      <c r="B1263" t="str">
        <f>IF(A1263="","",IFERROR(VALUE(RIGHT(TRIM(Input!D1263&amp;""),1)),0))</f>
        <v/>
      </c>
      <c r="C1263" t="str">
        <f t="shared" si="19"/>
        <v/>
      </c>
      <c r="D1263" t="str">
        <f>IF(A1263="","",IFERROR(VALUE(SUBSTITUTE(TRIM(Input!E1263&amp;""),"%","")),0)/IF(AND(IFERROR(VALUE(SUBSTITUTE(TRIM(Input!E1263&amp;""),"%","")),0)&gt;0,IFERROR(VALUE(SUBSTITUTE(TRIM(Input!E1263&amp;""),"%","")),0)&lt;1),1,100))</f>
        <v/>
      </c>
      <c r="E1263" t="str">
        <f>IF(A1263="","",IFERROR(VALUE(SUBSTITUTE(TRIM(Input!F1263&amp;""),"%","")),0)/IF(AND(IFERROR(VALUE(SUBSTITUTE(TRIM(Input!F1263&amp;""),"%","")),0)&gt;0,IFERROR(VALUE(SUBSTITUTE(TRIM(Input!F1263&amp;""),"%","")),0)&lt;1),1,100))</f>
        <v/>
      </c>
      <c r="F1263" t="str">
        <f>IF(A1263="","",IFERROR(VALUE(SUBSTITUTE(TRIM(Input!G1263&amp;""),"%","")),0)/IF(AND(IFERROR(VALUE(SUBSTITUTE(TRIM(Input!G1263&amp;""),"%","")),0)&gt;0,IFERROR(VALUE(SUBSTITUTE(TRIM(Input!G1263&amp;""),"%","")),0)&lt;1),1,100))</f>
        <v/>
      </c>
      <c r="G1263" t="str">
        <f>IF(A1263="","",IFERROR(VALUE(SUBSTITUTE(TRIM(Input!H1263&amp;""),"%","")),0)/IF(AND(IFERROR(VALUE(SUBSTITUTE(TRIM(Input!H1263&amp;""),"%","")),0)&gt;0,IFERROR(VALUE(SUBSTITUTE(TRIM(Input!H1263&amp;""),"%","")),0)&lt;1),1,100))</f>
        <v/>
      </c>
      <c r="H1263" t="str">
        <f>IF(A1263="","",IFERROR(VALUE(SUBSTITUTE(TRIM(Input!I1263&amp;""),"%","")),0)/IF(AND(IFERROR(VALUE(SUBSTITUTE(TRIM(Input!I1263&amp;""),"%","")),0)&gt;0,IFERROR(VALUE(SUBSTITUTE(TRIM(Input!I1263&amp;""),"%","")),0)&lt;1),1,100))</f>
        <v/>
      </c>
    </row>
    <row r="1264" spans="1:8">
      <c r="A1264" t="str">
        <f>IF(TRIM(Input!B1264&amp;"")="","",UPPER(TRIM(Input!B1264&amp;"")))</f>
        <v/>
      </c>
      <c r="B1264" t="str">
        <f>IF(A1264="","",IFERROR(VALUE(RIGHT(TRIM(Input!D1264&amp;""),1)),0))</f>
        <v/>
      </c>
      <c r="C1264" t="str">
        <f t="shared" si="19"/>
        <v/>
      </c>
      <c r="D1264" t="str">
        <f>IF(A1264="","",IFERROR(VALUE(SUBSTITUTE(TRIM(Input!E1264&amp;""),"%","")),0)/IF(AND(IFERROR(VALUE(SUBSTITUTE(TRIM(Input!E1264&amp;""),"%","")),0)&gt;0,IFERROR(VALUE(SUBSTITUTE(TRIM(Input!E1264&amp;""),"%","")),0)&lt;1),1,100))</f>
        <v/>
      </c>
      <c r="E1264" t="str">
        <f>IF(A1264="","",IFERROR(VALUE(SUBSTITUTE(TRIM(Input!F1264&amp;""),"%","")),0)/IF(AND(IFERROR(VALUE(SUBSTITUTE(TRIM(Input!F1264&amp;""),"%","")),0)&gt;0,IFERROR(VALUE(SUBSTITUTE(TRIM(Input!F1264&amp;""),"%","")),0)&lt;1),1,100))</f>
        <v/>
      </c>
      <c r="F1264" t="str">
        <f>IF(A1264="","",IFERROR(VALUE(SUBSTITUTE(TRIM(Input!G1264&amp;""),"%","")),0)/IF(AND(IFERROR(VALUE(SUBSTITUTE(TRIM(Input!G1264&amp;""),"%","")),0)&gt;0,IFERROR(VALUE(SUBSTITUTE(TRIM(Input!G1264&amp;""),"%","")),0)&lt;1),1,100))</f>
        <v/>
      </c>
      <c r="G1264" t="str">
        <f>IF(A1264="","",IFERROR(VALUE(SUBSTITUTE(TRIM(Input!H1264&amp;""),"%","")),0)/IF(AND(IFERROR(VALUE(SUBSTITUTE(TRIM(Input!H1264&amp;""),"%","")),0)&gt;0,IFERROR(VALUE(SUBSTITUTE(TRIM(Input!H1264&amp;""),"%","")),0)&lt;1),1,100))</f>
        <v/>
      </c>
      <c r="H1264" t="str">
        <f>IF(A1264="","",IFERROR(VALUE(SUBSTITUTE(TRIM(Input!I1264&amp;""),"%","")),0)/IF(AND(IFERROR(VALUE(SUBSTITUTE(TRIM(Input!I1264&amp;""),"%","")),0)&gt;0,IFERROR(VALUE(SUBSTITUTE(TRIM(Input!I1264&amp;""),"%","")),0)&lt;1),1,100))</f>
        <v/>
      </c>
    </row>
    <row r="1265" spans="1:8">
      <c r="A1265" t="str">
        <f>IF(TRIM(Input!B1265&amp;"")="","",UPPER(TRIM(Input!B1265&amp;"")))</f>
        <v/>
      </c>
      <c r="B1265" t="str">
        <f>IF(A1265="","",IFERROR(VALUE(RIGHT(TRIM(Input!D1265&amp;""),1)),0))</f>
        <v/>
      </c>
      <c r="C1265" t="str">
        <f t="shared" si="19"/>
        <v/>
      </c>
      <c r="D1265" t="str">
        <f>IF(A1265="","",IFERROR(VALUE(SUBSTITUTE(TRIM(Input!E1265&amp;""),"%","")),0)/IF(AND(IFERROR(VALUE(SUBSTITUTE(TRIM(Input!E1265&amp;""),"%","")),0)&gt;0,IFERROR(VALUE(SUBSTITUTE(TRIM(Input!E1265&amp;""),"%","")),0)&lt;1),1,100))</f>
        <v/>
      </c>
      <c r="E1265" t="str">
        <f>IF(A1265="","",IFERROR(VALUE(SUBSTITUTE(TRIM(Input!F1265&amp;""),"%","")),0)/IF(AND(IFERROR(VALUE(SUBSTITUTE(TRIM(Input!F1265&amp;""),"%","")),0)&gt;0,IFERROR(VALUE(SUBSTITUTE(TRIM(Input!F1265&amp;""),"%","")),0)&lt;1),1,100))</f>
        <v/>
      </c>
      <c r="F1265" t="str">
        <f>IF(A1265="","",IFERROR(VALUE(SUBSTITUTE(TRIM(Input!G1265&amp;""),"%","")),0)/IF(AND(IFERROR(VALUE(SUBSTITUTE(TRIM(Input!G1265&amp;""),"%","")),0)&gt;0,IFERROR(VALUE(SUBSTITUTE(TRIM(Input!G1265&amp;""),"%","")),0)&lt;1),1,100))</f>
        <v/>
      </c>
      <c r="G1265" t="str">
        <f>IF(A1265="","",IFERROR(VALUE(SUBSTITUTE(TRIM(Input!H1265&amp;""),"%","")),0)/IF(AND(IFERROR(VALUE(SUBSTITUTE(TRIM(Input!H1265&amp;""),"%","")),0)&gt;0,IFERROR(VALUE(SUBSTITUTE(TRIM(Input!H1265&amp;""),"%","")),0)&lt;1),1,100))</f>
        <v/>
      </c>
      <c r="H1265" t="str">
        <f>IF(A1265="","",IFERROR(VALUE(SUBSTITUTE(TRIM(Input!I1265&amp;""),"%","")),0)/IF(AND(IFERROR(VALUE(SUBSTITUTE(TRIM(Input!I1265&amp;""),"%","")),0)&gt;0,IFERROR(VALUE(SUBSTITUTE(TRIM(Input!I1265&amp;""),"%","")),0)&lt;1),1,100))</f>
        <v/>
      </c>
    </row>
    <row r="1266" spans="1:8">
      <c r="A1266" t="str">
        <f>IF(TRIM(Input!B1266&amp;"")="","",UPPER(TRIM(Input!B1266&amp;"")))</f>
        <v/>
      </c>
      <c r="B1266" t="str">
        <f>IF(A1266="","",IFERROR(VALUE(RIGHT(TRIM(Input!D1266&amp;""),1)),0))</f>
        <v/>
      </c>
      <c r="C1266" t="str">
        <f t="shared" si="19"/>
        <v/>
      </c>
      <c r="D1266" t="str">
        <f>IF(A1266="","",IFERROR(VALUE(SUBSTITUTE(TRIM(Input!E1266&amp;""),"%","")),0)/IF(AND(IFERROR(VALUE(SUBSTITUTE(TRIM(Input!E1266&amp;""),"%","")),0)&gt;0,IFERROR(VALUE(SUBSTITUTE(TRIM(Input!E1266&amp;""),"%","")),0)&lt;1),1,100))</f>
        <v/>
      </c>
      <c r="E1266" t="str">
        <f>IF(A1266="","",IFERROR(VALUE(SUBSTITUTE(TRIM(Input!F1266&amp;""),"%","")),0)/IF(AND(IFERROR(VALUE(SUBSTITUTE(TRIM(Input!F1266&amp;""),"%","")),0)&gt;0,IFERROR(VALUE(SUBSTITUTE(TRIM(Input!F1266&amp;""),"%","")),0)&lt;1),1,100))</f>
        <v/>
      </c>
      <c r="F1266" t="str">
        <f>IF(A1266="","",IFERROR(VALUE(SUBSTITUTE(TRIM(Input!G1266&amp;""),"%","")),0)/IF(AND(IFERROR(VALUE(SUBSTITUTE(TRIM(Input!G1266&amp;""),"%","")),0)&gt;0,IFERROR(VALUE(SUBSTITUTE(TRIM(Input!G1266&amp;""),"%","")),0)&lt;1),1,100))</f>
        <v/>
      </c>
      <c r="G1266" t="str">
        <f>IF(A1266="","",IFERROR(VALUE(SUBSTITUTE(TRIM(Input!H1266&amp;""),"%","")),0)/IF(AND(IFERROR(VALUE(SUBSTITUTE(TRIM(Input!H1266&amp;""),"%","")),0)&gt;0,IFERROR(VALUE(SUBSTITUTE(TRIM(Input!H1266&amp;""),"%","")),0)&lt;1),1,100))</f>
        <v/>
      </c>
      <c r="H1266" t="str">
        <f>IF(A1266="","",IFERROR(VALUE(SUBSTITUTE(TRIM(Input!I1266&amp;""),"%","")),0)/IF(AND(IFERROR(VALUE(SUBSTITUTE(TRIM(Input!I1266&amp;""),"%","")),0)&gt;0,IFERROR(VALUE(SUBSTITUTE(TRIM(Input!I1266&amp;""),"%","")),0)&lt;1),1,100))</f>
        <v/>
      </c>
    </row>
    <row r="1267" spans="1:8">
      <c r="A1267" t="str">
        <f>IF(TRIM(Input!B1267&amp;"")="","",UPPER(TRIM(Input!B1267&amp;"")))</f>
        <v/>
      </c>
      <c r="B1267" t="str">
        <f>IF(A1267="","",IFERROR(VALUE(RIGHT(TRIM(Input!D1267&amp;""),1)),0))</f>
        <v/>
      </c>
      <c r="C1267" t="str">
        <f t="shared" si="19"/>
        <v/>
      </c>
      <c r="D1267" t="str">
        <f>IF(A1267="","",IFERROR(VALUE(SUBSTITUTE(TRIM(Input!E1267&amp;""),"%","")),0)/IF(AND(IFERROR(VALUE(SUBSTITUTE(TRIM(Input!E1267&amp;""),"%","")),0)&gt;0,IFERROR(VALUE(SUBSTITUTE(TRIM(Input!E1267&amp;""),"%","")),0)&lt;1),1,100))</f>
        <v/>
      </c>
      <c r="E1267" t="str">
        <f>IF(A1267="","",IFERROR(VALUE(SUBSTITUTE(TRIM(Input!F1267&amp;""),"%","")),0)/IF(AND(IFERROR(VALUE(SUBSTITUTE(TRIM(Input!F1267&amp;""),"%","")),0)&gt;0,IFERROR(VALUE(SUBSTITUTE(TRIM(Input!F1267&amp;""),"%","")),0)&lt;1),1,100))</f>
        <v/>
      </c>
      <c r="F1267" t="str">
        <f>IF(A1267="","",IFERROR(VALUE(SUBSTITUTE(TRIM(Input!G1267&amp;""),"%","")),0)/IF(AND(IFERROR(VALUE(SUBSTITUTE(TRIM(Input!G1267&amp;""),"%","")),0)&gt;0,IFERROR(VALUE(SUBSTITUTE(TRIM(Input!G1267&amp;""),"%","")),0)&lt;1),1,100))</f>
        <v/>
      </c>
      <c r="G1267" t="str">
        <f>IF(A1267="","",IFERROR(VALUE(SUBSTITUTE(TRIM(Input!H1267&amp;""),"%","")),0)/IF(AND(IFERROR(VALUE(SUBSTITUTE(TRIM(Input!H1267&amp;""),"%","")),0)&gt;0,IFERROR(VALUE(SUBSTITUTE(TRIM(Input!H1267&amp;""),"%","")),0)&lt;1),1,100))</f>
        <v/>
      </c>
      <c r="H1267" t="str">
        <f>IF(A1267="","",IFERROR(VALUE(SUBSTITUTE(TRIM(Input!I1267&amp;""),"%","")),0)/IF(AND(IFERROR(VALUE(SUBSTITUTE(TRIM(Input!I1267&amp;""),"%","")),0)&gt;0,IFERROR(VALUE(SUBSTITUTE(TRIM(Input!I1267&amp;""),"%","")),0)&lt;1),1,100))</f>
        <v/>
      </c>
    </row>
    <row r="1268" spans="1:8">
      <c r="A1268" t="str">
        <f>IF(TRIM(Input!B1268&amp;"")="","",UPPER(TRIM(Input!B1268&amp;"")))</f>
        <v/>
      </c>
      <c r="B1268" t="str">
        <f>IF(A1268="","",IFERROR(VALUE(RIGHT(TRIM(Input!D1268&amp;""),1)),0))</f>
        <v/>
      </c>
      <c r="C1268" t="str">
        <f t="shared" si="19"/>
        <v/>
      </c>
      <c r="D1268" t="str">
        <f>IF(A1268="","",IFERROR(VALUE(SUBSTITUTE(TRIM(Input!E1268&amp;""),"%","")),0)/IF(AND(IFERROR(VALUE(SUBSTITUTE(TRIM(Input!E1268&amp;""),"%","")),0)&gt;0,IFERROR(VALUE(SUBSTITUTE(TRIM(Input!E1268&amp;""),"%","")),0)&lt;1),1,100))</f>
        <v/>
      </c>
      <c r="E1268" t="str">
        <f>IF(A1268="","",IFERROR(VALUE(SUBSTITUTE(TRIM(Input!F1268&amp;""),"%","")),0)/IF(AND(IFERROR(VALUE(SUBSTITUTE(TRIM(Input!F1268&amp;""),"%","")),0)&gt;0,IFERROR(VALUE(SUBSTITUTE(TRIM(Input!F1268&amp;""),"%","")),0)&lt;1),1,100))</f>
        <v/>
      </c>
      <c r="F1268" t="str">
        <f>IF(A1268="","",IFERROR(VALUE(SUBSTITUTE(TRIM(Input!G1268&amp;""),"%","")),0)/IF(AND(IFERROR(VALUE(SUBSTITUTE(TRIM(Input!G1268&amp;""),"%","")),0)&gt;0,IFERROR(VALUE(SUBSTITUTE(TRIM(Input!G1268&amp;""),"%","")),0)&lt;1),1,100))</f>
        <v/>
      </c>
      <c r="G1268" t="str">
        <f>IF(A1268="","",IFERROR(VALUE(SUBSTITUTE(TRIM(Input!H1268&amp;""),"%","")),0)/IF(AND(IFERROR(VALUE(SUBSTITUTE(TRIM(Input!H1268&amp;""),"%","")),0)&gt;0,IFERROR(VALUE(SUBSTITUTE(TRIM(Input!H1268&amp;""),"%","")),0)&lt;1),1,100))</f>
        <v/>
      </c>
      <c r="H1268" t="str">
        <f>IF(A1268="","",IFERROR(VALUE(SUBSTITUTE(TRIM(Input!I1268&amp;""),"%","")),0)/IF(AND(IFERROR(VALUE(SUBSTITUTE(TRIM(Input!I1268&amp;""),"%","")),0)&gt;0,IFERROR(VALUE(SUBSTITUTE(TRIM(Input!I1268&amp;""),"%","")),0)&lt;1),1,100))</f>
        <v/>
      </c>
    </row>
    <row r="1269" spans="1:8">
      <c r="A1269" t="str">
        <f>IF(TRIM(Input!B1269&amp;"")="","",UPPER(TRIM(Input!B1269&amp;"")))</f>
        <v/>
      </c>
      <c r="B1269" t="str">
        <f>IF(A1269="","",IFERROR(VALUE(RIGHT(TRIM(Input!D1269&amp;""),1)),0))</f>
        <v/>
      </c>
      <c r="C1269" t="str">
        <f t="shared" si="19"/>
        <v/>
      </c>
      <c r="D1269" t="str">
        <f>IF(A1269="","",IFERROR(VALUE(SUBSTITUTE(TRIM(Input!E1269&amp;""),"%","")),0)/IF(AND(IFERROR(VALUE(SUBSTITUTE(TRIM(Input!E1269&amp;""),"%","")),0)&gt;0,IFERROR(VALUE(SUBSTITUTE(TRIM(Input!E1269&amp;""),"%","")),0)&lt;1),1,100))</f>
        <v/>
      </c>
      <c r="E1269" t="str">
        <f>IF(A1269="","",IFERROR(VALUE(SUBSTITUTE(TRIM(Input!F1269&amp;""),"%","")),0)/IF(AND(IFERROR(VALUE(SUBSTITUTE(TRIM(Input!F1269&amp;""),"%","")),0)&gt;0,IFERROR(VALUE(SUBSTITUTE(TRIM(Input!F1269&amp;""),"%","")),0)&lt;1),1,100))</f>
        <v/>
      </c>
      <c r="F1269" t="str">
        <f>IF(A1269="","",IFERROR(VALUE(SUBSTITUTE(TRIM(Input!G1269&amp;""),"%","")),0)/IF(AND(IFERROR(VALUE(SUBSTITUTE(TRIM(Input!G1269&amp;""),"%","")),0)&gt;0,IFERROR(VALUE(SUBSTITUTE(TRIM(Input!G1269&amp;""),"%","")),0)&lt;1),1,100))</f>
        <v/>
      </c>
      <c r="G1269" t="str">
        <f>IF(A1269="","",IFERROR(VALUE(SUBSTITUTE(TRIM(Input!H1269&amp;""),"%","")),0)/IF(AND(IFERROR(VALUE(SUBSTITUTE(TRIM(Input!H1269&amp;""),"%","")),0)&gt;0,IFERROR(VALUE(SUBSTITUTE(TRIM(Input!H1269&amp;""),"%","")),0)&lt;1),1,100))</f>
        <v/>
      </c>
      <c r="H1269" t="str">
        <f>IF(A1269="","",IFERROR(VALUE(SUBSTITUTE(TRIM(Input!I1269&amp;""),"%","")),0)/IF(AND(IFERROR(VALUE(SUBSTITUTE(TRIM(Input!I1269&amp;""),"%","")),0)&gt;0,IFERROR(VALUE(SUBSTITUTE(TRIM(Input!I1269&amp;""),"%","")),0)&lt;1),1,100))</f>
        <v/>
      </c>
    </row>
    <row r="1270" spans="1:8">
      <c r="A1270" t="str">
        <f>IF(TRIM(Input!B1270&amp;"")="","",UPPER(TRIM(Input!B1270&amp;"")))</f>
        <v/>
      </c>
      <c r="B1270" t="str">
        <f>IF(A1270="","",IFERROR(VALUE(RIGHT(TRIM(Input!D1270&amp;""),1)),0))</f>
        <v/>
      </c>
      <c r="C1270" t="str">
        <f t="shared" si="19"/>
        <v/>
      </c>
      <c r="D1270" t="str">
        <f>IF(A1270="","",IFERROR(VALUE(SUBSTITUTE(TRIM(Input!E1270&amp;""),"%","")),0)/IF(AND(IFERROR(VALUE(SUBSTITUTE(TRIM(Input!E1270&amp;""),"%","")),0)&gt;0,IFERROR(VALUE(SUBSTITUTE(TRIM(Input!E1270&amp;""),"%","")),0)&lt;1),1,100))</f>
        <v/>
      </c>
      <c r="E1270" t="str">
        <f>IF(A1270="","",IFERROR(VALUE(SUBSTITUTE(TRIM(Input!F1270&amp;""),"%","")),0)/IF(AND(IFERROR(VALUE(SUBSTITUTE(TRIM(Input!F1270&amp;""),"%","")),0)&gt;0,IFERROR(VALUE(SUBSTITUTE(TRIM(Input!F1270&amp;""),"%","")),0)&lt;1),1,100))</f>
        <v/>
      </c>
      <c r="F1270" t="str">
        <f>IF(A1270="","",IFERROR(VALUE(SUBSTITUTE(TRIM(Input!G1270&amp;""),"%","")),0)/IF(AND(IFERROR(VALUE(SUBSTITUTE(TRIM(Input!G1270&amp;""),"%","")),0)&gt;0,IFERROR(VALUE(SUBSTITUTE(TRIM(Input!G1270&amp;""),"%","")),0)&lt;1),1,100))</f>
        <v/>
      </c>
      <c r="G1270" t="str">
        <f>IF(A1270="","",IFERROR(VALUE(SUBSTITUTE(TRIM(Input!H1270&amp;""),"%","")),0)/IF(AND(IFERROR(VALUE(SUBSTITUTE(TRIM(Input!H1270&amp;""),"%","")),0)&gt;0,IFERROR(VALUE(SUBSTITUTE(TRIM(Input!H1270&amp;""),"%","")),0)&lt;1),1,100))</f>
        <v/>
      </c>
      <c r="H1270" t="str">
        <f>IF(A1270="","",IFERROR(VALUE(SUBSTITUTE(TRIM(Input!I1270&amp;""),"%","")),0)/IF(AND(IFERROR(VALUE(SUBSTITUTE(TRIM(Input!I1270&amp;""),"%","")),0)&gt;0,IFERROR(VALUE(SUBSTITUTE(TRIM(Input!I1270&amp;""),"%","")),0)&lt;1),1,100))</f>
        <v/>
      </c>
    </row>
    <row r="1271" spans="1:8">
      <c r="A1271" t="str">
        <f>IF(TRIM(Input!B1271&amp;"")="","",UPPER(TRIM(Input!B1271&amp;"")))</f>
        <v/>
      </c>
      <c r="B1271" t="str">
        <f>IF(A1271="","",IFERROR(VALUE(RIGHT(TRIM(Input!D1271&amp;""),1)),0))</f>
        <v/>
      </c>
      <c r="C1271" t="str">
        <f t="shared" si="19"/>
        <v/>
      </c>
      <c r="D1271" t="str">
        <f>IF(A1271="","",IFERROR(VALUE(SUBSTITUTE(TRIM(Input!E1271&amp;""),"%","")),0)/IF(AND(IFERROR(VALUE(SUBSTITUTE(TRIM(Input!E1271&amp;""),"%","")),0)&gt;0,IFERROR(VALUE(SUBSTITUTE(TRIM(Input!E1271&amp;""),"%","")),0)&lt;1),1,100))</f>
        <v/>
      </c>
      <c r="E1271" t="str">
        <f>IF(A1271="","",IFERROR(VALUE(SUBSTITUTE(TRIM(Input!F1271&amp;""),"%","")),0)/IF(AND(IFERROR(VALUE(SUBSTITUTE(TRIM(Input!F1271&amp;""),"%","")),0)&gt;0,IFERROR(VALUE(SUBSTITUTE(TRIM(Input!F1271&amp;""),"%","")),0)&lt;1),1,100))</f>
        <v/>
      </c>
      <c r="F1271" t="str">
        <f>IF(A1271="","",IFERROR(VALUE(SUBSTITUTE(TRIM(Input!G1271&amp;""),"%","")),0)/IF(AND(IFERROR(VALUE(SUBSTITUTE(TRIM(Input!G1271&amp;""),"%","")),0)&gt;0,IFERROR(VALUE(SUBSTITUTE(TRIM(Input!G1271&amp;""),"%","")),0)&lt;1),1,100))</f>
        <v/>
      </c>
      <c r="G1271" t="str">
        <f>IF(A1271="","",IFERROR(VALUE(SUBSTITUTE(TRIM(Input!H1271&amp;""),"%","")),0)/IF(AND(IFERROR(VALUE(SUBSTITUTE(TRIM(Input!H1271&amp;""),"%","")),0)&gt;0,IFERROR(VALUE(SUBSTITUTE(TRIM(Input!H1271&amp;""),"%","")),0)&lt;1),1,100))</f>
        <v/>
      </c>
      <c r="H1271" t="str">
        <f>IF(A1271="","",IFERROR(VALUE(SUBSTITUTE(TRIM(Input!I1271&amp;""),"%","")),0)/IF(AND(IFERROR(VALUE(SUBSTITUTE(TRIM(Input!I1271&amp;""),"%","")),0)&gt;0,IFERROR(VALUE(SUBSTITUTE(TRIM(Input!I1271&amp;""),"%","")),0)&lt;1),1,100))</f>
        <v/>
      </c>
    </row>
    <row r="1272" spans="1:8">
      <c r="A1272" t="str">
        <f>IF(TRIM(Input!B1272&amp;"")="","",UPPER(TRIM(Input!B1272&amp;"")))</f>
        <v/>
      </c>
      <c r="B1272" t="str">
        <f>IF(A1272="","",IFERROR(VALUE(RIGHT(TRIM(Input!D1272&amp;""),1)),0))</f>
        <v/>
      </c>
      <c r="C1272" t="str">
        <f t="shared" si="19"/>
        <v/>
      </c>
      <c r="D1272" t="str">
        <f>IF(A1272="","",IFERROR(VALUE(SUBSTITUTE(TRIM(Input!E1272&amp;""),"%","")),0)/IF(AND(IFERROR(VALUE(SUBSTITUTE(TRIM(Input!E1272&amp;""),"%","")),0)&gt;0,IFERROR(VALUE(SUBSTITUTE(TRIM(Input!E1272&amp;""),"%","")),0)&lt;1),1,100))</f>
        <v/>
      </c>
      <c r="E1272" t="str">
        <f>IF(A1272="","",IFERROR(VALUE(SUBSTITUTE(TRIM(Input!F1272&amp;""),"%","")),0)/IF(AND(IFERROR(VALUE(SUBSTITUTE(TRIM(Input!F1272&amp;""),"%","")),0)&gt;0,IFERROR(VALUE(SUBSTITUTE(TRIM(Input!F1272&amp;""),"%","")),0)&lt;1),1,100))</f>
        <v/>
      </c>
      <c r="F1272" t="str">
        <f>IF(A1272="","",IFERROR(VALUE(SUBSTITUTE(TRIM(Input!G1272&amp;""),"%","")),0)/IF(AND(IFERROR(VALUE(SUBSTITUTE(TRIM(Input!G1272&amp;""),"%","")),0)&gt;0,IFERROR(VALUE(SUBSTITUTE(TRIM(Input!G1272&amp;""),"%","")),0)&lt;1),1,100))</f>
        <v/>
      </c>
      <c r="G1272" t="str">
        <f>IF(A1272="","",IFERROR(VALUE(SUBSTITUTE(TRIM(Input!H1272&amp;""),"%","")),0)/IF(AND(IFERROR(VALUE(SUBSTITUTE(TRIM(Input!H1272&amp;""),"%","")),0)&gt;0,IFERROR(VALUE(SUBSTITUTE(TRIM(Input!H1272&amp;""),"%","")),0)&lt;1),1,100))</f>
        <v/>
      </c>
      <c r="H1272" t="str">
        <f>IF(A1272="","",IFERROR(VALUE(SUBSTITUTE(TRIM(Input!I1272&amp;""),"%","")),0)/IF(AND(IFERROR(VALUE(SUBSTITUTE(TRIM(Input!I1272&amp;""),"%","")),0)&gt;0,IFERROR(VALUE(SUBSTITUTE(TRIM(Input!I1272&amp;""),"%","")),0)&lt;1),1,100))</f>
        <v/>
      </c>
    </row>
    <row r="1273" spans="1:8">
      <c r="A1273" t="str">
        <f>IF(TRIM(Input!B1273&amp;"")="","",UPPER(TRIM(Input!B1273&amp;"")))</f>
        <v/>
      </c>
      <c r="B1273" t="str">
        <f>IF(A1273="","",IFERROR(VALUE(RIGHT(TRIM(Input!D1273&amp;""),1)),0))</f>
        <v/>
      </c>
      <c r="C1273" t="str">
        <f t="shared" si="19"/>
        <v/>
      </c>
      <c r="D1273" t="str">
        <f>IF(A1273="","",IFERROR(VALUE(SUBSTITUTE(TRIM(Input!E1273&amp;""),"%","")),0)/IF(AND(IFERROR(VALUE(SUBSTITUTE(TRIM(Input!E1273&amp;""),"%","")),0)&gt;0,IFERROR(VALUE(SUBSTITUTE(TRIM(Input!E1273&amp;""),"%","")),0)&lt;1),1,100))</f>
        <v/>
      </c>
      <c r="E1273" t="str">
        <f>IF(A1273="","",IFERROR(VALUE(SUBSTITUTE(TRIM(Input!F1273&amp;""),"%","")),0)/IF(AND(IFERROR(VALUE(SUBSTITUTE(TRIM(Input!F1273&amp;""),"%","")),0)&gt;0,IFERROR(VALUE(SUBSTITUTE(TRIM(Input!F1273&amp;""),"%","")),0)&lt;1),1,100))</f>
        <v/>
      </c>
      <c r="F1273" t="str">
        <f>IF(A1273="","",IFERROR(VALUE(SUBSTITUTE(TRIM(Input!G1273&amp;""),"%","")),0)/IF(AND(IFERROR(VALUE(SUBSTITUTE(TRIM(Input!G1273&amp;""),"%","")),0)&gt;0,IFERROR(VALUE(SUBSTITUTE(TRIM(Input!G1273&amp;""),"%","")),0)&lt;1),1,100))</f>
        <v/>
      </c>
      <c r="G1273" t="str">
        <f>IF(A1273="","",IFERROR(VALUE(SUBSTITUTE(TRIM(Input!H1273&amp;""),"%","")),0)/IF(AND(IFERROR(VALUE(SUBSTITUTE(TRIM(Input!H1273&amp;""),"%","")),0)&gt;0,IFERROR(VALUE(SUBSTITUTE(TRIM(Input!H1273&amp;""),"%","")),0)&lt;1),1,100))</f>
        <v/>
      </c>
      <c r="H1273" t="str">
        <f>IF(A1273="","",IFERROR(VALUE(SUBSTITUTE(TRIM(Input!I1273&amp;""),"%","")),0)/IF(AND(IFERROR(VALUE(SUBSTITUTE(TRIM(Input!I1273&amp;""),"%","")),0)&gt;0,IFERROR(VALUE(SUBSTITUTE(TRIM(Input!I1273&amp;""),"%","")),0)&lt;1),1,100))</f>
        <v/>
      </c>
    </row>
    <row r="1274" spans="1:8">
      <c r="A1274" t="str">
        <f>IF(TRIM(Input!B1274&amp;"")="","",UPPER(TRIM(Input!B1274&amp;"")))</f>
        <v/>
      </c>
      <c r="B1274" t="str">
        <f>IF(A1274="","",IFERROR(VALUE(RIGHT(TRIM(Input!D1274&amp;""),1)),0))</f>
        <v/>
      </c>
      <c r="C1274" t="str">
        <f t="shared" si="19"/>
        <v/>
      </c>
      <c r="D1274" t="str">
        <f>IF(A1274="","",IFERROR(VALUE(SUBSTITUTE(TRIM(Input!E1274&amp;""),"%","")),0)/IF(AND(IFERROR(VALUE(SUBSTITUTE(TRIM(Input!E1274&amp;""),"%","")),0)&gt;0,IFERROR(VALUE(SUBSTITUTE(TRIM(Input!E1274&amp;""),"%","")),0)&lt;1),1,100))</f>
        <v/>
      </c>
      <c r="E1274" t="str">
        <f>IF(A1274="","",IFERROR(VALUE(SUBSTITUTE(TRIM(Input!F1274&amp;""),"%","")),0)/IF(AND(IFERROR(VALUE(SUBSTITUTE(TRIM(Input!F1274&amp;""),"%","")),0)&gt;0,IFERROR(VALUE(SUBSTITUTE(TRIM(Input!F1274&amp;""),"%","")),0)&lt;1),1,100))</f>
        <v/>
      </c>
      <c r="F1274" t="str">
        <f>IF(A1274="","",IFERROR(VALUE(SUBSTITUTE(TRIM(Input!G1274&amp;""),"%","")),0)/IF(AND(IFERROR(VALUE(SUBSTITUTE(TRIM(Input!G1274&amp;""),"%","")),0)&gt;0,IFERROR(VALUE(SUBSTITUTE(TRIM(Input!G1274&amp;""),"%","")),0)&lt;1),1,100))</f>
        <v/>
      </c>
      <c r="G1274" t="str">
        <f>IF(A1274="","",IFERROR(VALUE(SUBSTITUTE(TRIM(Input!H1274&amp;""),"%","")),0)/IF(AND(IFERROR(VALUE(SUBSTITUTE(TRIM(Input!H1274&amp;""),"%","")),0)&gt;0,IFERROR(VALUE(SUBSTITUTE(TRIM(Input!H1274&amp;""),"%","")),0)&lt;1),1,100))</f>
        <v/>
      </c>
      <c r="H1274" t="str">
        <f>IF(A1274="","",IFERROR(VALUE(SUBSTITUTE(TRIM(Input!I1274&amp;""),"%","")),0)/IF(AND(IFERROR(VALUE(SUBSTITUTE(TRIM(Input!I1274&amp;""),"%","")),0)&gt;0,IFERROR(VALUE(SUBSTITUTE(TRIM(Input!I1274&amp;""),"%","")),0)&lt;1),1,100))</f>
        <v/>
      </c>
    </row>
    <row r="1275" spans="1:8">
      <c r="A1275" t="str">
        <f>IF(TRIM(Input!B1275&amp;"")="","",UPPER(TRIM(Input!B1275&amp;"")))</f>
        <v/>
      </c>
      <c r="B1275" t="str">
        <f>IF(A1275="","",IFERROR(VALUE(RIGHT(TRIM(Input!D1275&amp;""),1)),0))</f>
        <v/>
      </c>
      <c r="C1275" t="str">
        <f t="shared" si="19"/>
        <v/>
      </c>
      <c r="D1275" t="str">
        <f>IF(A1275="","",IFERROR(VALUE(SUBSTITUTE(TRIM(Input!E1275&amp;""),"%","")),0)/IF(AND(IFERROR(VALUE(SUBSTITUTE(TRIM(Input!E1275&amp;""),"%","")),0)&gt;0,IFERROR(VALUE(SUBSTITUTE(TRIM(Input!E1275&amp;""),"%","")),0)&lt;1),1,100))</f>
        <v/>
      </c>
      <c r="E1275" t="str">
        <f>IF(A1275="","",IFERROR(VALUE(SUBSTITUTE(TRIM(Input!F1275&amp;""),"%","")),0)/IF(AND(IFERROR(VALUE(SUBSTITUTE(TRIM(Input!F1275&amp;""),"%","")),0)&gt;0,IFERROR(VALUE(SUBSTITUTE(TRIM(Input!F1275&amp;""),"%","")),0)&lt;1),1,100))</f>
        <v/>
      </c>
      <c r="F1275" t="str">
        <f>IF(A1275="","",IFERROR(VALUE(SUBSTITUTE(TRIM(Input!G1275&amp;""),"%","")),0)/IF(AND(IFERROR(VALUE(SUBSTITUTE(TRIM(Input!G1275&amp;""),"%","")),0)&gt;0,IFERROR(VALUE(SUBSTITUTE(TRIM(Input!G1275&amp;""),"%","")),0)&lt;1),1,100))</f>
        <v/>
      </c>
      <c r="G1275" t="str">
        <f>IF(A1275="","",IFERROR(VALUE(SUBSTITUTE(TRIM(Input!H1275&amp;""),"%","")),0)/IF(AND(IFERROR(VALUE(SUBSTITUTE(TRIM(Input!H1275&amp;""),"%","")),0)&gt;0,IFERROR(VALUE(SUBSTITUTE(TRIM(Input!H1275&amp;""),"%","")),0)&lt;1),1,100))</f>
        <v/>
      </c>
      <c r="H1275" t="str">
        <f>IF(A1275="","",IFERROR(VALUE(SUBSTITUTE(TRIM(Input!I1275&amp;""),"%","")),0)/IF(AND(IFERROR(VALUE(SUBSTITUTE(TRIM(Input!I1275&amp;""),"%","")),0)&gt;0,IFERROR(VALUE(SUBSTITUTE(TRIM(Input!I1275&amp;""),"%","")),0)&lt;1),1,100))</f>
        <v/>
      </c>
    </row>
    <row r="1276" spans="1:8">
      <c r="A1276" t="str">
        <f>IF(TRIM(Input!B1276&amp;"")="","",UPPER(TRIM(Input!B1276&amp;"")))</f>
        <v/>
      </c>
      <c r="B1276" t="str">
        <f>IF(A1276="","",IFERROR(VALUE(RIGHT(TRIM(Input!D1276&amp;""),1)),0))</f>
        <v/>
      </c>
      <c r="C1276" t="str">
        <f t="shared" si="19"/>
        <v/>
      </c>
      <c r="D1276" t="str">
        <f>IF(A1276="","",IFERROR(VALUE(SUBSTITUTE(TRIM(Input!E1276&amp;""),"%","")),0)/IF(AND(IFERROR(VALUE(SUBSTITUTE(TRIM(Input!E1276&amp;""),"%","")),0)&gt;0,IFERROR(VALUE(SUBSTITUTE(TRIM(Input!E1276&amp;""),"%","")),0)&lt;1),1,100))</f>
        <v/>
      </c>
      <c r="E1276" t="str">
        <f>IF(A1276="","",IFERROR(VALUE(SUBSTITUTE(TRIM(Input!F1276&amp;""),"%","")),0)/IF(AND(IFERROR(VALUE(SUBSTITUTE(TRIM(Input!F1276&amp;""),"%","")),0)&gt;0,IFERROR(VALUE(SUBSTITUTE(TRIM(Input!F1276&amp;""),"%","")),0)&lt;1),1,100))</f>
        <v/>
      </c>
      <c r="F1276" t="str">
        <f>IF(A1276="","",IFERROR(VALUE(SUBSTITUTE(TRIM(Input!G1276&amp;""),"%","")),0)/IF(AND(IFERROR(VALUE(SUBSTITUTE(TRIM(Input!G1276&amp;""),"%","")),0)&gt;0,IFERROR(VALUE(SUBSTITUTE(TRIM(Input!G1276&amp;""),"%","")),0)&lt;1),1,100))</f>
        <v/>
      </c>
      <c r="G1276" t="str">
        <f>IF(A1276="","",IFERROR(VALUE(SUBSTITUTE(TRIM(Input!H1276&amp;""),"%","")),0)/IF(AND(IFERROR(VALUE(SUBSTITUTE(TRIM(Input!H1276&amp;""),"%","")),0)&gt;0,IFERROR(VALUE(SUBSTITUTE(TRIM(Input!H1276&amp;""),"%","")),0)&lt;1),1,100))</f>
        <v/>
      </c>
      <c r="H1276" t="str">
        <f>IF(A1276="","",IFERROR(VALUE(SUBSTITUTE(TRIM(Input!I1276&amp;""),"%","")),0)/IF(AND(IFERROR(VALUE(SUBSTITUTE(TRIM(Input!I1276&amp;""),"%","")),0)&gt;0,IFERROR(VALUE(SUBSTITUTE(TRIM(Input!I1276&amp;""),"%","")),0)&lt;1),1,100))</f>
        <v/>
      </c>
    </row>
    <row r="1277" spans="1:8">
      <c r="A1277" t="str">
        <f>IF(TRIM(Input!B1277&amp;"")="","",UPPER(TRIM(Input!B1277&amp;"")))</f>
        <v/>
      </c>
      <c r="B1277" t="str">
        <f>IF(A1277="","",IFERROR(VALUE(RIGHT(TRIM(Input!D1277&amp;""),1)),0))</f>
        <v/>
      </c>
      <c r="C1277" t="str">
        <f t="shared" si="19"/>
        <v/>
      </c>
      <c r="D1277" t="str">
        <f>IF(A1277="","",IFERROR(VALUE(SUBSTITUTE(TRIM(Input!E1277&amp;""),"%","")),0)/IF(AND(IFERROR(VALUE(SUBSTITUTE(TRIM(Input!E1277&amp;""),"%","")),0)&gt;0,IFERROR(VALUE(SUBSTITUTE(TRIM(Input!E1277&amp;""),"%","")),0)&lt;1),1,100))</f>
        <v/>
      </c>
      <c r="E1277" t="str">
        <f>IF(A1277="","",IFERROR(VALUE(SUBSTITUTE(TRIM(Input!F1277&amp;""),"%","")),0)/IF(AND(IFERROR(VALUE(SUBSTITUTE(TRIM(Input!F1277&amp;""),"%","")),0)&gt;0,IFERROR(VALUE(SUBSTITUTE(TRIM(Input!F1277&amp;""),"%","")),0)&lt;1),1,100))</f>
        <v/>
      </c>
      <c r="F1277" t="str">
        <f>IF(A1277="","",IFERROR(VALUE(SUBSTITUTE(TRIM(Input!G1277&amp;""),"%","")),0)/IF(AND(IFERROR(VALUE(SUBSTITUTE(TRIM(Input!G1277&amp;""),"%","")),0)&gt;0,IFERROR(VALUE(SUBSTITUTE(TRIM(Input!G1277&amp;""),"%","")),0)&lt;1),1,100))</f>
        <v/>
      </c>
      <c r="G1277" t="str">
        <f>IF(A1277="","",IFERROR(VALUE(SUBSTITUTE(TRIM(Input!H1277&amp;""),"%","")),0)/IF(AND(IFERROR(VALUE(SUBSTITUTE(TRIM(Input!H1277&amp;""),"%","")),0)&gt;0,IFERROR(VALUE(SUBSTITUTE(TRIM(Input!H1277&amp;""),"%","")),0)&lt;1),1,100))</f>
        <v/>
      </c>
      <c r="H1277" t="str">
        <f>IF(A1277="","",IFERROR(VALUE(SUBSTITUTE(TRIM(Input!I1277&amp;""),"%","")),0)/IF(AND(IFERROR(VALUE(SUBSTITUTE(TRIM(Input!I1277&amp;""),"%","")),0)&gt;0,IFERROR(VALUE(SUBSTITUTE(TRIM(Input!I1277&amp;""),"%","")),0)&lt;1),1,100))</f>
        <v/>
      </c>
    </row>
    <row r="1278" spans="1:8">
      <c r="A1278" t="str">
        <f>IF(TRIM(Input!B1278&amp;"")="","",UPPER(TRIM(Input!B1278&amp;"")))</f>
        <v/>
      </c>
      <c r="B1278" t="str">
        <f>IF(A1278="","",IFERROR(VALUE(RIGHT(TRIM(Input!D1278&amp;""),1)),0))</f>
        <v/>
      </c>
      <c r="C1278" t="str">
        <f t="shared" si="19"/>
        <v/>
      </c>
      <c r="D1278" t="str">
        <f>IF(A1278="","",IFERROR(VALUE(SUBSTITUTE(TRIM(Input!E1278&amp;""),"%","")),0)/IF(AND(IFERROR(VALUE(SUBSTITUTE(TRIM(Input!E1278&amp;""),"%","")),0)&gt;0,IFERROR(VALUE(SUBSTITUTE(TRIM(Input!E1278&amp;""),"%","")),0)&lt;1),1,100))</f>
        <v/>
      </c>
      <c r="E1278" t="str">
        <f>IF(A1278="","",IFERROR(VALUE(SUBSTITUTE(TRIM(Input!F1278&amp;""),"%","")),0)/IF(AND(IFERROR(VALUE(SUBSTITUTE(TRIM(Input!F1278&amp;""),"%","")),0)&gt;0,IFERROR(VALUE(SUBSTITUTE(TRIM(Input!F1278&amp;""),"%","")),0)&lt;1),1,100))</f>
        <v/>
      </c>
      <c r="F1278" t="str">
        <f>IF(A1278="","",IFERROR(VALUE(SUBSTITUTE(TRIM(Input!G1278&amp;""),"%","")),0)/IF(AND(IFERROR(VALUE(SUBSTITUTE(TRIM(Input!G1278&amp;""),"%","")),0)&gt;0,IFERROR(VALUE(SUBSTITUTE(TRIM(Input!G1278&amp;""),"%","")),0)&lt;1),1,100))</f>
        <v/>
      </c>
      <c r="G1278" t="str">
        <f>IF(A1278="","",IFERROR(VALUE(SUBSTITUTE(TRIM(Input!H1278&amp;""),"%","")),0)/IF(AND(IFERROR(VALUE(SUBSTITUTE(TRIM(Input!H1278&amp;""),"%","")),0)&gt;0,IFERROR(VALUE(SUBSTITUTE(TRIM(Input!H1278&amp;""),"%","")),0)&lt;1),1,100))</f>
        <v/>
      </c>
      <c r="H1278" t="str">
        <f>IF(A1278="","",IFERROR(VALUE(SUBSTITUTE(TRIM(Input!I1278&amp;""),"%","")),0)/IF(AND(IFERROR(VALUE(SUBSTITUTE(TRIM(Input!I1278&amp;""),"%","")),0)&gt;0,IFERROR(VALUE(SUBSTITUTE(TRIM(Input!I1278&amp;""),"%","")),0)&lt;1),1,100))</f>
        <v/>
      </c>
    </row>
    <row r="1279" spans="1:8">
      <c r="A1279" t="str">
        <f>IF(TRIM(Input!B1279&amp;"")="","",UPPER(TRIM(Input!B1279&amp;"")))</f>
        <v/>
      </c>
      <c r="B1279" t="str">
        <f>IF(A1279="","",IFERROR(VALUE(RIGHT(TRIM(Input!D1279&amp;""),1)),0))</f>
        <v/>
      </c>
      <c r="C1279" t="str">
        <f t="shared" si="19"/>
        <v/>
      </c>
      <c r="D1279" t="str">
        <f>IF(A1279="","",IFERROR(VALUE(SUBSTITUTE(TRIM(Input!E1279&amp;""),"%","")),0)/IF(AND(IFERROR(VALUE(SUBSTITUTE(TRIM(Input!E1279&amp;""),"%","")),0)&gt;0,IFERROR(VALUE(SUBSTITUTE(TRIM(Input!E1279&amp;""),"%","")),0)&lt;1),1,100))</f>
        <v/>
      </c>
      <c r="E1279" t="str">
        <f>IF(A1279="","",IFERROR(VALUE(SUBSTITUTE(TRIM(Input!F1279&amp;""),"%","")),0)/IF(AND(IFERROR(VALUE(SUBSTITUTE(TRIM(Input!F1279&amp;""),"%","")),0)&gt;0,IFERROR(VALUE(SUBSTITUTE(TRIM(Input!F1279&amp;""),"%","")),0)&lt;1),1,100))</f>
        <v/>
      </c>
      <c r="F1279" t="str">
        <f>IF(A1279="","",IFERROR(VALUE(SUBSTITUTE(TRIM(Input!G1279&amp;""),"%","")),0)/IF(AND(IFERROR(VALUE(SUBSTITUTE(TRIM(Input!G1279&amp;""),"%","")),0)&gt;0,IFERROR(VALUE(SUBSTITUTE(TRIM(Input!G1279&amp;""),"%","")),0)&lt;1),1,100))</f>
        <v/>
      </c>
      <c r="G1279" t="str">
        <f>IF(A1279="","",IFERROR(VALUE(SUBSTITUTE(TRIM(Input!H1279&amp;""),"%","")),0)/IF(AND(IFERROR(VALUE(SUBSTITUTE(TRIM(Input!H1279&amp;""),"%","")),0)&gt;0,IFERROR(VALUE(SUBSTITUTE(TRIM(Input!H1279&amp;""),"%","")),0)&lt;1),1,100))</f>
        <v/>
      </c>
      <c r="H1279" t="str">
        <f>IF(A1279="","",IFERROR(VALUE(SUBSTITUTE(TRIM(Input!I1279&amp;""),"%","")),0)/IF(AND(IFERROR(VALUE(SUBSTITUTE(TRIM(Input!I1279&amp;""),"%","")),0)&gt;0,IFERROR(VALUE(SUBSTITUTE(TRIM(Input!I1279&amp;""),"%","")),0)&lt;1),1,100))</f>
        <v/>
      </c>
    </row>
    <row r="1280" spans="1:8">
      <c r="A1280" t="str">
        <f>IF(TRIM(Input!B1280&amp;"")="","",UPPER(TRIM(Input!B1280&amp;"")))</f>
        <v/>
      </c>
      <c r="B1280" t="str">
        <f>IF(A1280="","",IFERROR(VALUE(RIGHT(TRIM(Input!D1280&amp;""),1)),0))</f>
        <v/>
      </c>
      <c r="C1280" t="str">
        <f t="shared" si="19"/>
        <v/>
      </c>
      <c r="D1280" t="str">
        <f>IF(A1280="","",IFERROR(VALUE(SUBSTITUTE(TRIM(Input!E1280&amp;""),"%","")),0)/IF(AND(IFERROR(VALUE(SUBSTITUTE(TRIM(Input!E1280&amp;""),"%","")),0)&gt;0,IFERROR(VALUE(SUBSTITUTE(TRIM(Input!E1280&amp;""),"%","")),0)&lt;1),1,100))</f>
        <v/>
      </c>
      <c r="E1280" t="str">
        <f>IF(A1280="","",IFERROR(VALUE(SUBSTITUTE(TRIM(Input!F1280&amp;""),"%","")),0)/IF(AND(IFERROR(VALUE(SUBSTITUTE(TRIM(Input!F1280&amp;""),"%","")),0)&gt;0,IFERROR(VALUE(SUBSTITUTE(TRIM(Input!F1280&amp;""),"%","")),0)&lt;1),1,100))</f>
        <v/>
      </c>
      <c r="F1280" t="str">
        <f>IF(A1280="","",IFERROR(VALUE(SUBSTITUTE(TRIM(Input!G1280&amp;""),"%","")),0)/IF(AND(IFERROR(VALUE(SUBSTITUTE(TRIM(Input!G1280&amp;""),"%","")),0)&gt;0,IFERROR(VALUE(SUBSTITUTE(TRIM(Input!G1280&amp;""),"%","")),0)&lt;1),1,100))</f>
        <v/>
      </c>
      <c r="G1280" t="str">
        <f>IF(A1280="","",IFERROR(VALUE(SUBSTITUTE(TRIM(Input!H1280&amp;""),"%","")),0)/IF(AND(IFERROR(VALUE(SUBSTITUTE(TRIM(Input!H1280&amp;""),"%","")),0)&gt;0,IFERROR(VALUE(SUBSTITUTE(TRIM(Input!H1280&amp;""),"%","")),0)&lt;1),1,100))</f>
        <v/>
      </c>
      <c r="H1280" t="str">
        <f>IF(A1280="","",IFERROR(VALUE(SUBSTITUTE(TRIM(Input!I1280&amp;""),"%","")),0)/IF(AND(IFERROR(VALUE(SUBSTITUTE(TRIM(Input!I1280&amp;""),"%","")),0)&gt;0,IFERROR(VALUE(SUBSTITUTE(TRIM(Input!I1280&amp;""),"%","")),0)&lt;1),1,100))</f>
        <v/>
      </c>
    </row>
    <row r="1281" spans="1:8">
      <c r="A1281" t="str">
        <f>IF(TRIM(Input!B1281&amp;"")="","",UPPER(TRIM(Input!B1281&amp;"")))</f>
        <v/>
      </c>
      <c r="B1281" t="str">
        <f>IF(A1281="","",IFERROR(VALUE(RIGHT(TRIM(Input!D1281&amp;""),1)),0))</f>
        <v/>
      </c>
      <c r="C1281" t="str">
        <f t="shared" si="19"/>
        <v/>
      </c>
      <c r="D1281" t="str">
        <f>IF(A1281="","",IFERROR(VALUE(SUBSTITUTE(TRIM(Input!E1281&amp;""),"%","")),0)/IF(AND(IFERROR(VALUE(SUBSTITUTE(TRIM(Input!E1281&amp;""),"%","")),0)&gt;0,IFERROR(VALUE(SUBSTITUTE(TRIM(Input!E1281&amp;""),"%","")),0)&lt;1),1,100))</f>
        <v/>
      </c>
      <c r="E1281" t="str">
        <f>IF(A1281="","",IFERROR(VALUE(SUBSTITUTE(TRIM(Input!F1281&amp;""),"%","")),0)/IF(AND(IFERROR(VALUE(SUBSTITUTE(TRIM(Input!F1281&amp;""),"%","")),0)&gt;0,IFERROR(VALUE(SUBSTITUTE(TRIM(Input!F1281&amp;""),"%","")),0)&lt;1),1,100))</f>
        <v/>
      </c>
      <c r="F1281" t="str">
        <f>IF(A1281="","",IFERROR(VALUE(SUBSTITUTE(TRIM(Input!G1281&amp;""),"%","")),0)/IF(AND(IFERROR(VALUE(SUBSTITUTE(TRIM(Input!G1281&amp;""),"%","")),0)&gt;0,IFERROR(VALUE(SUBSTITUTE(TRIM(Input!G1281&amp;""),"%","")),0)&lt;1),1,100))</f>
        <v/>
      </c>
      <c r="G1281" t="str">
        <f>IF(A1281="","",IFERROR(VALUE(SUBSTITUTE(TRIM(Input!H1281&amp;""),"%","")),0)/IF(AND(IFERROR(VALUE(SUBSTITUTE(TRIM(Input!H1281&amp;""),"%","")),0)&gt;0,IFERROR(VALUE(SUBSTITUTE(TRIM(Input!H1281&amp;""),"%","")),0)&lt;1),1,100))</f>
        <v/>
      </c>
      <c r="H1281" t="str">
        <f>IF(A1281="","",IFERROR(VALUE(SUBSTITUTE(TRIM(Input!I1281&amp;""),"%","")),0)/IF(AND(IFERROR(VALUE(SUBSTITUTE(TRIM(Input!I1281&amp;""),"%","")),0)&gt;0,IFERROR(VALUE(SUBSTITUTE(TRIM(Input!I1281&amp;""),"%","")),0)&lt;1),1,100))</f>
        <v/>
      </c>
    </row>
    <row r="1282" spans="1:8">
      <c r="A1282" t="str">
        <f>IF(TRIM(Input!B1282&amp;"")="","",UPPER(TRIM(Input!B1282&amp;"")))</f>
        <v/>
      </c>
      <c r="B1282" t="str">
        <f>IF(A1282="","",IFERROR(VALUE(RIGHT(TRIM(Input!D1282&amp;""),1)),0))</f>
        <v/>
      </c>
      <c r="C1282" t="str">
        <f t="shared" ref="C1282:C1345" si="20">IF(A1282="","",A1282&amp;"|"&amp;B1282)</f>
        <v/>
      </c>
      <c r="D1282" t="str">
        <f>IF(A1282="","",IFERROR(VALUE(SUBSTITUTE(TRIM(Input!E1282&amp;""),"%","")),0)/IF(AND(IFERROR(VALUE(SUBSTITUTE(TRIM(Input!E1282&amp;""),"%","")),0)&gt;0,IFERROR(VALUE(SUBSTITUTE(TRIM(Input!E1282&amp;""),"%","")),0)&lt;1),1,100))</f>
        <v/>
      </c>
      <c r="E1282" t="str">
        <f>IF(A1282="","",IFERROR(VALUE(SUBSTITUTE(TRIM(Input!F1282&amp;""),"%","")),0)/IF(AND(IFERROR(VALUE(SUBSTITUTE(TRIM(Input!F1282&amp;""),"%","")),0)&gt;0,IFERROR(VALUE(SUBSTITUTE(TRIM(Input!F1282&amp;""),"%","")),0)&lt;1),1,100))</f>
        <v/>
      </c>
      <c r="F1282" t="str">
        <f>IF(A1282="","",IFERROR(VALUE(SUBSTITUTE(TRIM(Input!G1282&amp;""),"%","")),0)/IF(AND(IFERROR(VALUE(SUBSTITUTE(TRIM(Input!G1282&amp;""),"%","")),0)&gt;0,IFERROR(VALUE(SUBSTITUTE(TRIM(Input!G1282&amp;""),"%","")),0)&lt;1),1,100))</f>
        <v/>
      </c>
      <c r="G1282" t="str">
        <f>IF(A1282="","",IFERROR(VALUE(SUBSTITUTE(TRIM(Input!H1282&amp;""),"%","")),0)/IF(AND(IFERROR(VALUE(SUBSTITUTE(TRIM(Input!H1282&amp;""),"%","")),0)&gt;0,IFERROR(VALUE(SUBSTITUTE(TRIM(Input!H1282&amp;""),"%","")),0)&lt;1),1,100))</f>
        <v/>
      </c>
      <c r="H1282" t="str">
        <f>IF(A1282="","",IFERROR(VALUE(SUBSTITUTE(TRIM(Input!I1282&amp;""),"%","")),0)/IF(AND(IFERROR(VALUE(SUBSTITUTE(TRIM(Input!I1282&amp;""),"%","")),0)&gt;0,IFERROR(VALUE(SUBSTITUTE(TRIM(Input!I1282&amp;""),"%","")),0)&lt;1),1,100))</f>
        <v/>
      </c>
    </row>
    <row r="1283" spans="1:8">
      <c r="A1283" t="str">
        <f>IF(TRIM(Input!B1283&amp;"")="","",UPPER(TRIM(Input!B1283&amp;"")))</f>
        <v/>
      </c>
      <c r="B1283" t="str">
        <f>IF(A1283="","",IFERROR(VALUE(RIGHT(TRIM(Input!D1283&amp;""),1)),0))</f>
        <v/>
      </c>
      <c r="C1283" t="str">
        <f t="shared" si="20"/>
        <v/>
      </c>
      <c r="D1283" t="str">
        <f>IF(A1283="","",IFERROR(VALUE(SUBSTITUTE(TRIM(Input!E1283&amp;""),"%","")),0)/IF(AND(IFERROR(VALUE(SUBSTITUTE(TRIM(Input!E1283&amp;""),"%","")),0)&gt;0,IFERROR(VALUE(SUBSTITUTE(TRIM(Input!E1283&amp;""),"%","")),0)&lt;1),1,100))</f>
        <v/>
      </c>
      <c r="E1283" t="str">
        <f>IF(A1283="","",IFERROR(VALUE(SUBSTITUTE(TRIM(Input!F1283&amp;""),"%","")),0)/IF(AND(IFERROR(VALUE(SUBSTITUTE(TRIM(Input!F1283&amp;""),"%","")),0)&gt;0,IFERROR(VALUE(SUBSTITUTE(TRIM(Input!F1283&amp;""),"%","")),0)&lt;1),1,100))</f>
        <v/>
      </c>
      <c r="F1283" t="str">
        <f>IF(A1283="","",IFERROR(VALUE(SUBSTITUTE(TRIM(Input!G1283&amp;""),"%","")),0)/IF(AND(IFERROR(VALUE(SUBSTITUTE(TRIM(Input!G1283&amp;""),"%","")),0)&gt;0,IFERROR(VALUE(SUBSTITUTE(TRIM(Input!G1283&amp;""),"%","")),0)&lt;1),1,100))</f>
        <v/>
      </c>
      <c r="G1283" t="str">
        <f>IF(A1283="","",IFERROR(VALUE(SUBSTITUTE(TRIM(Input!H1283&amp;""),"%","")),0)/IF(AND(IFERROR(VALUE(SUBSTITUTE(TRIM(Input!H1283&amp;""),"%","")),0)&gt;0,IFERROR(VALUE(SUBSTITUTE(TRIM(Input!H1283&amp;""),"%","")),0)&lt;1),1,100))</f>
        <v/>
      </c>
      <c r="H1283" t="str">
        <f>IF(A1283="","",IFERROR(VALUE(SUBSTITUTE(TRIM(Input!I1283&amp;""),"%","")),0)/IF(AND(IFERROR(VALUE(SUBSTITUTE(TRIM(Input!I1283&amp;""),"%","")),0)&gt;0,IFERROR(VALUE(SUBSTITUTE(TRIM(Input!I1283&amp;""),"%","")),0)&lt;1),1,100))</f>
        <v/>
      </c>
    </row>
    <row r="1284" spans="1:8">
      <c r="A1284" t="str">
        <f>IF(TRIM(Input!B1284&amp;"")="","",UPPER(TRIM(Input!B1284&amp;"")))</f>
        <v/>
      </c>
      <c r="B1284" t="str">
        <f>IF(A1284="","",IFERROR(VALUE(RIGHT(TRIM(Input!D1284&amp;""),1)),0))</f>
        <v/>
      </c>
      <c r="C1284" t="str">
        <f t="shared" si="20"/>
        <v/>
      </c>
      <c r="D1284" t="str">
        <f>IF(A1284="","",IFERROR(VALUE(SUBSTITUTE(TRIM(Input!E1284&amp;""),"%","")),0)/IF(AND(IFERROR(VALUE(SUBSTITUTE(TRIM(Input!E1284&amp;""),"%","")),0)&gt;0,IFERROR(VALUE(SUBSTITUTE(TRIM(Input!E1284&amp;""),"%","")),0)&lt;1),1,100))</f>
        <v/>
      </c>
      <c r="E1284" t="str">
        <f>IF(A1284="","",IFERROR(VALUE(SUBSTITUTE(TRIM(Input!F1284&amp;""),"%","")),0)/IF(AND(IFERROR(VALUE(SUBSTITUTE(TRIM(Input!F1284&amp;""),"%","")),0)&gt;0,IFERROR(VALUE(SUBSTITUTE(TRIM(Input!F1284&amp;""),"%","")),0)&lt;1),1,100))</f>
        <v/>
      </c>
      <c r="F1284" t="str">
        <f>IF(A1284="","",IFERROR(VALUE(SUBSTITUTE(TRIM(Input!G1284&amp;""),"%","")),0)/IF(AND(IFERROR(VALUE(SUBSTITUTE(TRIM(Input!G1284&amp;""),"%","")),0)&gt;0,IFERROR(VALUE(SUBSTITUTE(TRIM(Input!G1284&amp;""),"%","")),0)&lt;1),1,100))</f>
        <v/>
      </c>
      <c r="G1284" t="str">
        <f>IF(A1284="","",IFERROR(VALUE(SUBSTITUTE(TRIM(Input!H1284&amp;""),"%","")),0)/IF(AND(IFERROR(VALUE(SUBSTITUTE(TRIM(Input!H1284&amp;""),"%","")),0)&gt;0,IFERROR(VALUE(SUBSTITUTE(TRIM(Input!H1284&amp;""),"%","")),0)&lt;1),1,100))</f>
        <v/>
      </c>
      <c r="H1284" t="str">
        <f>IF(A1284="","",IFERROR(VALUE(SUBSTITUTE(TRIM(Input!I1284&amp;""),"%","")),0)/IF(AND(IFERROR(VALUE(SUBSTITUTE(TRIM(Input!I1284&amp;""),"%","")),0)&gt;0,IFERROR(VALUE(SUBSTITUTE(TRIM(Input!I1284&amp;""),"%","")),0)&lt;1),1,100))</f>
        <v/>
      </c>
    </row>
    <row r="1285" spans="1:8">
      <c r="A1285" t="str">
        <f>IF(TRIM(Input!B1285&amp;"")="","",UPPER(TRIM(Input!B1285&amp;"")))</f>
        <v/>
      </c>
      <c r="B1285" t="str">
        <f>IF(A1285="","",IFERROR(VALUE(RIGHT(TRIM(Input!D1285&amp;""),1)),0))</f>
        <v/>
      </c>
      <c r="C1285" t="str">
        <f t="shared" si="20"/>
        <v/>
      </c>
      <c r="D1285" t="str">
        <f>IF(A1285="","",IFERROR(VALUE(SUBSTITUTE(TRIM(Input!E1285&amp;""),"%","")),0)/IF(AND(IFERROR(VALUE(SUBSTITUTE(TRIM(Input!E1285&amp;""),"%","")),0)&gt;0,IFERROR(VALUE(SUBSTITUTE(TRIM(Input!E1285&amp;""),"%","")),0)&lt;1),1,100))</f>
        <v/>
      </c>
      <c r="E1285" t="str">
        <f>IF(A1285="","",IFERROR(VALUE(SUBSTITUTE(TRIM(Input!F1285&amp;""),"%","")),0)/IF(AND(IFERROR(VALUE(SUBSTITUTE(TRIM(Input!F1285&amp;""),"%","")),0)&gt;0,IFERROR(VALUE(SUBSTITUTE(TRIM(Input!F1285&amp;""),"%","")),0)&lt;1),1,100))</f>
        <v/>
      </c>
      <c r="F1285" t="str">
        <f>IF(A1285="","",IFERROR(VALUE(SUBSTITUTE(TRIM(Input!G1285&amp;""),"%","")),0)/IF(AND(IFERROR(VALUE(SUBSTITUTE(TRIM(Input!G1285&amp;""),"%","")),0)&gt;0,IFERROR(VALUE(SUBSTITUTE(TRIM(Input!G1285&amp;""),"%","")),0)&lt;1),1,100))</f>
        <v/>
      </c>
      <c r="G1285" t="str">
        <f>IF(A1285="","",IFERROR(VALUE(SUBSTITUTE(TRIM(Input!H1285&amp;""),"%","")),0)/IF(AND(IFERROR(VALUE(SUBSTITUTE(TRIM(Input!H1285&amp;""),"%","")),0)&gt;0,IFERROR(VALUE(SUBSTITUTE(TRIM(Input!H1285&amp;""),"%","")),0)&lt;1),1,100))</f>
        <v/>
      </c>
      <c r="H1285" t="str">
        <f>IF(A1285="","",IFERROR(VALUE(SUBSTITUTE(TRIM(Input!I1285&amp;""),"%","")),0)/IF(AND(IFERROR(VALUE(SUBSTITUTE(TRIM(Input!I1285&amp;""),"%","")),0)&gt;0,IFERROR(VALUE(SUBSTITUTE(TRIM(Input!I1285&amp;""),"%","")),0)&lt;1),1,100))</f>
        <v/>
      </c>
    </row>
    <row r="1286" spans="1:8">
      <c r="A1286" t="str">
        <f>IF(TRIM(Input!B1286&amp;"")="","",UPPER(TRIM(Input!B1286&amp;"")))</f>
        <v/>
      </c>
      <c r="B1286" t="str">
        <f>IF(A1286="","",IFERROR(VALUE(RIGHT(TRIM(Input!D1286&amp;""),1)),0))</f>
        <v/>
      </c>
      <c r="C1286" t="str">
        <f t="shared" si="20"/>
        <v/>
      </c>
      <c r="D1286" t="str">
        <f>IF(A1286="","",IFERROR(VALUE(SUBSTITUTE(TRIM(Input!E1286&amp;""),"%","")),0)/IF(AND(IFERROR(VALUE(SUBSTITUTE(TRIM(Input!E1286&amp;""),"%","")),0)&gt;0,IFERROR(VALUE(SUBSTITUTE(TRIM(Input!E1286&amp;""),"%","")),0)&lt;1),1,100))</f>
        <v/>
      </c>
      <c r="E1286" t="str">
        <f>IF(A1286="","",IFERROR(VALUE(SUBSTITUTE(TRIM(Input!F1286&amp;""),"%","")),0)/IF(AND(IFERROR(VALUE(SUBSTITUTE(TRIM(Input!F1286&amp;""),"%","")),0)&gt;0,IFERROR(VALUE(SUBSTITUTE(TRIM(Input!F1286&amp;""),"%","")),0)&lt;1),1,100))</f>
        <v/>
      </c>
      <c r="F1286" t="str">
        <f>IF(A1286="","",IFERROR(VALUE(SUBSTITUTE(TRIM(Input!G1286&amp;""),"%","")),0)/IF(AND(IFERROR(VALUE(SUBSTITUTE(TRIM(Input!G1286&amp;""),"%","")),0)&gt;0,IFERROR(VALUE(SUBSTITUTE(TRIM(Input!G1286&amp;""),"%","")),0)&lt;1),1,100))</f>
        <v/>
      </c>
      <c r="G1286" t="str">
        <f>IF(A1286="","",IFERROR(VALUE(SUBSTITUTE(TRIM(Input!H1286&amp;""),"%","")),0)/IF(AND(IFERROR(VALUE(SUBSTITUTE(TRIM(Input!H1286&amp;""),"%","")),0)&gt;0,IFERROR(VALUE(SUBSTITUTE(TRIM(Input!H1286&amp;""),"%","")),0)&lt;1),1,100))</f>
        <v/>
      </c>
      <c r="H1286" t="str">
        <f>IF(A1286="","",IFERROR(VALUE(SUBSTITUTE(TRIM(Input!I1286&amp;""),"%","")),0)/IF(AND(IFERROR(VALUE(SUBSTITUTE(TRIM(Input!I1286&amp;""),"%","")),0)&gt;0,IFERROR(VALUE(SUBSTITUTE(TRIM(Input!I1286&amp;""),"%","")),0)&lt;1),1,100))</f>
        <v/>
      </c>
    </row>
    <row r="1287" spans="1:8">
      <c r="A1287" t="str">
        <f>IF(TRIM(Input!B1287&amp;"")="","",UPPER(TRIM(Input!B1287&amp;"")))</f>
        <v/>
      </c>
      <c r="B1287" t="str">
        <f>IF(A1287="","",IFERROR(VALUE(RIGHT(TRIM(Input!D1287&amp;""),1)),0))</f>
        <v/>
      </c>
      <c r="C1287" t="str">
        <f t="shared" si="20"/>
        <v/>
      </c>
      <c r="D1287" t="str">
        <f>IF(A1287="","",IFERROR(VALUE(SUBSTITUTE(TRIM(Input!E1287&amp;""),"%","")),0)/IF(AND(IFERROR(VALUE(SUBSTITUTE(TRIM(Input!E1287&amp;""),"%","")),0)&gt;0,IFERROR(VALUE(SUBSTITUTE(TRIM(Input!E1287&amp;""),"%","")),0)&lt;1),1,100))</f>
        <v/>
      </c>
      <c r="E1287" t="str">
        <f>IF(A1287="","",IFERROR(VALUE(SUBSTITUTE(TRIM(Input!F1287&amp;""),"%","")),0)/IF(AND(IFERROR(VALUE(SUBSTITUTE(TRIM(Input!F1287&amp;""),"%","")),0)&gt;0,IFERROR(VALUE(SUBSTITUTE(TRIM(Input!F1287&amp;""),"%","")),0)&lt;1),1,100))</f>
        <v/>
      </c>
      <c r="F1287" t="str">
        <f>IF(A1287="","",IFERROR(VALUE(SUBSTITUTE(TRIM(Input!G1287&amp;""),"%","")),0)/IF(AND(IFERROR(VALUE(SUBSTITUTE(TRIM(Input!G1287&amp;""),"%","")),0)&gt;0,IFERROR(VALUE(SUBSTITUTE(TRIM(Input!G1287&amp;""),"%","")),0)&lt;1),1,100))</f>
        <v/>
      </c>
      <c r="G1287" t="str">
        <f>IF(A1287="","",IFERROR(VALUE(SUBSTITUTE(TRIM(Input!H1287&amp;""),"%","")),0)/IF(AND(IFERROR(VALUE(SUBSTITUTE(TRIM(Input!H1287&amp;""),"%","")),0)&gt;0,IFERROR(VALUE(SUBSTITUTE(TRIM(Input!H1287&amp;""),"%","")),0)&lt;1),1,100))</f>
        <v/>
      </c>
      <c r="H1287" t="str">
        <f>IF(A1287="","",IFERROR(VALUE(SUBSTITUTE(TRIM(Input!I1287&amp;""),"%","")),0)/IF(AND(IFERROR(VALUE(SUBSTITUTE(TRIM(Input!I1287&amp;""),"%","")),0)&gt;0,IFERROR(VALUE(SUBSTITUTE(TRIM(Input!I1287&amp;""),"%","")),0)&lt;1),1,100))</f>
        <v/>
      </c>
    </row>
    <row r="1288" spans="1:8">
      <c r="A1288" t="str">
        <f>IF(TRIM(Input!B1288&amp;"")="","",UPPER(TRIM(Input!B1288&amp;"")))</f>
        <v/>
      </c>
      <c r="B1288" t="str">
        <f>IF(A1288="","",IFERROR(VALUE(RIGHT(TRIM(Input!D1288&amp;""),1)),0))</f>
        <v/>
      </c>
      <c r="C1288" t="str">
        <f t="shared" si="20"/>
        <v/>
      </c>
      <c r="D1288" t="str">
        <f>IF(A1288="","",IFERROR(VALUE(SUBSTITUTE(TRIM(Input!E1288&amp;""),"%","")),0)/IF(AND(IFERROR(VALUE(SUBSTITUTE(TRIM(Input!E1288&amp;""),"%","")),0)&gt;0,IFERROR(VALUE(SUBSTITUTE(TRIM(Input!E1288&amp;""),"%","")),0)&lt;1),1,100))</f>
        <v/>
      </c>
      <c r="E1288" t="str">
        <f>IF(A1288="","",IFERROR(VALUE(SUBSTITUTE(TRIM(Input!F1288&amp;""),"%","")),0)/IF(AND(IFERROR(VALUE(SUBSTITUTE(TRIM(Input!F1288&amp;""),"%","")),0)&gt;0,IFERROR(VALUE(SUBSTITUTE(TRIM(Input!F1288&amp;""),"%","")),0)&lt;1),1,100))</f>
        <v/>
      </c>
      <c r="F1288" t="str">
        <f>IF(A1288="","",IFERROR(VALUE(SUBSTITUTE(TRIM(Input!G1288&amp;""),"%","")),0)/IF(AND(IFERROR(VALUE(SUBSTITUTE(TRIM(Input!G1288&amp;""),"%","")),0)&gt;0,IFERROR(VALUE(SUBSTITUTE(TRIM(Input!G1288&amp;""),"%","")),0)&lt;1),1,100))</f>
        <v/>
      </c>
      <c r="G1288" t="str">
        <f>IF(A1288="","",IFERROR(VALUE(SUBSTITUTE(TRIM(Input!H1288&amp;""),"%","")),0)/IF(AND(IFERROR(VALUE(SUBSTITUTE(TRIM(Input!H1288&amp;""),"%","")),0)&gt;0,IFERROR(VALUE(SUBSTITUTE(TRIM(Input!H1288&amp;""),"%","")),0)&lt;1),1,100))</f>
        <v/>
      </c>
      <c r="H1288" t="str">
        <f>IF(A1288="","",IFERROR(VALUE(SUBSTITUTE(TRIM(Input!I1288&amp;""),"%","")),0)/IF(AND(IFERROR(VALUE(SUBSTITUTE(TRIM(Input!I1288&amp;""),"%","")),0)&gt;0,IFERROR(VALUE(SUBSTITUTE(TRIM(Input!I1288&amp;""),"%","")),0)&lt;1),1,100))</f>
        <v/>
      </c>
    </row>
    <row r="1289" spans="1:8">
      <c r="A1289" t="str">
        <f>IF(TRIM(Input!B1289&amp;"")="","",UPPER(TRIM(Input!B1289&amp;"")))</f>
        <v/>
      </c>
      <c r="B1289" t="str">
        <f>IF(A1289="","",IFERROR(VALUE(RIGHT(TRIM(Input!D1289&amp;""),1)),0))</f>
        <v/>
      </c>
      <c r="C1289" t="str">
        <f t="shared" si="20"/>
        <v/>
      </c>
      <c r="D1289" t="str">
        <f>IF(A1289="","",IFERROR(VALUE(SUBSTITUTE(TRIM(Input!E1289&amp;""),"%","")),0)/IF(AND(IFERROR(VALUE(SUBSTITUTE(TRIM(Input!E1289&amp;""),"%","")),0)&gt;0,IFERROR(VALUE(SUBSTITUTE(TRIM(Input!E1289&amp;""),"%","")),0)&lt;1),1,100))</f>
        <v/>
      </c>
      <c r="E1289" t="str">
        <f>IF(A1289="","",IFERROR(VALUE(SUBSTITUTE(TRIM(Input!F1289&amp;""),"%","")),0)/IF(AND(IFERROR(VALUE(SUBSTITUTE(TRIM(Input!F1289&amp;""),"%","")),0)&gt;0,IFERROR(VALUE(SUBSTITUTE(TRIM(Input!F1289&amp;""),"%","")),0)&lt;1),1,100))</f>
        <v/>
      </c>
      <c r="F1289" t="str">
        <f>IF(A1289="","",IFERROR(VALUE(SUBSTITUTE(TRIM(Input!G1289&amp;""),"%","")),0)/IF(AND(IFERROR(VALUE(SUBSTITUTE(TRIM(Input!G1289&amp;""),"%","")),0)&gt;0,IFERROR(VALUE(SUBSTITUTE(TRIM(Input!G1289&amp;""),"%","")),0)&lt;1),1,100))</f>
        <v/>
      </c>
      <c r="G1289" t="str">
        <f>IF(A1289="","",IFERROR(VALUE(SUBSTITUTE(TRIM(Input!H1289&amp;""),"%","")),0)/IF(AND(IFERROR(VALUE(SUBSTITUTE(TRIM(Input!H1289&amp;""),"%","")),0)&gt;0,IFERROR(VALUE(SUBSTITUTE(TRIM(Input!H1289&amp;""),"%","")),0)&lt;1),1,100))</f>
        <v/>
      </c>
      <c r="H1289" t="str">
        <f>IF(A1289="","",IFERROR(VALUE(SUBSTITUTE(TRIM(Input!I1289&amp;""),"%","")),0)/IF(AND(IFERROR(VALUE(SUBSTITUTE(TRIM(Input!I1289&amp;""),"%","")),0)&gt;0,IFERROR(VALUE(SUBSTITUTE(TRIM(Input!I1289&amp;""),"%","")),0)&lt;1),1,100))</f>
        <v/>
      </c>
    </row>
    <row r="1290" spans="1:8">
      <c r="A1290" t="str">
        <f>IF(TRIM(Input!B1290&amp;"")="","",UPPER(TRIM(Input!B1290&amp;"")))</f>
        <v/>
      </c>
      <c r="B1290" t="str">
        <f>IF(A1290="","",IFERROR(VALUE(RIGHT(TRIM(Input!D1290&amp;""),1)),0))</f>
        <v/>
      </c>
      <c r="C1290" t="str">
        <f t="shared" si="20"/>
        <v/>
      </c>
      <c r="D1290" t="str">
        <f>IF(A1290="","",IFERROR(VALUE(SUBSTITUTE(TRIM(Input!E1290&amp;""),"%","")),0)/IF(AND(IFERROR(VALUE(SUBSTITUTE(TRIM(Input!E1290&amp;""),"%","")),0)&gt;0,IFERROR(VALUE(SUBSTITUTE(TRIM(Input!E1290&amp;""),"%","")),0)&lt;1),1,100))</f>
        <v/>
      </c>
      <c r="E1290" t="str">
        <f>IF(A1290="","",IFERROR(VALUE(SUBSTITUTE(TRIM(Input!F1290&amp;""),"%","")),0)/IF(AND(IFERROR(VALUE(SUBSTITUTE(TRIM(Input!F1290&amp;""),"%","")),0)&gt;0,IFERROR(VALUE(SUBSTITUTE(TRIM(Input!F1290&amp;""),"%","")),0)&lt;1),1,100))</f>
        <v/>
      </c>
      <c r="F1290" t="str">
        <f>IF(A1290="","",IFERROR(VALUE(SUBSTITUTE(TRIM(Input!G1290&amp;""),"%","")),0)/IF(AND(IFERROR(VALUE(SUBSTITUTE(TRIM(Input!G1290&amp;""),"%","")),0)&gt;0,IFERROR(VALUE(SUBSTITUTE(TRIM(Input!G1290&amp;""),"%","")),0)&lt;1),1,100))</f>
        <v/>
      </c>
      <c r="G1290" t="str">
        <f>IF(A1290="","",IFERROR(VALUE(SUBSTITUTE(TRIM(Input!H1290&amp;""),"%","")),0)/IF(AND(IFERROR(VALUE(SUBSTITUTE(TRIM(Input!H1290&amp;""),"%","")),0)&gt;0,IFERROR(VALUE(SUBSTITUTE(TRIM(Input!H1290&amp;""),"%","")),0)&lt;1),1,100))</f>
        <v/>
      </c>
      <c r="H1290" t="str">
        <f>IF(A1290="","",IFERROR(VALUE(SUBSTITUTE(TRIM(Input!I1290&amp;""),"%","")),0)/IF(AND(IFERROR(VALUE(SUBSTITUTE(TRIM(Input!I1290&amp;""),"%","")),0)&gt;0,IFERROR(VALUE(SUBSTITUTE(TRIM(Input!I1290&amp;""),"%","")),0)&lt;1),1,100))</f>
        <v/>
      </c>
    </row>
    <row r="1291" spans="1:8">
      <c r="A1291" t="str">
        <f>IF(TRIM(Input!B1291&amp;"")="","",UPPER(TRIM(Input!B1291&amp;"")))</f>
        <v/>
      </c>
      <c r="B1291" t="str">
        <f>IF(A1291="","",IFERROR(VALUE(RIGHT(TRIM(Input!D1291&amp;""),1)),0))</f>
        <v/>
      </c>
      <c r="C1291" t="str">
        <f t="shared" si="20"/>
        <v/>
      </c>
      <c r="D1291" t="str">
        <f>IF(A1291="","",IFERROR(VALUE(SUBSTITUTE(TRIM(Input!E1291&amp;""),"%","")),0)/IF(AND(IFERROR(VALUE(SUBSTITUTE(TRIM(Input!E1291&amp;""),"%","")),0)&gt;0,IFERROR(VALUE(SUBSTITUTE(TRIM(Input!E1291&amp;""),"%","")),0)&lt;1),1,100))</f>
        <v/>
      </c>
      <c r="E1291" t="str">
        <f>IF(A1291="","",IFERROR(VALUE(SUBSTITUTE(TRIM(Input!F1291&amp;""),"%","")),0)/IF(AND(IFERROR(VALUE(SUBSTITUTE(TRIM(Input!F1291&amp;""),"%","")),0)&gt;0,IFERROR(VALUE(SUBSTITUTE(TRIM(Input!F1291&amp;""),"%","")),0)&lt;1),1,100))</f>
        <v/>
      </c>
      <c r="F1291" t="str">
        <f>IF(A1291="","",IFERROR(VALUE(SUBSTITUTE(TRIM(Input!G1291&amp;""),"%","")),0)/IF(AND(IFERROR(VALUE(SUBSTITUTE(TRIM(Input!G1291&amp;""),"%","")),0)&gt;0,IFERROR(VALUE(SUBSTITUTE(TRIM(Input!G1291&amp;""),"%","")),0)&lt;1),1,100))</f>
        <v/>
      </c>
      <c r="G1291" t="str">
        <f>IF(A1291="","",IFERROR(VALUE(SUBSTITUTE(TRIM(Input!H1291&amp;""),"%","")),0)/IF(AND(IFERROR(VALUE(SUBSTITUTE(TRIM(Input!H1291&amp;""),"%","")),0)&gt;0,IFERROR(VALUE(SUBSTITUTE(TRIM(Input!H1291&amp;""),"%","")),0)&lt;1),1,100))</f>
        <v/>
      </c>
      <c r="H1291" t="str">
        <f>IF(A1291="","",IFERROR(VALUE(SUBSTITUTE(TRIM(Input!I1291&amp;""),"%","")),0)/IF(AND(IFERROR(VALUE(SUBSTITUTE(TRIM(Input!I1291&amp;""),"%","")),0)&gt;0,IFERROR(VALUE(SUBSTITUTE(TRIM(Input!I1291&amp;""),"%","")),0)&lt;1),1,100))</f>
        <v/>
      </c>
    </row>
    <row r="1292" spans="1:8">
      <c r="A1292" t="str">
        <f>IF(TRIM(Input!B1292&amp;"")="","",UPPER(TRIM(Input!B1292&amp;"")))</f>
        <v/>
      </c>
      <c r="B1292" t="str">
        <f>IF(A1292="","",IFERROR(VALUE(RIGHT(TRIM(Input!D1292&amp;""),1)),0))</f>
        <v/>
      </c>
      <c r="C1292" t="str">
        <f t="shared" si="20"/>
        <v/>
      </c>
      <c r="D1292" t="str">
        <f>IF(A1292="","",IFERROR(VALUE(SUBSTITUTE(TRIM(Input!E1292&amp;""),"%","")),0)/IF(AND(IFERROR(VALUE(SUBSTITUTE(TRIM(Input!E1292&amp;""),"%","")),0)&gt;0,IFERROR(VALUE(SUBSTITUTE(TRIM(Input!E1292&amp;""),"%","")),0)&lt;1),1,100))</f>
        <v/>
      </c>
      <c r="E1292" t="str">
        <f>IF(A1292="","",IFERROR(VALUE(SUBSTITUTE(TRIM(Input!F1292&amp;""),"%","")),0)/IF(AND(IFERROR(VALUE(SUBSTITUTE(TRIM(Input!F1292&amp;""),"%","")),0)&gt;0,IFERROR(VALUE(SUBSTITUTE(TRIM(Input!F1292&amp;""),"%","")),0)&lt;1),1,100))</f>
        <v/>
      </c>
      <c r="F1292" t="str">
        <f>IF(A1292="","",IFERROR(VALUE(SUBSTITUTE(TRIM(Input!G1292&amp;""),"%","")),0)/IF(AND(IFERROR(VALUE(SUBSTITUTE(TRIM(Input!G1292&amp;""),"%","")),0)&gt;0,IFERROR(VALUE(SUBSTITUTE(TRIM(Input!G1292&amp;""),"%","")),0)&lt;1),1,100))</f>
        <v/>
      </c>
      <c r="G1292" t="str">
        <f>IF(A1292="","",IFERROR(VALUE(SUBSTITUTE(TRIM(Input!H1292&amp;""),"%","")),0)/IF(AND(IFERROR(VALUE(SUBSTITUTE(TRIM(Input!H1292&amp;""),"%","")),0)&gt;0,IFERROR(VALUE(SUBSTITUTE(TRIM(Input!H1292&amp;""),"%","")),0)&lt;1),1,100))</f>
        <v/>
      </c>
      <c r="H1292" t="str">
        <f>IF(A1292="","",IFERROR(VALUE(SUBSTITUTE(TRIM(Input!I1292&amp;""),"%","")),0)/IF(AND(IFERROR(VALUE(SUBSTITUTE(TRIM(Input!I1292&amp;""),"%","")),0)&gt;0,IFERROR(VALUE(SUBSTITUTE(TRIM(Input!I1292&amp;""),"%","")),0)&lt;1),1,100))</f>
        <v/>
      </c>
    </row>
    <row r="1293" spans="1:8">
      <c r="A1293" t="str">
        <f>IF(TRIM(Input!B1293&amp;"")="","",UPPER(TRIM(Input!B1293&amp;"")))</f>
        <v/>
      </c>
      <c r="B1293" t="str">
        <f>IF(A1293="","",IFERROR(VALUE(RIGHT(TRIM(Input!D1293&amp;""),1)),0))</f>
        <v/>
      </c>
      <c r="C1293" t="str">
        <f t="shared" si="20"/>
        <v/>
      </c>
      <c r="D1293" t="str">
        <f>IF(A1293="","",IFERROR(VALUE(SUBSTITUTE(TRIM(Input!E1293&amp;""),"%","")),0)/IF(AND(IFERROR(VALUE(SUBSTITUTE(TRIM(Input!E1293&amp;""),"%","")),0)&gt;0,IFERROR(VALUE(SUBSTITUTE(TRIM(Input!E1293&amp;""),"%","")),0)&lt;1),1,100))</f>
        <v/>
      </c>
      <c r="E1293" t="str">
        <f>IF(A1293="","",IFERROR(VALUE(SUBSTITUTE(TRIM(Input!F1293&amp;""),"%","")),0)/IF(AND(IFERROR(VALUE(SUBSTITUTE(TRIM(Input!F1293&amp;""),"%","")),0)&gt;0,IFERROR(VALUE(SUBSTITUTE(TRIM(Input!F1293&amp;""),"%","")),0)&lt;1),1,100))</f>
        <v/>
      </c>
      <c r="F1293" t="str">
        <f>IF(A1293="","",IFERROR(VALUE(SUBSTITUTE(TRIM(Input!G1293&amp;""),"%","")),0)/IF(AND(IFERROR(VALUE(SUBSTITUTE(TRIM(Input!G1293&amp;""),"%","")),0)&gt;0,IFERROR(VALUE(SUBSTITUTE(TRIM(Input!G1293&amp;""),"%","")),0)&lt;1),1,100))</f>
        <v/>
      </c>
      <c r="G1293" t="str">
        <f>IF(A1293="","",IFERROR(VALUE(SUBSTITUTE(TRIM(Input!H1293&amp;""),"%","")),0)/IF(AND(IFERROR(VALUE(SUBSTITUTE(TRIM(Input!H1293&amp;""),"%","")),0)&gt;0,IFERROR(VALUE(SUBSTITUTE(TRIM(Input!H1293&amp;""),"%","")),0)&lt;1),1,100))</f>
        <v/>
      </c>
      <c r="H1293" t="str">
        <f>IF(A1293="","",IFERROR(VALUE(SUBSTITUTE(TRIM(Input!I1293&amp;""),"%","")),0)/IF(AND(IFERROR(VALUE(SUBSTITUTE(TRIM(Input!I1293&amp;""),"%","")),0)&gt;0,IFERROR(VALUE(SUBSTITUTE(TRIM(Input!I1293&amp;""),"%","")),0)&lt;1),1,100))</f>
        <v/>
      </c>
    </row>
    <row r="1294" spans="1:8">
      <c r="A1294" t="str">
        <f>IF(TRIM(Input!B1294&amp;"")="","",UPPER(TRIM(Input!B1294&amp;"")))</f>
        <v/>
      </c>
      <c r="B1294" t="str">
        <f>IF(A1294="","",IFERROR(VALUE(RIGHT(TRIM(Input!D1294&amp;""),1)),0))</f>
        <v/>
      </c>
      <c r="C1294" t="str">
        <f t="shared" si="20"/>
        <v/>
      </c>
      <c r="D1294" t="str">
        <f>IF(A1294="","",IFERROR(VALUE(SUBSTITUTE(TRIM(Input!E1294&amp;""),"%","")),0)/IF(AND(IFERROR(VALUE(SUBSTITUTE(TRIM(Input!E1294&amp;""),"%","")),0)&gt;0,IFERROR(VALUE(SUBSTITUTE(TRIM(Input!E1294&amp;""),"%","")),0)&lt;1),1,100))</f>
        <v/>
      </c>
      <c r="E1294" t="str">
        <f>IF(A1294="","",IFERROR(VALUE(SUBSTITUTE(TRIM(Input!F1294&amp;""),"%","")),0)/IF(AND(IFERROR(VALUE(SUBSTITUTE(TRIM(Input!F1294&amp;""),"%","")),0)&gt;0,IFERROR(VALUE(SUBSTITUTE(TRIM(Input!F1294&amp;""),"%","")),0)&lt;1),1,100))</f>
        <v/>
      </c>
      <c r="F1294" t="str">
        <f>IF(A1294="","",IFERROR(VALUE(SUBSTITUTE(TRIM(Input!G1294&amp;""),"%","")),0)/IF(AND(IFERROR(VALUE(SUBSTITUTE(TRIM(Input!G1294&amp;""),"%","")),0)&gt;0,IFERROR(VALUE(SUBSTITUTE(TRIM(Input!G1294&amp;""),"%","")),0)&lt;1),1,100))</f>
        <v/>
      </c>
      <c r="G1294" t="str">
        <f>IF(A1294="","",IFERROR(VALUE(SUBSTITUTE(TRIM(Input!H1294&amp;""),"%","")),0)/IF(AND(IFERROR(VALUE(SUBSTITUTE(TRIM(Input!H1294&amp;""),"%","")),0)&gt;0,IFERROR(VALUE(SUBSTITUTE(TRIM(Input!H1294&amp;""),"%","")),0)&lt;1),1,100))</f>
        <v/>
      </c>
      <c r="H1294" t="str">
        <f>IF(A1294="","",IFERROR(VALUE(SUBSTITUTE(TRIM(Input!I1294&amp;""),"%","")),0)/IF(AND(IFERROR(VALUE(SUBSTITUTE(TRIM(Input!I1294&amp;""),"%","")),0)&gt;0,IFERROR(VALUE(SUBSTITUTE(TRIM(Input!I1294&amp;""),"%","")),0)&lt;1),1,100))</f>
        <v/>
      </c>
    </row>
    <row r="1295" spans="1:8">
      <c r="A1295" t="str">
        <f>IF(TRIM(Input!B1295&amp;"")="","",UPPER(TRIM(Input!B1295&amp;"")))</f>
        <v/>
      </c>
      <c r="B1295" t="str">
        <f>IF(A1295="","",IFERROR(VALUE(RIGHT(TRIM(Input!D1295&amp;""),1)),0))</f>
        <v/>
      </c>
      <c r="C1295" t="str">
        <f t="shared" si="20"/>
        <v/>
      </c>
      <c r="D1295" t="str">
        <f>IF(A1295="","",IFERROR(VALUE(SUBSTITUTE(TRIM(Input!E1295&amp;""),"%","")),0)/IF(AND(IFERROR(VALUE(SUBSTITUTE(TRIM(Input!E1295&amp;""),"%","")),0)&gt;0,IFERROR(VALUE(SUBSTITUTE(TRIM(Input!E1295&amp;""),"%","")),0)&lt;1),1,100))</f>
        <v/>
      </c>
      <c r="E1295" t="str">
        <f>IF(A1295="","",IFERROR(VALUE(SUBSTITUTE(TRIM(Input!F1295&amp;""),"%","")),0)/IF(AND(IFERROR(VALUE(SUBSTITUTE(TRIM(Input!F1295&amp;""),"%","")),0)&gt;0,IFERROR(VALUE(SUBSTITUTE(TRIM(Input!F1295&amp;""),"%","")),0)&lt;1),1,100))</f>
        <v/>
      </c>
      <c r="F1295" t="str">
        <f>IF(A1295="","",IFERROR(VALUE(SUBSTITUTE(TRIM(Input!G1295&amp;""),"%","")),0)/IF(AND(IFERROR(VALUE(SUBSTITUTE(TRIM(Input!G1295&amp;""),"%","")),0)&gt;0,IFERROR(VALUE(SUBSTITUTE(TRIM(Input!G1295&amp;""),"%","")),0)&lt;1),1,100))</f>
        <v/>
      </c>
      <c r="G1295" t="str">
        <f>IF(A1295="","",IFERROR(VALUE(SUBSTITUTE(TRIM(Input!H1295&amp;""),"%","")),0)/IF(AND(IFERROR(VALUE(SUBSTITUTE(TRIM(Input!H1295&amp;""),"%","")),0)&gt;0,IFERROR(VALUE(SUBSTITUTE(TRIM(Input!H1295&amp;""),"%","")),0)&lt;1),1,100))</f>
        <v/>
      </c>
      <c r="H1295" t="str">
        <f>IF(A1295="","",IFERROR(VALUE(SUBSTITUTE(TRIM(Input!I1295&amp;""),"%","")),0)/IF(AND(IFERROR(VALUE(SUBSTITUTE(TRIM(Input!I1295&amp;""),"%","")),0)&gt;0,IFERROR(VALUE(SUBSTITUTE(TRIM(Input!I1295&amp;""),"%","")),0)&lt;1),1,100))</f>
        <v/>
      </c>
    </row>
    <row r="1296" spans="1:8">
      <c r="A1296" t="str">
        <f>IF(TRIM(Input!B1296&amp;"")="","",UPPER(TRIM(Input!B1296&amp;"")))</f>
        <v/>
      </c>
      <c r="B1296" t="str">
        <f>IF(A1296="","",IFERROR(VALUE(RIGHT(TRIM(Input!D1296&amp;""),1)),0))</f>
        <v/>
      </c>
      <c r="C1296" t="str">
        <f t="shared" si="20"/>
        <v/>
      </c>
      <c r="D1296" t="str">
        <f>IF(A1296="","",IFERROR(VALUE(SUBSTITUTE(TRIM(Input!E1296&amp;""),"%","")),0)/IF(AND(IFERROR(VALUE(SUBSTITUTE(TRIM(Input!E1296&amp;""),"%","")),0)&gt;0,IFERROR(VALUE(SUBSTITUTE(TRIM(Input!E1296&amp;""),"%","")),0)&lt;1),1,100))</f>
        <v/>
      </c>
      <c r="E1296" t="str">
        <f>IF(A1296="","",IFERROR(VALUE(SUBSTITUTE(TRIM(Input!F1296&amp;""),"%","")),0)/IF(AND(IFERROR(VALUE(SUBSTITUTE(TRIM(Input!F1296&amp;""),"%","")),0)&gt;0,IFERROR(VALUE(SUBSTITUTE(TRIM(Input!F1296&amp;""),"%","")),0)&lt;1),1,100))</f>
        <v/>
      </c>
      <c r="F1296" t="str">
        <f>IF(A1296="","",IFERROR(VALUE(SUBSTITUTE(TRIM(Input!G1296&amp;""),"%","")),0)/IF(AND(IFERROR(VALUE(SUBSTITUTE(TRIM(Input!G1296&amp;""),"%","")),0)&gt;0,IFERROR(VALUE(SUBSTITUTE(TRIM(Input!G1296&amp;""),"%","")),0)&lt;1),1,100))</f>
        <v/>
      </c>
      <c r="G1296" t="str">
        <f>IF(A1296="","",IFERROR(VALUE(SUBSTITUTE(TRIM(Input!H1296&amp;""),"%","")),0)/IF(AND(IFERROR(VALUE(SUBSTITUTE(TRIM(Input!H1296&amp;""),"%","")),0)&gt;0,IFERROR(VALUE(SUBSTITUTE(TRIM(Input!H1296&amp;""),"%","")),0)&lt;1),1,100))</f>
        <v/>
      </c>
      <c r="H1296" t="str">
        <f>IF(A1296="","",IFERROR(VALUE(SUBSTITUTE(TRIM(Input!I1296&amp;""),"%","")),0)/IF(AND(IFERROR(VALUE(SUBSTITUTE(TRIM(Input!I1296&amp;""),"%","")),0)&gt;0,IFERROR(VALUE(SUBSTITUTE(TRIM(Input!I1296&amp;""),"%","")),0)&lt;1),1,100))</f>
        <v/>
      </c>
    </row>
    <row r="1297" spans="1:8">
      <c r="A1297" t="str">
        <f>IF(TRIM(Input!B1297&amp;"")="","",UPPER(TRIM(Input!B1297&amp;"")))</f>
        <v/>
      </c>
      <c r="B1297" t="str">
        <f>IF(A1297="","",IFERROR(VALUE(RIGHT(TRIM(Input!D1297&amp;""),1)),0))</f>
        <v/>
      </c>
      <c r="C1297" t="str">
        <f t="shared" si="20"/>
        <v/>
      </c>
      <c r="D1297" t="str">
        <f>IF(A1297="","",IFERROR(VALUE(SUBSTITUTE(TRIM(Input!E1297&amp;""),"%","")),0)/IF(AND(IFERROR(VALUE(SUBSTITUTE(TRIM(Input!E1297&amp;""),"%","")),0)&gt;0,IFERROR(VALUE(SUBSTITUTE(TRIM(Input!E1297&amp;""),"%","")),0)&lt;1),1,100))</f>
        <v/>
      </c>
      <c r="E1297" t="str">
        <f>IF(A1297="","",IFERROR(VALUE(SUBSTITUTE(TRIM(Input!F1297&amp;""),"%","")),0)/IF(AND(IFERROR(VALUE(SUBSTITUTE(TRIM(Input!F1297&amp;""),"%","")),0)&gt;0,IFERROR(VALUE(SUBSTITUTE(TRIM(Input!F1297&amp;""),"%","")),0)&lt;1),1,100))</f>
        <v/>
      </c>
      <c r="F1297" t="str">
        <f>IF(A1297="","",IFERROR(VALUE(SUBSTITUTE(TRIM(Input!G1297&amp;""),"%","")),0)/IF(AND(IFERROR(VALUE(SUBSTITUTE(TRIM(Input!G1297&amp;""),"%","")),0)&gt;0,IFERROR(VALUE(SUBSTITUTE(TRIM(Input!G1297&amp;""),"%","")),0)&lt;1),1,100))</f>
        <v/>
      </c>
      <c r="G1297" t="str">
        <f>IF(A1297="","",IFERROR(VALUE(SUBSTITUTE(TRIM(Input!H1297&amp;""),"%","")),0)/IF(AND(IFERROR(VALUE(SUBSTITUTE(TRIM(Input!H1297&amp;""),"%","")),0)&gt;0,IFERROR(VALUE(SUBSTITUTE(TRIM(Input!H1297&amp;""),"%","")),0)&lt;1),1,100))</f>
        <v/>
      </c>
      <c r="H1297" t="str">
        <f>IF(A1297="","",IFERROR(VALUE(SUBSTITUTE(TRIM(Input!I1297&amp;""),"%","")),0)/IF(AND(IFERROR(VALUE(SUBSTITUTE(TRIM(Input!I1297&amp;""),"%","")),0)&gt;0,IFERROR(VALUE(SUBSTITUTE(TRIM(Input!I1297&amp;""),"%","")),0)&lt;1),1,100))</f>
        <v/>
      </c>
    </row>
    <row r="1298" spans="1:8">
      <c r="A1298" t="str">
        <f>IF(TRIM(Input!B1298&amp;"")="","",UPPER(TRIM(Input!B1298&amp;"")))</f>
        <v/>
      </c>
      <c r="B1298" t="str">
        <f>IF(A1298="","",IFERROR(VALUE(RIGHT(TRIM(Input!D1298&amp;""),1)),0))</f>
        <v/>
      </c>
      <c r="C1298" t="str">
        <f t="shared" si="20"/>
        <v/>
      </c>
      <c r="D1298" t="str">
        <f>IF(A1298="","",IFERROR(VALUE(SUBSTITUTE(TRIM(Input!E1298&amp;""),"%","")),0)/IF(AND(IFERROR(VALUE(SUBSTITUTE(TRIM(Input!E1298&amp;""),"%","")),0)&gt;0,IFERROR(VALUE(SUBSTITUTE(TRIM(Input!E1298&amp;""),"%","")),0)&lt;1),1,100))</f>
        <v/>
      </c>
      <c r="E1298" t="str">
        <f>IF(A1298="","",IFERROR(VALUE(SUBSTITUTE(TRIM(Input!F1298&amp;""),"%","")),0)/IF(AND(IFERROR(VALUE(SUBSTITUTE(TRIM(Input!F1298&amp;""),"%","")),0)&gt;0,IFERROR(VALUE(SUBSTITUTE(TRIM(Input!F1298&amp;""),"%","")),0)&lt;1),1,100))</f>
        <v/>
      </c>
      <c r="F1298" t="str">
        <f>IF(A1298="","",IFERROR(VALUE(SUBSTITUTE(TRIM(Input!G1298&amp;""),"%","")),0)/IF(AND(IFERROR(VALUE(SUBSTITUTE(TRIM(Input!G1298&amp;""),"%","")),0)&gt;0,IFERROR(VALUE(SUBSTITUTE(TRIM(Input!G1298&amp;""),"%","")),0)&lt;1),1,100))</f>
        <v/>
      </c>
      <c r="G1298" t="str">
        <f>IF(A1298="","",IFERROR(VALUE(SUBSTITUTE(TRIM(Input!H1298&amp;""),"%","")),0)/IF(AND(IFERROR(VALUE(SUBSTITUTE(TRIM(Input!H1298&amp;""),"%","")),0)&gt;0,IFERROR(VALUE(SUBSTITUTE(TRIM(Input!H1298&amp;""),"%","")),0)&lt;1),1,100))</f>
        <v/>
      </c>
      <c r="H1298" t="str">
        <f>IF(A1298="","",IFERROR(VALUE(SUBSTITUTE(TRIM(Input!I1298&amp;""),"%","")),0)/IF(AND(IFERROR(VALUE(SUBSTITUTE(TRIM(Input!I1298&amp;""),"%","")),0)&gt;0,IFERROR(VALUE(SUBSTITUTE(TRIM(Input!I1298&amp;""),"%","")),0)&lt;1),1,100))</f>
        <v/>
      </c>
    </row>
    <row r="1299" spans="1:8">
      <c r="A1299" t="str">
        <f>IF(TRIM(Input!B1299&amp;"")="","",UPPER(TRIM(Input!B1299&amp;"")))</f>
        <v/>
      </c>
      <c r="B1299" t="str">
        <f>IF(A1299="","",IFERROR(VALUE(RIGHT(TRIM(Input!D1299&amp;""),1)),0))</f>
        <v/>
      </c>
      <c r="C1299" t="str">
        <f t="shared" si="20"/>
        <v/>
      </c>
      <c r="D1299" t="str">
        <f>IF(A1299="","",IFERROR(VALUE(SUBSTITUTE(TRIM(Input!E1299&amp;""),"%","")),0)/IF(AND(IFERROR(VALUE(SUBSTITUTE(TRIM(Input!E1299&amp;""),"%","")),0)&gt;0,IFERROR(VALUE(SUBSTITUTE(TRIM(Input!E1299&amp;""),"%","")),0)&lt;1),1,100))</f>
        <v/>
      </c>
      <c r="E1299" t="str">
        <f>IF(A1299="","",IFERROR(VALUE(SUBSTITUTE(TRIM(Input!F1299&amp;""),"%","")),0)/IF(AND(IFERROR(VALUE(SUBSTITUTE(TRIM(Input!F1299&amp;""),"%","")),0)&gt;0,IFERROR(VALUE(SUBSTITUTE(TRIM(Input!F1299&amp;""),"%","")),0)&lt;1),1,100))</f>
        <v/>
      </c>
      <c r="F1299" t="str">
        <f>IF(A1299="","",IFERROR(VALUE(SUBSTITUTE(TRIM(Input!G1299&amp;""),"%","")),0)/IF(AND(IFERROR(VALUE(SUBSTITUTE(TRIM(Input!G1299&amp;""),"%","")),0)&gt;0,IFERROR(VALUE(SUBSTITUTE(TRIM(Input!G1299&amp;""),"%","")),0)&lt;1),1,100))</f>
        <v/>
      </c>
      <c r="G1299" t="str">
        <f>IF(A1299="","",IFERROR(VALUE(SUBSTITUTE(TRIM(Input!H1299&amp;""),"%","")),0)/IF(AND(IFERROR(VALUE(SUBSTITUTE(TRIM(Input!H1299&amp;""),"%","")),0)&gt;0,IFERROR(VALUE(SUBSTITUTE(TRIM(Input!H1299&amp;""),"%","")),0)&lt;1),1,100))</f>
        <v/>
      </c>
      <c r="H1299" t="str">
        <f>IF(A1299="","",IFERROR(VALUE(SUBSTITUTE(TRIM(Input!I1299&amp;""),"%","")),0)/IF(AND(IFERROR(VALUE(SUBSTITUTE(TRIM(Input!I1299&amp;""),"%","")),0)&gt;0,IFERROR(VALUE(SUBSTITUTE(TRIM(Input!I1299&amp;""),"%","")),0)&lt;1),1,100))</f>
        <v/>
      </c>
    </row>
    <row r="1300" spans="1:8">
      <c r="A1300" t="str">
        <f>IF(TRIM(Input!B1300&amp;"")="","",UPPER(TRIM(Input!B1300&amp;"")))</f>
        <v/>
      </c>
      <c r="B1300" t="str">
        <f>IF(A1300="","",IFERROR(VALUE(RIGHT(TRIM(Input!D1300&amp;""),1)),0))</f>
        <v/>
      </c>
      <c r="C1300" t="str">
        <f t="shared" si="20"/>
        <v/>
      </c>
      <c r="D1300" t="str">
        <f>IF(A1300="","",IFERROR(VALUE(SUBSTITUTE(TRIM(Input!E1300&amp;""),"%","")),0)/IF(AND(IFERROR(VALUE(SUBSTITUTE(TRIM(Input!E1300&amp;""),"%","")),0)&gt;0,IFERROR(VALUE(SUBSTITUTE(TRIM(Input!E1300&amp;""),"%","")),0)&lt;1),1,100))</f>
        <v/>
      </c>
      <c r="E1300" t="str">
        <f>IF(A1300="","",IFERROR(VALUE(SUBSTITUTE(TRIM(Input!F1300&amp;""),"%","")),0)/IF(AND(IFERROR(VALUE(SUBSTITUTE(TRIM(Input!F1300&amp;""),"%","")),0)&gt;0,IFERROR(VALUE(SUBSTITUTE(TRIM(Input!F1300&amp;""),"%","")),0)&lt;1),1,100))</f>
        <v/>
      </c>
      <c r="F1300" t="str">
        <f>IF(A1300="","",IFERROR(VALUE(SUBSTITUTE(TRIM(Input!G1300&amp;""),"%","")),0)/IF(AND(IFERROR(VALUE(SUBSTITUTE(TRIM(Input!G1300&amp;""),"%","")),0)&gt;0,IFERROR(VALUE(SUBSTITUTE(TRIM(Input!G1300&amp;""),"%","")),0)&lt;1),1,100))</f>
        <v/>
      </c>
      <c r="G1300" t="str">
        <f>IF(A1300="","",IFERROR(VALUE(SUBSTITUTE(TRIM(Input!H1300&amp;""),"%","")),0)/IF(AND(IFERROR(VALUE(SUBSTITUTE(TRIM(Input!H1300&amp;""),"%","")),0)&gt;0,IFERROR(VALUE(SUBSTITUTE(TRIM(Input!H1300&amp;""),"%","")),0)&lt;1),1,100))</f>
        <v/>
      </c>
      <c r="H1300" t="str">
        <f>IF(A1300="","",IFERROR(VALUE(SUBSTITUTE(TRIM(Input!I1300&amp;""),"%","")),0)/IF(AND(IFERROR(VALUE(SUBSTITUTE(TRIM(Input!I1300&amp;""),"%","")),0)&gt;0,IFERROR(VALUE(SUBSTITUTE(TRIM(Input!I1300&amp;""),"%","")),0)&lt;1),1,100))</f>
        <v/>
      </c>
    </row>
    <row r="1301" spans="1:8">
      <c r="A1301" t="str">
        <f>IF(TRIM(Input!B1301&amp;"")="","",UPPER(TRIM(Input!B1301&amp;"")))</f>
        <v/>
      </c>
      <c r="B1301" t="str">
        <f>IF(A1301="","",IFERROR(VALUE(RIGHT(TRIM(Input!D1301&amp;""),1)),0))</f>
        <v/>
      </c>
      <c r="C1301" t="str">
        <f t="shared" si="20"/>
        <v/>
      </c>
      <c r="D1301" t="str">
        <f>IF(A1301="","",IFERROR(VALUE(SUBSTITUTE(TRIM(Input!E1301&amp;""),"%","")),0)/IF(AND(IFERROR(VALUE(SUBSTITUTE(TRIM(Input!E1301&amp;""),"%","")),0)&gt;0,IFERROR(VALUE(SUBSTITUTE(TRIM(Input!E1301&amp;""),"%","")),0)&lt;1),1,100))</f>
        <v/>
      </c>
      <c r="E1301" t="str">
        <f>IF(A1301="","",IFERROR(VALUE(SUBSTITUTE(TRIM(Input!F1301&amp;""),"%","")),0)/IF(AND(IFERROR(VALUE(SUBSTITUTE(TRIM(Input!F1301&amp;""),"%","")),0)&gt;0,IFERROR(VALUE(SUBSTITUTE(TRIM(Input!F1301&amp;""),"%","")),0)&lt;1),1,100))</f>
        <v/>
      </c>
      <c r="F1301" t="str">
        <f>IF(A1301="","",IFERROR(VALUE(SUBSTITUTE(TRIM(Input!G1301&amp;""),"%","")),0)/IF(AND(IFERROR(VALUE(SUBSTITUTE(TRIM(Input!G1301&amp;""),"%","")),0)&gt;0,IFERROR(VALUE(SUBSTITUTE(TRIM(Input!G1301&amp;""),"%","")),0)&lt;1),1,100))</f>
        <v/>
      </c>
      <c r="G1301" t="str">
        <f>IF(A1301="","",IFERROR(VALUE(SUBSTITUTE(TRIM(Input!H1301&amp;""),"%","")),0)/IF(AND(IFERROR(VALUE(SUBSTITUTE(TRIM(Input!H1301&amp;""),"%","")),0)&gt;0,IFERROR(VALUE(SUBSTITUTE(TRIM(Input!H1301&amp;""),"%","")),0)&lt;1),1,100))</f>
        <v/>
      </c>
      <c r="H1301" t="str">
        <f>IF(A1301="","",IFERROR(VALUE(SUBSTITUTE(TRIM(Input!I1301&amp;""),"%","")),0)/IF(AND(IFERROR(VALUE(SUBSTITUTE(TRIM(Input!I1301&amp;""),"%","")),0)&gt;0,IFERROR(VALUE(SUBSTITUTE(TRIM(Input!I1301&amp;""),"%","")),0)&lt;1),1,100))</f>
        <v/>
      </c>
    </row>
    <row r="1302" spans="1:8">
      <c r="A1302" t="str">
        <f>IF(TRIM(Input!B1302&amp;"")="","",UPPER(TRIM(Input!B1302&amp;"")))</f>
        <v/>
      </c>
      <c r="B1302" t="str">
        <f>IF(A1302="","",IFERROR(VALUE(RIGHT(TRIM(Input!D1302&amp;""),1)),0))</f>
        <v/>
      </c>
      <c r="C1302" t="str">
        <f t="shared" si="20"/>
        <v/>
      </c>
      <c r="D1302" t="str">
        <f>IF(A1302="","",IFERROR(VALUE(SUBSTITUTE(TRIM(Input!E1302&amp;""),"%","")),0)/IF(AND(IFERROR(VALUE(SUBSTITUTE(TRIM(Input!E1302&amp;""),"%","")),0)&gt;0,IFERROR(VALUE(SUBSTITUTE(TRIM(Input!E1302&amp;""),"%","")),0)&lt;1),1,100))</f>
        <v/>
      </c>
      <c r="E1302" t="str">
        <f>IF(A1302="","",IFERROR(VALUE(SUBSTITUTE(TRIM(Input!F1302&amp;""),"%","")),0)/IF(AND(IFERROR(VALUE(SUBSTITUTE(TRIM(Input!F1302&amp;""),"%","")),0)&gt;0,IFERROR(VALUE(SUBSTITUTE(TRIM(Input!F1302&amp;""),"%","")),0)&lt;1),1,100))</f>
        <v/>
      </c>
      <c r="F1302" t="str">
        <f>IF(A1302="","",IFERROR(VALUE(SUBSTITUTE(TRIM(Input!G1302&amp;""),"%","")),0)/IF(AND(IFERROR(VALUE(SUBSTITUTE(TRIM(Input!G1302&amp;""),"%","")),0)&gt;0,IFERROR(VALUE(SUBSTITUTE(TRIM(Input!G1302&amp;""),"%","")),0)&lt;1),1,100))</f>
        <v/>
      </c>
      <c r="G1302" t="str">
        <f>IF(A1302="","",IFERROR(VALUE(SUBSTITUTE(TRIM(Input!H1302&amp;""),"%","")),0)/IF(AND(IFERROR(VALUE(SUBSTITUTE(TRIM(Input!H1302&amp;""),"%","")),0)&gt;0,IFERROR(VALUE(SUBSTITUTE(TRIM(Input!H1302&amp;""),"%","")),0)&lt;1),1,100))</f>
        <v/>
      </c>
      <c r="H1302" t="str">
        <f>IF(A1302="","",IFERROR(VALUE(SUBSTITUTE(TRIM(Input!I1302&amp;""),"%","")),0)/IF(AND(IFERROR(VALUE(SUBSTITUTE(TRIM(Input!I1302&amp;""),"%","")),0)&gt;0,IFERROR(VALUE(SUBSTITUTE(TRIM(Input!I1302&amp;""),"%","")),0)&lt;1),1,100))</f>
        <v/>
      </c>
    </row>
    <row r="1303" spans="1:8">
      <c r="A1303" t="str">
        <f>IF(TRIM(Input!B1303&amp;"")="","",UPPER(TRIM(Input!B1303&amp;"")))</f>
        <v/>
      </c>
      <c r="B1303" t="str">
        <f>IF(A1303="","",IFERROR(VALUE(RIGHT(TRIM(Input!D1303&amp;""),1)),0))</f>
        <v/>
      </c>
      <c r="C1303" t="str">
        <f t="shared" si="20"/>
        <v/>
      </c>
      <c r="D1303" t="str">
        <f>IF(A1303="","",IFERROR(VALUE(SUBSTITUTE(TRIM(Input!E1303&amp;""),"%","")),0)/IF(AND(IFERROR(VALUE(SUBSTITUTE(TRIM(Input!E1303&amp;""),"%","")),0)&gt;0,IFERROR(VALUE(SUBSTITUTE(TRIM(Input!E1303&amp;""),"%","")),0)&lt;1),1,100))</f>
        <v/>
      </c>
      <c r="E1303" t="str">
        <f>IF(A1303="","",IFERROR(VALUE(SUBSTITUTE(TRIM(Input!F1303&amp;""),"%","")),0)/IF(AND(IFERROR(VALUE(SUBSTITUTE(TRIM(Input!F1303&amp;""),"%","")),0)&gt;0,IFERROR(VALUE(SUBSTITUTE(TRIM(Input!F1303&amp;""),"%","")),0)&lt;1),1,100))</f>
        <v/>
      </c>
      <c r="F1303" t="str">
        <f>IF(A1303="","",IFERROR(VALUE(SUBSTITUTE(TRIM(Input!G1303&amp;""),"%","")),0)/IF(AND(IFERROR(VALUE(SUBSTITUTE(TRIM(Input!G1303&amp;""),"%","")),0)&gt;0,IFERROR(VALUE(SUBSTITUTE(TRIM(Input!G1303&amp;""),"%","")),0)&lt;1),1,100))</f>
        <v/>
      </c>
      <c r="G1303" t="str">
        <f>IF(A1303="","",IFERROR(VALUE(SUBSTITUTE(TRIM(Input!H1303&amp;""),"%","")),0)/IF(AND(IFERROR(VALUE(SUBSTITUTE(TRIM(Input!H1303&amp;""),"%","")),0)&gt;0,IFERROR(VALUE(SUBSTITUTE(TRIM(Input!H1303&amp;""),"%","")),0)&lt;1),1,100))</f>
        <v/>
      </c>
      <c r="H1303" t="str">
        <f>IF(A1303="","",IFERROR(VALUE(SUBSTITUTE(TRIM(Input!I1303&amp;""),"%","")),0)/IF(AND(IFERROR(VALUE(SUBSTITUTE(TRIM(Input!I1303&amp;""),"%","")),0)&gt;0,IFERROR(VALUE(SUBSTITUTE(TRIM(Input!I1303&amp;""),"%","")),0)&lt;1),1,100))</f>
        <v/>
      </c>
    </row>
    <row r="1304" spans="1:8">
      <c r="A1304" t="str">
        <f>IF(TRIM(Input!B1304&amp;"")="","",UPPER(TRIM(Input!B1304&amp;"")))</f>
        <v/>
      </c>
      <c r="B1304" t="str">
        <f>IF(A1304="","",IFERROR(VALUE(RIGHT(TRIM(Input!D1304&amp;""),1)),0))</f>
        <v/>
      </c>
      <c r="C1304" t="str">
        <f t="shared" si="20"/>
        <v/>
      </c>
      <c r="D1304" t="str">
        <f>IF(A1304="","",IFERROR(VALUE(SUBSTITUTE(TRIM(Input!E1304&amp;""),"%","")),0)/IF(AND(IFERROR(VALUE(SUBSTITUTE(TRIM(Input!E1304&amp;""),"%","")),0)&gt;0,IFERROR(VALUE(SUBSTITUTE(TRIM(Input!E1304&amp;""),"%","")),0)&lt;1),1,100))</f>
        <v/>
      </c>
      <c r="E1304" t="str">
        <f>IF(A1304="","",IFERROR(VALUE(SUBSTITUTE(TRIM(Input!F1304&amp;""),"%","")),0)/IF(AND(IFERROR(VALUE(SUBSTITUTE(TRIM(Input!F1304&amp;""),"%","")),0)&gt;0,IFERROR(VALUE(SUBSTITUTE(TRIM(Input!F1304&amp;""),"%","")),0)&lt;1),1,100))</f>
        <v/>
      </c>
      <c r="F1304" t="str">
        <f>IF(A1304="","",IFERROR(VALUE(SUBSTITUTE(TRIM(Input!G1304&amp;""),"%","")),0)/IF(AND(IFERROR(VALUE(SUBSTITUTE(TRIM(Input!G1304&amp;""),"%","")),0)&gt;0,IFERROR(VALUE(SUBSTITUTE(TRIM(Input!G1304&amp;""),"%","")),0)&lt;1),1,100))</f>
        <v/>
      </c>
      <c r="G1304" t="str">
        <f>IF(A1304="","",IFERROR(VALUE(SUBSTITUTE(TRIM(Input!H1304&amp;""),"%","")),0)/IF(AND(IFERROR(VALUE(SUBSTITUTE(TRIM(Input!H1304&amp;""),"%","")),0)&gt;0,IFERROR(VALUE(SUBSTITUTE(TRIM(Input!H1304&amp;""),"%","")),0)&lt;1),1,100))</f>
        <v/>
      </c>
      <c r="H1304" t="str">
        <f>IF(A1304="","",IFERROR(VALUE(SUBSTITUTE(TRIM(Input!I1304&amp;""),"%","")),0)/IF(AND(IFERROR(VALUE(SUBSTITUTE(TRIM(Input!I1304&amp;""),"%","")),0)&gt;0,IFERROR(VALUE(SUBSTITUTE(TRIM(Input!I1304&amp;""),"%","")),0)&lt;1),1,100))</f>
        <v/>
      </c>
    </row>
    <row r="1305" spans="1:8">
      <c r="A1305" t="str">
        <f>IF(TRIM(Input!B1305&amp;"")="","",UPPER(TRIM(Input!B1305&amp;"")))</f>
        <v/>
      </c>
      <c r="B1305" t="str">
        <f>IF(A1305="","",IFERROR(VALUE(RIGHT(TRIM(Input!D1305&amp;""),1)),0))</f>
        <v/>
      </c>
      <c r="C1305" t="str">
        <f t="shared" si="20"/>
        <v/>
      </c>
      <c r="D1305" t="str">
        <f>IF(A1305="","",IFERROR(VALUE(SUBSTITUTE(TRIM(Input!E1305&amp;""),"%","")),0)/IF(AND(IFERROR(VALUE(SUBSTITUTE(TRIM(Input!E1305&amp;""),"%","")),0)&gt;0,IFERROR(VALUE(SUBSTITUTE(TRIM(Input!E1305&amp;""),"%","")),0)&lt;1),1,100))</f>
        <v/>
      </c>
      <c r="E1305" t="str">
        <f>IF(A1305="","",IFERROR(VALUE(SUBSTITUTE(TRIM(Input!F1305&amp;""),"%","")),0)/IF(AND(IFERROR(VALUE(SUBSTITUTE(TRIM(Input!F1305&amp;""),"%","")),0)&gt;0,IFERROR(VALUE(SUBSTITUTE(TRIM(Input!F1305&amp;""),"%","")),0)&lt;1),1,100))</f>
        <v/>
      </c>
      <c r="F1305" t="str">
        <f>IF(A1305="","",IFERROR(VALUE(SUBSTITUTE(TRIM(Input!G1305&amp;""),"%","")),0)/IF(AND(IFERROR(VALUE(SUBSTITUTE(TRIM(Input!G1305&amp;""),"%","")),0)&gt;0,IFERROR(VALUE(SUBSTITUTE(TRIM(Input!G1305&amp;""),"%","")),0)&lt;1),1,100))</f>
        <v/>
      </c>
      <c r="G1305" t="str">
        <f>IF(A1305="","",IFERROR(VALUE(SUBSTITUTE(TRIM(Input!H1305&amp;""),"%","")),0)/IF(AND(IFERROR(VALUE(SUBSTITUTE(TRIM(Input!H1305&amp;""),"%","")),0)&gt;0,IFERROR(VALUE(SUBSTITUTE(TRIM(Input!H1305&amp;""),"%","")),0)&lt;1),1,100))</f>
        <v/>
      </c>
      <c r="H1305" t="str">
        <f>IF(A1305="","",IFERROR(VALUE(SUBSTITUTE(TRIM(Input!I1305&amp;""),"%","")),0)/IF(AND(IFERROR(VALUE(SUBSTITUTE(TRIM(Input!I1305&amp;""),"%","")),0)&gt;0,IFERROR(VALUE(SUBSTITUTE(TRIM(Input!I1305&amp;""),"%","")),0)&lt;1),1,100))</f>
        <v/>
      </c>
    </row>
    <row r="1306" spans="1:8">
      <c r="A1306" t="str">
        <f>IF(TRIM(Input!B1306&amp;"")="","",UPPER(TRIM(Input!B1306&amp;"")))</f>
        <v/>
      </c>
      <c r="B1306" t="str">
        <f>IF(A1306="","",IFERROR(VALUE(RIGHT(TRIM(Input!D1306&amp;""),1)),0))</f>
        <v/>
      </c>
      <c r="C1306" t="str">
        <f t="shared" si="20"/>
        <v/>
      </c>
      <c r="D1306" t="str">
        <f>IF(A1306="","",IFERROR(VALUE(SUBSTITUTE(TRIM(Input!E1306&amp;""),"%","")),0)/IF(AND(IFERROR(VALUE(SUBSTITUTE(TRIM(Input!E1306&amp;""),"%","")),0)&gt;0,IFERROR(VALUE(SUBSTITUTE(TRIM(Input!E1306&amp;""),"%","")),0)&lt;1),1,100))</f>
        <v/>
      </c>
      <c r="E1306" t="str">
        <f>IF(A1306="","",IFERROR(VALUE(SUBSTITUTE(TRIM(Input!F1306&amp;""),"%","")),0)/IF(AND(IFERROR(VALUE(SUBSTITUTE(TRIM(Input!F1306&amp;""),"%","")),0)&gt;0,IFERROR(VALUE(SUBSTITUTE(TRIM(Input!F1306&amp;""),"%","")),0)&lt;1),1,100))</f>
        <v/>
      </c>
      <c r="F1306" t="str">
        <f>IF(A1306="","",IFERROR(VALUE(SUBSTITUTE(TRIM(Input!G1306&amp;""),"%","")),0)/IF(AND(IFERROR(VALUE(SUBSTITUTE(TRIM(Input!G1306&amp;""),"%","")),0)&gt;0,IFERROR(VALUE(SUBSTITUTE(TRIM(Input!G1306&amp;""),"%","")),0)&lt;1),1,100))</f>
        <v/>
      </c>
      <c r="G1306" t="str">
        <f>IF(A1306="","",IFERROR(VALUE(SUBSTITUTE(TRIM(Input!H1306&amp;""),"%","")),0)/IF(AND(IFERROR(VALUE(SUBSTITUTE(TRIM(Input!H1306&amp;""),"%","")),0)&gt;0,IFERROR(VALUE(SUBSTITUTE(TRIM(Input!H1306&amp;""),"%","")),0)&lt;1),1,100))</f>
        <v/>
      </c>
      <c r="H1306" t="str">
        <f>IF(A1306="","",IFERROR(VALUE(SUBSTITUTE(TRIM(Input!I1306&amp;""),"%","")),0)/IF(AND(IFERROR(VALUE(SUBSTITUTE(TRIM(Input!I1306&amp;""),"%","")),0)&gt;0,IFERROR(VALUE(SUBSTITUTE(TRIM(Input!I1306&amp;""),"%","")),0)&lt;1),1,100))</f>
        <v/>
      </c>
    </row>
    <row r="1307" spans="1:8">
      <c r="A1307" t="str">
        <f>IF(TRIM(Input!B1307&amp;"")="","",UPPER(TRIM(Input!B1307&amp;"")))</f>
        <v/>
      </c>
      <c r="B1307" t="str">
        <f>IF(A1307="","",IFERROR(VALUE(RIGHT(TRIM(Input!D1307&amp;""),1)),0))</f>
        <v/>
      </c>
      <c r="C1307" t="str">
        <f t="shared" si="20"/>
        <v/>
      </c>
      <c r="D1307" t="str">
        <f>IF(A1307="","",IFERROR(VALUE(SUBSTITUTE(TRIM(Input!E1307&amp;""),"%","")),0)/IF(AND(IFERROR(VALUE(SUBSTITUTE(TRIM(Input!E1307&amp;""),"%","")),0)&gt;0,IFERROR(VALUE(SUBSTITUTE(TRIM(Input!E1307&amp;""),"%","")),0)&lt;1),1,100))</f>
        <v/>
      </c>
      <c r="E1307" t="str">
        <f>IF(A1307="","",IFERROR(VALUE(SUBSTITUTE(TRIM(Input!F1307&amp;""),"%","")),0)/IF(AND(IFERROR(VALUE(SUBSTITUTE(TRIM(Input!F1307&amp;""),"%","")),0)&gt;0,IFERROR(VALUE(SUBSTITUTE(TRIM(Input!F1307&amp;""),"%","")),0)&lt;1),1,100))</f>
        <v/>
      </c>
      <c r="F1307" t="str">
        <f>IF(A1307="","",IFERROR(VALUE(SUBSTITUTE(TRIM(Input!G1307&amp;""),"%","")),0)/IF(AND(IFERROR(VALUE(SUBSTITUTE(TRIM(Input!G1307&amp;""),"%","")),0)&gt;0,IFERROR(VALUE(SUBSTITUTE(TRIM(Input!G1307&amp;""),"%","")),0)&lt;1),1,100))</f>
        <v/>
      </c>
      <c r="G1307" t="str">
        <f>IF(A1307="","",IFERROR(VALUE(SUBSTITUTE(TRIM(Input!H1307&amp;""),"%","")),0)/IF(AND(IFERROR(VALUE(SUBSTITUTE(TRIM(Input!H1307&amp;""),"%","")),0)&gt;0,IFERROR(VALUE(SUBSTITUTE(TRIM(Input!H1307&amp;""),"%","")),0)&lt;1),1,100))</f>
        <v/>
      </c>
      <c r="H1307" t="str">
        <f>IF(A1307="","",IFERROR(VALUE(SUBSTITUTE(TRIM(Input!I1307&amp;""),"%","")),0)/IF(AND(IFERROR(VALUE(SUBSTITUTE(TRIM(Input!I1307&amp;""),"%","")),0)&gt;0,IFERROR(VALUE(SUBSTITUTE(TRIM(Input!I1307&amp;""),"%","")),0)&lt;1),1,100))</f>
        <v/>
      </c>
    </row>
    <row r="1308" spans="1:8">
      <c r="A1308" t="str">
        <f>IF(TRIM(Input!B1308&amp;"")="","",UPPER(TRIM(Input!B1308&amp;"")))</f>
        <v/>
      </c>
      <c r="B1308" t="str">
        <f>IF(A1308="","",IFERROR(VALUE(RIGHT(TRIM(Input!D1308&amp;""),1)),0))</f>
        <v/>
      </c>
      <c r="C1308" t="str">
        <f t="shared" si="20"/>
        <v/>
      </c>
      <c r="D1308" t="str">
        <f>IF(A1308="","",IFERROR(VALUE(SUBSTITUTE(TRIM(Input!E1308&amp;""),"%","")),0)/IF(AND(IFERROR(VALUE(SUBSTITUTE(TRIM(Input!E1308&amp;""),"%","")),0)&gt;0,IFERROR(VALUE(SUBSTITUTE(TRIM(Input!E1308&amp;""),"%","")),0)&lt;1),1,100))</f>
        <v/>
      </c>
      <c r="E1308" t="str">
        <f>IF(A1308="","",IFERROR(VALUE(SUBSTITUTE(TRIM(Input!F1308&amp;""),"%","")),0)/IF(AND(IFERROR(VALUE(SUBSTITUTE(TRIM(Input!F1308&amp;""),"%","")),0)&gt;0,IFERROR(VALUE(SUBSTITUTE(TRIM(Input!F1308&amp;""),"%","")),0)&lt;1),1,100))</f>
        <v/>
      </c>
      <c r="F1308" t="str">
        <f>IF(A1308="","",IFERROR(VALUE(SUBSTITUTE(TRIM(Input!G1308&amp;""),"%","")),0)/IF(AND(IFERROR(VALUE(SUBSTITUTE(TRIM(Input!G1308&amp;""),"%","")),0)&gt;0,IFERROR(VALUE(SUBSTITUTE(TRIM(Input!G1308&amp;""),"%","")),0)&lt;1),1,100))</f>
        <v/>
      </c>
      <c r="G1308" t="str">
        <f>IF(A1308="","",IFERROR(VALUE(SUBSTITUTE(TRIM(Input!H1308&amp;""),"%","")),0)/IF(AND(IFERROR(VALUE(SUBSTITUTE(TRIM(Input!H1308&amp;""),"%","")),0)&gt;0,IFERROR(VALUE(SUBSTITUTE(TRIM(Input!H1308&amp;""),"%","")),0)&lt;1),1,100))</f>
        <v/>
      </c>
      <c r="H1308" t="str">
        <f>IF(A1308="","",IFERROR(VALUE(SUBSTITUTE(TRIM(Input!I1308&amp;""),"%","")),0)/IF(AND(IFERROR(VALUE(SUBSTITUTE(TRIM(Input!I1308&amp;""),"%","")),0)&gt;0,IFERROR(VALUE(SUBSTITUTE(TRIM(Input!I1308&amp;""),"%","")),0)&lt;1),1,100))</f>
        <v/>
      </c>
    </row>
    <row r="1309" spans="1:8">
      <c r="A1309" t="str">
        <f>IF(TRIM(Input!B1309&amp;"")="","",UPPER(TRIM(Input!B1309&amp;"")))</f>
        <v/>
      </c>
      <c r="B1309" t="str">
        <f>IF(A1309="","",IFERROR(VALUE(RIGHT(TRIM(Input!D1309&amp;""),1)),0))</f>
        <v/>
      </c>
      <c r="C1309" t="str">
        <f t="shared" si="20"/>
        <v/>
      </c>
      <c r="D1309" t="str">
        <f>IF(A1309="","",IFERROR(VALUE(SUBSTITUTE(TRIM(Input!E1309&amp;""),"%","")),0)/IF(AND(IFERROR(VALUE(SUBSTITUTE(TRIM(Input!E1309&amp;""),"%","")),0)&gt;0,IFERROR(VALUE(SUBSTITUTE(TRIM(Input!E1309&amp;""),"%","")),0)&lt;1),1,100))</f>
        <v/>
      </c>
      <c r="E1309" t="str">
        <f>IF(A1309="","",IFERROR(VALUE(SUBSTITUTE(TRIM(Input!F1309&amp;""),"%","")),0)/IF(AND(IFERROR(VALUE(SUBSTITUTE(TRIM(Input!F1309&amp;""),"%","")),0)&gt;0,IFERROR(VALUE(SUBSTITUTE(TRIM(Input!F1309&amp;""),"%","")),0)&lt;1),1,100))</f>
        <v/>
      </c>
      <c r="F1309" t="str">
        <f>IF(A1309="","",IFERROR(VALUE(SUBSTITUTE(TRIM(Input!G1309&amp;""),"%","")),0)/IF(AND(IFERROR(VALUE(SUBSTITUTE(TRIM(Input!G1309&amp;""),"%","")),0)&gt;0,IFERROR(VALUE(SUBSTITUTE(TRIM(Input!G1309&amp;""),"%","")),0)&lt;1),1,100))</f>
        <v/>
      </c>
      <c r="G1309" t="str">
        <f>IF(A1309="","",IFERROR(VALUE(SUBSTITUTE(TRIM(Input!H1309&amp;""),"%","")),0)/IF(AND(IFERROR(VALUE(SUBSTITUTE(TRIM(Input!H1309&amp;""),"%","")),0)&gt;0,IFERROR(VALUE(SUBSTITUTE(TRIM(Input!H1309&amp;""),"%","")),0)&lt;1),1,100))</f>
        <v/>
      </c>
      <c r="H1309" t="str">
        <f>IF(A1309="","",IFERROR(VALUE(SUBSTITUTE(TRIM(Input!I1309&amp;""),"%","")),0)/IF(AND(IFERROR(VALUE(SUBSTITUTE(TRIM(Input!I1309&amp;""),"%","")),0)&gt;0,IFERROR(VALUE(SUBSTITUTE(TRIM(Input!I1309&amp;""),"%","")),0)&lt;1),1,100))</f>
        <v/>
      </c>
    </row>
    <row r="1310" spans="1:8">
      <c r="A1310" t="str">
        <f>IF(TRIM(Input!B1310&amp;"")="","",UPPER(TRIM(Input!B1310&amp;"")))</f>
        <v/>
      </c>
      <c r="B1310" t="str">
        <f>IF(A1310="","",IFERROR(VALUE(RIGHT(TRIM(Input!D1310&amp;""),1)),0))</f>
        <v/>
      </c>
      <c r="C1310" t="str">
        <f t="shared" si="20"/>
        <v/>
      </c>
      <c r="D1310" t="str">
        <f>IF(A1310="","",IFERROR(VALUE(SUBSTITUTE(TRIM(Input!E1310&amp;""),"%","")),0)/IF(AND(IFERROR(VALUE(SUBSTITUTE(TRIM(Input!E1310&amp;""),"%","")),0)&gt;0,IFERROR(VALUE(SUBSTITUTE(TRIM(Input!E1310&amp;""),"%","")),0)&lt;1),1,100))</f>
        <v/>
      </c>
      <c r="E1310" t="str">
        <f>IF(A1310="","",IFERROR(VALUE(SUBSTITUTE(TRIM(Input!F1310&amp;""),"%","")),0)/IF(AND(IFERROR(VALUE(SUBSTITUTE(TRIM(Input!F1310&amp;""),"%","")),0)&gt;0,IFERROR(VALUE(SUBSTITUTE(TRIM(Input!F1310&amp;""),"%","")),0)&lt;1),1,100))</f>
        <v/>
      </c>
      <c r="F1310" t="str">
        <f>IF(A1310="","",IFERROR(VALUE(SUBSTITUTE(TRIM(Input!G1310&amp;""),"%","")),0)/IF(AND(IFERROR(VALUE(SUBSTITUTE(TRIM(Input!G1310&amp;""),"%","")),0)&gt;0,IFERROR(VALUE(SUBSTITUTE(TRIM(Input!G1310&amp;""),"%","")),0)&lt;1),1,100))</f>
        <v/>
      </c>
      <c r="G1310" t="str">
        <f>IF(A1310="","",IFERROR(VALUE(SUBSTITUTE(TRIM(Input!H1310&amp;""),"%","")),0)/IF(AND(IFERROR(VALUE(SUBSTITUTE(TRIM(Input!H1310&amp;""),"%","")),0)&gt;0,IFERROR(VALUE(SUBSTITUTE(TRIM(Input!H1310&amp;""),"%","")),0)&lt;1),1,100))</f>
        <v/>
      </c>
      <c r="H1310" t="str">
        <f>IF(A1310="","",IFERROR(VALUE(SUBSTITUTE(TRIM(Input!I1310&amp;""),"%","")),0)/IF(AND(IFERROR(VALUE(SUBSTITUTE(TRIM(Input!I1310&amp;""),"%","")),0)&gt;0,IFERROR(VALUE(SUBSTITUTE(TRIM(Input!I1310&amp;""),"%","")),0)&lt;1),1,100))</f>
        <v/>
      </c>
    </row>
    <row r="1311" spans="1:8">
      <c r="A1311" t="str">
        <f>IF(TRIM(Input!B1311&amp;"")="","",UPPER(TRIM(Input!B1311&amp;"")))</f>
        <v/>
      </c>
      <c r="B1311" t="str">
        <f>IF(A1311="","",IFERROR(VALUE(RIGHT(TRIM(Input!D1311&amp;""),1)),0))</f>
        <v/>
      </c>
      <c r="C1311" t="str">
        <f t="shared" si="20"/>
        <v/>
      </c>
      <c r="D1311" t="str">
        <f>IF(A1311="","",IFERROR(VALUE(SUBSTITUTE(TRIM(Input!E1311&amp;""),"%","")),0)/IF(AND(IFERROR(VALUE(SUBSTITUTE(TRIM(Input!E1311&amp;""),"%","")),0)&gt;0,IFERROR(VALUE(SUBSTITUTE(TRIM(Input!E1311&amp;""),"%","")),0)&lt;1),1,100))</f>
        <v/>
      </c>
      <c r="E1311" t="str">
        <f>IF(A1311="","",IFERROR(VALUE(SUBSTITUTE(TRIM(Input!F1311&amp;""),"%","")),0)/IF(AND(IFERROR(VALUE(SUBSTITUTE(TRIM(Input!F1311&amp;""),"%","")),0)&gt;0,IFERROR(VALUE(SUBSTITUTE(TRIM(Input!F1311&amp;""),"%","")),0)&lt;1),1,100))</f>
        <v/>
      </c>
      <c r="F1311" t="str">
        <f>IF(A1311="","",IFERROR(VALUE(SUBSTITUTE(TRIM(Input!G1311&amp;""),"%","")),0)/IF(AND(IFERROR(VALUE(SUBSTITUTE(TRIM(Input!G1311&amp;""),"%","")),0)&gt;0,IFERROR(VALUE(SUBSTITUTE(TRIM(Input!G1311&amp;""),"%","")),0)&lt;1),1,100))</f>
        <v/>
      </c>
      <c r="G1311" t="str">
        <f>IF(A1311="","",IFERROR(VALUE(SUBSTITUTE(TRIM(Input!H1311&amp;""),"%","")),0)/IF(AND(IFERROR(VALUE(SUBSTITUTE(TRIM(Input!H1311&amp;""),"%","")),0)&gt;0,IFERROR(VALUE(SUBSTITUTE(TRIM(Input!H1311&amp;""),"%","")),0)&lt;1),1,100))</f>
        <v/>
      </c>
      <c r="H1311" t="str">
        <f>IF(A1311="","",IFERROR(VALUE(SUBSTITUTE(TRIM(Input!I1311&amp;""),"%","")),0)/IF(AND(IFERROR(VALUE(SUBSTITUTE(TRIM(Input!I1311&amp;""),"%","")),0)&gt;0,IFERROR(VALUE(SUBSTITUTE(TRIM(Input!I1311&amp;""),"%","")),0)&lt;1),1,100))</f>
        <v/>
      </c>
    </row>
    <row r="1312" spans="1:8">
      <c r="A1312" t="str">
        <f>IF(TRIM(Input!B1312&amp;"")="","",UPPER(TRIM(Input!B1312&amp;"")))</f>
        <v/>
      </c>
      <c r="B1312" t="str">
        <f>IF(A1312="","",IFERROR(VALUE(RIGHT(TRIM(Input!D1312&amp;""),1)),0))</f>
        <v/>
      </c>
      <c r="C1312" t="str">
        <f t="shared" si="20"/>
        <v/>
      </c>
      <c r="D1312" t="str">
        <f>IF(A1312="","",IFERROR(VALUE(SUBSTITUTE(TRIM(Input!E1312&amp;""),"%","")),0)/IF(AND(IFERROR(VALUE(SUBSTITUTE(TRIM(Input!E1312&amp;""),"%","")),0)&gt;0,IFERROR(VALUE(SUBSTITUTE(TRIM(Input!E1312&amp;""),"%","")),0)&lt;1),1,100))</f>
        <v/>
      </c>
      <c r="E1312" t="str">
        <f>IF(A1312="","",IFERROR(VALUE(SUBSTITUTE(TRIM(Input!F1312&amp;""),"%","")),0)/IF(AND(IFERROR(VALUE(SUBSTITUTE(TRIM(Input!F1312&amp;""),"%","")),0)&gt;0,IFERROR(VALUE(SUBSTITUTE(TRIM(Input!F1312&amp;""),"%","")),0)&lt;1),1,100))</f>
        <v/>
      </c>
      <c r="F1312" t="str">
        <f>IF(A1312="","",IFERROR(VALUE(SUBSTITUTE(TRIM(Input!G1312&amp;""),"%","")),0)/IF(AND(IFERROR(VALUE(SUBSTITUTE(TRIM(Input!G1312&amp;""),"%","")),0)&gt;0,IFERROR(VALUE(SUBSTITUTE(TRIM(Input!G1312&amp;""),"%","")),0)&lt;1),1,100))</f>
        <v/>
      </c>
      <c r="G1312" t="str">
        <f>IF(A1312="","",IFERROR(VALUE(SUBSTITUTE(TRIM(Input!H1312&amp;""),"%","")),0)/IF(AND(IFERROR(VALUE(SUBSTITUTE(TRIM(Input!H1312&amp;""),"%","")),0)&gt;0,IFERROR(VALUE(SUBSTITUTE(TRIM(Input!H1312&amp;""),"%","")),0)&lt;1),1,100))</f>
        <v/>
      </c>
      <c r="H1312" t="str">
        <f>IF(A1312="","",IFERROR(VALUE(SUBSTITUTE(TRIM(Input!I1312&amp;""),"%","")),0)/IF(AND(IFERROR(VALUE(SUBSTITUTE(TRIM(Input!I1312&amp;""),"%","")),0)&gt;0,IFERROR(VALUE(SUBSTITUTE(TRIM(Input!I1312&amp;""),"%","")),0)&lt;1),1,100))</f>
        <v/>
      </c>
    </row>
    <row r="1313" spans="1:8">
      <c r="A1313" t="str">
        <f>IF(TRIM(Input!B1313&amp;"")="","",UPPER(TRIM(Input!B1313&amp;"")))</f>
        <v/>
      </c>
      <c r="B1313" t="str">
        <f>IF(A1313="","",IFERROR(VALUE(RIGHT(TRIM(Input!D1313&amp;""),1)),0))</f>
        <v/>
      </c>
      <c r="C1313" t="str">
        <f t="shared" si="20"/>
        <v/>
      </c>
      <c r="D1313" t="str">
        <f>IF(A1313="","",IFERROR(VALUE(SUBSTITUTE(TRIM(Input!E1313&amp;""),"%","")),0)/IF(AND(IFERROR(VALUE(SUBSTITUTE(TRIM(Input!E1313&amp;""),"%","")),0)&gt;0,IFERROR(VALUE(SUBSTITUTE(TRIM(Input!E1313&amp;""),"%","")),0)&lt;1),1,100))</f>
        <v/>
      </c>
      <c r="E1313" t="str">
        <f>IF(A1313="","",IFERROR(VALUE(SUBSTITUTE(TRIM(Input!F1313&amp;""),"%","")),0)/IF(AND(IFERROR(VALUE(SUBSTITUTE(TRIM(Input!F1313&amp;""),"%","")),0)&gt;0,IFERROR(VALUE(SUBSTITUTE(TRIM(Input!F1313&amp;""),"%","")),0)&lt;1),1,100))</f>
        <v/>
      </c>
      <c r="F1313" t="str">
        <f>IF(A1313="","",IFERROR(VALUE(SUBSTITUTE(TRIM(Input!G1313&amp;""),"%","")),0)/IF(AND(IFERROR(VALUE(SUBSTITUTE(TRIM(Input!G1313&amp;""),"%","")),0)&gt;0,IFERROR(VALUE(SUBSTITUTE(TRIM(Input!G1313&amp;""),"%","")),0)&lt;1),1,100))</f>
        <v/>
      </c>
      <c r="G1313" t="str">
        <f>IF(A1313="","",IFERROR(VALUE(SUBSTITUTE(TRIM(Input!H1313&amp;""),"%","")),0)/IF(AND(IFERROR(VALUE(SUBSTITUTE(TRIM(Input!H1313&amp;""),"%","")),0)&gt;0,IFERROR(VALUE(SUBSTITUTE(TRIM(Input!H1313&amp;""),"%","")),0)&lt;1),1,100))</f>
        <v/>
      </c>
      <c r="H1313" t="str">
        <f>IF(A1313="","",IFERROR(VALUE(SUBSTITUTE(TRIM(Input!I1313&amp;""),"%","")),0)/IF(AND(IFERROR(VALUE(SUBSTITUTE(TRIM(Input!I1313&amp;""),"%","")),0)&gt;0,IFERROR(VALUE(SUBSTITUTE(TRIM(Input!I1313&amp;""),"%","")),0)&lt;1),1,100))</f>
        <v/>
      </c>
    </row>
    <row r="1314" spans="1:8">
      <c r="A1314" t="str">
        <f>IF(TRIM(Input!B1314&amp;"")="","",UPPER(TRIM(Input!B1314&amp;"")))</f>
        <v/>
      </c>
      <c r="B1314" t="str">
        <f>IF(A1314="","",IFERROR(VALUE(RIGHT(TRIM(Input!D1314&amp;""),1)),0))</f>
        <v/>
      </c>
      <c r="C1314" t="str">
        <f t="shared" si="20"/>
        <v/>
      </c>
      <c r="D1314" t="str">
        <f>IF(A1314="","",IFERROR(VALUE(SUBSTITUTE(TRIM(Input!E1314&amp;""),"%","")),0)/IF(AND(IFERROR(VALUE(SUBSTITUTE(TRIM(Input!E1314&amp;""),"%","")),0)&gt;0,IFERROR(VALUE(SUBSTITUTE(TRIM(Input!E1314&amp;""),"%","")),0)&lt;1),1,100))</f>
        <v/>
      </c>
      <c r="E1314" t="str">
        <f>IF(A1314="","",IFERROR(VALUE(SUBSTITUTE(TRIM(Input!F1314&amp;""),"%","")),0)/IF(AND(IFERROR(VALUE(SUBSTITUTE(TRIM(Input!F1314&amp;""),"%","")),0)&gt;0,IFERROR(VALUE(SUBSTITUTE(TRIM(Input!F1314&amp;""),"%","")),0)&lt;1),1,100))</f>
        <v/>
      </c>
      <c r="F1314" t="str">
        <f>IF(A1314="","",IFERROR(VALUE(SUBSTITUTE(TRIM(Input!G1314&amp;""),"%","")),0)/IF(AND(IFERROR(VALUE(SUBSTITUTE(TRIM(Input!G1314&amp;""),"%","")),0)&gt;0,IFERROR(VALUE(SUBSTITUTE(TRIM(Input!G1314&amp;""),"%","")),0)&lt;1),1,100))</f>
        <v/>
      </c>
      <c r="G1314" t="str">
        <f>IF(A1314="","",IFERROR(VALUE(SUBSTITUTE(TRIM(Input!H1314&amp;""),"%","")),0)/IF(AND(IFERROR(VALUE(SUBSTITUTE(TRIM(Input!H1314&amp;""),"%","")),0)&gt;0,IFERROR(VALUE(SUBSTITUTE(TRIM(Input!H1314&amp;""),"%","")),0)&lt;1),1,100))</f>
        <v/>
      </c>
      <c r="H1314" t="str">
        <f>IF(A1314="","",IFERROR(VALUE(SUBSTITUTE(TRIM(Input!I1314&amp;""),"%","")),0)/IF(AND(IFERROR(VALUE(SUBSTITUTE(TRIM(Input!I1314&amp;""),"%","")),0)&gt;0,IFERROR(VALUE(SUBSTITUTE(TRIM(Input!I1314&amp;""),"%","")),0)&lt;1),1,100))</f>
        <v/>
      </c>
    </row>
    <row r="1315" spans="1:8">
      <c r="A1315" t="str">
        <f>IF(TRIM(Input!B1315&amp;"")="","",UPPER(TRIM(Input!B1315&amp;"")))</f>
        <v/>
      </c>
      <c r="B1315" t="str">
        <f>IF(A1315="","",IFERROR(VALUE(RIGHT(TRIM(Input!D1315&amp;""),1)),0))</f>
        <v/>
      </c>
      <c r="C1315" t="str">
        <f t="shared" si="20"/>
        <v/>
      </c>
      <c r="D1315" t="str">
        <f>IF(A1315="","",IFERROR(VALUE(SUBSTITUTE(TRIM(Input!E1315&amp;""),"%","")),0)/IF(AND(IFERROR(VALUE(SUBSTITUTE(TRIM(Input!E1315&amp;""),"%","")),0)&gt;0,IFERROR(VALUE(SUBSTITUTE(TRIM(Input!E1315&amp;""),"%","")),0)&lt;1),1,100))</f>
        <v/>
      </c>
      <c r="E1315" t="str">
        <f>IF(A1315="","",IFERROR(VALUE(SUBSTITUTE(TRIM(Input!F1315&amp;""),"%","")),0)/IF(AND(IFERROR(VALUE(SUBSTITUTE(TRIM(Input!F1315&amp;""),"%","")),0)&gt;0,IFERROR(VALUE(SUBSTITUTE(TRIM(Input!F1315&amp;""),"%","")),0)&lt;1),1,100))</f>
        <v/>
      </c>
      <c r="F1315" t="str">
        <f>IF(A1315="","",IFERROR(VALUE(SUBSTITUTE(TRIM(Input!G1315&amp;""),"%","")),0)/IF(AND(IFERROR(VALUE(SUBSTITUTE(TRIM(Input!G1315&amp;""),"%","")),0)&gt;0,IFERROR(VALUE(SUBSTITUTE(TRIM(Input!G1315&amp;""),"%","")),0)&lt;1),1,100))</f>
        <v/>
      </c>
      <c r="G1315" t="str">
        <f>IF(A1315="","",IFERROR(VALUE(SUBSTITUTE(TRIM(Input!H1315&amp;""),"%","")),0)/IF(AND(IFERROR(VALUE(SUBSTITUTE(TRIM(Input!H1315&amp;""),"%","")),0)&gt;0,IFERROR(VALUE(SUBSTITUTE(TRIM(Input!H1315&amp;""),"%","")),0)&lt;1),1,100))</f>
        <v/>
      </c>
      <c r="H1315" t="str">
        <f>IF(A1315="","",IFERROR(VALUE(SUBSTITUTE(TRIM(Input!I1315&amp;""),"%","")),0)/IF(AND(IFERROR(VALUE(SUBSTITUTE(TRIM(Input!I1315&amp;""),"%","")),0)&gt;0,IFERROR(VALUE(SUBSTITUTE(TRIM(Input!I1315&amp;""),"%","")),0)&lt;1),1,100))</f>
        <v/>
      </c>
    </row>
    <row r="1316" spans="1:8">
      <c r="A1316" t="str">
        <f>IF(TRIM(Input!B1316&amp;"")="","",UPPER(TRIM(Input!B1316&amp;"")))</f>
        <v/>
      </c>
      <c r="B1316" t="str">
        <f>IF(A1316="","",IFERROR(VALUE(RIGHT(TRIM(Input!D1316&amp;""),1)),0))</f>
        <v/>
      </c>
      <c r="C1316" t="str">
        <f t="shared" si="20"/>
        <v/>
      </c>
      <c r="D1316" t="str">
        <f>IF(A1316="","",IFERROR(VALUE(SUBSTITUTE(TRIM(Input!E1316&amp;""),"%","")),0)/IF(AND(IFERROR(VALUE(SUBSTITUTE(TRIM(Input!E1316&amp;""),"%","")),0)&gt;0,IFERROR(VALUE(SUBSTITUTE(TRIM(Input!E1316&amp;""),"%","")),0)&lt;1),1,100))</f>
        <v/>
      </c>
      <c r="E1316" t="str">
        <f>IF(A1316="","",IFERROR(VALUE(SUBSTITUTE(TRIM(Input!F1316&amp;""),"%","")),0)/IF(AND(IFERROR(VALUE(SUBSTITUTE(TRIM(Input!F1316&amp;""),"%","")),0)&gt;0,IFERROR(VALUE(SUBSTITUTE(TRIM(Input!F1316&amp;""),"%","")),0)&lt;1),1,100))</f>
        <v/>
      </c>
      <c r="F1316" t="str">
        <f>IF(A1316="","",IFERROR(VALUE(SUBSTITUTE(TRIM(Input!G1316&amp;""),"%","")),0)/IF(AND(IFERROR(VALUE(SUBSTITUTE(TRIM(Input!G1316&amp;""),"%","")),0)&gt;0,IFERROR(VALUE(SUBSTITUTE(TRIM(Input!G1316&amp;""),"%","")),0)&lt;1),1,100))</f>
        <v/>
      </c>
      <c r="G1316" t="str">
        <f>IF(A1316="","",IFERROR(VALUE(SUBSTITUTE(TRIM(Input!H1316&amp;""),"%","")),0)/IF(AND(IFERROR(VALUE(SUBSTITUTE(TRIM(Input!H1316&amp;""),"%","")),0)&gt;0,IFERROR(VALUE(SUBSTITUTE(TRIM(Input!H1316&amp;""),"%","")),0)&lt;1),1,100))</f>
        <v/>
      </c>
      <c r="H1316" t="str">
        <f>IF(A1316="","",IFERROR(VALUE(SUBSTITUTE(TRIM(Input!I1316&amp;""),"%","")),0)/IF(AND(IFERROR(VALUE(SUBSTITUTE(TRIM(Input!I1316&amp;""),"%","")),0)&gt;0,IFERROR(VALUE(SUBSTITUTE(TRIM(Input!I1316&amp;""),"%","")),0)&lt;1),1,100))</f>
        <v/>
      </c>
    </row>
    <row r="1317" spans="1:8">
      <c r="A1317" t="str">
        <f>IF(TRIM(Input!B1317&amp;"")="","",UPPER(TRIM(Input!B1317&amp;"")))</f>
        <v/>
      </c>
      <c r="B1317" t="str">
        <f>IF(A1317="","",IFERROR(VALUE(RIGHT(TRIM(Input!D1317&amp;""),1)),0))</f>
        <v/>
      </c>
      <c r="C1317" t="str">
        <f t="shared" si="20"/>
        <v/>
      </c>
      <c r="D1317" t="str">
        <f>IF(A1317="","",IFERROR(VALUE(SUBSTITUTE(TRIM(Input!E1317&amp;""),"%","")),0)/IF(AND(IFERROR(VALUE(SUBSTITUTE(TRIM(Input!E1317&amp;""),"%","")),0)&gt;0,IFERROR(VALUE(SUBSTITUTE(TRIM(Input!E1317&amp;""),"%","")),0)&lt;1),1,100))</f>
        <v/>
      </c>
      <c r="E1317" t="str">
        <f>IF(A1317="","",IFERROR(VALUE(SUBSTITUTE(TRIM(Input!F1317&amp;""),"%","")),0)/IF(AND(IFERROR(VALUE(SUBSTITUTE(TRIM(Input!F1317&amp;""),"%","")),0)&gt;0,IFERROR(VALUE(SUBSTITUTE(TRIM(Input!F1317&amp;""),"%","")),0)&lt;1),1,100))</f>
        <v/>
      </c>
      <c r="F1317" t="str">
        <f>IF(A1317="","",IFERROR(VALUE(SUBSTITUTE(TRIM(Input!G1317&amp;""),"%","")),0)/IF(AND(IFERROR(VALUE(SUBSTITUTE(TRIM(Input!G1317&amp;""),"%","")),0)&gt;0,IFERROR(VALUE(SUBSTITUTE(TRIM(Input!G1317&amp;""),"%","")),0)&lt;1),1,100))</f>
        <v/>
      </c>
      <c r="G1317" t="str">
        <f>IF(A1317="","",IFERROR(VALUE(SUBSTITUTE(TRIM(Input!H1317&amp;""),"%","")),0)/IF(AND(IFERROR(VALUE(SUBSTITUTE(TRIM(Input!H1317&amp;""),"%","")),0)&gt;0,IFERROR(VALUE(SUBSTITUTE(TRIM(Input!H1317&amp;""),"%","")),0)&lt;1),1,100))</f>
        <v/>
      </c>
      <c r="H1317" t="str">
        <f>IF(A1317="","",IFERROR(VALUE(SUBSTITUTE(TRIM(Input!I1317&amp;""),"%","")),0)/IF(AND(IFERROR(VALUE(SUBSTITUTE(TRIM(Input!I1317&amp;""),"%","")),0)&gt;0,IFERROR(VALUE(SUBSTITUTE(TRIM(Input!I1317&amp;""),"%","")),0)&lt;1),1,100))</f>
        <v/>
      </c>
    </row>
    <row r="1318" spans="1:8">
      <c r="A1318" t="str">
        <f>IF(TRIM(Input!B1318&amp;"")="","",UPPER(TRIM(Input!B1318&amp;"")))</f>
        <v/>
      </c>
      <c r="B1318" t="str">
        <f>IF(A1318="","",IFERROR(VALUE(RIGHT(TRIM(Input!D1318&amp;""),1)),0))</f>
        <v/>
      </c>
      <c r="C1318" t="str">
        <f t="shared" si="20"/>
        <v/>
      </c>
      <c r="D1318" t="str">
        <f>IF(A1318="","",IFERROR(VALUE(SUBSTITUTE(TRIM(Input!E1318&amp;""),"%","")),0)/IF(AND(IFERROR(VALUE(SUBSTITUTE(TRIM(Input!E1318&amp;""),"%","")),0)&gt;0,IFERROR(VALUE(SUBSTITUTE(TRIM(Input!E1318&amp;""),"%","")),0)&lt;1),1,100))</f>
        <v/>
      </c>
      <c r="E1318" t="str">
        <f>IF(A1318="","",IFERROR(VALUE(SUBSTITUTE(TRIM(Input!F1318&amp;""),"%","")),0)/IF(AND(IFERROR(VALUE(SUBSTITUTE(TRIM(Input!F1318&amp;""),"%","")),0)&gt;0,IFERROR(VALUE(SUBSTITUTE(TRIM(Input!F1318&amp;""),"%","")),0)&lt;1),1,100))</f>
        <v/>
      </c>
      <c r="F1318" t="str">
        <f>IF(A1318="","",IFERROR(VALUE(SUBSTITUTE(TRIM(Input!G1318&amp;""),"%","")),0)/IF(AND(IFERROR(VALUE(SUBSTITUTE(TRIM(Input!G1318&amp;""),"%","")),0)&gt;0,IFERROR(VALUE(SUBSTITUTE(TRIM(Input!G1318&amp;""),"%","")),0)&lt;1),1,100))</f>
        <v/>
      </c>
      <c r="G1318" t="str">
        <f>IF(A1318="","",IFERROR(VALUE(SUBSTITUTE(TRIM(Input!H1318&amp;""),"%","")),0)/IF(AND(IFERROR(VALUE(SUBSTITUTE(TRIM(Input!H1318&amp;""),"%","")),0)&gt;0,IFERROR(VALUE(SUBSTITUTE(TRIM(Input!H1318&amp;""),"%","")),0)&lt;1),1,100))</f>
        <v/>
      </c>
      <c r="H1318" t="str">
        <f>IF(A1318="","",IFERROR(VALUE(SUBSTITUTE(TRIM(Input!I1318&amp;""),"%","")),0)/IF(AND(IFERROR(VALUE(SUBSTITUTE(TRIM(Input!I1318&amp;""),"%","")),0)&gt;0,IFERROR(VALUE(SUBSTITUTE(TRIM(Input!I1318&amp;""),"%","")),0)&lt;1),1,100))</f>
        <v/>
      </c>
    </row>
    <row r="1319" spans="1:8">
      <c r="A1319" t="str">
        <f>IF(TRIM(Input!B1319&amp;"")="","",UPPER(TRIM(Input!B1319&amp;"")))</f>
        <v/>
      </c>
      <c r="B1319" t="str">
        <f>IF(A1319="","",IFERROR(VALUE(RIGHT(TRIM(Input!D1319&amp;""),1)),0))</f>
        <v/>
      </c>
      <c r="C1319" t="str">
        <f t="shared" si="20"/>
        <v/>
      </c>
      <c r="D1319" t="str">
        <f>IF(A1319="","",IFERROR(VALUE(SUBSTITUTE(TRIM(Input!E1319&amp;""),"%","")),0)/IF(AND(IFERROR(VALUE(SUBSTITUTE(TRIM(Input!E1319&amp;""),"%","")),0)&gt;0,IFERROR(VALUE(SUBSTITUTE(TRIM(Input!E1319&amp;""),"%","")),0)&lt;1),1,100))</f>
        <v/>
      </c>
      <c r="E1319" t="str">
        <f>IF(A1319="","",IFERROR(VALUE(SUBSTITUTE(TRIM(Input!F1319&amp;""),"%","")),0)/IF(AND(IFERROR(VALUE(SUBSTITUTE(TRIM(Input!F1319&amp;""),"%","")),0)&gt;0,IFERROR(VALUE(SUBSTITUTE(TRIM(Input!F1319&amp;""),"%","")),0)&lt;1),1,100))</f>
        <v/>
      </c>
      <c r="F1319" t="str">
        <f>IF(A1319="","",IFERROR(VALUE(SUBSTITUTE(TRIM(Input!G1319&amp;""),"%","")),0)/IF(AND(IFERROR(VALUE(SUBSTITUTE(TRIM(Input!G1319&amp;""),"%","")),0)&gt;0,IFERROR(VALUE(SUBSTITUTE(TRIM(Input!G1319&amp;""),"%","")),0)&lt;1),1,100))</f>
        <v/>
      </c>
      <c r="G1319" t="str">
        <f>IF(A1319="","",IFERROR(VALUE(SUBSTITUTE(TRIM(Input!H1319&amp;""),"%","")),0)/IF(AND(IFERROR(VALUE(SUBSTITUTE(TRIM(Input!H1319&amp;""),"%","")),0)&gt;0,IFERROR(VALUE(SUBSTITUTE(TRIM(Input!H1319&amp;""),"%","")),0)&lt;1),1,100))</f>
        <v/>
      </c>
      <c r="H1319" t="str">
        <f>IF(A1319="","",IFERROR(VALUE(SUBSTITUTE(TRIM(Input!I1319&amp;""),"%","")),0)/IF(AND(IFERROR(VALUE(SUBSTITUTE(TRIM(Input!I1319&amp;""),"%","")),0)&gt;0,IFERROR(VALUE(SUBSTITUTE(TRIM(Input!I1319&amp;""),"%","")),0)&lt;1),1,100))</f>
        <v/>
      </c>
    </row>
    <row r="1320" spans="1:8">
      <c r="A1320" t="str">
        <f>IF(TRIM(Input!B1320&amp;"")="","",UPPER(TRIM(Input!B1320&amp;"")))</f>
        <v/>
      </c>
      <c r="B1320" t="str">
        <f>IF(A1320="","",IFERROR(VALUE(RIGHT(TRIM(Input!D1320&amp;""),1)),0))</f>
        <v/>
      </c>
      <c r="C1320" t="str">
        <f t="shared" si="20"/>
        <v/>
      </c>
      <c r="D1320" t="str">
        <f>IF(A1320="","",IFERROR(VALUE(SUBSTITUTE(TRIM(Input!E1320&amp;""),"%","")),0)/IF(AND(IFERROR(VALUE(SUBSTITUTE(TRIM(Input!E1320&amp;""),"%","")),0)&gt;0,IFERROR(VALUE(SUBSTITUTE(TRIM(Input!E1320&amp;""),"%","")),0)&lt;1),1,100))</f>
        <v/>
      </c>
      <c r="E1320" t="str">
        <f>IF(A1320="","",IFERROR(VALUE(SUBSTITUTE(TRIM(Input!F1320&amp;""),"%","")),0)/IF(AND(IFERROR(VALUE(SUBSTITUTE(TRIM(Input!F1320&amp;""),"%","")),0)&gt;0,IFERROR(VALUE(SUBSTITUTE(TRIM(Input!F1320&amp;""),"%","")),0)&lt;1),1,100))</f>
        <v/>
      </c>
      <c r="F1320" t="str">
        <f>IF(A1320="","",IFERROR(VALUE(SUBSTITUTE(TRIM(Input!G1320&amp;""),"%","")),0)/IF(AND(IFERROR(VALUE(SUBSTITUTE(TRIM(Input!G1320&amp;""),"%","")),0)&gt;0,IFERROR(VALUE(SUBSTITUTE(TRIM(Input!G1320&amp;""),"%","")),0)&lt;1),1,100))</f>
        <v/>
      </c>
      <c r="G1320" t="str">
        <f>IF(A1320="","",IFERROR(VALUE(SUBSTITUTE(TRIM(Input!H1320&amp;""),"%","")),0)/IF(AND(IFERROR(VALUE(SUBSTITUTE(TRIM(Input!H1320&amp;""),"%","")),0)&gt;0,IFERROR(VALUE(SUBSTITUTE(TRIM(Input!H1320&amp;""),"%","")),0)&lt;1),1,100))</f>
        <v/>
      </c>
      <c r="H1320" t="str">
        <f>IF(A1320="","",IFERROR(VALUE(SUBSTITUTE(TRIM(Input!I1320&amp;""),"%","")),0)/IF(AND(IFERROR(VALUE(SUBSTITUTE(TRIM(Input!I1320&amp;""),"%","")),0)&gt;0,IFERROR(VALUE(SUBSTITUTE(TRIM(Input!I1320&amp;""),"%","")),0)&lt;1),1,100))</f>
        <v/>
      </c>
    </row>
    <row r="1321" spans="1:8">
      <c r="A1321" t="str">
        <f>IF(TRIM(Input!B1321&amp;"")="","",UPPER(TRIM(Input!B1321&amp;"")))</f>
        <v/>
      </c>
      <c r="B1321" t="str">
        <f>IF(A1321="","",IFERROR(VALUE(RIGHT(TRIM(Input!D1321&amp;""),1)),0))</f>
        <v/>
      </c>
      <c r="C1321" t="str">
        <f t="shared" si="20"/>
        <v/>
      </c>
      <c r="D1321" t="str">
        <f>IF(A1321="","",IFERROR(VALUE(SUBSTITUTE(TRIM(Input!E1321&amp;""),"%","")),0)/IF(AND(IFERROR(VALUE(SUBSTITUTE(TRIM(Input!E1321&amp;""),"%","")),0)&gt;0,IFERROR(VALUE(SUBSTITUTE(TRIM(Input!E1321&amp;""),"%","")),0)&lt;1),1,100))</f>
        <v/>
      </c>
      <c r="E1321" t="str">
        <f>IF(A1321="","",IFERROR(VALUE(SUBSTITUTE(TRIM(Input!F1321&amp;""),"%","")),0)/IF(AND(IFERROR(VALUE(SUBSTITUTE(TRIM(Input!F1321&amp;""),"%","")),0)&gt;0,IFERROR(VALUE(SUBSTITUTE(TRIM(Input!F1321&amp;""),"%","")),0)&lt;1),1,100))</f>
        <v/>
      </c>
      <c r="F1321" t="str">
        <f>IF(A1321="","",IFERROR(VALUE(SUBSTITUTE(TRIM(Input!G1321&amp;""),"%","")),0)/IF(AND(IFERROR(VALUE(SUBSTITUTE(TRIM(Input!G1321&amp;""),"%","")),0)&gt;0,IFERROR(VALUE(SUBSTITUTE(TRIM(Input!G1321&amp;""),"%","")),0)&lt;1),1,100))</f>
        <v/>
      </c>
      <c r="G1321" t="str">
        <f>IF(A1321="","",IFERROR(VALUE(SUBSTITUTE(TRIM(Input!H1321&amp;""),"%","")),0)/IF(AND(IFERROR(VALUE(SUBSTITUTE(TRIM(Input!H1321&amp;""),"%","")),0)&gt;0,IFERROR(VALUE(SUBSTITUTE(TRIM(Input!H1321&amp;""),"%","")),0)&lt;1),1,100))</f>
        <v/>
      </c>
      <c r="H1321" t="str">
        <f>IF(A1321="","",IFERROR(VALUE(SUBSTITUTE(TRIM(Input!I1321&amp;""),"%","")),0)/IF(AND(IFERROR(VALUE(SUBSTITUTE(TRIM(Input!I1321&amp;""),"%","")),0)&gt;0,IFERROR(VALUE(SUBSTITUTE(TRIM(Input!I1321&amp;""),"%","")),0)&lt;1),1,100))</f>
        <v/>
      </c>
    </row>
    <row r="1322" spans="1:8">
      <c r="A1322" t="str">
        <f>IF(TRIM(Input!B1322&amp;"")="","",UPPER(TRIM(Input!B1322&amp;"")))</f>
        <v/>
      </c>
      <c r="B1322" t="str">
        <f>IF(A1322="","",IFERROR(VALUE(RIGHT(TRIM(Input!D1322&amp;""),1)),0))</f>
        <v/>
      </c>
      <c r="C1322" t="str">
        <f t="shared" si="20"/>
        <v/>
      </c>
      <c r="D1322" t="str">
        <f>IF(A1322="","",IFERROR(VALUE(SUBSTITUTE(TRIM(Input!E1322&amp;""),"%","")),0)/IF(AND(IFERROR(VALUE(SUBSTITUTE(TRIM(Input!E1322&amp;""),"%","")),0)&gt;0,IFERROR(VALUE(SUBSTITUTE(TRIM(Input!E1322&amp;""),"%","")),0)&lt;1),1,100))</f>
        <v/>
      </c>
      <c r="E1322" t="str">
        <f>IF(A1322="","",IFERROR(VALUE(SUBSTITUTE(TRIM(Input!F1322&amp;""),"%","")),0)/IF(AND(IFERROR(VALUE(SUBSTITUTE(TRIM(Input!F1322&amp;""),"%","")),0)&gt;0,IFERROR(VALUE(SUBSTITUTE(TRIM(Input!F1322&amp;""),"%","")),0)&lt;1),1,100))</f>
        <v/>
      </c>
      <c r="F1322" t="str">
        <f>IF(A1322="","",IFERROR(VALUE(SUBSTITUTE(TRIM(Input!G1322&amp;""),"%","")),0)/IF(AND(IFERROR(VALUE(SUBSTITUTE(TRIM(Input!G1322&amp;""),"%","")),0)&gt;0,IFERROR(VALUE(SUBSTITUTE(TRIM(Input!G1322&amp;""),"%","")),0)&lt;1),1,100))</f>
        <v/>
      </c>
      <c r="G1322" t="str">
        <f>IF(A1322="","",IFERROR(VALUE(SUBSTITUTE(TRIM(Input!H1322&amp;""),"%","")),0)/IF(AND(IFERROR(VALUE(SUBSTITUTE(TRIM(Input!H1322&amp;""),"%","")),0)&gt;0,IFERROR(VALUE(SUBSTITUTE(TRIM(Input!H1322&amp;""),"%","")),0)&lt;1),1,100))</f>
        <v/>
      </c>
      <c r="H1322" t="str">
        <f>IF(A1322="","",IFERROR(VALUE(SUBSTITUTE(TRIM(Input!I1322&amp;""),"%","")),0)/IF(AND(IFERROR(VALUE(SUBSTITUTE(TRIM(Input!I1322&amp;""),"%","")),0)&gt;0,IFERROR(VALUE(SUBSTITUTE(TRIM(Input!I1322&amp;""),"%","")),0)&lt;1),1,100))</f>
        <v/>
      </c>
    </row>
    <row r="1323" spans="1:8">
      <c r="A1323" t="str">
        <f>IF(TRIM(Input!B1323&amp;"")="","",UPPER(TRIM(Input!B1323&amp;"")))</f>
        <v/>
      </c>
      <c r="B1323" t="str">
        <f>IF(A1323="","",IFERROR(VALUE(RIGHT(TRIM(Input!D1323&amp;""),1)),0))</f>
        <v/>
      </c>
      <c r="C1323" t="str">
        <f t="shared" si="20"/>
        <v/>
      </c>
      <c r="D1323" t="str">
        <f>IF(A1323="","",IFERROR(VALUE(SUBSTITUTE(TRIM(Input!E1323&amp;""),"%","")),0)/IF(AND(IFERROR(VALUE(SUBSTITUTE(TRIM(Input!E1323&amp;""),"%","")),0)&gt;0,IFERROR(VALUE(SUBSTITUTE(TRIM(Input!E1323&amp;""),"%","")),0)&lt;1),1,100))</f>
        <v/>
      </c>
      <c r="E1323" t="str">
        <f>IF(A1323="","",IFERROR(VALUE(SUBSTITUTE(TRIM(Input!F1323&amp;""),"%","")),0)/IF(AND(IFERROR(VALUE(SUBSTITUTE(TRIM(Input!F1323&amp;""),"%","")),0)&gt;0,IFERROR(VALUE(SUBSTITUTE(TRIM(Input!F1323&amp;""),"%","")),0)&lt;1),1,100))</f>
        <v/>
      </c>
      <c r="F1323" t="str">
        <f>IF(A1323="","",IFERROR(VALUE(SUBSTITUTE(TRIM(Input!G1323&amp;""),"%","")),0)/IF(AND(IFERROR(VALUE(SUBSTITUTE(TRIM(Input!G1323&amp;""),"%","")),0)&gt;0,IFERROR(VALUE(SUBSTITUTE(TRIM(Input!G1323&amp;""),"%","")),0)&lt;1),1,100))</f>
        <v/>
      </c>
      <c r="G1323" t="str">
        <f>IF(A1323="","",IFERROR(VALUE(SUBSTITUTE(TRIM(Input!H1323&amp;""),"%","")),0)/IF(AND(IFERROR(VALUE(SUBSTITUTE(TRIM(Input!H1323&amp;""),"%","")),0)&gt;0,IFERROR(VALUE(SUBSTITUTE(TRIM(Input!H1323&amp;""),"%","")),0)&lt;1),1,100))</f>
        <v/>
      </c>
      <c r="H1323" t="str">
        <f>IF(A1323="","",IFERROR(VALUE(SUBSTITUTE(TRIM(Input!I1323&amp;""),"%","")),0)/IF(AND(IFERROR(VALUE(SUBSTITUTE(TRIM(Input!I1323&amp;""),"%","")),0)&gt;0,IFERROR(VALUE(SUBSTITUTE(TRIM(Input!I1323&amp;""),"%","")),0)&lt;1),1,100))</f>
        <v/>
      </c>
    </row>
    <row r="1324" spans="1:8">
      <c r="A1324" t="str">
        <f>IF(TRIM(Input!B1324&amp;"")="","",UPPER(TRIM(Input!B1324&amp;"")))</f>
        <v/>
      </c>
      <c r="B1324" t="str">
        <f>IF(A1324="","",IFERROR(VALUE(RIGHT(TRIM(Input!D1324&amp;""),1)),0))</f>
        <v/>
      </c>
      <c r="C1324" t="str">
        <f t="shared" si="20"/>
        <v/>
      </c>
      <c r="D1324" t="str">
        <f>IF(A1324="","",IFERROR(VALUE(SUBSTITUTE(TRIM(Input!E1324&amp;""),"%","")),0)/IF(AND(IFERROR(VALUE(SUBSTITUTE(TRIM(Input!E1324&amp;""),"%","")),0)&gt;0,IFERROR(VALUE(SUBSTITUTE(TRIM(Input!E1324&amp;""),"%","")),0)&lt;1),1,100))</f>
        <v/>
      </c>
      <c r="E1324" t="str">
        <f>IF(A1324="","",IFERROR(VALUE(SUBSTITUTE(TRIM(Input!F1324&amp;""),"%","")),0)/IF(AND(IFERROR(VALUE(SUBSTITUTE(TRIM(Input!F1324&amp;""),"%","")),0)&gt;0,IFERROR(VALUE(SUBSTITUTE(TRIM(Input!F1324&amp;""),"%","")),0)&lt;1),1,100))</f>
        <v/>
      </c>
      <c r="F1324" t="str">
        <f>IF(A1324="","",IFERROR(VALUE(SUBSTITUTE(TRIM(Input!G1324&amp;""),"%","")),0)/IF(AND(IFERROR(VALUE(SUBSTITUTE(TRIM(Input!G1324&amp;""),"%","")),0)&gt;0,IFERROR(VALUE(SUBSTITUTE(TRIM(Input!G1324&amp;""),"%","")),0)&lt;1),1,100))</f>
        <v/>
      </c>
      <c r="G1324" t="str">
        <f>IF(A1324="","",IFERROR(VALUE(SUBSTITUTE(TRIM(Input!H1324&amp;""),"%","")),0)/IF(AND(IFERROR(VALUE(SUBSTITUTE(TRIM(Input!H1324&amp;""),"%","")),0)&gt;0,IFERROR(VALUE(SUBSTITUTE(TRIM(Input!H1324&amp;""),"%","")),0)&lt;1),1,100))</f>
        <v/>
      </c>
      <c r="H1324" t="str">
        <f>IF(A1324="","",IFERROR(VALUE(SUBSTITUTE(TRIM(Input!I1324&amp;""),"%","")),0)/IF(AND(IFERROR(VALUE(SUBSTITUTE(TRIM(Input!I1324&amp;""),"%","")),0)&gt;0,IFERROR(VALUE(SUBSTITUTE(TRIM(Input!I1324&amp;""),"%","")),0)&lt;1),1,100))</f>
        <v/>
      </c>
    </row>
    <row r="1325" spans="1:8">
      <c r="A1325" t="str">
        <f>IF(TRIM(Input!B1325&amp;"")="","",UPPER(TRIM(Input!B1325&amp;"")))</f>
        <v/>
      </c>
      <c r="B1325" t="str">
        <f>IF(A1325="","",IFERROR(VALUE(RIGHT(TRIM(Input!D1325&amp;""),1)),0))</f>
        <v/>
      </c>
      <c r="C1325" t="str">
        <f t="shared" si="20"/>
        <v/>
      </c>
      <c r="D1325" t="str">
        <f>IF(A1325="","",IFERROR(VALUE(SUBSTITUTE(TRIM(Input!E1325&amp;""),"%","")),0)/IF(AND(IFERROR(VALUE(SUBSTITUTE(TRIM(Input!E1325&amp;""),"%","")),0)&gt;0,IFERROR(VALUE(SUBSTITUTE(TRIM(Input!E1325&amp;""),"%","")),0)&lt;1),1,100))</f>
        <v/>
      </c>
      <c r="E1325" t="str">
        <f>IF(A1325="","",IFERROR(VALUE(SUBSTITUTE(TRIM(Input!F1325&amp;""),"%","")),0)/IF(AND(IFERROR(VALUE(SUBSTITUTE(TRIM(Input!F1325&amp;""),"%","")),0)&gt;0,IFERROR(VALUE(SUBSTITUTE(TRIM(Input!F1325&amp;""),"%","")),0)&lt;1),1,100))</f>
        <v/>
      </c>
      <c r="F1325" t="str">
        <f>IF(A1325="","",IFERROR(VALUE(SUBSTITUTE(TRIM(Input!G1325&amp;""),"%","")),0)/IF(AND(IFERROR(VALUE(SUBSTITUTE(TRIM(Input!G1325&amp;""),"%","")),0)&gt;0,IFERROR(VALUE(SUBSTITUTE(TRIM(Input!G1325&amp;""),"%","")),0)&lt;1),1,100))</f>
        <v/>
      </c>
      <c r="G1325" t="str">
        <f>IF(A1325="","",IFERROR(VALUE(SUBSTITUTE(TRIM(Input!H1325&amp;""),"%","")),0)/IF(AND(IFERROR(VALUE(SUBSTITUTE(TRIM(Input!H1325&amp;""),"%","")),0)&gt;0,IFERROR(VALUE(SUBSTITUTE(TRIM(Input!H1325&amp;""),"%","")),0)&lt;1),1,100))</f>
        <v/>
      </c>
      <c r="H1325" t="str">
        <f>IF(A1325="","",IFERROR(VALUE(SUBSTITUTE(TRIM(Input!I1325&amp;""),"%","")),0)/IF(AND(IFERROR(VALUE(SUBSTITUTE(TRIM(Input!I1325&amp;""),"%","")),0)&gt;0,IFERROR(VALUE(SUBSTITUTE(TRIM(Input!I1325&amp;""),"%","")),0)&lt;1),1,100))</f>
        <v/>
      </c>
    </row>
    <row r="1326" spans="1:8">
      <c r="A1326" t="str">
        <f>IF(TRIM(Input!B1326&amp;"")="","",UPPER(TRIM(Input!B1326&amp;"")))</f>
        <v/>
      </c>
      <c r="B1326" t="str">
        <f>IF(A1326="","",IFERROR(VALUE(RIGHT(TRIM(Input!D1326&amp;""),1)),0))</f>
        <v/>
      </c>
      <c r="C1326" t="str">
        <f t="shared" si="20"/>
        <v/>
      </c>
      <c r="D1326" t="str">
        <f>IF(A1326="","",IFERROR(VALUE(SUBSTITUTE(TRIM(Input!E1326&amp;""),"%","")),0)/IF(AND(IFERROR(VALUE(SUBSTITUTE(TRIM(Input!E1326&amp;""),"%","")),0)&gt;0,IFERROR(VALUE(SUBSTITUTE(TRIM(Input!E1326&amp;""),"%","")),0)&lt;1),1,100))</f>
        <v/>
      </c>
      <c r="E1326" t="str">
        <f>IF(A1326="","",IFERROR(VALUE(SUBSTITUTE(TRIM(Input!F1326&amp;""),"%","")),0)/IF(AND(IFERROR(VALUE(SUBSTITUTE(TRIM(Input!F1326&amp;""),"%","")),0)&gt;0,IFERROR(VALUE(SUBSTITUTE(TRIM(Input!F1326&amp;""),"%","")),0)&lt;1),1,100))</f>
        <v/>
      </c>
      <c r="F1326" t="str">
        <f>IF(A1326="","",IFERROR(VALUE(SUBSTITUTE(TRIM(Input!G1326&amp;""),"%","")),0)/IF(AND(IFERROR(VALUE(SUBSTITUTE(TRIM(Input!G1326&amp;""),"%","")),0)&gt;0,IFERROR(VALUE(SUBSTITUTE(TRIM(Input!G1326&amp;""),"%","")),0)&lt;1),1,100))</f>
        <v/>
      </c>
      <c r="G1326" t="str">
        <f>IF(A1326="","",IFERROR(VALUE(SUBSTITUTE(TRIM(Input!H1326&amp;""),"%","")),0)/IF(AND(IFERROR(VALUE(SUBSTITUTE(TRIM(Input!H1326&amp;""),"%","")),0)&gt;0,IFERROR(VALUE(SUBSTITUTE(TRIM(Input!H1326&amp;""),"%","")),0)&lt;1),1,100))</f>
        <v/>
      </c>
      <c r="H1326" t="str">
        <f>IF(A1326="","",IFERROR(VALUE(SUBSTITUTE(TRIM(Input!I1326&amp;""),"%","")),0)/IF(AND(IFERROR(VALUE(SUBSTITUTE(TRIM(Input!I1326&amp;""),"%","")),0)&gt;0,IFERROR(VALUE(SUBSTITUTE(TRIM(Input!I1326&amp;""),"%","")),0)&lt;1),1,100))</f>
        <v/>
      </c>
    </row>
    <row r="1327" spans="1:8">
      <c r="A1327" t="str">
        <f>IF(TRIM(Input!B1327&amp;"")="","",UPPER(TRIM(Input!B1327&amp;"")))</f>
        <v/>
      </c>
      <c r="B1327" t="str">
        <f>IF(A1327="","",IFERROR(VALUE(RIGHT(TRIM(Input!D1327&amp;""),1)),0))</f>
        <v/>
      </c>
      <c r="C1327" t="str">
        <f t="shared" si="20"/>
        <v/>
      </c>
      <c r="D1327" t="str">
        <f>IF(A1327="","",IFERROR(VALUE(SUBSTITUTE(TRIM(Input!E1327&amp;""),"%","")),0)/IF(AND(IFERROR(VALUE(SUBSTITUTE(TRIM(Input!E1327&amp;""),"%","")),0)&gt;0,IFERROR(VALUE(SUBSTITUTE(TRIM(Input!E1327&amp;""),"%","")),0)&lt;1),1,100))</f>
        <v/>
      </c>
      <c r="E1327" t="str">
        <f>IF(A1327="","",IFERROR(VALUE(SUBSTITUTE(TRIM(Input!F1327&amp;""),"%","")),0)/IF(AND(IFERROR(VALUE(SUBSTITUTE(TRIM(Input!F1327&amp;""),"%","")),0)&gt;0,IFERROR(VALUE(SUBSTITUTE(TRIM(Input!F1327&amp;""),"%","")),0)&lt;1),1,100))</f>
        <v/>
      </c>
      <c r="F1327" t="str">
        <f>IF(A1327="","",IFERROR(VALUE(SUBSTITUTE(TRIM(Input!G1327&amp;""),"%","")),0)/IF(AND(IFERROR(VALUE(SUBSTITUTE(TRIM(Input!G1327&amp;""),"%","")),0)&gt;0,IFERROR(VALUE(SUBSTITUTE(TRIM(Input!G1327&amp;""),"%","")),0)&lt;1),1,100))</f>
        <v/>
      </c>
      <c r="G1327" t="str">
        <f>IF(A1327="","",IFERROR(VALUE(SUBSTITUTE(TRIM(Input!H1327&amp;""),"%","")),0)/IF(AND(IFERROR(VALUE(SUBSTITUTE(TRIM(Input!H1327&amp;""),"%","")),0)&gt;0,IFERROR(VALUE(SUBSTITUTE(TRIM(Input!H1327&amp;""),"%","")),0)&lt;1),1,100))</f>
        <v/>
      </c>
      <c r="H1327" t="str">
        <f>IF(A1327="","",IFERROR(VALUE(SUBSTITUTE(TRIM(Input!I1327&amp;""),"%","")),0)/IF(AND(IFERROR(VALUE(SUBSTITUTE(TRIM(Input!I1327&amp;""),"%","")),0)&gt;0,IFERROR(VALUE(SUBSTITUTE(TRIM(Input!I1327&amp;""),"%","")),0)&lt;1),1,100))</f>
        <v/>
      </c>
    </row>
    <row r="1328" spans="1:8">
      <c r="A1328" t="str">
        <f>IF(TRIM(Input!B1328&amp;"")="","",UPPER(TRIM(Input!B1328&amp;"")))</f>
        <v/>
      </c>
      <c r="B1328" t="str">
        <f>IF(A1328="","",IFERROR(VALUE(RIGHT(TRIM(Input!D1328&amp;""),1)),0))</f>
        <v/>
      </c>
      <c r="C1328" t="str">
        <f t="shared" si="20"/>
        <v/>
      </c>
      <c r="D1328" t="str">
        <f>IF(A1328="","",IFERROR(VALUE(SUBSTITUTE(TRIM(Input!E1328&amp;""),"%","")),0)/IF(AND(IFERROR(VALUE(SUBSTITUTE(TRIM(Input!E1328&amp;""),"%","")),0)&gt;0,IFERROR(VALUE(SUBSTITUTE(TRIM(Input!E1328&amp;""),"%","")),0)&lt;1),1,100))</f>
        <v/>
      </c>
      <c r="E1328" t="str">
        <f>IF(A1328="","",IFERROR(VALUE(SUBSTITUTE(TRIM(Input!F1328&amp;""),"%","")),0)/IF(AND(IFERROR(VALUE(SUBSTITUTE(TRIM(Input!F1328&amp;""),"%","")),0)&gt;0,IFERROR(VALUE(SUBSTITUTE(TRIM(Input!F1328&amp;""),"%","")),0)&lt;1),1,100))</f>
        <v/>
      </c>
      <c r="F1328" t="str">
        <f>IF(A1328="","",IFERROR(VALUE(SUBSTITUTE(TRIM(Input!G1328&amp;""),"%","")),0)/IF(AND(IFERROR(VALUE(SUBSTITUTE(TRIM(Input!G1328&amp;""),"%","")),0)&gt;0,IFERROR(VALUE(SUBSTITUTE(TRIM(Input!G1328&amp;""),"%","")),0)&lt;1),1,100))</f>
        <v/>
      </c>
      <c r="G1328" t="str">
        <f>IF(A1328="","",IFERROR(VALUE(SUBSTITUTE(TRIM(Input!H1328&amp;""),"%","")),0)/IF(AND(IFERROR(VALUE(SUBSTITUTE(TRIM(Input!H1328&amp;""),"%","")),0)&gt;0,IFERROR(VALUE(SUBSTITUTE(TRIM(Input!H1328&amp;""),"%","")),0)&lt;1),1,100))</f>
        <v/>
      </c>
      <c r="H1328" t="str">
        <f>IF(A1328="","",IFERROR(VALUE(SUBSTITUTE(TRIM(Input!I1328&amp;""),"%","")),0)/IF(AND(IFERROR(VALUE(SUBSTITUTE(TRIM(Input!I1328&amp;""),"%","")),0)&gt;0,IFERROR(VALUE(SUBSTITUTE(TRIM(Input!I1328&amp;""),"%","")),0)&lt;1),1,100))</f>
        <v/>
      </c>
    </row>
    <row r="1329" spans="1:8">
      <c r="A1329" t="str">
        <f>IF(TRIM(Input!B1329&amp;"")="","",UPPER(TRIM(Input!B1329&amp;"")))</f>
        <v/>
      </c>
      <c r="B1329" t="str">
        <f>IF(A1329="","",IFERROR(VALUE(RIGHT(TRIM(Input!D1329&amp;""),1)),0))</f>
        <v/>
      </c>
      <c r="C1329" t="str">
        <f t="shared" si="20"/>
        <v/>
      </c>
      <c r="D1329" t="str">
        <f>IF(A1329="","",IFERROR(VALUE(SUBSTITUTE(TRIM(Input!E1329&amp;""),"%","")),0)/IF(AND(IFERROR(VALUE(SUBSTITUTE(TRIM(Input!E1329&amp;""),"%","")),0)&gt;0,IFERROR(VALUE(SUBSTITUTE(TRIM(Input!E1329&amp;""),"%","")),0)&lt;1),1,100))</f>
        <v/>
      </c>
      <c r="E1329" t="str">
        <f>IF(A1329="","",IFERROR(VALUE(SUBSTITUTE(TRIM(Input!F1329&amp;""),"%","")),0)/IF(AND(IFERROR(VALUE(SUBSTITUTE(TRIM(Input!F1329&amp;""),"%","")),0)&gt;0,IFERROR(VALUE(SUBSTITUTE(TRIM(Input!F1329&amp;""),"%","")),0)&lt;1),1,100))</f>
        <v/>
      </c>
      <c r="F1329" t="str">
        <f>IF(A1329="","",IFERROR(VALUE(SUBSTITUTE(TRIM(Input!G1329&amp;""),"%","")),0)/IF(AND(IFERROR(VALUE(SUBSTITUTE(TRIM(Input!G1329&amp;""),"%","")),0)&gt;0,IFERROR(VALUE(SUBSTITUTE(TRIM(Input!G1329&amp;""),"%","")),0)&lt;1),1,100))</f>
        <v/>
      </c>
      <c r="G1329" t="str">
        <f>IF(A1329="","",IFERROR(VALUE(SUBSTITUTE(TRIM(Input!H1329&amp;""),"%","")),0)/IF(AND(IFERROR(VALUE(SUBSTITUTE(TRIM(Input!H1329&amp;""),"%","")),0)&gt;0,IFERROR(VALUE(SUBSTITUTE(TRIM(Input!H1329&amp;""),"%","")),0)&lt;1),1,100))</f>
        <v/>
      </c>
      <c r="H1329" t="str">
        <f>IF(A1329="","",IFERROR(VALUE(SUBSTITUTE(TRIM(Input!I1329&amp;""),"%","")),0)/IF(AND(IFERROR(VALUE(SUBSTITUTE(TRIM(Input!I1329&amp;""),"%","")),0)&gt;0,IFERROR(VALUE(SUBSTITUTE(TRIM(Input!I1329&amp;""),"%","")),0)&lt;1),1,100))</f>
        <v/>
      </c>
    </row>
    <row r="1330" spans="1:8">
      <c r="A1330" t="str">
        <f>IF(TRIM(Input!B1330&amp;"")="","",UPPER(TRIM(Input!B1330&amp;"")))</f>
        <v/>
      </c>
      <c r="B1330" t="str">
        <f>IF(A1330="","",IFERROR(VALUE(RIGHT(TRIM(Input!D1330&amp;""),1)),0))</f>
        <v/>
      </c>
      <c r="C1330" t="str">
        <f t="shared" si="20"/>
        <v/>
      </c>
      <c r="D1330" t="str">
        <f>IF(A1330="","",IFERROR(VALUE(SUBSTITUTE(TRIM(Input!E1330&amp;""),"%","")),0)/IF(AND(IFERROR(VALUE(SUBSTITUTE(TRIM(Input!E1330&amp;""),"%","")),0)&gt;0,IFERROR(VALUE(SUBSTITUTE(TRIM(Input!E1330&amp;""),"%","")),0)&lt;1),1,100))</f>
        <v/>
      </c>
      <c r="E1330" t="str">
        <f>IF(A1330="","",IFERROR(VALUE(SUBSTITUTE(TRIM(Input!F1330&amp;""),"%","")),0)/IF(AND(IFERROR(VALUE(SUBSTITUTE(TRIM(Input!F1330&amp;""),"%","")),0)&gt;0,IFERROR(VALUE(SUBSTITUTE(TRIM(Input!F1330&amp;""),"%","")),0)&lt;1),1,100))</f>
        <v/>
      </c>
      <c r="F1330" t="str">
        <f>IF(A1330="","",IFERROR(VALUE(SUBSTITUTE(TRIM(Input!G1330&amp;""),"%","")),0)/IF(AND(IFERROR(VALUE(SUBSTITUTE(TRIM(Input!G1330&amp;""),"%","")),0)&gt;0,IFERROR(VALUE(SUBSTITUTE(TRIM(Input!G1330&amp;""),"%","")),0)&lt;1),1,100))</f>
        <v/>
      </c>
      <c r="G1330" t="str">
        <f>IF(A1330="","",IFERROR(VALUE(SUBSTITUTE(TRIM(Input!H1330&amp;""),"%","")),0)/IF(AND(IFERROR(VALUE(SUBSTITUTE(TRIM(Input!H1330&amp;""),"%","")),0)&gt;0,IFERROR(VALUE(SUBSTITUTE(TRIM(Input!H1330&amp;""),"%","")),0)&lt;1),1,100))</f>
        <v/>
      </c>
      <c r="H1330" t="str">
        <f>IF(A1330="","",IFERROR(VALUE(SUBSTITUTE(TRIM(Input!I1330&amp;""),"%","")),0)/IF(AND(IFERROR(VALUE(SUBSTITUTE(TRIM(Input!I1330&amp;""),"%","")),0)&gt;0,IFERROR(VALUE(SUBSTITUTE(TRIM(Input!I1330&amp;""),"%","")),0)&lt;1),1,100))</f>
        <v/>
      </c>
    </row>
    <row r="1331" spans="1:8">
      <c r="A1331" t="str">
        <f>IF(TRIM(Input!B1331&amp;"")="","",UPPER(TRIM(Input!B1331&amp;"")))</f>
        <v/>
      </c>
      <c r="B1331" t="str">
        <f>IF(A1331="","",IFERROR(VALUE(RIGHT(TRIM(Input!D1331&amp;""),1)),0))</f>
        <v/>
      </c>
      <c r="C1331" t="str">
        <f t="shared" si="20"/>
        <v/>
      </c>
      <c r="D1331" t="str">
        <f>IF(A1331="","",IFERROR(VALUE(SUBSTITUTE(TRIM(Input!E1331&amp;""),"%","")),0)/IF(AND(IFERROR(VALUE(SUBSTITUTE(TRIM(Input!E1331&amp;""),"%","")),0)&gt;0,IFERROR(VALUE(SUBSTITUTE(TRIM(Input!E1331&amp;""),"%","")),0)&lt;1),1,100))</f>
        <v/>
      </c>
      <c r="E1331" t="str">
        <f>IF(A1331="","",IFERROR(VALUE(SUBSTITUTE(TRIM(Input!F1331&amp;""),"%","")),0)/IF(AND(IFERROR(VALUE(SUBSTITUTE(TRIM(Input!F1331&amp;""),"%","")),0)&gt;0,IFERROR(VALUE(SUBSTITUTE(TRIM(Input!F1331&amp;""),"%","")),0)&lt;1),1,100))</f>
        <v/>
      </c>
      <c r="F1331" t="str">
        <f>IF(A1331="","",IFERROR(VALUE(SUBSTITUTE(TRIM(Input!G1331&amp;""),"%","")),0)/IF(AND(IFERROR(VALUE(SUBSTITUTE(TRIM(Input!G1331&amp;""),"%","")),0)&gt;0,IFERROR(VALUE(SUBSTITUTE(TRIM(Input!G1331&amp;""),"%","")),0)&lt;1),1,100))</f>
        <v/>
      </c>
      <c r="G1331" t="str">
        <f>IF(A1331="","",IFERROR(VALUE(SUBSTITUTE(TRIM(Input!H1331&amp;""),"%","")),0)/IF(AND(IFERROR(VALUE(SUBSTITUTE(TRIM(Input!H1331&amp;""),"%","")),0)&gt;0,IFERROR(VALUE(SUBSTITUTE(TRIM(Input!H1331&amp;""),"%","")),0)&lt;1),1,100))</f>
        <v/>
      </c>
      <c r="H1331" t="str">
        <f>IF(A1331="","",IFERROR(VALUE(SUBSTITUTE(TRIM(Input!I1331&amp;""),"%","")),0)/IF(AND(IFERROR(VALUE(SUBSTITUTE(TRIM(Input!I1331&amp;""),"%","")),0)&gt;0,IFERROR(VALUE(SUBSTITUTE(TRIM(Input!I1331&amp;""),"%","")),0)&lt;1),1,100))</f>
        <v/>
      </c>
    </row>
    <row r="1332" spans="1:8">
      <c r="A1332" t="str">
        <f>IF(TRIM(Input!B1332&amp;"")="","",UPPER(TRIM(Input!B1332&amp;"")))</f>
        <v/>
      </c>
      <c r="B1332" t="str">
        <f>IF(A1332="","",IFERROR(VALUE(RIGHT(TRIM(Input!D1332&amp;""),1)),0))</f>
        <v/>
      </c>
      <c r="C1332" t="str">
        <f t="shared" si="20"/>
        <v/>
      </c>
      <c r="D1332" t="str">
        <f>IF(A1332="","",IFERROR(VALUE(SUBSTITUTE(TRIM(Input!E1332&amp;""),"%","")),0)/IF(AND(IFERROR(VALUE(SUBSTITUTE(TRIM(Input!E1332&amp;""),"%","")),0)&gt;0,IFERROR(VALUE(SUBSTITUTE(TRIM(Input!E1332&amp;""),"%","")),0)&lt;1),1,100))</f>
        <v/>
      </c>
      <c r="E1332" t="str">
        <f>IF(A1332="","",IFERROR(VALUE(SUBSTITUTE(TRIM(Input!F1332&amp;""),"%","")),0)/IF(AND(IFERROR(VALUE(SUBSTITUTE(TRIM(Input!F1332&amp;""),"%","")),0)&gt;0,IFERROR(VALUE(SUBSTITUTE(TRIM(Input!F1332&amp;""),"%","")),0)&lt;1),1,100))</f>
        <v/>
      </c>
      <c r="F1332" t="str">
        <f>IF(A1332="","",IFERROR(VALUE(SUBSTITUTE(TRIM(Input!G1332&amp;""),"%","")),0)/IF(AND(IFERROR(VALUE(SUBSTITUTE(TRIM(Input!G1332&amp;""),"%","")),0)&gt;0,IFERROR(VALUE(SUBSTITUTE(TRIM(Input!G1332&amp;""),"%","")),0)&lt;1),1,100))</f>
        <v/>
      </c>
      <c r="G1332" t="str">
        <f>IF(A1332="","",IFERROR(VALUE(SUBSTITUTE(TRIM(Input!H1332&amp;""),"%","")),0)/IF(AND(IFERROR(VALUE(SUBSTITUTE(TRIM(Input!H1332&amp;""),"%","")),0)&gt;0,IFERROR(VALUE(SUBSTITUTE(TRIM(Input!H1332&amp;""),"%","")),0)&lt;1),1,100))</f>
        <v/>
      </c>
      <c r="H1332" t="str">
        <f>IF(A1332="","",IFERROR(VALUE(SUBSTITUTE(TRIM(Input!I1332&amp;""),"%","")),0)/IF(AND(IFERROR(VALUE(SUBSTITUTE(TRIM(Input!I1332&amp;""),"%","")),0)&gt;0,IFERROR(VALUE(SUBSTITUTE(TRIM(Input!I1332&amp;""),"%","")),0)&lt;1),1,100))</f>
        <v/>
      </c>
    </row>
    <row r="1333" spans="1:8">
      <c r="A1333" t="str">
        <f>IF(TRIM(Input!B1333&amp;"")="","",UPPER(TRIM(Input!B1333&amp;"")))</f>
        <v/>
      </c>
      <c r="B1333" t="str">
        <f>IF(A1333="","",IFERROR(VALUE(RIGHT(TRIM(Input!D1333&amp;""),1)),0))</f>
        <v/>
      </c>
      <c r="C1333" t="str">
        <f t="shared" si="20"/>
        <v/>
      </c>
      <c r="D1333" t="str">
        <f>IF(A1333="","",IFERROR(VALUE(SUBSTITUTE(TRIM(Input!E1333&amp;""),"%","")),0)/IF(AND(IFERROR(VALUE(SUBSTITUTE(TRIM(Input!E1333&amp;""),"%","")),0)&gt;0,IFERROR(VALUE(SUBSTITUTE(TRIM(Input!E1333&amp;""),"%","")),0)&lt;1),1,100))</f>
        <v/>
      </c>
      <c r="E1333" t="str">
        <f>IF(A1333="","",IFERROR(VALUE(SUBSTITUTE(TRIM(Input!F1333&amp;""),"%","")),0)/IF(AND(IFERROR(VALUE(SUBSTITUTE(TRIM(Input!F1333&amp;""),"%","")),0)&gt;0,IFERROR(VALUE(SUBSTITUTE(TRIM(Input!F1333&amp;""),"%","")),0)&lt;1),1,100))</f>
        <v/>
      </c>
      <c r="F1333" t="str">
        <f>IF(A1333="","",IFERROR(VALUE(SUBSTITUTE(TRIM(Input!G1333&amp;""),"%","")),0)/IF(AND(IFERROR(VALUE(SUBSTITUTE(TRIM(Input!G1333&amp;""),"%","")),0)&gt;0,IFERROR(VALUE(SUBSTITUTE(TRIM(Input!G1333&amp;""),"%","")),0)&lt;1),1,100))</f>
        <v/>
      </c>
      <c r="G1333" t="str">
        <f>IF(A1333="","",IFERROR(VALUE(SUBSTITUTE(TRIM(Input!H1333&amp;""),"%","")),0)/IF(AND(IFERROR(VALUE(SUBSTITUTE(TRIM(Input!H1333&amp;""),"%","")),0)&gt;0,IFERROR(VALUE(SUBSTITUTE(TRIM(Input!H1333&amp;""),"%","")),0)&lt;1),1,100))</f>
        <v/>
      </c>
      <c r="H1333" t="str">
        <f>IF(A1333="","",IFERROR(VALUE(SUBSTITUTE(TRIM(Input!I1333&amp;""),"%","")),0)/IF(AND(IFERROR(VALUE(SUBSTITUTE(TRIM(Input!I1333&amp;""),"%","")),0)&gt;0,IFERROR(VALUE(SUBSTITUTE(TRIM(Input!I1333&amp;""),"%","")),0)&lt;1),1,100))</f>
        <v/>
      </c>
    </row>
    <row r="1334" spans="1:8">
      <c r="A1334" t="str">
        <f>IF(TRIM(Input!B1334&amp;"")="","",UPPER(TRIM(Input!B1334&amp;"")))</f>
        <v/>
      </c>
      <c r="B1334" t="str">
        <f>IF(A1334="","",IFERROR(VALUE(RIGHT(TRIM(Input!D1334&amp;""),1)),0))</f>
        <v/>
      </c>
      <c r="C1334" t="str">
        <f t="shared" si="20"/>
        <v/>
      </c>
      <c r="D1334" t="str">
        <f>IF(A1334="","",IFERROR(VALUE(SUBSTITUTE(TRIM(Input!E1334&amp;""),"%","")),0)/IF(AND(IFERROR(VALUE(SUBSTITUTE(TRIM(Input!E1334&amp;""),"%","")),0)&gt;0,IFERROR(VALUE(SUBSTITUTE(TRIM(Input!E1334&amp;""),"%","")),0)&lt;1),1,100))</f>
        <v/>
      </c>
      <c r="E1334" t="str">
        <f>IF(A1334="","",IFERROR(VALUE(SUBSTITUTE(TRIM(Input!F1334&amp;""),"%","")),0)/IF(AND(IFERROR(VALUE(SUBSTITUTE(TRIM(Input!F1334&amp;""),"%","")),0)&gt;0,IFERROR(VALUE(SUBSTITUTE(TRIM(Input!F1334&amp;""),"%","")),0)&lt;1),1,100))</f>
        <v/>
      </c>
      <c r="F1334" t="str">
        <f>IF(A1334="","",IFERROR(VALUE(SUBSTITUTE(TRIM(Input!G1334&amp;""),"%","")),0)/IF(AND(IFERROR(VALUE(SUBSTITUTE(TRIM(Input!G1334&amp;""),"%","")),0)&gt;0,IFERROR(VALUE(SUBSTITUTE(TRIM(Input!G1334&amp;""),"%","")),0)&lt;1),1,100))</f>
        <v/>
      </c>
      <c r="G1334" t="str">
        <f>IF(A1334="","",IFERROR(VALUE(SUBSTITUTE(TRIM(Input!H1334&amp;""),"%","")),0)/IF(AND(IFERROR(VALUE(SUBSTITUTE(TRIM(Input!H1334&amp;""),"%","")),0)&gt;0,IFERROR(VALUE(SUBSTITUTE(TRIM(Input!H1334&amp;""),"%","")),0)&lt;1),1,100))</f>
        <v/>
      </c>
      <c r="H1334" t="str">
        <f>IF(A1334="","",IFERROR(VALUE(SUBSTITUTE(TRIM(Input!I1334&amp;""),"%","")),0)/IF(AND(IFERROR(VALUE(SUBSTITUTE(TRIM(Input!I1334&amp;""),"%","")),0)&gt;0,IFERROR(VALUE(SUBSTITUTE(TRIM(Input!I1334&amp;""),"%","")),0)&lt;1),1,100))</f>
        <v/>
      </c>
    </row>
    <row r="1335" spans="1:8">
      <c r="A1335" t="str">
        <f>IF(TRIM(Input!B1335&amp;"")="","",UPPER(TRIM(Input!B1335&amp;"")))</f>
        <v/>
      </c>
      <c r="B1335" t="str">
        <f>IF(A1335="","",IFERROR(VALUE(RIGHT(TRIM(Input!D1335&amp;""),1)),0))</f>
        <v/>
      </c>
      <c r="C1335" t="str">
        <f t="shared" si="20"/>
        <v/>
      </c>
      <c r="D1335" t="str">
        <f>IF(A1335="","",IFERROR(VALUE(SUBSTITUTE(TRIM(Input!E1335&amp;""),"%","")),0)/IF(AND(IFERROR(VALUE(SUBSTITUTE(TRIM(Input!E1335&amp;""),"%","")),0)&gt;0,IFERROR(VALUE(SUBSTITUTE(TRIM(Input!E1335&amp;""),"%","")),0)&lt;1),1,100))</f>
        <v/>
      </c>
      <c r="E1335" t="str">
        <f>IF(A1335="","",IFERROR(VALUE(SUBSTITUTE(TRIM(Input!F1335&amp;""),"%","")),0)/IF(AND(IFERROR(VALUE(SUBSTITUTE(TRIM(Input!F1335&amp;""),"%","")),0)&gt;0,IFERROR(VALUE(SUBSTITUTE(TRIM(Input!F1335&amp;""),"%","")),0)&lt;1),1,100))</f>
        <v/>
      </c>
      <c r="F1335" t="str">
        <f>IF(A1335="","",IFERROR(VALUE(SUBSTITUTE(TRIM(Input!G1335&amp;""),"%","")),0)/IF(AND(IFERROR(VALUE(SUBSTITUTE(TRIM(Input!G1335&amp;""),"%","")),0)&gt;0,IFERROR(VALUE(SUBSTITUTE(TRIM(Input!G1335&amp;""),"%","")),0)&lt;1),1,100))</f>
        <v/>
      </c>
      <c r="G1335" t="str">
        <f>IF(A1335="","",IFERROR(VALUE(SUBSTITUTE(TRIM(Input!H1335&amp;""),"%","")),0)/IF(AND(IFERROR(VALUE(SUBSTITUTE(TRIM(Input!H1335&amp;""),"%","")),0)&gt;0,IFERROR(VALUE(SUBSTITUTE(TRIM(Input!H1335&amp;""),"%","")),0)&lt;1),1,100))</f>
        <v/>
      </c>
      <c r="H1335" t="str">
        <f>IF(A1335="","",IFERROR(VALUE(SUBSTITUTE(TRIM(Input!I1335&amp;""),"%","")),0)/IF(AND(IFERROR(VALUE(SUBSTITUTE(TRIM(Input!I1335&amp;""),"%","")),0)&gt;0,IFERROR(VALUE(SUBSTITUTE(TRIM(Input!I1335&amp;""),"%","")),0)&lt;1),1,100))</f>
        <v/>
      </c>
    </row>
    <row r="1336" spans="1:8">
      <c r="A1336" t="str">
        <f>IF(TRIM(Input!B1336&amp;"")="","",UPPER(TRIM(Input!B1336&amp;"")))</f>
        <v/>
      </c>
      <c r="B1336" t="str">
        <f>IF(A1336="","",IFERROR(VALUE(RIGHT(TRIM(Input!D1336&amp;""),1)),0))</f>
        <v/>
      </c>
      <c r="C1336" t="str">
        <f t="shared" si="20"/>
        <v/>
      </c>
      <c r="D1336" t="str">
        <f>IF(A1336="","",IFERROR(VALUE(SUBSTITUTE(TRIM(Input!E1336&amp;""),"%","")),0)/IF(AND(IFERROR(VALUE(SUBSTITUTE(TRIM(Input!E1336&amp;""),"%","")),0)&gt;0,IFERROR(VALUE(SUBSTITUTE(TRIM(Input!E1336&amp;""),"%","")),0)&lt;1),1,100))</f>
        <v/>
      </c>
      <c r="E1336" t="str">
        <f>IF(A1336="","",IFERROR(VALUE(SUBSTITUTE(TRIM(Input!F1336&amp;""),"%","")),0)/IF(AND(IFERROR(VALUE(SUBSTITUTE(TRIM(Input!F1336&amp;""),"%","")),0)&gt;0,IFERROR(VALUE(SUBSTITUTE(TRIM(Input!F1336&amp;""),"%","")),0)&lt;1),1,100))</f>
        <v/>
      </c>
      <c r="F1336" t="str">
        <f>IF(A1336="","",IFERROR(VALUE(SUBSTITUTE(TRIM(Input!G1336&amp;""),"%","")),0)/IF(AND(IFERROR(VALUE(SUBSTITUTE(TRIM(Input!G1336&amp;""),"%","")),0)&gt;0,IFERROR(VALUE(SUBSTITUTE(TRIM(Input!G1336&amp;""),"%","")),0)&lt;1),1,100))</f>
        <v/>
      </c>
      <c r="G1336" t="str">
        <f>IF(A1336="","",IFERROR(VALUE(SUBSTITUTE(TRIM(Input!H1336&amp;""),"%","")),0)/IF(AND(IFERROR(VALUE(SUBSTITUTE(TRIM(Input!H1336&amp;""),"%","")),0)&gt;0,IFERROR(VALUE(SUBSTITUTE(TRIM(Input!H1336&amp;""),"%","")),0)&lt;1),1,100))</f>
        <v/>
      </c>
      <c r="H1336" t="str">
        <f>IF(A1336="","",IFERROR(VALUE(SUBSTITUTE(TRIM(Input!I1336&amp;""),"%","")),0)/IF(AND(IFERROR(VALUE(SUBSTITUTE(TRIM(Input!I1336&amp;""),"%","")),0)&gt;0,IFERROR(VALUE(SUBSTITUTE(TRIM(Input!I1336&amp;""),"%","")),0)&lt;1),1,100))</f>
        <v/>
      </c>
    </row>
    <row r="1337" spans="1:8">
      <c r="A1337" t="str">
        <f>IF(TRIM(Input!B1337&amp;"")="","",UPPER(TRIM(Input!B1337&amp;"")))</f>
        <v/>
      </c>
      <c r="B1337" t="str">
        <f>IF(A1337="","",IFERROR(VALUE(RIGHT(TRIM(Input!D1337&amp;""),1)),0))</f>
        <v/>
      </c>
      <c r="C1337" t="str">
        <f t="shared" si="20"/>
        <v/>
      </c>
      <c r="D1337" t="str">
        <f>IF(A1337="","",IFERROR(VALUE(SUBSTITUTE(TRIM(Input!E1337&amp;""),"%","")),0)/IF(AND(IFERROR(VALUE(SUBSTITUTE(TRIM(Input!E1337&amp;""),"%","")),0)&gt;0,IFERROR(VALUE(SUBSTITUTE(TRIM(Input!E1337&amp;""),"%","")),0)&lt;1),1,100))</f>
        <v/>
      </c>
      <c r="E1337" t="str">
        <f>IF(A1337="","",IFERROR(VALUE(SUBSTITUTE(TRIM(Input!F1337&amp;""),"%","")),0)/IF(AND(IFERROR(VALUE(SUBSTITUTE(TRIM(Input!F1337&amp;""),"%","")),0)&gt;0,IFERROR(VALUE(SUBSTITUTE(TRIM(Input!F1337&amp;""),"%","")),0)&lt;1),1,100))</f>
        <v/>
      </c>
      <c r="F1337" t="str">
        <f>IF(A1337="","",IFERROR(VALUE(SUBSTITUTE(TRIM(Input!G1337&amp;""),"%","")),0)/IF(AND(IFERROR(VALUE(SUBSTITUTE(TRIM(Input!G1337&amp;""),"%","")),0)&gt;0,IFERROR(VALUE(SUBSTITUTE(TRIM(Input!G1337&amp;""),"%","")),0)&lt;1),1,100))</f>
        <v/>
      </c>
      <c r="G1337" t="str">
        <f>IF(A1337="","",IFERROR(VALUE(SUBSTITUTE(TRIM(Input!H1337&amp;""),"%","")),0)/IF(AND(IFERROR(VALUE(SUBSTITUTE(TRIM(Input!H1337&amp;""),"%","")),0)&gt;0,IFERROR(VALUE(SUBSTITUTE(TRIM(Input!H1337&amp;""),"%","")),0)&lt;1),1,100))</f>
        <v/>
      </c>
      <c r="H1337" t="str">
        <f>IF(A1337="","",IFERROR(VALUE(SUBSTITUTE(TRIM(Input!I1337&amp;""),"%","")),0)/IF(AND(IFERROR(VALUE(SUBSTITUTE(TRIM(Input!I1337&amp;""),"%","")),0)&gt;0,IFERROR(VALUE(SUBSTITUTE(TRIM(Input!I1337&amp;""),"%","")),0)&lt;1),1,100))</f>
        <v/>
      </c>
    </row>
    <row r="1338" spans="1:8">
      <c r="A1338" t="str">
        <f>IF(TRIM(Input!B1338&amp;"")="","",UPPER(TRIM(Input!B1338&amp;"")))</f>
        <v/>
      </c>
      <c r="B1338" t="str">
        <f>IF(A1338="","",IFERROR(VALUE(RIGHT(TRIM(Input!D1338&amp;""),1)),0))</f>
        <v/>
      </c>
      <c r="C1338" t="str">
        <f t="shared" si="20"/>
        <v/>
      </c>
      <c r="D1338" t="str">
        <f>IF(A1338="","",IFERROR(VALUE(SUBSTITUTE(TRIM(Input!E1338&amp;""),"%","")),0)/IF(AND(IFERROR(VALUE(SUBSTITUTE(TRIM(Input!E1338&amp;""),"%","")),0)&gt;0,IFERROR(VALUE(SUBSTITUTE(TRIM(Input!E1338&amp;""),"%","")),0)&lt;1),1,100))</f>
        <v/>
      </c>
      <c r="E1338" t="str">
        <f>IF(A1338="","",IFERROR(VALUE(SUBSTITUTE(TRIM(Input!F1338&amp;""),"%","")),0)/IF(AND(IFERROR(VALUE(SUBSTITUTE(TRIM(Input!F1338&amp;""),"%","")),0)&gt;0,IFERROR(VALUE(SUBSTITUTE(TRIM(Input!F1338&amp;""),"%","")),0)&lt;1),1,100))</f>
        <v/>
      </c>
      <c r="F1338" t="str">
        <f>IF(A1338="","",IFERROR(VALUE(SUBSTITUTE(TRIM(Input!G1338&amp;""),"%","")),0)/IF(AND(IFERROR(VALUE(SUBSTITUTE(TRIM(Input!G1338&amp;""),"%","")),0)&gt;0,IFERROR(VALUE(SUBSTITUTE(TRIM(Input!G1338&amp;""),"%","")),0)&lt;1),1,100))</f>
        <v/>
      </c>
      <c r="G1338" t="str">
        <f>IF(A1338="","",IFERROR(VALUE(SUBSTITUTE(TRIM(Input!H1338&amp;""),"%","")),0)/IF(AND(IFERROR(VALUE(SUBSTITUTE(TRIM(Input!H1338&amp;""),"%","")),0)&gt;0,IFERROR(VALUE(SUBSTITUTE(TRIM(Input!H1338&amp;""),"%","")),0)&lt;1),1,100))</f>
        <v/>
      </c>
      <c r="H1338" t="str">
        <f>IF(A1338="","",IFERROR(VALUE(SUBSTITUTE(TRIM(Input!I1338&amp;""),"%","")),0)/IF(AND(IFERROR(VALUE(SUBSTITUTE(TRIM(Input!I1338&amp;""),"%","")),0)&gt;0,IFERROR(VALUE(SUBSTITUTE(TRIM(Input!I1338&amp;""),"%","")),0)&lt;1),1,100))</f>
        <v/>
      </c>
    </row>
    <row r="1339" spans="1:8">
      <c r="A1339" t="str">
        <f>IF(TRIM(Input!B1339&amp;"")="","",UPPER(TRIM(Input!B1339&amp;"")))</f>
        <v/>
      </c>
      <c r="B1339" t="str">
        <f>IF(A1339="","",IFERROR(VALUE(RIGHT(TRIM(Input!D1339&amp;""),1)),0))</f>
        <v/>
      </c>
      <c r="C1339" t="str">
        <f t="shared" si="20"/>
        <v/>
      </c>
      <c r="D1339" t="str">
        <f>IF(A1339="","",IFERROR(VALUE(SUBSTITUTE(TRIM(Input!E1339&amp;""),"%","")),0)/IF(AND(IFERROR(VALUE(SUBSTITUTE(TRIM(Input!E1339&amp;""),"%","")),0)&gt;0,IFERROR(VALUE(SUBSTITUTE(TRIM(Input!E1339&amp;""),"%","")),0)&lt;1),1,100))</f>
        <v/>
      </c>
      <c r="E1339" t="str">
        <f>IF(A1339="","",IFERROR(VALUE(SUBSTITUTE(TRIM(Input!F1339&amp;""),"%","")),0)/IF(AND(IFERROR(VALUE(SUBSTITUTE(TRIM(Input!F1339&amp;""),"%","")),0)&gt;0,IFERROR(VALUE(SUBSTITUTE(TRIM(Input!F1339&amp;""),"%","")),0)&lt;1),1,100))</f>
        <v/>
      </c>
      <c r="F1339" t="str">
        <f>IF(A1339="","",IFERROR(VALUE(SUBSTITUTE(TRIM(Input!G1339&amp;""),"%","")),0)/IF(AND(IFERROR(VALUE(SUBSTITUTE(TRIM(Input!G1339&amp;""),"%","")),0)&gt;0,IFERROR(VALUE(SUBSTITUTE(TRIM(Input!G1339&amp;""),"%","")),0)&lt;1),1,100))</f>
        <v/>
      </c>
      <c r="G1339" t="str">
        <f>IF(A1339="","",IFERROR(VALUE(SUBSTITUTE(TRIM(Input!H1339&amp;""),"%","")),0)/IF(AND(IFERROR(VALUE(SUBSTITUTE(TRIM(Input!H1339&amp;""),"%","")),0)&gt;0,IFERROR(VALUE(SUBSTITUTE(TRIM(Input!H1339&amp;""),"%","")),0)&lt;1),1,100))</f>
        <v/>
      </c>
      <c r="H1339" t="str">
        <f>IF(A1339="","",IFERROR(VALUE(SUBSTITUTE(TRIM(Input!I1339&amp;""),"%","")),0)/IF(AND(IFERROR(VALUE(SUBSTITUTE(TRIM(Input!I1339&amp;""),"%","")),0)&gt;0,IFERROR(VALUE(SUBSTITUTE(TRIM(Input!I1339&amp;""),"%","")),0)&lt;1),1,100))</f>
        <v/>
      </c>
    </row>
    <row r="1340" spans="1:8">
      <c r="A1340" t="str">
        <f>IF(TRIM(Input!B1340&amp;"")="","",UPPER(TRIM(Input!B1340&amp;"")))</f>
        <v/>
      </c>
      <c r="B1340" t="str">
        <f>IF(A1340="","",IFERROR(VALUE(RIGHT(TRIM(Input!D1340&amp;""),1)),0))</f>
        <v/>
      </c>
      <c r="C1340" t="str">
        <f t="shared" si="20"/>
        <v/>
      </c>
      <c r="D1340" t="str">
        <f>IF(A1340="","",IFERROR(VALUE(SUBSTITUTE(TRIM(Input!E1340&amp;""),"%","")),0)/IF(AND(IFERROR(VALUE(SUBSTITUTE(TRIM(Input!E1340&amp;""),"%","")),0)&gt;0,IFERROR(VALUE(SUBSTITUTE(TRIM(Input!E1340&amp;""),"%","")),0)&lt;1),1,100))</f>
        <v/>
      </c>
      <c r="E1340" t="str">
        <f>IF(A1340="","",IFERROR(VALUE(SUBSTITUTE(TRIM(Input!F1340&amp;""),"%","")),0)/IF(AND(IFERROR(VALUE(SUBSTITUTE(TRIM(Input!F1340&amp;""),"%","")),0)&gt;0,IFERROR(VALUE(SUBSTITUTE(TRIM(Input!F1340&amp;""),"%","")),0)&lt;1),1,100))</f>
        <v/>
      </c>
      <c r="F1340" t="str">
        <f>IF(A1340="","",IFERROR(VALUE(SUBSTITUTE(TRIM(Input!G1340&amp;""),"%","")),0)/IF(AND(IFERROR(VALUE(SUBSTITUTE(TRIM(Input!G1340&amp;""),"%","")),0)&gt;0,IFERROR(VALUE(SUBSTITUTE(TRIM(Input!G1340&amp;""),"%","")),0)&lt;1),1,100))</f>
        <v/>
      </c>
      <c r="G1340" t="str">
        <f>IF(A1340="","",IFERROR(VALUE(SUBSTITUTE(TRIM(Input!H1340&amp;""),"%","")),0)/IF(AND(IFERROR(VALUE(SUBSTITUTE(TRIM(Input!H1340&amp;""),"%","")),0)&gt;0,IFERROR(VALUE(SUBSTITUTE(TRIM(Input!H1340&amp;""),"%","")),0)&lt;1),1,100))</f>
        <v/>
      </c>
      <c r="H1340" t="str">
        <f>IF(A1340="","",IFERROR(VALUE(SUBSTITUTE(TRIM(Input!I1340&amp;""),"%","")),0)/IF(AND(IFERROR(VALUE(SUBSTITUTE(TRIM(Input!I1340&amp;""),"%","")),0)&gt;0,IFERROR(VALUE(SUBSTITUTE(TRIM(Input!I1340&amp;""),"%","")),0)&lt;1),1,100))</f>
        <v/>
      </c>
    </row>
    <row r="1341" spans="1:8">
      <c r="A1341" t="str">
        <f>IF(TRIM(Input!B1341&amp;"")="","",UPPER(TRIM(Input!B1341&amp;"")))</f>
        <v/>
      </c>
      <c r="B1341" t="str">
        <f>IF(A1341="","",IFERROR(VALUE(RIGHT(TRIM(Input!D1341&amp;""),1)),0))</f>
        <v/>
      </c>
      <c r="C1341" t="str">
        <f t="shared" si="20"/>
        <v/>
      </c>
      <c r="D1341" t="str">
        <f>IF(A1341="","",IFERROR(VALUE(SUBSTITUTE(TRIM(Input!E1341&amp;""),"%","")),0)/IF(AND(IFERROR(VALUE(SUBSTITUTE(TRIM(Input!E1341&amp;""),"%","")),0)&gt;0,IFERROR(VALUE(SUBSTITUTE(TRIM(Input!E1341&amp;""),"%","")),0)&lt;1),1,100))</f>
        <v/>
      </c>
      <c r="E1341" t="str">
        <f>IF(A1341="","",IFERROR(VALUE(SUBSTITUTE(TRIM(Input!F1341&amp;""),"%","")),0)/IF(AND(IFERROR(VALUE(SUBSTITUTE(TRIM(Input!F1341&amp;""),"%","")),0)&gt;0,IFERROR(VALUE(SUBSTITUTE(TRIM(Input!F1341&amp;""),"%","")),0)&lt;1),1,100))</f>
        <v/>
      </c>
      <c r="F1341" t="str">
        <f>IF(A1341="","",IFERROR(VALUE(SUBSTITUTE(TRIM(Input!G1341&amp;""),"%","")),0)/IF(AND(IFERROR(VALUE(SUBSTITUTE(TRIM(Input!G1341&amp;""),"%","")),0)&gt;0,IFERROR(VALUE(SUBSTITUTE(TRIM(Input!G1341&amp;""),"%","")),0)&lt;1),1,100))</f>
        <v/>
      </c>
      <c r="G1341" t="str">
        <f>IF(A1341="","",IFERROR(VALUE(SUBSTITUTE(TRIM(Input!H1341&amp;""),"%","")),0)/IF(AND(IFERROR(VALUE(SUBSTITUTE(TRIM(Input!H1341&amp;""),"%","")),0)&gt;0,IFERROR(VALUE(SUBSTITUTE(TRIM(Input!H1341&amp;""),"%","")),0)&lt;1),1,100))</f>
        <v/>
      </c>
      <c r="H1341" t="str">
        <f>IF(A1341="","",IFERROR(VALUE(SUBSTITUTE(TRIM(Input!I1341&amp;""),"%","")),0)/IF(AND(IFERROR(VALUE(SUBSTITUTE(TRIM(Input!I1341&amp;""),"%","")),0)&gt;0,IFERROR(VALUE(SUBSTITUTE(TRIM(Input!I1341&amp;""),"%","")),0)&lt;1),1,100))</f>
        <v/>
      </c>
    </row>
    <row r="1342" spans="1:8">
      <c r="A1342" t="str">
        <f>IF(TRIM(Input!B1342&amp;"")="","",UPPER(TRIM(Input!B1342&amp;"")))</f>
        <v/>
      </c>
      <c r="B1342" t="str">
        <f>IF(A1342="","",IFERROR(VALUE(RIGHT(TRIM(Input!D1342&amp;""),1)),0))</f>
        <v/>
      </c>
      <c r="C1342" t="str">
        <f t="shared" si="20"/>
        <v/>
      </c>
      <c r="D1342" t="str">
        <f>IF(A1342="","",IFERROR(VALUE(SUBSTITUTE(TRIM(Input!E1342&amp;""),"%","")),0)/IF(AND(IFERROR(VALUE(SUBSTITUTE(TRIM(Input!E1342&amp;""),"%","")),0)&gt;0,IFERROR(VALUE(SUBSTITUTE(TRIM(Input!E1342&amp;""),"%","")),0)&lt;1),1,100))</f>
        <v/>
      </c>
      <c r="E1342" t="str">
        <f>IF(A1342="","",IFERROR(VALUE(SUBSTITUTE(TRIM(Input!F1342&amp;""),"%","")),0)/IF(AND(IFERROR(VALUE(SUBSTITUTE(TRIM(Input!F1342&amp;""),"%","")),0)&gt;0,IFERROR(VALUE(SUBSTITUTE(TRIM(Input!F1342&amp;""),"%","")),0)&lt;1),1,100))</f>
        <v/>
      </c>
      <c r="F1342" t="str">
        <f>IF(A1342="","",IFERROR(VALUE(SUBSTITUTE(TRIM(Input!G1342&amp;""),"%","")),0)/IF(AND(IFERROR(VALUE(SUBSTITUTE(TRIM(Input!G1342&amp;""),"%","")),0)&gt;0,IFERROR(VALUE(SUBSTITUTE(TRIM(Input!G1342&amp;""),"%","")),0)&lt;1),1,100))</f>
        <v/>
      </c>
      <c r="G1342" t="str">
        <f>IF(A1342="","",IFERROR(VALUE(SUBSTITUTE(TRIM(Input!H1342&amp;""),"%","")),0)/IF(AND(IFERROR(VALUE(SUBSTITUTE(TRIM(Input!H1342&amp;""),"%","")),0)&gt;0,IFERROR(VALUE(SUBSTITUTE(TRIM(Input!H1342&amp;""),"%","")),0)&lt;1),1,100))</f>
        <v/>
      </c>
      <c r="H1342" t="str">
        <f>IF(A1342="","",IFERROR(VALUE(SUBSTITUTE(TRIM(Input!I1342&amp;""),"%","")),0)/IF(AND(IFERROR(VALUE(SUBSTITUTE(TRIM(Input!I1342&amp;""),"%","")),0)&gt;0,IFERROR(VALUE(SUBSTITUTE(TRIM(Input!I1342&amp;""),"%","")),0)&lt;1),1,100))</f>
        <v/>
      </c>
    </row>
    <row r="1343" spans="1:8">
      <c r="A1343" t="str">
        <f>IF(TRIM(Input!B1343&amp;"")="","",UPPER(TRIM(Input!B1343&amp;"")))</f>
        <v/>
      </c>
      <c r="B1343" t="str">
        <f>IF(A1343="","",IFERROR(VALUE(RIGHT(TRIM(Input!D1343&amp;""),1)),0))</f>
        <v/>
      </c>
      <c r="C1343" t="str">
        <f t="shared" si="20"/>
        <v/>
      </c>
      <c r="D1343" t="str">
        <f>IF(A1343="","",IFERROR(VALUE(SUBSTITUTE(TRIM(Input!E1343&amp;""),"%","")),0)/IF(AND(IFERROR(VALUE(SUBSTITUTE(TRIM(Input!E1343&amp;""),"%","")),0)&gt;0,IFERROR(VALUE(SUBSTITUTE(TRIM(Input!E1343&amp;""),"%","")),0)&lt;1),1,100))</f>
        <v/>
      </c>
      <c r="E1343" t="str">
        <f>IF(A1343="","",IFERROR(VALUE(SUBSTITUTE(TRIM(Input!F1343&amp;""),"%","")),0)/IF(AND(IFERROR(VALUE(SUBSTITUTE(TRIM(Input!F1343&amp;""),"%","")),0)&gt;0,IFERROR(VALUE(SUBSTITUTE(TRIM(Input!F1343&amp;""),"%","")),0)&lt;1),1,100))</f>
        <v/>
      </c>
      <c r="F1343" t="str">
        <f>IF(A1343="","",IFERROR(VALUE(SUBSTITUTE(TRIM(Input!G1343&amp;""),"%","")),0)/IF(AND(IFERROR(VALUE(SUBSTITUTE(TRIM(Input!G1343&amp;""),"%","")),0)&gt;0,IFERROR(VALUE(SUBSTITUTE(TRIM(Input!G1343&amp;""),"%","")),0)&lt;1),1,100))</f>
        <v/>
      </c>
      <c r="G1343" t="str">
        <f>IF(A1343="","",IFERROR(VALUE(SUBSTITUTE(TRIM(Input!H1343&amp;""),"%","")),0)/IF(AND(IFERROR(VALUE(SUBSTITUTE(TRIM(Input!H1343&amp;""),"%","")),0)&gt;0,IFERROR(VALUE(SUBSTITUTE(TRIM(Input!H1343&amp;""),"%","")),0)&lt;1),1,100))</f>
        <v/>
      </c>
      <c r="H1343" t="str">
        <f>IF(A1343="","",IFERROR(VALUE(SUBSTITUTE(TRIM(Input!I1343&amp;""),"%","")),0)/IF(AND(IFERROR(VALUE(SUBSTITUTE(TRIM(Input!I1343&amp;""),"%","")),0)&gt;0,IFERROR(VALUE(SUBSTITUTE(TRIM(Input!I1343&amp;""),"%","")),0)&lt;1),1,100))</f>
        <v/>
      </c>
    </row>
    <row r="1344" spans="1:8">
      <c r="A1344" t="str">
        <f>IF(TRIM(Input!B1344&amp;"")="","",UPPER(TRIM(Input!B1344&amp;"")))</f>
        <v/>
      </c>
      <c r="B1344" t="str">
        <f>IF(A1344="","",IFERROR(VALUE(RIGHT(TRIM(Input!D1344&amp;""),1)),0))</f>
        <v/>
      </c>
      <c r="C1344" t="str">
        <f t="shared" si="20"/>
        <v/>
      </c>
      <c r="D1344" t="str">
        <f>IF(A1344="","",IFERROR(VALUE(SUBSTITUTE(TRIM(Input!E1344&amp;""),"%","")),0)/IF(AND(IFERROR(VALUE(SUBSTITUTE(TRIM(Input!E1344&amp;""),"%","")),0)&gt;0,IFERROR(VALUE(SUBSTITUTE(TRIM(Input!E1344&amp;""),"%","")),0)&lt;1),1,100))</f>
        <v/>
      </c>
      <c r="E1344" t="str">
        <f>IF(A1344="","",IFERROR(VALUE(SUBSTITUTE(TRIM(Input!F1344&amp;""),"%","")),0)/IF(AND(IFERROR(VALUE(SUBSTITUTE(TRIM(Input!F1344&amp;""),"%","")),0)&gt;0,IFERROR(VALUE(SUBSTITUTE(TRIM(Input!F1344&amp;""),"%","")),0)&lt;1),1,100))</f>
        <v/>
      </c>
      <c r="F1344" t="str">
        <f>IF(A1344="","",IFERROR(VALUE(SUBSTITUTE(TRIM(Input!G1344&amp;""),"%","")),0)/IF(AND(IFERROR(VALUE(SUBSTITUTE(TRIM(Input!G1344&amp;""),"%","")),0)&gt;0,IFERROR(VALUE(SUBSTITUTE(TRIM(Input!G1344&amp;""),"%","")),0)&lt;1),1,100))</f>
        <v/>
      </c>
      <c r="G1344" t="str">
        <f>IF(A1344="","",IFERROR(VALUE(SUBSTITUTE(TRIM(Input!H1344&amp;""),"%","")),0)/IF(AND(IFERROR(VALUE(SUBSTITUTE(TRIM(Input!H1344&amp;""),"%","")),0)&gt;0,IFERROR(VALUE(SUBSTITUTE(TRIM(Input!H1344&amp;""),"%","")),0)&lt;1),1,100))</f>
        <v/>
      </c>
      <c r="H1344" t="str">
        <f>IF(A1344="","",IFERROR(VALUE(SUBSTITUTE(TRIM(Input!I1344&amp;""),"%","")),0)/IF(AND(IFERROR(VALUE(SUBSTITUTE(TRIM(Input!I1344&amp;""),"%","")),0)&gt;0,IFERROR(VALUE(SUBSTITUTE(TRIM(Input!I1344&amp;""),"%","")),0)&lt;1),1,100))</f>
        <v/>
      </c>
    </row>
    <row r="1345" spans="1:8">
      <c r="A1345" t="str">
        <f>IF(TRIM(Input!B1345&amp;"")="","",UPPER(TRIM(Input!B1345&amp;"")))</f>
        <v/>
      </c>
      <c r="B1345" t="str">
        <f>IF(A1345="","",IFERROR(VALUE(RIGHT(TRIM(Input!D1345&amp;""),1)),0))</f>
        <v/>
      </c>
      <c r="C1345" t="str">
        <f t="shared" si="20"/>
        <v/>
      </c>
      <c r="D1345" t="str">
        <f>IF(A1345="","",IFERROR(VALUE(SUBSTITUTE(TRIM(Input!E1345&amp;""),"%","")),0)/IF(AND(IFERROR(VALUE(SUBSTITUTE(TRIM(Input!E1345&amp;""),"%","")),0)&gt;0,IFERROR(VALUE(SUBSTITUTE(TRIM(Input!E1345&amp;""),"%","")),0)&lt;1),1,100))</f>
        <v/>
      </c>
      <c r="E1345" t="str">
        <f>IF(A1345="","",IFERROR(VALUE(SUBSTITUTE(TRIM(Input!F1345&amp;""),"%","")),0)/IF(AND(IFERROR(VALUE(SUBSTITUTE(TRIM(Input!F1345&amp;""),"%","")),0)&gt;0,IFERROR(VALUE(SUBSTITUTE(TRIM(Input!F1345&amp;""),"%","")),0)&lt;1),1,100))</f>
        <v/>
      </c>
      <c r="F1345" t="str">
        <f>IF(A1345="","",IFERROR(VALUE(SUBSTITUTE(TRIM(Input!G1345&amp;""),"%","")),0)/IF(AND(IFERROR(VALUE(SUBSTITUTE(TRIM(Input!G1345&amp;""),"%","")),0)&gt;0,IFERROR(VALUE(SUBSTITUTE(TRIM(Input!G1345&amp;""),"%","")),0)&lt;1),1,100))</f>
        <v/>
      </c>
      <c r="G1345" t="str">
        <f>IF(A1345="","",IFERROR(VALUE(SUBSTITUTE(TRIM(Input!H1345&amp;""),"%","")),0)/IF(AND(IFERROR(VALUE(SUBSTITUTE(TRIM(Input!H1345&amp;""),"%","")),0)&gt;0,IFERROR(VALUE(SUBSTITUTE(TRIM(Input!H1345&amp;""),"%","")),0)&lt;1),1,100))</f>
        <v/>
      </c>
      <c r="H1345" t="str">
        <f>IF(A1345="","",IFERROR(VALUE(SUBSTITUTE(TRIM(Input!I1345&amp;""),"%","")),0)/IF(AND(IFERROR(VALUE(SUBSTITUTE(TRIM(Input!I1345&amp;""),"%","")),0)&gt;0,IFERROR(VALUE(SUBSTITUTE(TRIM(Input!I1345&amp;""),"%","")),0)&lt;1),1,100))</f>
        <v/>
      </c>
    </row>
    <row r="1346" spans="1:8">
      <c r="A1346" t="str">
        <f>IF(TRIM(Input!B1346&amp;"")="","",UPPER(TRIM(Input!B1346&amp;"")))</f>
        <v/>
      </c>
      <c r="B1346" t="str">
        <f>IF(A1346="","",IFERROR(VALUE(RIGHT(TRIM(Input!D1346&amp;""),1)),0))</f>
        <v/>
      </c>
      <c r="C1346" t="str">
        <f t="shared" ref="C1346:C1409" si="21">IF(A1346="","",A1346&amp;"|"&amp;B1346)</f>
        <v/>
      </c>
      <c r="D1346" t="str">
        <f>IF(A1346="","",IFERROR(VALUE(SUBSTITUTE(TRIM(Input!E1346&amp;""),"%","")),0)/IF(AND(IFERROR(VALUE(SUBSTITUTE(TRIM(Input!E1346&amp;""),"%","")),0)&gt;0,IFERROR(VALUE(SUBSTITUTE(TRIM(Input!E1346&amp;""),"%","")),0)&lt;1),1,100))</f>
        <v/>
      </c>
      <c r="E1346" t="str">
        <f>IF(A1346="","",IFERROR(VALUE(SUBSTITUTE(TRIM(Input!F1346&amp;""),"%","")),0)/IF(AND(IFERROR(VALUE(SUBSTITUTE(TRIM(Input!F1346&amp;""),"%","")),0)&gt;0,IFERROR(VALUE(SUBSTITUTE(TRIM(Input!F1346&amp;""),"%","")),0)&lt;1),1,100))</f>
        <v/>
      </c>
      <c r="F1346" t="str">
        <f>IF(A1346="","",IFERROR(VALUE(SUBSTITUTE(TRIM(Input!G1346&amp;""),"%","")),0)/IF(AND(IFERROR(VALUE(SUBSTITUTE(TRIM(Input!G1346&amp;""),"%","")),0)&gt;0,IFERROR(VALUE(SUBSTITUTE(TRIM(Input!G1346&amp;""),"%","")),0)&lt;1),1,100))</f>
        <v/>
      </c>
      <c r="G1346" t="str">
        <f>IF(A1346="","",IFERROR(VALUE(SUBSTITUTE(TRIM(Input!H1346&amp;""),"%","")),0)/IF(AND(IFERROR(VALUE(SUBSTITUTE(TRIM(Input!H1346&amp;""),"%","")),0)&gt;0,IFERROR(VALUE(SUBSTITUTE(TRIM(Input!H1346&amp;""),"%","")),0)&lt;1),1,100))</f>
        <v/>
      </c>
      <c r="H1346" t="str">
        <f>IF(A1346="","",IFERROR(VALUE(SUBSTITUTE(TRIM(Input!I1346&amp;""),"%","")),0)/IF(AND(IFERROR(VALUE(SUBSTITUTE(TRIM(Input!I1346&amp;""),"%","")),0)&gt;0,IFERROR(VALUE(SUBSTITUTE(TRIM(Input!I1346&amp;""),"%","")),0)&lt;1),1,100))</f>
        <v/>
      </c>
    </row>
    <row r="1347" spans="1:8">
      <c r="A1347" t="str">
        <f>IF(TRIM(Input!B1347&amp;"")="","",UPPER(TRIM(Input!B1347&amp;"")))</f>
        <v/>
      </c>
      <c r="B1347" t="str">
        <f>IF(A1347="","",IFERROR(VALUE(RIGHT(TRIM(Input!D1347&amp;""),1)),0))</f>
        <v/>
      </c>
      <c r="C1347" t="str">
        <f t="shared" si="21"/>
        <v/>
      </c>
      <c r="D1347" t="str">
        <f>IF(A1347="","",IFERROR(VALUE(SUBSTITUTE(TRIM(Input!E1347&amp;""),"%","")),0)/IF(AND(IFERROR(VALUE(SUBSTITUTE(TRIM(Input!E1347&amp;""),"%","")),0)&gt;0,IFERROR(VALUE(SUBSTITUTE(TRIM(Input!E1347&amp;""),"%","")),0)&lt;1),1,100))</f>
        <v/>
      </c>
      <c r="E1347" t="str">
        <f>IF(A1347="","",IFERROR(VALUE(SUBSTITUTE(TRIM(Input!F1347&amp;""),"%","")),0)/IF(AND(IFERROR(VALUE(SUBSTITUTE(TRIM(Input!F1347&amp;""),"%","")),0)&gt;0,IFERROR(VALUE(SUBSTITUTE(TRIM(Input!F1347&amp;""),"%","")),0)&lt;1),1,100))</f>
        <v/>
      </c>
      <c r="F1347" t="str">
        <f>IF(A1347="","",IFERROR(VALUE(SUBSTITUTE(TRIM(Input!G1347&amp;""),"%","")),0)/IF(AND(IFERROR(VALUE(SUBSTITUTE(TRIM(Input!G1347&amp;""),"%","")),0)&gt;0,IFERROR(VALUE(SUBSTITUTE(TRIM(Input!G1347&amp;""),"%","")),0)&lt;1),1,100))</f>
        <v/>
      </c>
      <c r="G1347" t="str">
        <f>IF(A1347="","",IFERROR(VALUE(SUBSTITUTE(TRIM(Input!H1347&amp;""),"%","")),0)/IF(AND(IFERROR(VALUE(SUBSTITUTE(TRIM(Input!H1347&amp;""),"%","")),0)&gt;0,IFERROR(VALUE(SUBSTITUTE(TRIM(Input!H1347&amp;""),"%","")),0)&lt;1),1,100))</f>
        <v/>
      </c>
      <c r="H1347" t="str">
        <f>IF(A1347="","",IFERROR(VALUE(SUBSTITUTE(TRIM(Input!I1347&amp;""),"%","")),0)/IF(AND(IFERROR(VALUE(SUBSTITUTE(TRIM(Input!I1347&amp;""),"%","")),0)&gt;0,IFERROR(VALUE(SUBSTITUTE(TRIM(Input!I1347&amp;""),"%","")),0)&lt;1),1,100))</f>
        <v/>
      </c>
    </row>
    <row r="1348" spans="1:8">
      <c r="A1348" t="str">
        <f>IF(TRIM(Input!B1348&amp;"")="","",UPPER(TRIM(Input!B1348&amp;"")))</f>
        <v/>
      </c>
      <c r="B1348" t="str">
        <f>IF(A1348="","",IFERROR(VALUE(RIGHT(TRIM(Input!D1348&amp;""),1)),0))</f>
        <v/>
      </c>
      <c r="C1348" t="str">
        <f t="shared" si="21"/>
        <v/>
      </c>
      <c r="D1348" t="str">
        <f>IF(A1348="","",IFERROR(VALUE(SUBSTITUTE(TRIM(Input!E1348&amp;""),"%","")),0)/IF(AND(IFERROR(VALUE(SUBSTITUTE(TRIM(Input!E1348&amp;""),"%","")),0)&gt;0,IFERROR(VALUE(SUBSTITUTE(TRIM(Input!E1348&amp;""),"%","")),0)&lt;1),1,100))</f>
        <v/>
      </c>
      <c r="E1348" t="str">
        <f>IF(A1348="","",IFERROR(VALUE(SUBSTITUTE(TRIM(Input!F1348&amp;""),"%","")),0)/IF(AND(IFERROR(VALUE(SUBSTITUTE(TRIM(Input!F1348&amp;""),"%","")),0)&gt;0,IFERROR(VALUE(SUBSTITUTE(TRIM(Input!F1348&amp;""),"%","")),0)&lt;1),1,100))</f>
        <v/>
      </c>
      <c r="F1348" t="str">
        <f>IF(A1348="","",IFERROR(VALUE(SUBSTITUTE(TRIM(Input!G1348&amp;""),"%","")),0)/IF(AND(IFERROR(VALUE(SUBSTITUTE(TRIM(Input!G1348&amp;""),"%","")),0)&gt;0,IFERROR(VALUE(SUBSTITUTE(TRIM(Input!G1348&amp;""),"%","")),0)&lt;1),1,100))</f>
        <v/>
      </c>
      <c r="G1348" t="str">
        <f>IF(A1348="","",IFERROR(VALUE(SUBSTITUTE(TRIM(Input!H1348&amp;""),"%","")),0)/IF(AND(IFERROR(VALUE(SUBSTITUTE(TRIM(Input!H1348&amp;""),"%","")),0)&gt;0,IFERROR(VALUE(SUBSTITUTE(TRIM(Input!H1348&amp;""),"%","")),0)&lt;1),1,100))</f>
        <v/>
      </c>
      <c r="H1348" t="str">
        <f>IF(A1348="","",IFERROR(VALUE(SUBSTITUTE(TRIM(Input!I1348&amp;""),"%","")),0)/IF(AND(IFERROR(VALUE(SUBSTITUTE(TRIM(Input!I1348&amp;""),"%","")),0)&gt;0,IFERROR(VALUE(SUBSTITUTE(TRIM(Input!I1348&amp;""),"%","")),0)&lt;1),1,100))</f>
        <v/>
      </c>
    </row>
    <row r="1349" spans="1:8">
      <c r="A1349" t="str">
        <f>IF(TRIM(Input!B1349&amp;"")="","",UPPER(TRIM(Input!B1349&amp;"")))</f>
        <v/>
      </c>
      <c r="B1349" t="str">
        <f>IF(A1349="","",IFERROR(VALUE(RIGHT(TRIM(Input!D1349&amp;""),1)),0))</f>
        <v/>
      </c>
      <c r="C1349" t="str">
        <f t="shared" si="21"/>
        <v/>
      </c>
      <c r="D1349" t="str">
        <f>IF(A1349="","",IFERROR(VALUE(SUBSTITUTE(TRIM(Input!E1349&amp;""),"%","")),0)/IF(AND(IFERROR(VALUE(SUBSTITUTE(TRIM(Input!E1349&amp;""),"%","")),0)&gt;0,IFERROR(VALUE(SUBSTITUTE(TRIM(Input!E1349&amp;""),"%","")),0)&lt;1),1,100))</f>
        <v/>
      </c>
      <c r="E1349" t="str">
        <f>IF(A1349="","",IFERROR(VALUE(SUBSTITUTE(TRIM(Input!F1349&amp;""),"%","")),0)/IF(AND(IFERROR(VALUE(SUBSTITUTE(TRIM(Input!F1349&amp;""),"%","")),0)&gt;0,IFERROR(VALUE(SUBSTITUTE(TRIM(Input!F1349&amp;""),"%","")),0)&lt;1),1,100))</f>
        <v/>
      </c>
      <c r="F1349" t="str">
        <f>IF(A1349="","",IFERROR(VALUE(SUBSTITUTE(TRIM(Input!G1349&amp;""),"%","")),0)/IF(AND(IFERROR(VALUE(SUBSTITUTE(TRIM(Input!G1349&amp;""),"%","")),0)&gt;0,IFERROR(VALUE(SUBSTITUTE(TRIM(Input!G1349&amp;""),"%","")),0)&lt;1),1,100))</f>
        <v/>
      </c>
      <c r="G1349" t="str">
        <f>IF(A1349="","",IFERROR(VALUE(SUBSTITUTE(TRIM(Input!H1349&amp;""),"%","")),0)/IF(AND(IFERROR(VALUE(SUBSTITUTE(TRIM(Input!H1349&amp;""),"%","")),0)&gt;0,IFERROR(VALUE(SUBSTITUTE(TRIM(Input!H1349&amp;""),"%","")),0)&lt;1),1,100))</f>
        <v/>
      </c>
      <c r="H1349" t="str">
        <f>IF(A1349="","",IFERROR(VALUE(SUBSTITUTE(TRIM(Input!I1349&amp;""),"%","")),0)/IF(AND(IFERROR(VALUE(SUBSTITUTE(TRIM(Input!I1349&amp;""),"%","")),0)&gt;0,IFERROR(VALUE(SUBSTITUTE(TRIM(Input!I1349&amp;""),"%","")),0)&lt;1),1,100))</f>
        <v/>
      </c>
    </row>
    <row r="1350" spans="1:8">
      <c r="A1350" t="str">
        <f>IF(TRIM(Input!B1350&amp;"")="","",UPPER(TRIM(Input!B1350&amp;"")))</f>
        <v/>
      </c>
      <c r="B1350" t="str">
        <f>IF(A1350="","",IFERROR(VALUE(RIGHT(TRIM(Input!D1350&amp;""),1)),0))</f>
        <v/>
      </c>
      <c r="C1350" t="str">
        <f t="shared" si="21"/>
        <v/>
      </c>
      <c r="D1350" t="str">
        <f>IF(A1350="","",IFERROR(VALUE(SUBSTITUTE(TRIM(Input!E1350&amp;""),"%","")),0)/IF(AND(IFERROR(VALUE(SUBSTITUTE(TRIM(Input!E1350&amp;""),"%","")),0)&gt;0,IFERROR(VALUE(SUBSTITUTE(TRIM(Input!E1350&amp;""),"%","")),0)&lt;1),1,100))</f>
        <v/>
      </c>
      <c r="E1350" t="str">
        <f>IF(A1350="","",IFERROR(VALUE(SUBSTITUTE(TRIM(Input!F1350&amp;""),"%","")),0)/IF(AND(IFERROR(VALUE(SUBSTITUTE(TRIM(Input!F1350&amp;""),"%","")),0)&gt;0,IFERROR(VALUE(SUBSTITUTE(TRIM(Input!F1350&amp;""),"%","")),0)&lt;1),1,100))</f>
        <v/>
      </c>
      <c r="F1350" t="str">
        <f>IF(A1350="","",IFERROR(VALUE(SUBSTITUTE(TRIM(Input!G1350&amp;""),"%","")),0)/IF(AND(IFERROR(VALUE(SUBSTITUTE(TRIM(Input!G1350&amp;""),"%","")),0)&gt;0,IFERROR(VALUE(SUBSTITUTE(TRIM(Input!G1350&amp;""),"%","")),0)&lt;1),1,100))</f>
        <v/>
      </c>
      <c r="G1350" t="str">
        <f>IF(A1350="","",IFERROR(VALUE(SUBSTITUTE(TRIM(Input!H1350&amp;""),"%","")),0)/IF(AND(IFERROR(VALUE(SUBSTITUTE(TRIM(Input!H1350&amp;""),"%","")),0)&gt;0,IFERROR(VALUE(SUBSTITUTE(TRIM(Input!H1350&amp;""),"%","")),0)&lt;1),1,100))</f>
        <v/>
      </c>
      <c r="H1350" t="str">
        <f>IF(A1350="","",IFERROR(VALUE(SUBSTITUTE(TRIM(Input!I1350&amp;""),"%","")),0)/IF(AND(IFERROR(VALUE(SUBSTITUTE(TRIM(Input!I1350&amp;""),"%","")),0)&gt;0,IFERROR(VALUE(SUBSTITUTE(TRIM(Input!I1350&amp;""),"%","")),0)&lt;1),1,100))</f>
        <v/>
      </c>
    </row>
    <row r="1351" spans="1:8">
      <c r="A1351" t="str">
        <f>IF(TRIM(Input!B1351&amp;"")="","",UPPER(TRIM(Input!B1351&amp;"")))</f>
        <v/>
      </c>
      <c r="B1351" t="str">
        <f>IF(A1351="","",IFERROR(VALUE(RIGHT(TRIM(Input!D1351&amp;""),1)),0))</f>
        <v/>
      </c>
      <c r="C1351" t="str">
        <f t="shared" si="21"/>
        <v/>
      </c>
      <c r="D1351" t="str">
        <f>IF(A1351="","",IFERROR(VALUE(SUBSTITUTE(TRIM(Input!E1351&amp;""),"%","")),0)/IF(AND(IFERROR(VALUE(SUBSTITUTE(TRIM(Input!E1351&amp;""),"%","")),0)&gt;0,IFERROR(VALUE(SUBSTITUTE(TRIM(Input!E1351&amp;""),"%","")),0)&lt;1),1,100))</f>
        <v/>
      </c>
      <c r="E1351" t="str">
        <f>IF(A1351="","",IFERROR(VALUE(SUBSTITUTE(TRIM(Input!F1351&amp;""),"%","")),0)/IF(AND(IFERROR(VALUE(SUBSTITUTE(TRIM(Input!F1351&amp;""),"%","")),0)&gt;0,IFERROR(VALUE(SUBSTITUTE(TRIM(Input!F1351&amp;""),"%","")),0)&lt;1),1,100))</f>
        <v/>
      </c>
      <c r="F1351" t="str">
        <f>IF(A1351="","",IFERROR(VALUE(SUBSTITUTE(TRIM(Input!G1351&amp;""),"%","")),0)/IF(AND(IFERROR(VALUE(SUBSTITUTE(TRIM(Input!G1351&amp;""),"%","")),0)&gt;0,IFERROR(VALUE(SUBSTITUTE(TRIM(Input!G1351&amp;""),"%","")),0)&lt;1),1,100))</f>
        <v/>
      </c>
      <c r="G1351" t="str">
        <f>IF(A1351="","",IFERROR(VALUE(SUBSTITUTE(TRIM(Input!H1351&amp;""),"%","")),0)/IF(AND(IFERROR(VALUE(SUBSTITUTE(TRIM(Input!H1351&amp;""),"%","")),0)&gt;0,IFERROR(VALUE(SUBSTITUTE(TRIM(Input!H1351&amp;""),"%","")),0)&lt;1),1,100))</f>
        <v/>
      </c>
      <c r="H1351" t="str">
        <f>IF(A1351="","",IFERROR(VALUE(SUBSTITUTE(TRIM(Input!I1351&amp;""),"%","")),0)/IF(AND(IFERROR(VALUE(SUBSTITUTE(TRIM(Input!I1351&amp;""),"%","")),0)&gt;0,IFERROR(VALUE(SUBSTITUTE(TRIM(Input!I1351&amp;""),"%","")),0)&lt;1),1,100))</f>
        <v/>
      </c>
    </row>
    <row r="1352" spans="1:8">
      <c r="A1352" t="str">
        <f>IF(TRIM(Input!B1352&amp;"")="","",UPPER(TRIM(Input!B1352&amp;"")))</f>
        <v/>
      </c>
      <c r="B1352" t="str">
        <f>IF(A1352="","",IFERROR(VALUE(RIGHT(TRIM(Input!D1352&amp;""),1)),0))</f>
        <v/>
      </c>
      <c r="C1352" t="str">
        <f t="shared" si="21"/>
        <v/>
      </c>
      <c r="D1352" t="str">
        <f>IF(A1352="","",IFERROR(VALUE(SUBSTITUTE(TRIM(Input!E1352&amp;""),"%","")),0)/IF(AND(IFERROR(VALUE(SUBSTITUTE(TRIM(Input!E1352&amp;""),"%","")),0)&gt;0,IFERROR(VALUE(SUBSTITUTE(TRIM(Input!E1352&amp;""),"%","")),0)&lt;1),1,100))</f>
        <v/>
      </c>
      <c r="E1352" t="str">
        <f>IF(A1352="","",IFERROR(VALUE(SUBSTITUTE(TRIM(Input!F1352&amp;""),"%","")),0)/IF(AND(IFERROR(VALUE(SUBSTITUTE(TRIM(Input!F1352&amp;""),"%","")),0)&gt;0,IFERROR(VALUE(SUBSTITUTE(TRIM(Input!F1352&amp;""),"%","")),0)&lt;1),1,100))</f>
        <v/>
      </c>
      <c r="F1352" t="str">
        <f>IF(A1352="","",IFERROR(VALUE(SUBSTITUTE(TRIM(Input!G1352&amp;""),"%","")),0)/IF(AND(IFERROR(VALUE(SUBSTITUTE(TRIM(Input!G1352&amp;""),"%","")),0)&gt;0,IFERROR(VALUE(SUBSTITUTE(TRIM(Input!G1352&amp;""),"%","")),0)&lt;1),1,100))</f>
        <v/>
      </c>
      <c r="G1352" t="str">
        <f>IF(A1352="","",IFERROR(VALUE(SUBSTITUTE(TRIM(Input!H1352&amp;""),"%","")),0)/IF(AND(IFERROR(VALUE(SUBSTITUTE(TRIM(Input!H1352&amp;""),"%","")),0)&gt;0,IFERROR(VALUE(SUBSTITUTE(TRIM(Input!H1352&amp;""),"%","")),0)&lt;1),1,100))</f>
        <v/>
      </c>
      <c r="H1352" t="str">
        <f>IF(A1352="","",IFERROR(VALUE(SUBSTITUTE(TRIM(Input!I1352&amp;""),"%","")),0)/IF(AND(IFERROR(VALUE(SUBSTITUTE(TRIM(Input!I1352&amp;""),"%","")),0)&gt;0,IFERROR(VALUE(SUBSTITUTE(TRIM(Input!I1352&amp;""),"%","")),0)&lt;1),1,100))</f>
        <v/>
      </c>
    </row>
    <row r="1353" spans="1:8">
      <c r="A1353" t="str">
        <f>IF(TRIM(Input!B1353&amp;"")="","",UPPER(TRIM(Input!B1353&amp;"")))</f>
        <v/>
      </c>
      <c r="B1353" t="str">
        <f>IF(A1353="","",IFERROR(VALUE(RIGHT(TRIM(Input!D1353&amp;""),1)),0))</f>
        <v/>
      </c>
      <c r="C1353" t="str">
        <f t="shared" si="21"/>
        <v/>
      </c>
      <c r="D1353" t="str">
        <f>IF(A1353="","",IFERROR(VALUE(SUBSTITUTE(TRIM(Input!E1353&amp;""),"%","")),0)/IF(AND(IFERROR(VALUE(SUBSTITUTE(TRIM(Input!E1353&amp;""),"%","")),0)&gt;0,IFERROR(VALUE(SUBSTITUTE(TRIM(Input!E1353&amp;""),"%","")),0)&lt;1),1,100))</f>
        <v/>
      </c>
      <c r="E1353" t="str">
        <f>IF(A1353="","",IFERROR(VALUE(SUBSTITUTE(TRIM(Input!F1353&amp;""),"%","")),0)/IF(AND(IFERROR(VALUE(SUBSTITUTE(TRIM(Input!F1353&amp;""),"%","")),0)&gt;0,IFERROR(VALUE(SUBSTITUTE(TRIM(Input!F1353&amp;""),"%","")),0)&lt;1),1,100))</f>
        <v/>
      </c>
      <c r="F1353" t="str">
        <f>IF(A1353="","",IFERROR(VALUE(SUBSTITUTE(TRIM(Input!G1353&amp;""),"%","")),0)/IF(AND(IFERROR(VALUE(SUBSTITUTE(TRIM(Input!G1353&amp;""),"%","")),0)&gt;0,IFERROR(VALUE(SUBSTITUTE(TRIM(Input!G1353&amp;""),"%","")),0)&lt;1),1,100))</f>
        <v/>
      </c>
      <c r="G1353" t="str">
        <f>IF(A1353="","",IFERROR(VALUE(SUBSTITUTE(TRIM(Input!H1353&amp;""),"%","")),0)/IF(AND(IFERROR(VALUE(SUBSTITUTE(TRIM(Input!H1353&amp;""),"%","")),0)&gt;0,IFERROR(VALUE(SUBSTITUTE(TRIM(Input!H1353&amp;""),"%","")),0)&lt;1),1,100))</f>
        <v/>
      </c>
      <c r="H1353" t="str">
        <f>IF(A1353="","",IFERROR(VALUE(SUBSTITUTE(TRIM(Input!I1353&amp;""),"%","")),0)/IF(AND(IFERROR(VALUE(SUBSTITUTE(TRIM(Input!I1353&amp;""),"%","")),0)&gt;0,IFERROR(VALUE(SUBSTITUTE(TRIM(Input!I1353&amp;""),"%","")),0)&lt;1),1,100))</f>
        <v/>
      </c>
    </row>
    <row r="1354" spans="1:8">
      <c r="A1354" t="str">
        <f>IF(TRIM(Input!B1354&amp;"")="","",UPPER(TRIM(Input!B1354&amp;"")))</f>
        <v/>
      </c>
      <c r="B1354" t="str">
        <f>IF(A1354="","",IFERROR(VALUE(RIGHT(TRIM(Input!D1354&amp;""),1)),0))</f>
        <v/>
      </c>
      <c r="C1354" t="str">
        <f t="shared" si="21"/>
        <v/>
      </c>
      <c r="D1354" t="str">
        <f>IF(A1354="","",IFERROR(VALUE(SUBSTITUTE(TRIM(Input!E1354&amp;""),"%","")),0)/IF(AND(IFERROR(VALUE(SUBSTITUTE(TRIM(Input!E1354&amp;""),"%","")),0)&gt;0,IFERROR(VALUE(SUBSTITUTE(TRIM(Input!E1354&amp;""),"%","")),0)&lt;1),1,100))</f>
        <v/>
      </c>
      <c r="E1354" t="str">
        <f>IF(A1354="","",IFERROR(VALUE(SUBSTITUTE(TRIM(Input!F1354&amp;""),"%","")),0)/IF(AND(IFERROR(VALUE(SUBSTITUTE(TRIM(Input!F1354&amp;""),"%","")),0)&gt;0,IFERROR(VALUE(SUBSTITUTE(TRIM(Input!F1354&amp;""),"%","")),0)&lt;1),1,100))</f>
        <v/>
      </c>
      <c r="F1354" t="str">
        <f>IF(A1354="","",IFERROR(VALUE(SUBSTITUTE(TRIM(Input!G1354&amp;""),"%","")),0)/IF(AND(IFERROR(VALUE(SUBSTITUTE(TRIM(Input!G1354&amp;""),"%","")),0)&gt;0,IFERROR(VALUE(SUBSTITUTE(TRIM(Input!G1354&amp;""),"%","")),0)&lt;1),1,100))</f>
        <v/>
      </c>
      <c r="G1354" t="str">
        <f>IF(A1354="","",IFERROR(VALUE(SUBSTITUTE(TRIM(Input!H1354&amp;""),"%","")),0)/IF(AND(IFERROR(VALUE(SUBSTITUTE(TRIM(Input!H1354&amp;""),"%","")),0)&gt;0,IFERROR(VALUE(SUBSTITUTE(TRIM(Input!H1354&amp;""),"%","")),0)&lt;1),1,100))</f>
        <v/>
      </c>
      <c r="H1354" t="str">
        <f>IF(A1354="","",IFERROR(VALUE(SUBSTITUTE(TRIM(Input!I1354&amp;""),"%","")),0)/IF(AND(IFERROR(VALUE(SUBSTITUTE(TRIM(Input!I1354&amp;""),"%","")),0)&gt;0,IFERROR(VALUE(SUBSTITUTE(TRIM(Input!I1354&amp;""),"%","")),0)&lt;1),1,100))</f>
        <v/>
      </c>
    </row>
    <row r="1355" spans="1:8">
      <c r="A1355" t="str">
        <f>IF(TRIM(Input!B1355&amp;"")="","",UPPER(TRIM(Input!B1355&amp;"")))</f>
        <v/>
      </c>
      <c r="B1355" t="str">
        <f>IF(A1355="","",IFERROR(VALUE(RIGHT(TRIM(Input!D1355&amp;""),1)),0))</f>
        <v/>
      </c>
      <c r="C1355" t="str">
        <f t="shared" si="21"/>
        <v/>
      </c>
      <c r="D1355" t="str">
        <f>IF(A1355="","",IFERROR(VALUE(SUBSTITUTE(TRIM(Input!E1355&amp;""),"%","")),0)/IF(AND(IFERROR(VALUE(SUBSTITUTE(TRIM(Input!E1355&amp;""),"%","")),0)&gt;0,IFERROR(VALUE(SUBSTITUTE(TRIM(Input!E1355&amp;""),"%","")),0)&lt;1),1,100))</f>
        <v/>
      </c>
      <c r="E1355" t="str">
        <f>IF(A1355="","",IFERROR(VALUE(SUBSTITUTE(TRIM(Input!F1355&amp;""),"%","")),0)/IF(AND(IFERROR(VALUE(SUBSTITUTE(TRIM(Input!F1355&amp;""),"%","")),0)&gt;0,IFERROR(VALUE(SUBSTITUTE(TRIM(Input!F1355&amp;""),"%","")),0)&lt;1),1,100))</f>
        <v/>
      </c>
      <c r="F1355" t="str">
        <f>IF(A1355="","",IFERROR(VALUE(SUBSTITUTE(TRIM(Input!G1355&amp;""),"%","")),0)/IF(AND(IFERROR(VALUE(SUBSTITUTE(TRIM(Input!G1355&amp;""),"%","")),0)&gt;0,IFERROR(VALUE(SUBSTITUTE(TRIM(Input!G1355&amp;""),"%","")),0)&lt;1),1,100))</f>
        <v/>
      </c>
      <c r="G1355" t="str">
        <f>IF(A1355="","",IFERROR(VALUE(SUBSTITUTE(TRIM(Input!H1355&amp;""),"%","")),0)/IF(AND(IFERROR(VALUE(SUBSTITUTE(TRIM(Input!H1355&amp;""),"%","")),0)&gt;0,IFERROR(VALUE(SUBSTITUTE(TRIM(Input!H1355&amp;""),"%","")),0)&lt;1),1,100))</f>
        <v/>
      </c>
      <c r="H1355" t="str">
        <f>IF(A1355="","",IFERROR(VALUE(SUBSTITUTE(TRIM(Input!I1355&amp;""),"%","")),0)/IF(AND(IFERROR(VALUE(SUBSTITUTE(TRIM(Input!I1355&amp;""),"%","")),0)&gt;0,IFERROR(VALUE(SUBSTITUTE(TRIM(Input!I1355&amp;""),"%","")),0)&lt;1),1,100))</f>
        <v/>
      </c>
    </row>
    <row r="1356" spans="1:8">
      <c r="A1356" t="str">
        <f>IF(TRIM(Input!B1356&amp;"")="","",UPPER(TRIM(Input!B1356&amp;"")))</f>
        <v/>
      </c>
      <c r="B1356" t="str">
        <f>IF(A1356="","",IFERROR(VALUE(RIGHT(TRIM(Input!D1356&amp;""),1)),0))</f>
        <v/>
      </c>
      <c r="C1356" t="str">
        <f t="shared" si="21"/>
        <v/>
      </c>
      <c r="D1356" t="str">
        <f>IF(A1356="","",IFERROR(VALUE(SUBSTITUTE(TRIM(Input!E1356&amp;""),"%","")),0)/IF(AND(IFERROR(VALUE(SUBSTITUTE(TRIM(Input!E1356&amp;""),"%","")),0)&gt;0,IFERROR(VALUE(SUBSTITUTE(TRIM(Input!E1356&amp;""),"%","")),0)&lt;1),1,100))</f>
        <v/>
      </c>
      <c r="E1356" t="str">
        <f>IF(A1356="","",IFERROR(VALUE(SUBSTITUTE(TRIM(Input!F1356&amp;""),"%","")),0)/IF(AND(IFERROR(VALUE(SUBSTITUTE(TRIM(Input!F1356&amp;""),"%","")),0)&gt;0,IFERROR(VALUE(SUBSTITUTE(TRIM(Input!F1356&amp;""),"%","")),0)&lt;1),1,100))</f>
        <v/>
      </c>
      <c r="F1356" t="str">
        <f>IF(A1356="","",IFERROR(VALUE(SUBSTITUTE(TRIM(Input!G1356&amp;""),"%","")),0)/IF(AND(IFERROR(VALUE(SUBSTITUTE(TRIM(Input!G1356&amp;""),"%","")),0)&gt;0,IFERROR(VALUE(SUBSTITUTE(TRIM(Input!G1356&amp;""),"%","")),0)&lt;1),1,100))</f>
        <v/>
      </c>
      <c r="G1356" t="str">
        <f>IF(A1356="","",IFERROR(VALUE(SUBSTITUTE(TRIM(Input!H1356&amp;""),"%","")),0)/IF(AND(IFERROR(VALUE(SUBSTITUTE(TRIM(Input!H1356&amp;""),"%","")),0)&gt;0,IFERROR(VALUE(SUBSTITUTE(TRIM(Input!H1356&amp;""),"%","")),0)&lt;1),1,100))</f>
        <v/>
      </c>
      <c r="H1356" t="str">
        <f>IF(A1356="","",IFERROR(VALUE(SUBSTITUTE(TRIM(Input!I1356&amp;""),"%","")),0)/IF(AND(IFERROR(VALUE(SUBSTITUTE(TRIM(Input!I1356&amp;""),"%","")),0)&gt;0,IFERROR(VALUE(SUBSTITUTE(TRIM(Input!I1356&amp;""),"%","")),0)&lt;1),1,100))</f>
        <v/>
      </c>
    </row>
    <row r="1357" spans="1:8">
      <c r="A1357" t="str">
        <f>IF(TRIM(Input!B1357&amp;"")="","",UPPER(TRIM(Input!B1357&amp;"")))</f>
        <v/>
      </c>
      <c r="B1357" t="str">
        <f>IF(A1357="","",IFERROR(VALUE(RIGHT(TRIM(Input!D1357&amp;""),1)),0))</f>
        <v/>
      </c>
      <c r="C1357" t="str">
        <f t="shared" si="21"/>
        <v/>
      </c>
      <c r="D1357" t="str">
        <f>IF(A1357="","",IFERROR(VALUE(SUBSTITUTE(TRIM(Input!E1357&amp;""),"%","")),0)/IF(AND(IFERROR(VALUE(SUBSTITUTE(TRIM(Input!E1357&amp;""),"%","")),0)&gt;0,IFERROR(VALUE(SUBSTITUTE(TRIM(Input!E1357&amp;""),"%","")),0)&lt;1),1,100))</f>
        <v/>
      </c>
      <c r="E1357" t="str">
        <f>IF(A1357="","",IFERROR(VALUE(SUBSTITUTE(TRIM(Input!F1357&amp;""),"%","")),0)/IF(AND(IFERROR(VALUE(SUBSTITUTE(TRIM(Input!F1357&amp;""),"%","")),0)&gt;0,IFERROR(VALUE(SUBSTITUTE(TRIM(Input!F1357&amp;""),"%","")),0)&lt;1),1,100))</f>
        <v/>
      </c>
      <c r="F1357" t="str">
        <f>IF(A1357="","",IFERROR(VALUE(SUBSTITUTE(TRIM(Input!G1357&amp;""),"%","")),0)/IF(AND(IFERROR(VALUE(SUBSTITUTE(TRIM(Input!G1357&amp;""),"%","")),0)&gt;0,IFERROR(VALUE(SUBSTITUTE(TRIM(Input!G1357&amp;""),"%","")),0)&lt;1),1,100))</f>
        <v/>
      </c>
      <c r="G1357" t="str">
        <f>IF(A1357="","",IFERROR(VALUE(SUBSTITUTE(TRIM(Input!H1357&amp;""),"%","")),0)/IF(AND(IFERROR(VALUE(SUBSTITUTE(TRIM(Input!H1357&amp;""),"%","")),0)&gt;0,IFERROR(VALUE(SUBSTITUTE(TRIM(Input!H1357&amp;""),"%","")),0)&lt;1),1,100))</f>
        <v/>
      </c>
      <c r="H1357" t="str">
        <f>IF(A1357="","",IFERROR(VALUE(SUBSTITUTE(TRIM(Input!I1357&amp;""),"%","")),0)/IF(AND(IFERROR(VALUE(SUBSTITUTE(TRIM(Input!I1357&amp;""),"%","")),0)&gt;0,IFERROR(VALUE(SUBSTITUTE(TRIM(Input!I1357&amp;""),"%","")),0)&lt;1),1,100))</f>
        <v/>
      </c>
    </row>
    <row r="1358" spans="1:8">
      <c r="A1358" t="str">
        <f>IF(TRIM(Input!B1358&amp;"")="","",UPPER(TRIM(Input!B1358&amp;"")))</f>
        <v/>
      </c>
      <c r="B1358" t="str">
        <f>IF(A1358="","",IFERROR(VALUE(RIGHT(TRIM(Input!D1358&amp;""),1)),0))</f>
        <v/>
      </c>
      <c r="C1358" t="str">
        <f t="shared" si="21"/>
        <v/>
      </c>
      <c r="D1358" t="str">
        <f>IF(A1358="","",IFERROR(VALUE(SUBSTITUTE(TRIM(Input!E1358&amp;""),"%","")),0)/IF(AND(IFERROR(VALUE(SUBSTITUTE(TRIM(Input!E1358&amp;""),"%","")),0)&gt;0,IFERROR(VALUE(SUBSTITUTE(TRIM(Input!E1358&amp;""),"%","")),0)&lt;1),1,100))</f>
        <v/>
      </c>
      <c r="E1358" t="str">
        <f>IF(A1358="","",IFERROR(VALUE(SUBSTITUTE(TRIM(Input!F1358&amp;""),"%","")),0)/IF(AND(IFERROR(VALUE(SUBSTITUTE(TRIM(Input!F1358&amp;""),"%","")),0)&gt;0,IFERROR(VALUE(SUBSTITUTE(TRIM(Input!F1358&amp;""),"%","")),0)&lt;1),1,100))</f>
        <v/>
      </c>
      <c r="F1358" t="str">
        <f>IF(A1358="","",IFERROR(VALUE(SUBSTITUTE(TRIM(Input!G1358&amp;""),"%","")),0)/IF(AND(IFERROR(VALUE(SUBSTITUTE(TRIM(Input!G1358&amp;""),"%","")),0)&gt;0,IFERROR(VALUE(SUBSTITUTE(TRIM(Input!G1358&amp;""),"%","")),0)&lt;1),1,100))</f>
        <v/>
      </c>
      <c r="G1358" t="str">
        <f>IF(A1358="","",IFERROR(VALUE(SUBSTITUTE(TRIM(Input!H1358&amp;""),"%","")),0)/IF(AND(IFERROR(VALUE(SUBSTITUTE(TRIM(Input!H1358&amp;""),"%","")),0)&gt;0,IFERROR(VALUE(SUBSTITUTE(TRIM(Input!H1358&amp;""),"%","")),0)&lt;1),1,100))</f>
        <v/>
      </c>
      <c r="H1358" t="str">
        <f>IF(A1358="","",IFERROR(VALUE(SUBSTITUTE(TRIM(Input!I1358&amp;""),"%","")),0)/IF(AND(IFERROR(VALUE(SUBSTITUTE(TRIM(Input!I1358&amp;""),"%","")),0)&gt;0,IFERROR(VALUE(SUBSTITUTE(TRIM(Input!I1358&amp;""),"%","")),0)&lt;1),1,100))</f>
        <v/>
      </c>
    </row>
    <row r="1359" spans="1:8">
      <c r="A1359" t="str">
        <f>IF(TRIM(Input!B1359&amp;"")="","",UPPER(TRIM(Input!B1359&amp;"")))</f>
        <v/>
      </c>
      <c r="B1359" t="str">
        <f>IF(A1359="","",IFERROR(VALUE(RIGHT(TRIM(Input!D1359&amp;""),1)),0))</f>
        <v/>
      </c>
      <c r="C1359" t="str">
        <f t="shared" si="21"/>
        <v/>
      </c>
      <c r="D1359" t="str">
        <f>IF(A1359="","",IFERROR(VALUE(SUBSTITUTE(TRIM(Input!E1359&amp;""),"%","")),0)/IF(AND(IFERROR(VALUE(SUBSTITUTE(TRIM(Input!E1359&amp;""),"%","")),0)&gt;0,IFERROR(VALUE(SUBSTITUTE(TRIM(Input!E1359&amp;""),"%","")),0)&lt;1),1,100))</f>
        <v/>
      </c>
      <c r="E1359" t="str">
        <f>IF(A1359="","",IFERROR(VALUE(SUBSTITUTE(TRIM(Input!F1359&amp;""),"%","")),0)/IF(AND(IFERROR(VALUE(SUBSTITUTE(TRIM(Input!F1359&amp;""),"%","")),0)&gt;0,IFERROR(VALUE(SUBSTITUTE(TRIM(Input!F1359&amp;""),"%","")),0)&lt;1),1,100))</f>
        <v/>
      </c>
      <c r="F1359" t="str">
        <f>IF(A1359="","",IFERROR(VALUE(SUBSTITUTE(TRIM(Input!G1359&amp;""),"%","")),0)/IF(AND(IFERROR(VALUE(SUBSTITUTE(TRIM(Input!G1359&amp;""),"%","")),0)&gt;0,IFERROR(VALUE(SUBSTITUTE(TRIM(Input!G1359&amp;""),"%","")),0)&lt;1),1,100))</f>
        <v/>
      </c>
      <c r="G1359" t="str">
        <f>IF(A1359="","",IFERROR(VALUE(SUBSTITUTE(TRIM(Input!H1359&amp;""),"%","")),0)/IF(AND(IFERROR(VALUE(SUBSTITUTE(TRIM(Input!H1359&amp;""),"%","")),0)&gt;0,IFERROR(VALUE(SUBSTITUTE(TRIM(Input!H1359&amp;""),"%","")),0)&lt;1),1,100))</f>
        <v/>
      </c>
      <c r="H1359" t="str">
        <f>IF(A1359="","",IFERROR(VALUE(SUBSTITUTE(TRIM(Input!I1359&amp;""),"%","")),0)/IF(AND(IFERROR(VALUE(SUBSTITUTE(TRIM(Input!I1359&amp;""),"%","")),0)&gt;0,IFERROR(VALUE(SUBSTITUTE(TRIM(Input!I1359&amp;""),"%","")),0)&lt;1),1,100))</f>
        <v/>
      </c>
    </row>
    <row r="1360" spans="1:8">
      <c r="A1360" t="str">
        <f>IF(TRIM(Input!B1360&amp;"")="","",UPPER(TRIM(Input!B1360&amp;"")))</f>
        <v/>
      </c>
      <c r="B1360" t="str">
        <f>IF(A1360="","",IFERROR(VALUE(RIGHT(TRIM(Input!D1360&amp;""),1)),0))</f>
        <v/>
      </c>
      <c r="C1360" t="str">
        <f t="shared" si="21"/>
        <v/>
      </c>
      <c r="D1360" t="str">
        <f>IF(A1360="","",IFERROR(VALUE(SUBSTITUTE(TRIM(Input!E1360&amp;""),"%","")),0)/IF(AND(IFERROR(VALUE(SUBSTITUTE(TRIM(Input!E1360&amp;""),"%","")),0)&gt;0,IFERROR(VALUE(SUBSTITUTE(TRIM(Input!E1360&amp;""),"%","")),0)&lt;1),1,100))</f>
        <v/>
      </c>
      <c r="E1360" t="str">
        <f>IF(A1360="","",IFERROR(VALUE(SUBSTITUTE(TRIM(Input!F1360&amp;""),"%","")),0)/IF(AND(IFERROR(VALUE(SUBSTITUTE(TRIM(Input!F1360&amp;""),"%","")),0)&gt;0,IFERROR(VALUE(SUBSTITUTE(TRIM(Input!F1360&amp;""),"%","")),0)&lt;1),1,100))</f>
        <v/>
      </c>
      <c r="F1360" t="str">
        <f>IF(A1360="","",IFERROR(VALUE(SUBSTITUTE(TRIM(Input!G1360&amp;""),"%","")),0)/IF(AND(IFERROR(VALUE(SUBSTITUTE(TRIM(Input!G1360&amp;""),"%","")),0)&gt;0,IFERROR(VALUE(SUBSTITUTE(TRIM(Input!G1360&amp;""),"%","")),0)&lt;1),1,100))</f>
        <v/>
      </c>
      <c r="G1360" t="str">
        <f>IF(A1360="","",IFERROR(VALUE(SUBSTITUTE(TRIM(Input!H1360&amp;""),"%","")),0)/IF(AND(IFERROR(VALUE(SUBSTITUTE(TRIM(Input!H1360&amp;""),"%","")),0)&gt;0,IFERROR(VALUE(SUBSTITUTE(TRIM(Input!H1360&amp;""),"%","")),0)&lt;1),1,100))</f>
        <v/>
      </c>
      <c r="H1360" t="str">
        <f>IF(A1360="","",IFERROR(VALUE(SUBSTITUTE(TRIM(Input!I1360&amp;""),"%","")),0)/IF(AND(IFERROR(VALUE(SUBSTITUTE(TRIM(Input!I1360&amp;""),"%","")),0)&gt;0,IFERROR(VALUE(SUBSTITUTE(TRIM(Input!I1360&amp;""),"%","")),0)&lt;1),1,100))</f>
        <v/>
      </c>
    </row>
    <row r="1361" spans="1:8">
      <c r="A1361" t="str">
        <f>IF(TRIM(Input!B1361&amp;"")="","",UPPER(TRIM(Input!B1361&amp;"")))</f>
        <v/>
      </c>
      <c r="B1361" t="str">
        <f>IF(A1361="","",IFERROR(VALUE(RIGHT(TRIM(Input!D1361&amp;""),1)),0))</f>
        <v/>
      </c>
      <c r="C1361" t="str">
        <f t="shared" si="21"/>
        <v/>
      </c>
      <c r="D1361" t="str">
        <f>IF(A1361="","",IFERROR(VALUE(SUBSTITUTE(TRIM(Input!E1361&amp;""),"%","")),0)/IF(AND(IFERROR(VALUE(SUBSTITUTE(TRIM(Input!E1361&amp;""),"%","")),0)&gt;0,IFERROR(VALUE(SUBSTITUTE(TRIM(Input!E1361&amp;""),"%","")),0)&lt;1),1,100))</f>
        <v/>
      </c>
      <c r="E1361" t="str">
        <f>IF(A1361="","",IFERROR(VALUE(SUBSTITUTE(TRIM(Input!F1361&amp;""),"%","")),0)/IF(AND(IFERROR(VALUE(SUBSTITUTE(TRIM(Input!F1361&amp;""),"%","")),0)&gt;0,IFERROR(VALUE(SUBSTITUTE(TRIM(Input!F1361&amp;""),"%","")),0)&lt;1),1,100))</f>
        <v/>
      </c>
      <c r="F1361" t="str">
        <f>IF(A1361="","",IFERROR(VALUE(SUBSTITUTE(TRIM(Input!G1361&amp;""),"%","")),0)/IF(AND(IFERROR(VALUE(SUBSTITUTE(TRIM(Input!G1361&amp;""),"%","")),0)&gt;0,IFERROR(VALUE(SUBSTITUTE(TRIM(Input!G1361&amp;""),"%","")),0)&lt;1),1,100))</f>
        <v/>
      </c>
      <c r="G1361" t="str">
        <f>IF(A1361="","",IFERROR(VALUE(SUBSTITUTE(TRIM(Input!H1361&amp;""),"%","")),0)/IF(AND(IFERROR(VALUE(SUBSTITUTE(TRIM(Input!H1361&amp;""),"%","")),0)&gt;0,IFERROR(VALUE(SUBSTITUTE(TRIM(Input!H1361&amp;""),"%","")),0)&lt;1),1,100))</f>
        <v/>
      </c>
      <c r="H1361" t="str">
        <f>IF(A1361="","",IFERROR(VALUE(SUBSTITUTE(TRIM(Input!I1361&amp;""),"%","")),0)/IF(AND(IFERROR(VALUE(SUBSTITUTE(TRIM(Input!I1361&amp;""),"%","")),0)&gt;0,IFERROR(VALUE(SUBSTITUTE(TRIM(Input!I1361&amp;""),"%","")),0)&lt;1),1,100))</f>
        <v/>
      </c>
    </row>
    <row r="1362" spans="1:8">
      <c r="A1362" t="str">
        <f>IF(TRIM(Input!B1362&amp;"")="","",UPPER(TRIM(Input!B1362&amp;"")))</f>
        <v/>
      </c>
      <c r="B1362" t="str">
        <f>IF(A1362="","",IFERROR(VALUE(RIGHT(TRIM(Input!D1362&amp;""),1)),0))</f>
        <v/>
      </c>
      <c r="C1362" t="str">
        <f t="shared" si="21"/>
        <v/>
      </c>
      <c r="D1362" t="str">
        <f>IF(A1362="","",IFERROR(VALUE(SUBSTITUTE(TRIM(Input!E1362&amp;""),"%","")),0)/IF(AND(IFERROR(VALUE(SUBSTITUTE(TRIM(Input!E1362&amp;""),"%","")),0)&gt;0,IFERROR(VALUE(SUBSTITUTE(TRIM(Input!E1362&amp;""),"%","")),0)&lt;1),1,100))</f>
        <v/>
      </c>
      <c r="E1362" t="str">
        <f>IF(A1362="","",IFERROR(VALUE(SUBSTITUTE(TRIM(Input!F1362&amp;""),"%","")),0)/IF(AND(IFERROR(VALUE(SUBSTITUTE(TRIM(Input!F1362&amp;""),"%","")),0)&gt;0,IFERROR(VALUE(SUBSTITUTE(TRIM(Input!F1362&amp;""),"%","")),0)&lt;1),1,100))</f>
        <v/>
      </c>
      <c r="F1362" t="str">
        <f>IF(A1362="","",IFERROR(VALUE(SUBSTITUTE(TRIM(Input!G1362&amp;""),"%","")),0)/IF(AND(IFERROR(VALUE(SUBSTITUTE(TRIM(Input!G1362&amp;""),"%","")),0)&gt;0,IFERROR(VALUE(SUBSTITUTE(TRIM(Input!G1362&amp;""),"%","")),0)&lt;1),1,100))</f>
        <v/>
      </c>
      <c r="G1362" t="str">
        <f>IF(A1362="","",IFERROR(VALUE(SUBSTITUTE(TRIM(Input!H1362&amp;""),"%","")),0)/IF(AND(IFERROR(VALUE(SUBSTITUTE(TRIM(Input!H1362&amp;""),"%","")),0)&gt;0,IFERROR(VALUE(SUBSTITUTE(TRIM(Input!H1362&amp;""),"%","")),0)&lt;1),1,100))</f>
        <v/>
      </c>
      <c r="H1362" t="str">
        <f>IF(A1362="","",IFERROR(VALUE(SUBSTITUTE(TRIM(Input!I1362&amp;""),"%","")),0)/IF(AND(IFERROR(VALUE(SUBSTITUTE(TRIM(Input!I1362&amp;""),"%","")),0)&gt;0,IFERROR(VALUE(SUBSTITUTE(TRIM(Input!I1362&amp;""),"%","")),0)&lt;1),1,100))</f>
        <v/>
      </c>
    </row>
    <row r="1363" spans="1:8">
      <c r="A1363" t="str">
        <f>IF(TRIM(Input!B1363&amp;"")="","",UPPER(TRIM(Input!B1363&amp;"")))</f>
        <v/>
      </c>
      <c r="B1363" t="str">
        <f>IF(A1363="","",IFERROR(VALUE(RIGHT(TRIM(Input!D1363&amp;""),1)),0))</f>
        <v/>
      </c>
      <c r="C1363" t="str">
        <f t="shared" si="21"/>
        <v/>
      </c>
      <c r="D1363" t="str">
        <f>IF(A1363="","",IFERROR(VALUE(SUBSTITUTE(TRIM(Input!E1363&amp;""),"%","")),0)/IF(AND(IFERROR(VALUE(SUBSTITUTE(TRIM(Input!E1363&amp;""),"%","")),0)&gt;0,IFERROR(VALUE(SUBSTITUTE(TRIM(Input!E1363&amp;""),"%","")),0)&lt;1),1,100))</f>
        <v/>
      </c>
      <c r="E1363" t="str">
        <f>IF(A1363="","",IFERROR(VALUE(SUBSTITUTE(TRIM(Input!F1363&amp;""),"%","")),0)/IF(AND(IFERROR(VALUE(SUBSTITUTE(TRIM(Input!F1363&amp;""),"%","")),0)&gt;0,IFERROR(VALUE(SUBSTITUTE(TRIM(Input!F1363&amp;""),"%","")),0)&lt;1),1,100))</f>
        <v/>
      </c>
      <c r="F1363" t="str">
        <f>IF(A1363="","",IFERROR(VALUE(SUBSTITUTE(TRIM(Input!G1363&amp;""),"%","")),0)/IF(AND(IFERROR(VALUE(SUBSTITUTE(TRIM(Input!G1363&amp;""),"%","")),0)&gt;0,IFERROR(VALUE(SUBSTITUTE(TRIM(Input!G1363&amp;""),"%","")),0)&lt;1),1,100))</f>
        <v/>
      </c>
      <c r="G1363" t="str">
        <f>IF(A1363="","",IFERROR(VALUE(SUBSTITUTE(TRIM(Input!H1363&amp;""),"%","")),0)/IF(AND(IFERROR(VALUE(SUBSTITUTE(TRIM(Input!H1363&amp;""),"%","")),0)&gt;0,IFERROR(VALUE(SUBSTITUTE(TRIM(Input!H1363&amp;""),"%","")),0)&lt;1),1,100))</f>
        <v/>
      </c>
      <c r="H1363" t="str">
        <f>IF(A1363="","",IFERROR(VALUE(SUBSTITUTE(TRIM(Input!I1363&amp;""),"%","")),0)/IF(AND(IFERROR(VALUE(SUBSTITUTE(TRIM(Input!I1363&amp;""),"%","")),0)&gt;0,IFERROR(VALUE(SUBSTITUTE(TRIM(Input!I1363&amp;""),"%","")),0)&lt;1),1,100))</f>
        <v/>
      </c>
    </row>
    <row r="1364" spans="1:8">
      <c r="A1364" t="str">
        <f>IF(TRIM(Input!B1364&amp;"")="","",UPPER(TRIM(Input!B1364&amp;"")))</f>
        <v/>
      </c>
      <c r="B1364" t="str">
        <f>IF(A1364="","",IFERROR(VALUE(RIGHT(TRIM(Input!D1364&amp;""),1)),0))</f>
        <v/>
      </c>
      <c r="C1364" t="str">
        <f t="shared" si="21"/>
        <v/>
      </c>
      <c r="D1364" t="str">
        <f>IF(A1364="","",IFERROR(VALUE(SUBSTITUTE(TRIM(Input!E1364&amp;""),"%","")),0)/IF(AND(IFERROR(VALUE(SUBSTITUTE(TRIM(Input!E1364&amp;""),"%","")),0)&gt;0,IFERROR(VALUE(SUBSTITUTE(TRIM(Input!E1364&amp;""),"%","")),0)&lt;1),1,100))</f>
        <v/>
      </c>
      <c r="E1364" t="str">
        <f>IF(A1364="","",IFERROR(VALUE(SUBSTITUTE(TRIM(Input!F1364&amp;""),"%","")),0)/IF(AND(IFERROR(VALUE(SUBSTITUTE(TRIM(Input!F1364&amp;""),"%","")),0)&gt;0,IFERROR(VALUE(SUBSTITUTE(TRIM(Input!F1364&amp;""),"%","")),0)&lt;1),1,100))</f>
        <v/>
      </c>
      <c r="F1364" t="str">
        <f>IF(A1364="","",IFERROR(VALUE(SUBSTITUTE(TRIM(Input!G1364&amp;""),"%","")),0)/IF(AND(IFERROR(VALUE(SUBSTITUTE(TRIM(Input!G1364&amp;""),"%","")),0)&gt;0,IFERROR(VALUE(SUBSTITUTE(TRIM(Input!G1364&amp;""),"%","")),0)&lt;1),1,100))</f>
        <v/>
      </c>
      <c r="G1364" t="str">
        <f>IF(A1364="","",IFERROR(VALUE(SUBSTITUTE(TRIM(Input!H1364&amp;""),"%","")),0)/IF(AND(IFERROR(VALUE(SUBSTITUTE(TRIM(Input!H1364&amp;""),"%","")),0)&gt;0,IFERROR(VALUE(SUBSTITUTE(TRIM(Input!H1364&amp;""),"%","")),0)&lt;1),1,100))</f>
        <v/>
      </c>
      <c r="H1364" t="str">
        <f>IF(A1364="","",IFERROR(VALUE(SUBSTITUTE(TRIM(Input!I1364&amp;""),"%","")),0)/IF(AND(IFERROR(VALUE(SUBSTITUTE(TRIM(Input!I1364&amp;""),"%","")),0)&gt;0,IFERROR(VALUE(SUBSTITUTE(TRIM(Input!I1364&amp;""),"%","")),0)&lt;1),1,100))</f>
        <v/>
      </c>
    </row>
    <row r="1365" spans="1:8">
      <c r="A1365" t="str">
        <f>IF(TRIM(Input!B1365&amp;"")="","",UPPER(TRIM(Input!B1365&amp;"")))</f>
        <v/>
      </c>
      <c r="B1365" t="str">
        <f>IF(A1365="","",IFERROR(VALUE(RIGHT(TRIM(Input!D1365&amp;""),1)),0))</f>
        <v/>
      </c>
      <c r="C1365" t="str">
        <f t="shared" si="21"/>
        <v/>
      </c>
      <c r="D1365" t="str">
        <f>IF(A1365="","",IFERROR(VALUE(SUBSTITUTE(TRIM(Input!E1365&amp;""),"%","")),0)/IF(AND(IFERROR(VALUE(SUBSTITUTE(TRIM(Input!E1365&amp;""),"%","")),0)&gt;0,IFERROR(VALUE(SUBSTITUTE(TRIM(Input!E1365&amp;""),"%","")),0)&lt;1),1,100))</f>
        <v/>
      </c>
      <c r="E1365" t="str">
        <f>IF(A1365="","",IFERROR(VALUE(SUBSTITUTE(TRIM(Input!F1365&amp;""),"%","")),0)/IF(AND(IFERROR(VALUE(SUBSTITUTE(TRIM(Input!F1365&amp;""),"%","")),0)&gt;0,IFERROR(VALUE(SUBSTITUTE(TRIM(Input!F1365&amp;""),"%","")),0)&lt;1),1,100))</f>
        <v/>
      </c>
      <c r="F1365" t="str">
        <f>IF(A1365="","",IFERROR(VALUE(SUBSTITUTE(TRIM(Input!G1365&amp;""),"%","")),0)/IF(AND(IFERROR(VALUE(SUBSTITUTE(TRIM(Input!G1365&amp;""),"%","")),0)&gt;0,IFERROR(VALUE(SUBSTITUTE(TRIM(Input!G1365&amp;""),"%","")),0)&lt;1),1,100))</f>
        <v/>
      </c>
      <c r="G1365" t="str">
        <f>IF(A1365="","",IFERROR(VALUE(SUBSTITUTE(TRIM(Input!H1365&amp;""),"%","")),0)/IF(AND(IFERROR(VALUE(SUBSTITUTE(TRIM(Input!H1365&amp;""),"%","")),0)&gt;0,IFERROR(VALUE(SUBSTITUTE(TRIM(Input!H1365&amp;""),"%","")),0)&lt;1),1,100))</f>
        <v/>
      </c>
      <c r="H1365" t="str">
        <f>IF(A1365="","",IFERROR(VALUE(SUBSTITUTE(TRIM(Input!I1365&amp;""),"%","")),0)/IF(AND(IFERROR(VALUE(SUBSTITUTE(TRIM(Input!I1365&amp;""),"%","")),0)&gt;0,IFERROR(VALUE(SUBSTITUTE(TRIM(Input!I1365&amp;""),"%","")),0)&lt;1),1,100))</f>
        <v/>
      </c>
    </row>
    <row r="1366" spans="1:8">
      <c r="A1366" t="str">
        <f>IF(TRIM(Input!B1366&amp;"")="","",UPPER(TRIM(Input!B1366&amp;"")))</f>
        <v/>
      </c>
      <c r="B1366" t="str">
        <f>IF(A1366="","",IFERROR(VALUE(RIGHT(TRIM(Input!D1366&amp;""),1)),0))</f>
        <v/>
      </c>
      <c r="C1366" t="str">
        <f t="shared" si="21"/>
        <v/>
      </c>
      <c r="D1366" t="str">
        <f>IF(A1366="","",IFERROR(VALUE(SUBSTITUTE(TRIM(Input!E1366&amp;""),"%","")),0)/IF(AND(IFERROR(VALUE(SUBSTITUTE(TRIM(Input!E1366&amp;""),"%","")),0)&gt;0,IFERROR(VALUE(SUBSTITUTE(TRIM(Input!E1366&amp;""),"%","")),0)&lt;1),1,100))</f>
        <v/>
      </c>
      <c r="E1366" t="str">
        <f>IF(A1366="","",IFERROR(VALUE(SUBSTITUTE(TRIM(Input!F1366&amp;""),"%","")),0)/IF(AND(IFERROR(VALUE(SUBSTITUTE(TRIM(Input!F1366&amp;""),"%","")),0)&gt;0,IFERROR(VALUE(SUBSTITUTE(TRIM(Input!F1366&amp;""),"%","")),0)&lt;1),1,100))</f>
        <v/>
      </c>
      <c r="F1366" t="str">
        <f>IF(A1366="","",IFERROR(VALUE(SUBSTITUTE(TRIM(Input!G1366&amp;""),"%","")),0)/IF(AND(IFERROR(VALUE(SUBSTITUTE(TRIM(Input!G1366&amp;""),"%","")),0)&gt;0,IFERROR(VALUE(SUBSTITUTE(TRIM(Input!G1366&amp;""),"%","")),0)&lt;1),1,100))</f>
        <v/>
      </c>
      <c r="G1366" t="str">
        <f>IF(A1366="","",IFERROR(VALUE(SUBSTITUTE(TRIM(Input!H1366&amp;""),"%","")),0)/IF(AND(IFERROR(VALUE(SUBSTITUTE(TRIM(Input!H1366&amp;""),"%","")),0)&gt;0,IFERROR(VALUE(SUBSTITUTE(TRIM(Input!H1366&amp;""),"%","")),0)&lt;1),1,100))</f>
        <v/>
      </c>
      <c r="H1366" t="str">
        <f>IF(A1366="","",IFERROR(VALUE(SUBSTITUTE(TRIM(Input!I1366&amp;""),"%","")),0)/IF(AND(IFERROR(VALUE(SUBSTITUTE(TRIM(Input!I1366&amp;""),"%","")),0)&gt;0,IFERROR(VALUE(SUBSTITUTE(TRIM(Input!I1366&amp;""),"%","")),0)&lt;1),1,100))</f>
        <v/>
      </c>
    </row>
    <row r="1367" spans="1:8">
      <c r="A1367" t="str">
        <f>IF(TRIM(Input!B1367&amp;"")="","",UPPER(TRIM(Input!B1367&amp;"")))</f>
        <v/>
      </c>
      <c r="B1367" t="str">
        <f>IF(A1367="","",IFERROR(VALUE(RIGHT(TRIM(Input!D1367&amp;""),1)),0))</f>
        <v/>
      </c>
      <c r="C1367" t="str">
        <f t="shared" si="21"/>
        <v/>
      </c>
      <c r="D1367" t="str">
        <f>IF(A1367="","",IFERROR(VALUE(SUBSTITUTE(TRIM(Input!E1367&amp;""),"%","")),0)/IF(AND(IFERROR(VALUE(SUBSTITUTE(TRIM(Input!E1367&amp;""),"%","")),0)&gt;0,IFERROR(VALUE(SUBSTITUTE(TRIM(Input!E1367&amp;""),"%","")),0)&lt;1),1,100))</f>
        <v/>
      </c>
      <c r="E1367" t="str">
        <f>IF(A1367="","",IFERROR(VALUE(SUBSTITUTE(TRIM(Input!F1367&amp;""),"%","")),0)/IF(AND(IFERROR(VALUE(SUBSTITUTE(TRIM(Input!F1367&amp;""),"%","")),0)&gt;0,IFERROR(VALUE(SUBSTITUTE(TRIM(Input!F1367&amp;""),"%","")),0)&lt;1),1,100))</f>
        <v/>
      </c>
      <c r="F1367" t="str">
        <f>IF(A1367="","",IFERROR(VALUE(SUBSTITUTE(TRIM(Input!G1367&amp;""),"%","")),0)/IF(AND(IFERROR(VALUE(SUBSTITUTE(TRIM(Input!G1367&amp;""),"%","")),0)&gt;0,IFERROR(VALUE(SUBSTITUTE(TRIM(Input!G1367&amp;""),"%","")),0)&lt;1),1,100))</f>
        <v/>
      </c>
      <c r="G1367" t="str">
        <f>IF(A1367="","",IFERROR(VALUE(SUBSTITUTE(TRIM(Input!H1367&amp;""),"%","")),0)/IF(AND(IFERROR(VALUE(SUBSTITUTE(TRIM(Input!H1367&amp;""),"%","")),0)&gt;0,IFERROR(VALUE(SUBSTITUTE(TRIM(Input!H1367&amp;""),"%","")),0)&lt;1),1,100))</f>
        <v/>
      </c>
      <c r="H1367" t="str">
        <f>IF(A1367="","",IFERROR(VALUE(SUBSTITUTE(TRIM(Input!I1367&amp;""),"%","")),0)/IF(AND(IFERROR(VALUE(SUBSTITUTE(TRIM(Input!I1367&amp;""),"%","")),0)&gt;0,IFERROR(VALUE(SUBSTITUTE(TRIM(Input!I1367&amp;""),"%","")),0)&lt;1),1,100))</f>
        <v/>
      </c>
    </row>
    <row r="1368" spans="1:8">
      <c r="A1368" t="str">
        <f>IF(TRIM(Input!B1368&amp;"")="","",UPPER(TRIM(Input!B1368&amp;"")))</f>
        <v/>
      </c>
      <c r="B1368" t="str">
        <f>IF(A1368="","",IFERROR(VALUE(RIGHT(TRIM(Input!D1368&amp;""),1)),0))</f>
        <v/>
      </c>
      <c r="C1368" t="str">
        <f t="shared" si="21"/>
        <v/>
      </c>
      <c r="D1368" t="str">
        <f>IF(A1368="","",IFERROR(VALUE(SUBSTITUTE(TRIM(Input!E1368&amp;""),"%","")),0)/IF(AND(IFERROR(VALUE(SUBSTITUTE(TRIM(Input!E1368&amp;""),"%","")),0)&gt;0,IFERROR(VALUE(SUBSTITUTE(TRIM(Input!E1368&amp;""),"%","")),0)&lt;1),1,100))</f>
        <v/>
      </c>
      <c r="E1368" t="str">
        <f>IF(A1368="","",IFERROR(VALUE(SUBSTITUTE(TRIM(Input!F1368&amp;""),"%","")),0)/IF(AND(IFERROR(VALUE(SUBSTITUTE(TRIM(Input!F1368&amp;""),"%","")),0)&gt;0,IFERROR(VALUE(SUBSTITUTE(TRIM(Input!F1368&amp;""),"%","")),0)&lt;1),1,100))</f>
        <v/>
      </c>
      <c r="F1368" t="str">
        <f>IF(A1368="","",IFERROR(VALUE(SUBSTITUTE(TRIM(Input!G1368&amp;""),"%","")),0)/IF(AND(IFERROR(VALUE(SUBSTITUTE(TRIM(Input!G1368&amp;""),"%","")),0)&gt;0,IFERROR(VALUE(SUBSTITUTE(TRIM(Input!G1368&amp;""),"%","")),0)&lt;1),1,100))</f>
        <v/>
      </c>
      <c r="G1368" t="str">
        <f>IF(A1368="","",IFERROR(VALUE(SUBSTITUTE(TRIM(Input!H1368&amp;""),"%","")),0)/IF(AND(IFERROR(VALUE(SUBSTITUTE(TRIM(Input!H1368&amp;""),"%","")),0)&gt;0,IFERROR(VALUE(SUBSTITUTE(TRIM(Input!H1368&amp;""),"%","")),0)&lt;1),1,100))</f>
        <v/>
      </c>
      <c r="H1368" t="str">
        <f>IF(A1368="","",IFERROR(VALUE(SUBSTITUTE(TRIM(Input!I1368&amp;""),"%","")),0)/IF(AND(IFERROR(VALUE(SUBSTITUTE(TRIM(Input!I1368&amp;""),"%","")),0)&gt;0,IFERROR(VALUE(SUBSTITUTE(TRIM(Input!I1368&amp;""),"%","")),0)&lt;1),1,100))</f>
        <v/>
      </c>
    </row>
    <row r="1369" spans="1:8">
      <c r="A1369" t="str">
        <f>IF(TRIM(Input!B1369&amp;"")="","",UPPER(TRIM(Input!B1369&amp;"")))</f>
        <v/>
      </c>
      <c r="B1369" t="str">
        <f>IF(A1369="","",IFERROR(VALUE(RIGHT(TRIM(Input!D1369&amp;""),1)),0))</f>
        <v/>
      </c>
      <c r="C1369" t="str">
        <f t="shared" si="21"/>
        <v/>
      </c>
      <c r="D1369" t="str">
        <f>IF(A1369="","",IFERROR(VALUE(SUBSTITUTE(TRIM(Input!E1369&amp;""),"%","")),0)/IF(AND(IFERROR(VALUE(SUBSTITUTE(TRIM(Input!E1369&amp;""),"%","")),0)&gt;0,IFERROR(VALUE(SUBSTITUTE(TRIM(Input!E1369&amp;""),"%","")),0)&lt;1),1,100))</f>
        <v/>
      </c>
      <c r="E1369" t="str">
        <f>IF(A1369="","",IFERROR(VALUE(SUBSTITUTE(TRIM(Input!F1369&amp;""),"%","")),0)/IF(AND(IFERROR(VALUE(SUBSTITUTE(TRIM(Input!F1369&amp;""),"%","")),0)&gt;0,IFERROR(VALUE(SUBSTITUTE(TRIM(Input!F1369&amp;""),"%","")),0)&lt;1),1,100))</f>
        <v/>
      </c>
      <c r="F1369" t="str">
        <f>IF(A1369="","",IFERROR(VALUE(SUBSTITUTE(TRIM(Input!G1369&amp;""),"%","")),0)/IF(AND(IFERROR(VALUE(SUBSTITUTE(TRIM(Input!G1369&amp;""),"%","")),0)&gt;0,IFERROR(VALUE(SUBSTITUTE(TRIM(Input!G1369&amp;""),"%","")),0)&lt;1),1,100))</f>
        <v/>
      </c>
      <c r="G1369" t="str">
        <f>IF(A1369="","",IFERROR(VALUE(SUBSTITUTE(TRIM(Input!H1369&amp;""),"%","")),0)/IF(AND(IFERROR(VALUE(SUBSTITUTE(TRIM(Input!H1369&amp;""),"%","")),0)&gt;0,IFERROR(VALUE(SUBSTITUTE(TRIM(Input!H1369&amp;""),"%","")),0)&lt;1),1,100))</f>
        <v/>
      </c>
      <c r="H1369" t="str">
        <f>IF(A1369="","",IFERROR(VALUE(SUBSTITUTE(TRIM(Input!I1369&amp;""),"%","")),0)/IF(AND(IFERROR(VALUE(SUBSTITUTE(TRIM(Input!I1369&amp;""),"%","")),0)&gt;0,IFERROR(VALUE(SUBSTITUTE(TRIM(Input!I1369&amp;""),"%","")),0)&lt;1),1,100))</f>
        <v/>
      </c>
    </row>
    <row r="1370" spans="1:8">
      <c r="A1370" t="str">
        <f>IF(TRIM(Input!B1370&amp;"")="","",UPPER(TRIM(Input!B1370&amp;"")))</f>
        <v/>
      </c>
      <c r="B1370" t="str">
        <f>IF(A1370="","",IFERROR(VALUE(RIGHT(TRIM(Input!D1370&amp;""),1)),0))</f>
        <v/>
      </c>
      <c r="C1370" t="str">
        <f t="shared" si="21"/>
        <v/>
      </c>
      <c r="D1370" t="str">
        <f>IF(A1370="","",IFERROR(VALUE(SUBSTITUTE(TRIM(Input!E1370&amp;""),"%","")),0)/IF(AND(IFERROR(VALUE(SUBSTITUTE(TRIM(Input!E1370&amp;""),"%","")),0)&gt;0,IFERROR(VALUE(SUBSTITUTE(TRIM(Input!E1370&amp;""),"%","")),0)&lt;1),1,100))</f>
        <v/>
      </c>
      <c r="E1370" t="str">
        <f>IF(A1370="","",IFERROR(VALUE(SUBSTITUTE(TRIM(Input!F1370&amp;""),"%","")),0)/IF(AND(IFERROR(VALUE(SUBSTITUTE(TRIM(Input!F1370&amp;""),"%","")),0)&gt;0,IFERROR(VALUE(SUBSTITUTE(TRIM(Input!F1370&amp;""),"%","")),0)&lt;1),1,100))</f>
        <v/>
      </c>
      <c r="F1370" t="str">
        <f>IF(A1370="","",IFERROR(VALUE(SUBSTITUTE(TRIM(Input!G1370&amp;""),"%","")),0)/IF(AND(IFERROR(VALUE(SUBSTITUTE(TRIM(Input!G1370&amp;""),"%","")),0)&gt;0,IFERROR(VALUE(SUBSTITUTE(TRIM(Input!G1370&amp;""),"%","")),0)&lt;1),1,100))</f>
        <v/>
      </c>
      <c r="G1370" t="str">
        <f>IF(A1370="","",IFERROR(VALUE(SUBSTITUTE(TRIM(Input!H1370&amp;""),"%","")),0)/IF(AND(IFERROR(VALUE(SUBSTITUTE(TRIM(Input!H1370&amp;""),"%","")),0)&gt;0,IFERROR(VALUE(SUBSTITUTE(TRIM(Input!H1370&amp;""),"%","")),0)&lt;1),1,100))</f>
        <v/>
      </c>
      <c r="H1370" t="str">
        <f>IF(A1370="","",IFERROR(VALUE(SUBSTITUTE(TRIM(Input!I1370&amp;""),"%","")),0)/IF(AND(IFERROR(VALUE(SUBSTITUTE(TRIM(Input!I1370&amp;""),"%","")),0)&gt;0,IFERROR(VALUE(SUBSTITUTE(TRIM(Input!I1370&amp;""),"%","")),0)&lt;1),1,100))</f>
        <v/>
      </c>
    </row>
    <row r="1371" spans="1:8">
      <c r="A1371" t="str">
        <f>IF(TRIM(Input!B1371&amp;"")="","",UPPER(TRIM(Input!B1371&amp;"")))</f>
        <v/>
      </c>
      <c r="B1371" t="str">
        <f>IF(A1371="","",IFERROR(VALUE(RIGHT(TRIM(Input!D1371&amp;""),1)),0))</f>
        <v/>
      </c>
      <c r="C1371" t="str">
        <f t="shared" si="21"/>
        <v/>
      </c>
      <c r="D1371" t="str">
        <f>IF(A1371="","",IFERROR(VALUE(SUBSTITUTE(TRIM(Input!E1371&amp;""),"%","")),0)/IF(AND(IFERROR(VALUE(SUBSTITUTE(TRIM(Input!E1371&amp;""),"%","")),0)&gt;0,IFERROR(VALUE(SUBSTITUTE(TRIM(Input!E1371&amp;""),"%","")),0)&lt;1),1,100))</f>
        <v/>
      </c>
      <c r="E1371" t="str">
        <f>IF(A1371="","",IFERROR(VALUE(SUBSTITUTE(TRIM(Input!F1371&amp;""),"%","")),0)/IF(AND(IFERROR(VALUE(SUBSTITUTE(TRIM(Input!F1371&amp;""),"%","")),0)&gt;0,IFERROR(VALUE(SUBSTITUTE(TRIM(Input!F1371&amp;""),"%","")),0)&lt;1),1,100))</f>
        <v/>
      </c>
      <c r="F1371" t="str">
        <f>IF(A1371="","",IFERROR(VALUE(SUBSTITUTE(TRIM(Input!G1371&amp;""),"%","")),0)/IF(AND(IFERROR(VALUE(SUBSTITUTE(TRIM(Input!G1371&amp;""),"%","")),0)&gt;0,IFERROR(VALUE(SUBSTITUTE(TRIM(Input!G1371&amp;""),"%","")),0)&lt;1),1,100))</f>
        <v/>
      </c>
      <c r="G1371" t="str">
        <f>IF(A1371="","",IFERROR(VALUE(SUBSTITUTE(TRIM(Input!H1371&amp;""),"%","")),0)/IF(AND(IFERROR(VALUE(SUBSTITUTE(TRIM(Input!H1371&amp;""),"%","")),0)&gt;0,IFERROR(VALUE(SUBSTITUTE(TRIM(Input!H1371&amp;""),"%","")),0)&lt;1),1,100))</f>
        <v/>
      </c>
      <c r="H1371" t="str">
        <f>IF(A1371="","",IFERROR(VALUE(SUBSTITUTE(TRIM(Input!I1371&amp;""),"%","")),0)/IF(AND(IFERROR(VALUE(SUBSTITUTE(TRIM(Input!I1371&amp;""),"%","")),0)&gt;0,IFERROR(VALUE(SUBSTITUTE(TRIM(Input!I1371&amp;""),"%","")),0)&lt;1),1,100))</f>
        <v/>
      </c>
    </row>
    <row r="1372" spans="1:8">
      <c r="A1372" t="str">
        <f>IF(TRIM(Input!B1372&amp;"")="","",UPPER(TRIM(Input!B1372&amp;"")))</f>
        <v/>
      </c>
      <c r="B1372" t="str">
        <f>IF(A1372="","",IFERROR(VALUE(RIGHT(TRIM(Input!D1372&amp;""),1)),0))</f>
        <v/>
      </c>
      <c r="C1372" t="str">
        <f t="shared" si="21"/>
        <v/>
      </c>
      <c r="D1372" t="str">
        <f>IF(A1372="","",IFERROR(VALUE(SUBSTITUTE(TRIM(Input!E1372&amp;""),"%","")),0)/IF(AND(IFERROR(VALUE(SUBSTITUTE(TRIM(Input!E1372&amp;""),"%","")),0)&gt;0,IFERROR(VALUE(SUBSTITUTE(TRIM(Input!E1372&amp;""),"%","")),0)&lt;1),1,100))</f>
        <v/>
      </c>
      <c r="E1372" t="str">
        <f>IF(A1372="","",IFERROR(VALUE(SUBSTITUTE(TRIM(Input!F1372&amp;""),"%","")),0)/IF(AND(IFERROR(VALUE(SUBSTITUTE(TRIM(Input!F1372&amp;""),"%","")),0)&gt;0,IFERROR(VALUE(SUBSTITUTE(TRIM(Input!F1372&amp;""),"%","")),0)&lt;1),1,100))</f>
        <v/>
      </c>
      <c r="F1372" t="str">
        <f>IF(A1372="","",IFERROR(VALUE(SUBSTITUTE(TRIM(Input!G1372&amp;""),"%","")),0)/IF(AND(IFERROR(VALUE(SUBSTITUTE(TRIM(Input!G1372&amp;""),"%","")),0)&gt;0,IFERROR(VALUE(SUBSTITUTE(TRIM(Input!G1372&amp;""),"%","")),0)&lt;1),1,100))</f>
        <v/>
      </c>
      <c r="G1372" t="str">
        <f>IF(A1372="","",IFERROR(VALUE(SUBSTITUTE(TRIM(Input!H1372&amp;""),"%","")),0)/IF(AND(IFERROR(VALUE(SUBSTITUTE(TRIM(Input!H1372&amp;""),"%","")),0)&gt;0,IFERROR(VALUE(SUBSTITUTE(TRIM(Input!H1372&amp;""),"%","")),0)&lt;1),1,100))</f>
        <v/>
      </c>
      <c r="H1372" t="str">
        <f>IF(A1372="","",IFERROR(VALUE(SUBSTITUTE(TRIM(Input!I1372&amp;""),"%","")),0)/IF(AND(IFERROR(VALUE(SUBSTITUTE(TRIM(Input!I1372&amp;""),"%","")),0)&gt;0,IFERROR(VALUE(SUBSTITUTE(TRIM(Input!I1372&amp;""),"%","")),0)&lt;1),1,100))</f>
        <v/>
      </c>
    </row>
    <row r="1373" spans="1:8">
      <c r="A1373" t="str">
        <f>IF(TRIM(Input!B1373&amp;"")="","",UPPER(TRIM(Input!B1373&amp;"")))</f>
        <v/>
      </c>
      <c r="B1373" t="str">
        <f>IF(A1373="","",IFERROR(VALUE(RIGHT(TRIM(Input!D1373&amp;""),1)),0))</f>
        <v/>
      </c>
      <c r="C1373" t="str">
        <f t="shared" si="21"/>
        <v/>
      </c>
      <c r="D1373" t="str">
        <f>IF(A1373="","",IFERROR(VALUE(SUBSTITUTE(TRIM(Input!E1373&amp;""),"%","")),0)/IF(AND(IFERROR(VALUE(SUBSTITUTE(TRIM(Input!E1373&amp;""),"%","")),0)&gt;0,IFERROR(VALUE(SUBSTITUTE(TRIM(Input!E1373&amp;""),"%","")),0)&lt;1),1,100))</f>
        <v/>
      </c>
      <c r="E1373" t="str">
        <f>IF(A1373="","",IFERROR(VALUE(SUBSTITUTE(TRIM(Input!F1373&amp;""),"%","")),0)/IF(AND(IFERROR(VALUE(SUBSTITUTE(TRIM(Input!F1373&amp;""),"%","")),0)&gt;0,IFERROR(VALUE(SUBSTITUTE(TRIM(Input!F1373&amp;""),"%","")),0)&lt;1),1,100))</f>
        <v/>
      </c>
      <c r="F1373" t="str">
        <f>IF(A1373="","",IFERROR(VALUE(SUBSTITUTE(TRIM(Input!G1373&amp;""),"%","")),0)/IF(AND(IFERROR(VALUE(SUBSTITUTE(TRIM(Input!G1373&amp;""),"%","")),0)&gt;0,IFERROR(VALUE(SUBSTITUTE(TRIM(Input!G1373&amp;""),"%","")),0)&lt;1),1,100))</f>
        <v/>
      </c>
      <c r="G1373" t="str">
        <f>IF(A1373="","",IFERROR(VALUE(SUBSTITUTE(TRIM(Input!H1373&amp;""),"%","")),0)/IF(AND(IFERROR(VALUE(SUBSTITUTE(TRIM(Input!H1373&amp;""),"%","")),0)&gt;0,IFERROR(VALUE(SUBSTITUTE(TRIM(Input!H1373&amp;""),"%","")),0)&lt;1),1,100))</f>
        <v/>
      </c>
      <c r="H1373" t="str">
        <f>IF(A1373="","",IFERROR(VALUE(SUBSTITUTE(TRIM(Input!I1373&amp;""),"%","")),0)/IF(AND(IFERROR(VALUE(SUBSTITUTE(TRIM(Input!I1373&amp;""),"%","")),0)&gt;0,IFERROR(VALUE(SUBSTITUTE(TRIM(Input!I1373&amp;""),"%","")),0)&lt;1),1,100))</f>
        <v/>
      </c>
    </row>
    <row r="1374" spans="1:8">
      <c r="A1374" t="str">
        <f>IF(TRIM(Input!B1374&amp;"")="","",UPPER(TRIM(Input!B1374&amp;"")))</f>
        <v/>
      </c>
      <c r="B1374" t="str">
        <f>IF(A1374="","",IFERROR(VALUE(RIGHT(TRIM(Input!D1374&amp;""),1)),0))</f>
        <v/>
      </c>
      <c r="C1374" t="str">
        <f t="shared" si="21"/>
        <v/>
      </c>
      <c r="D1374" t="str">
        <f>IF(A1374="","",IFERROR(VALUE(SUBSTITUTE(TRIM(Input!E1374&amp;""),"%","")),0)/IF(AND(IFERROR(VALUE(SUBSTITUTE(TRIM(Input!E1374&amp;""),"%","")),0)&gt;0,IFERROR(VALUE(SUBSTITUTE(TRIM(Input!E1374&amp;""),"%","")),0)&lt;1),1,100))</f>
        <v/>
      </c>
      <c r="E1374" t="str">
        <f>IF(A1374="","",IFERROR(VALUE(SUBSTITUTE(TRIM(Input!F1374&amp;""),"%","")),0)/IF(AND(IFERROR(VALUE(SUBSTITUTE(TRIM(Input!F1374&amp;""),"%","")),0)&gt;0,IFERROR(VALUE(SUBSTITUTE(TRIM(Input!F1374&amp;""),"%","")),0)&lt;1),1,100))</f>
        <v/>
      </c>
      <c r="F1374" t="str">
        <f>IF(A1374="","",IFERROR(VALUE(SUBSTITUTE(TRIM(Input!G1374&amp;""),"%","")),0)/IF(AND(IFERROR(VALUE(SUBSTITUTE(TRIM(Input!G1374&amp;""),"%","")),0)&gt;0,IFERROR(VALUE(SUBSTITUTE(TRIM(Input!G1374&amp;""),"%","")),0)&lt;1),1,100))</f>
        <v/>
      </c>
      <c r="G1374" t="str">
        <f>IF(A1374="","",IFERROR(VALUE(SUBSTITUTE(TRIM(Input!H1374&amp;""),"%","")),0)/IF(AND(IFERROR(VALUE(SUBSTITUTE(TRIM(Input!H1374&amp;""),"%","")),0)&gt;0,IFERROR(VALUE(SUBSTITUTE(TRIM(Input!H1374&amp;""),"%","")),0)&lt;1),1,100))</f>
        <v/>
      </c>
      <c r="H1374" t="str">
        <f>IF(A1374="","",IFERROR(VALUE(SUBSTITUTE(TRIM(Input!I1374&amp;""),"%","")),0)/IF(AND(IFERROR(VALUE(SUBSTITUTE(TRIM(Input!I1374&amp;""),"%","")),0)&gt;0,IFERROR(VALUE(SUBSTITUTE(TRIM(Input!I1374&amp;""),"%","")),0)&lt;1),1,100))</f>
        <v/>
      </c>
    </row>
    <row r="1375" spans="1:8">
      <c r="A1375" t="str">
        <f>IF(TRIM(Input!B1375&amp;"")="","",UPPER(TRIM(Input!B1375&amp;"")))</f>
        <v/>
      </c>
      <c r="B1375" t="str">
        <f>IF(A1375="","",IFERROR(VALUE(RIGHT(TRIM(Input!D1375&amp;""),1)),0))</f>
        <v/>
      </c>
      <c r="C1375" t="str">
        <f t="shared" si="21"/>
        <v/>
      </c>
      <c r="D1375" t="str">
        <f>IF(A1375="","",IFERROR(VALUE(SUBSTITUTE(TRIM(Input!E1375&amp;""),"%","")),0)/IF(AND(IFERROR(VALUE(SUBSTITUTE(TRIM(Input!E1375&amp;""),"%","")),0)&gt;0,IFERROR(VALUE(SUBSTITUTE(TRIM(Input!E1375&amp;""),"%","")),0)&lt;1),1,100))</f>
        <v/>
      </c>
      <c r="E1375" t="str">
        <f>IF(A1375="","",IFERROR(VALUE(SUBSTITUTE(TRIM(Input!F1375&amp;""),"%","")),0)/IF(AND(IFERROR(VALUE(SUBSTITUTE(TRIM(Input!F1375&amp;""),"%","")),0)&gt;0,IFERROR(VALUE(SUBSTITUTE(TRIM(Input!F1375&amp;""),"%","")),0)&lt;1),1,100))</f>
        <v/>
      </c>
      <c r="F1375" t="str">
        <f>IF(A1375="","",IFERROR(VALUE(SUBSTITUTE(TRIM(Input!G1375&amp;""),"%","")),0)/IF(AND(IFERROR(VALUE(SUBSTITUTE(TRIM(Input!G1375&amp;""),"%","")),0)&gt;0,IFERROR(VALUE(SUBSTITUTE(TRIM(Input!G1375&amp;""),"%","")),0)&lt;1),1,100))</f>
        <v/>
      </c>
      <c r="G1375" t="str">
        <f>IF(A1375="","",IFERROR(VALUE(SUBSTITUTE(TRIM(Input!H1375&amp;""),"%","")),0)/IF(AND(IFERROR(VALUE(SUBSTITUTE(TRIM(Input!H1375&amp;""),"%","")),0)&gt;0,IFERROR(VALUE(SUBSTITUTE(TRIM(Input!H1375&amp;""),"%","")),0)&lt;1),1,100))</f>
        <v/>
      </c>
      <c r="H1375" t="str">
        <f>IF(A1375="","",IFERROR(VALUE(SUBSTITUTE(TRIM(Input!I1375&amp;""),"%","")),0)/IF(AND(IFERROR(VALUE(SUBSTITUTE(TRIM(Input!I1375&amp;""),"%","")),0)&gt;0,IFERROR(VALUE(SUBSTITUTE(TRIM(Input!I1375&amp;""),"%","")),0)&lt;1),1,100))</f>
        <v/>
      </c>
    </row>
    <row r="1376" spans="1:8">
      <c r="A1376" t="str">
        <f>IF(TRIM(Input!B1376&amp;"")="","",UPPER(TRIM(Input!B1376&amp;"")))</f>
        <v/>
      </c>
      <c r="B1376" t="str">
        <f>IF(A1376="","",IFERROR(VALUE(RIGHT(TRIM(Input!D1376&amp;""),1)),0))</f>
        <v/>
      </c>
      <c r="C1376" t="str">
        <f t="shared" si="21"/>
        <v/>
      </c>
      <c r="D1376" t="str">
        <f>IF(A1376="","",IFERROR(VALUE(SUBSTITUTE(TRIM(Input!E1376&amp;""),"%","")),0)/IF(AND(IFERROR(VALUE(SUBSTITUTE(TRIM(Input!E1376&amp;""),"%","")),0)&gt;0,IFERROR(VALUE(SUBSTITUTE(TRIM(Input!E1376&amp;""),"%","")),0)&lt;1),1,100))</f>
        <v/>
      </c>
      <c r="E1376" t="str">
        <f>IF(A1376="","",IFERROR(VALUE(SUBSTITUTE(TRIM(Input!F1376&amp;""),"%","")),0)/IF(AND(IFERROR(VALUE(SUBSTITUTE(TRIM(Input!F1376&amp;""),"%","")),0)&gt;0,IFERROR(VALUE(SUBSTITUTE(TRIM(Input!F1376&amp;""),"%","")),0)&lt;1),1,100))</f>
        <v/>
      </c>
      <c r="F1376" t="str">
        <f>IF(A1376="","",IFERROR(VALUE(SUBSTITUTE(TRIM(Input!G1376&amp;""),"%","")),0)/IF(AND(IFERROR(VALUE(SUBSTITUTE(TRIM(Input!G1376&amp;""),"%","")),0)&gt;0,IFERROR(VALUE(SUBSTITUTE(TRIM(Input!G1376&amp;""),"%","")),0)&lt;1),1,100))</f>
        <v/>
      </c>
      <c r="G1376" t="str">
        <f>IF(A1376="","",IFERROR(VALUE(SUBSTITUTE(TRIM(Input!H1376&amp;""),"%","")),0)/IF(AND(IFERROR(VALUE(SUBSTITUTE(TRIM(Input!H1376&amp;""),"%","")),0)&gt;0,IFERROR(VALUE(SUBSTITUTE(TRIM(Input!H1376&amp;""),"%","")),0)&lt;1),1,100))</f>
        <v/>
      </c>
      <c r="H1376" t="str">
        <f>IF(A1376="","",IFERROR(VALUE(SUBSTITUTE(TRIM(Input!I1376&amp;""),"%","")),0)/IF(AND(IFERROR(VALUE(SUBSTITUTE(TRIM(Input!I1376&amp;""),"%","")),0)&gt;0,IFERROR(VALUE(SUBSTITUTE(TRIM(Input!I1376&amp;""),"%","")),0)&lt;1),1,100))</f>
        <v/>
      </c>
    </row>
    <row r="1377" spans="1:8">
      <c r="A1377" t="str">
        <f>IF(TRIM(Input!B1377&amp;"")="","",UPPER(TRIM(Input!B1377&amp;"")))</f>
        <v/>
      </c>
      <c r="B1377" t="str">
        <f>IF(A1377="","",IFERROR(VALUE(RIGHT(TRIM(Input!D1377&amp;""),1)),0))</f>
        <v/>
      </c>
      <c r="C1377" t="str">
        <f t="shared" si="21"/>
        <v/>
      </c>
      <c r="D1377" t="str">
        <f>IF(A1377="","",IFERROR(VALUE(SUBSTITUTE(TRIM(Input!E1377&amp;""),"%","")),0)/IF(AND(IFERROR(VALUE(SUBSTITUTE(TRIM(Input!E1377&amp;""),"%","")),0)&gt;0,IFERROR(VALUE(SUBSTITUTE(TRIM(Input!E1377&amp;""),"%","")),0)&lt;1),1,100))</f>
        <v/>
      </c>
      <c r="E1377" t="str">
        <f>IF(A1377="","",IFERROR(VALUE(SUBSTITUTE(TRIM(Input!F1377&amp;""),"%","")),0)/IF(AND(IFERROR(VALUE(SUBSTITUTE(TRIM(Input!F1377&amp;""),"%","")),0)&gt;0,IFERROR(VALUE(SUBSTITUTE(TRIM(Input!F1377&amp;""),"%","")),0)&lt;1),1,100))</f>
        <v/>
      </c>
      <c r="F1377" t="str">
        <f>IF(A1377="","",IFERROR(VALUE(SUBSTITUTE(TRIM(Input!G1377&amp;""),"%","")),0)/IF(AND(IFERROR(VALUE(SUBSTITUTE(TRIM(Input!G1377&amp;""),"%","")),0)&gt;0,IFERROR(VALUE(SUBSTITUTE(TRIM(Input!G1377&amp;""),"%","")),0)&lt;1),1,100))</f>
        <v/>
      </c>
      <c r="G1377" t="str">
        <f>IF(A1377="","",IFERROR(VALUE(SUBSTITUTE(TRIM(Input!H1377&amp;""),"%","")),0)/IF(AND(IFERROR(VALUE(SUBSTITUTE(TRIM(Input!H1377&amp;""),"%","")),0)&gt;0,IFERROR(VALUE(SUBSTITUTE(TRIM(Input!H1377&amp;""),"%","")),0)&lt;1),1,100))</f>
        <v/>
      </c>
      <c r="H1377" t="str">
        <f>IF(A1377="","",IFERROR(VALUE(SUBSTITUTE(TRIM(Input!I1377&amp;""),"%","")),0)/IF(AND(IFERROR(VALUE(SUBSTITUTE(TRIM(Input!I1377&amp;""),"%","")),0)&gt;0,IFERROR(VALUE(SUBSTITUTE(TRIM(Input!I1377&amp;""),"%","")),0)&lt;1),1,100))</f>
        <v/>
      </c>
    </row>
    <row r="1378" spans="1:8">
      <c r="A1378" t="str">
        <f>IF(TRIM(Input!B1378&amp;"")="","",UPPER(TRIM(Input!B1378&amp;"")))</f>
        <v/>
      </c>
      <c r="B1378" t="str">
        <f>IF(A1378="","",IFERROR(VALUE(RIGHT(TRIM(Input!D1378&amp;""),1)),0))</f>
        <v/>
      </c>
      <c r="C1378" t="str">
        <f t="shared" si="21"/>
        <v/>
      </c>
      <c r="D1378" t="str">
        <f>IF(A1378="","",IFERROR(VALUE(SUBSTITUTE(TRIM(Input!E1378&amp;""),"%","")),0)/IF(AND(IFERROR(VALUE(SUBSTITUTE(TRIM(Input!E1378&amp;""),"%","")),0)&gt;0,IFERROR(VALUE(SUBSTITUTE(TRIM(Input!E1378&amp;""),"%","")),0)&lt;1),1,100))</f>
        <v/>
      </c>
      <c r="E1378" t="str">
        <f>IF(A1378="","",IFERROR(VALUE(SUBSTITUTE(TRIM(Input!F1378&amp;""),"%","")),0)/IF(AND(IFERROR(VALUE(SUBSTITUTE(TRIM(Input!F1378&amp;""),"%","")),0)&gt;0,IFERROR(VALUE(SUBSTITUTE(TRIM(Input!F1378&amp;""),"%","")),0)&lt;1),1,100))</f>
        <v/>
      </c>
      <c r="F1378" t="str">
        <f>IF(A1378="","",IFERROR(VALUE(SUBSTITUTE(TRIM(Input!G1378&amp;""),"%","")),0)/IF(AND(IFERROR(VALUE(SUBSTITUTE(TRIM(Input!G1378&amp;""),"%","")),0)&gt;0,IFERROR(VALUE(SUBSTITUTE(TRIM(Input!G1378&amp;""),"%","")),0)&lt;1),1,100))</f>
        <v/>
      </c>
      <c r="G1378" t="str">
        <f>IF(A1378="","",IFERROR(VALUE(SUBSTITUTE(TRIM(Input!H1378&amp;""),"%","")),0)/IF(AND(IFERROR(VALUE(SUBSTITUTE(TRIM(Input!H1378&amp;""),"%","")),0)&gt;0,IFERROR(VALUE(SUBSTITUTE(TRIM(Input!H1378&amp;""),"%","")),0)&lt;1),1,100))</f>
        <v/>
      </c>
      <c r="H1378" t="str">
        <f>IF(A1378="","",IFERROR(VALUE(SUBSTITUTE(TRIM(Input!I1378&amp;""),"%","")),0)/IF(AND(IFERROR(VALUE(SUBSTITUTE(TRIM(Input!I1378&amp;""),"%","")),0)&gt;0,IFERROR(VALUE(SUBSTITUTE(TRIM(Input!I1378&amp;""),"%","")),0)&lt;1),1,100))</f>
        <v/>
      </c>
    </row>
    <row r="1379" spans="1:8">
      <c r="A1379" t="str">
        <f>IF(TRIM(Input!B1379&amp;"")="","",UPPER(TRIM(Input!B1379&amp;"")))</f>
        <v/>
      </c>
      <c r="B1379" t="str">
        <f>IF(A1379="","",IFERROR(VALUE(RIGHT(TRIM(Input!D1379&amp;""),1)),0))</f>
        <v/>
      </c>
      <c r="C1379" t="str">
        <f t="shared" si="21"/>
        <v/>
      </c>
      <c r="D1379" t="str">
        <f>IF(A1379="","",IFERROR(VALUE(SUBSTITUTE(TRIM(Input!E1379&amp;""),"%","")),0)/IF(AND(IFERROR(VALUE(SUBSTITUTE(TRIM(Input!E1379&amp;""),"%","")),0)&gt;0,IFERROR(VALUE(SUBSTITUTE(TRIM(Input!E1379&amp;""),"%","")),0)&lt;1),1,100))</f>
        <v/>
      </c>
      <c r="E1379" t="str">
        <f>IF(A1379="","",IFERROR(VALUE(SUBSTITUTE(TRIM(Input!F1379&amp;""),"%","")),0)/IF(AND(IFERROR(VALUE(SUBSTITUTE(TRIM(Input!F1379&amp;""),"%","")),0)&gt;0,IFERROR(VALUE(SUBSTITUTE(TRIM(Input!F1379&amp;""),"%","")),0)&lt;1),1,100))</f>
        <v/>
      </c>
      <c r="F1379" t="str">
        <f>IF(A1379="","",IFERROR(VALUE(SUBSTITUTE(TRIM(Input!G1379&amp;""),"%","")),0)/IF(AND(IFERROR(VALUE(SUBSTITUTE(TRIM(Input!G1379&amp;""),"%","")),0)&gt;0,IFERROR(VALUE(SUBSTITUTE(TRIM(Input!G1379&amp;""),"%","")),0)&lt;1),1,100))</f>
        <v/>
      </c>
      <c r="G1379" t="str">
        <f>IF(A1379="","",IFERROR(VALUE(SUBSTITUTE(TRIM(Input!H1379&amp;""),"%","")),0)/IF(AND(IFERROR(VALUE(SUBSTITUTE(TRIM(Input!H1379&amp;""),"%","")),0)&gt;0,IFERROR(VALUE(SUBSTITUTE(TRIM(Input!H1379&amp;""),"%","")),0)&lt;1),1,100))</f>
        <v/>
      </c>
      <c r="H1379" t="str">
        <f>IF(A1379="","",IFERROR(VALUE(SUBSTITUTE(TRIM(Input!I1379&amp;""),"%","")),0)/IF(AND(IFERROR(VALUE(SUBSTITUTE(TRIM(Input!I1379&amp;""),"%","")),0)&gt;0,IFERROR(VALUE(SUBSTITUTE(TRIM(Input!I1379&amp;""),"%","")),0)&lt;1),1,100))</f>
        <v/>
      </c>
    </row>
    <row r="1380" spans="1:8">
      <c r="A1380" t="str">
        <f>IF(TRIM(Input!B1380&amp;"")="","",UPPER(TRIM(Input!B1380&amp;"")))</f>
        <v/>
      </c>
      <c r="B1380" t="str">
        <f>IF(A1380="","",IFERROR(VALUE(RIGHT(TRIM(Input!D1380&amp;""),1)),0))</f>
        <v/>
      </c>
      <c r="C1380" t="str">
        <f t="shared" si="21"/>
        <v/>
      </c>
      <c r="D1380" t="str">
        <f>IF(A1380="","",IFERROR(VALUE(SUBSTITUTE(TRIM(Input!E1380&amp;""),"%","")),0)/IF(AND(IFERROR(VALUE(SUBSTITUTE(TRIM(Input!E1380&amp;""),"%","")),0)&gt;0,IFERROR(VALUE(SUBSTITUTE(TRIM(Input!E1380&amp;""),"%","")),0)&lt;1),1,100))</f>
        <v/>
      </c>
      <c r="E1380" t="str">
        <f>IF(A1380="","",IFERROR(VALUE(SUBSTITUTE(TRIM(Input!F1380&amp;""),"%","")),0)/IF(AND(IFERROR(VALUE(SUBSTITUTE(TRIM(Input!F1380&amp;""),"%","")),0)&gt;0,IFERROR(VALUE(SUBSTITUTE(TRIM(Input!F1380&amp;""),"%","")),0)&lt;1),1,100))</f>
        <v/>
      </c>
      <c r="F1380" t="str">
        <f>IF(A1380="","",IFERROR(VALUE(SUBSTITUTE(TRIM(Input!G1380&amp;""),"%","")),0)/IF(AND(IFERROR(VALUE(SUBSTITUTE(TRIM(Input!G1380&amp;""),"%","")),0)&gt;0,IFERROR(VALUE(SUBSTITUTE(TRIM(Input!G1380&amp;""),"%","")),0)&lt;1),1,100))</f>
        <v/>
      </c>
      <c r="G1380" t="str">
        <f>IF(A1380="","",IFERROR(VALUE(SUBSTITUTE(TRIM(Input!H1380&amp;""),"%","")),0)/IF(AND(IFERROR(VALUE(SUBSTITUTE(TRIM(Input!H1380&amp;""),"%","")),0)&gt;0,IFERROR(VALUE(SUBSTITUTE(TRIM(Input!H1380&amp;""),"%","")),0)&lt;1),1,100))</f>
        <v/>
      </c>
      <c r="H1380" t="str">
        <f>IF(A1380="","",IFERROR(VALUE(SUBSTITUTE(TRIM(Input!I1380&amp;""),"%","")),0)/IF(AND(IFERROR(VALUE(SUBSTITUTE(TRIM(Input!I1380&amp;""),"%","")),0)&gt;0,IFERROR(VALUE(SUBSTITUTE(TRIM(Input!I1380&amp;""),"%","")),0)&lt;1),1,100))</f>
        <v/>
      </c>
    </row>
    <row r="1381" spans="1:8">
      <c r="A1381" t="str">
        <f>IF(TRIM(Input!B1381&amp;"")="","",UPPER(TRIM(Input!B1381&amp;"")))</f>
        <v/>
      </c>
      <c r="B1381" t="str">
        <f>IF(A1381="","",IFERROR(VALUE(RIGHT(TRIM(Input!D1381&amp;""),1)),0))</f>
        <v/>
      </c>
      <c r="C1381" t="str">
        <f t="shared" si="21"/>
        <v/>
      </c>
      <c r="D1381" t="str">
        <f>IF(A1381="","",IFERROR(VALUE(SUBSTITUTE(TRIM(Input!E1381&amp;""),"%","")),0)/IF(AND(IFERROR(VALUE(SUBSTITUTE(TRIM(Input!E1381&amp;""),"%","")),0)&gt;0,IFERROR(VALUE(SUBSTITUTE(TRIM(Input!E1381&amp;""),"%","")),0)&lt;1),1,100))</f>
        <v/>
      </c>
      <c r="E1381" t="str">
        <f>IF(A1381="","",IFERROR(VALUE(SUBSTITUTE(TRIM(Input!F1381&amp;""),"%","")),0)/IF(AND(IFERROR(VALUE(SUBSTITUTE(TRIM(Input!F1381&amp;""),"%","")),0)&gt;0,IFERROR(VALUE(SUBSTITUTE(TRIM(Input!F1381&amp;""),"%","")),0)&lt;1),1,100))</f>
        <v/>
      </c>
      <c r="F1381" t="str">
        <f>IF(A1381="","",IFERROR(VALUE(SUBSTITUTE(TRIM(Input!G1381&amp;""),"%","")),0)/IF(AND(IFERROR(VALUE(SUBSTITUTE(TRIM(Input!G1381&amp;""),"%","")),0)&gt;0,IFERROR(VALUE(SUBSTITUTE(TRIM(Input!G1381&amp;""),"%","")),0)&lt;1),1,100))</f>
        <v/>
      </c>
      <c r="G1381" t="str">
        <f>IF(A1381="","",IFERROR(VALUE(SUBSTITUTE(TRIM(Input!H1381&amp;""),"%","")),0)/IF(AND(IFERROR(VALUE(SUBSTITUTE(TRIM(Input!H1381&amp;""),"%","")),0)&gt;0,IFERROR(VALUE(SUBSTITUTE(TRIM(Input!H1381&amp;""),"%","")),0)&lt;1),1,100))</f>
        <v/>
      </c>
      <c r="H1381" t="str">
        <f>IF(A1381="","",IFERROR(VALUE(SUBSTITUTE(TRIM(Input!I1381&amp;""),"%","")),0)/IF(AND(IFERROR(VALUE(SUBSTITUTE(TRIM(Input!I1381&amp;""),"%","")),0)&gt;0,IFERROR(VALUE(SUBSTITUTE(TRIM(Input!I1381&amp;""),"%","")),0)&lt;1),1,100))</f>
        <v/>
      </c>
    </row>
    <row r="1382" spans="1:8">
      <c r="A1382" t="str">
        <f>IF(TRIM(Input!B1382&amp;"")="","",UPPER(TRIM(Input!B1382&amp;"")))</f>
        <v/>
      </c>
      <c r="B1382" t="str">
        <f>IF(A1382="","",IFERROR(VALUE(RIGHT(TRIM(Input!D1382&amp;""),1)),0))</f>
        <v/>
      </c>
      <c r="C1382" t="str">
        <f t="shared" si="21"/>
        <v/>
      </c>
      <c r="D1382" t="str">
        <f>IF(A1382="","",IFERROR(VALUE(SUBSTITUTE(TRIM(Input!E1382&amp;""),"%","")),0)/IF(AND(IFERROR(VALUE(SUBSTITUTE(TRIM(Input!E1382&amp;""),"%","")),0)&gt;0,IFERROR(VALUE(SUBSTITUTE(TRIM(Input!E1382&amp;""),"%","")),0)&lt;1),1,100))</f>
        <v/>
      </c>
      <c r="E1382" t="str">
        <f>IF(A1382="","",IFERROR(VALUE(SUBSTITUTE(TRIM(Input!F1382&amp;""),"%","")),0)/IF(AND(IFERROR(VALUE(SUBSTITUTE(TRIM(Input!F1382&amp;""),"%","")),0)&gt;0,IFERROR(VALUE(SUBSTITUTE(TRIM(Input!F1382&amp;""),"%","")),0)&lt;1),1,100))</f>
        <v/>
      </c>
      <c r="F1382" t="str">
        <f>IF(A1382="","",IFERROR(VALUE(SUBSTITUTE(TRIM(Input!G1382&amp;""),"%","")),0)/IF(AND(IFERROR(VALUE(SUBSTITUTE(TRIM(Input!G1382&amp;""),"%","")),0)&gt;0,IFERROR(VALUE(SUBSTITUTE(TRIM(Input!G1382&amp;""),"%","")),0)&lt;1),1,100))</f>
        <v/>
      </c>
      <c r="G1382" t="str">
        <f>IF(A1382="","",IFERROR(VALUE(SUBSTITUTE(TRIM(Input!H1382&amp;""),"%","")),0)/IF(AND(IFERROR(VALUE(SUBSTITUTE(TRIM(Input!H1382&amp;""),"%","")),0)&gt;0,IFERROR(VALUE(SUBSTITUTE(TRIM(Input!H1382&amp;""),"%","")),0)&lt;1),1,100))</f>
        <v/>
      </c>
      <c r="H1382" t="str">
        <f>IF(A1382="","",IFERROR(VALUE(SUBSTITUTE(TRIM(Input!I1382&amp;""),"%","")),0)/IF(AND(IFERROR(VALUE(SUBSTITUTE(TRIM(Input!I1382&amp;""),"%","")),0)&gt;0,IFERROR(VALUE(SUBSTITUTE(TRIM(Input!I1382&amp;""),"%","")),0)&lt;1),1,100))</f>
        <v/>
      </c>
    </row>
    <row r="1383" spans="1:8">
      <c r="A1383" t="str">
        <f>IF(TRIM(Input!B1383&amp;"")="","",UPPER(TRIM(Input!B1383&amp;"")))</f>
        <v/>
      </c>
      <c r="B1383" t="str">
        <f>IF(A1383="","",IFERROR(VALUE(RIGHT(TRIM(Input!D1383&amp;""),1)),0))</f>
        <v/>
      </c>
      <c r="C1383" t="str">
        <f t="shared" si="21"/>
        <v/>
      </c>
      <c r="D1383" t="str">
        <f>IF(A1383="","",IFERROR(VALUE(SUBSTITUTE(TRIM(Input!E1383&amp;""),"%","")),0)/IF(AND(IFERROR(VALUE(SUBSTITUTE(TRIM(Input!E1383&amp;""),"%","")),0)&gt;0,IFERROR(VALUE(SUBSTITUTE(TRIM(Input!E1383&amp;""),"%","")),0)&lt;1),1,100))</f>
        <v/>
      </c>
      <c r="E1383" t="str">
        <f>IF(A1383="","",IFERROR(VALUE(SUBSTITUTE(TRIM(Input!F1383&amp;""),"%","")),0)/IF(AND(IFERROR(VALUE(SUBSTITUTE(TRIM(Input!F1383&amp;""),"%","")),0)&gt;0,IFERROR(VALUE(SUBSTITUTE(TRIM(Input!F1383&amp;""),"%","")),0)&lt;1),1,100))</f>
        <v/>
      </c>
      <c r="F1383" t="str">
        <f>IF(A1383="","",IFERROR(VALUE(SUBSTITUTE(TRIM(Input!G1383&amp;""),"%","")),0)/IF(AND(IFERROR(VALUE(SUBSTITUTE(TRIM(Input!G1383&amp;""),"%","")),0)&gt;0,IFERROR(VALUE(SUBSTITUTE(TRIM(Input!G1383&amp;""),"%","")),0)&lt;1),1,100))</f>
        <v/>
      </c>
      <c r="G1383" t="str">
        <f>IF(A1383="","",IFERROR(VALUE(SUBSTITUTE(TRIM(Input!H1383&amp;""),"%","")),0)/IF(AND(IFERROR(VALUE(SUBSTITUTE(TRIM(Input!H1383&amp;""),"%","")),0)&gt;0,IFERROR(VALUE(SUBSTITUTE(TRIM(Input!H1383&amp;""),"%","")),0)&lt;1),1,100))</f>
        <v/>
      </c>
      <c r="H1383" t="str">
        <f>IF(A1383="","",IFERROR(VALUE(SUBSTITUTE(TRIM(Input!I1383&amp;""),"%","")),0)/IF(AND(IFERROR(VALUE(SUBSTITUTE(TRIM(Input!I1383&amp;""),"%","")),0)&gt;0,IFERROR(VALUE(SUBSTITUTE(TRIM(Input!I1383&amp;""),"%","")),0)&lt;1),1,100))</f>
        <v/>
      </c>
    </row>
    <row r="1384" spans="1:8">
      <c r="A1384" t="str">
        <f>IF(TRIM(Input!B1384&amp;"")="","",UPPER(TRIM(Input!B1384&amp;"")))</f>
        <v/>
      </c>
      <c r="B1384" t="str">
        <f>IF(A1384="","",IFERROR(VALUE(RIGHT(TRIM(Input!D1384&amp;""),1)),0))</f>
        <v/>
      </c>
      <c r="C1384" t="str">
        <f t="shared" si="21"/>
        <v/>
      </c>
      <c r="D1384" t="str">
        <f>IF(A1384="","",IFERROR(VALUE(SUBSTITUTE(TRIM(Input!E1384&amp;""),"%","")),0)/IF(AND(IFERROR(VALUE(SUBSTITUTE(TRIM(Input!E1384&amp;""),"%","")),0)&gt;0,IFERROR(VALUE(SUBSTITUTE(TRIM(Input!E1384&amp;""),"%","")),0)&lt;1),1,100))</f>
        <v/>
      </c>
      <c r="E1384" t="str">
        <f>IF(A1384="","",IFERROR(VALUE(SUBSTITUTE(TRIM(Input!F1384&amp;""),"%","")),0)/IF(AND(IFERROR(VALUE(SUBSTITUTE(TRIM(Input!F1384&amp;""),"%","")),0)&gt;0,IFERROR(VALUE(SUBSTITUTE(TRIM(Input!F1384&amp;""),"%","")),0)&lt;1),1,100))</f>
        <v/>
      </c>
      <c r="F1384" t="str">
        <f>IF(A1384="","",IFERROR(VALUE(SUBSTITUTE(TRIM(Input!G1384&amp;""),"%","")),0)/IF(AND(IFERROR(VALUE(SUBSTITUTE(TRIM(Input!G1384&amp;""),"%","")),0)&gt;0,IFERROR(VALUE(SUBSTITUTE(TRIM(Input!G1384&amp;""),"%","")),0)&lt;1),1,100))</f>
        <v/>
      </c>
      <c r="G1384" t="str">
        <f>IF(A1384="","",IFERROR(VALUE(SUBSTITUTE(TRIM(Input!H1384&amp;""),"%","")),0)/IF(AND(IFERROR(VALUE(SUBSTITUTE(TRIM(Input!H1384&amp;""),"%","")),0)&gt;0,IFERROR(VALUE(SUBSTITUTE(TRIM(Input!H1384&amp;""),"%","")),0)&lt;1),1,100))</f>
        <v/>
      </c>
      <c r="H1384" t="str">
        <f>IF(A1384="","",IFERROR(VALUE(SUBSTITUTE(TRIM(Input!I1384&amp;""),"%","")),0)/IF(AND(IFERROR(VALUE(SUBSTITUTE(TRIM(Input!I1384&amp;""),"%","")),0)&gt;0,IFERROR(VALUE(SUBSTITUTE(TRIM(Input!I1384&amp;""),"%","")),0)&lt;1),1,100))</f>
        <v/>
      </c>
    </row>
    <row r="1385" spans="1:8">
      <c r="A1385" t="str">
        <f>IF(TRIM(Input!B1385&amp;"")="","",UPPER(TRIM(Input!B1385&amp;"")))</f>
        <v/>
      </c>
      <c r="B1385" t="str">
        <f>IF(A1385="","",IFERROR(VALUE(RIGHT(TRIM(Input!D1385&amp;""),1)),0))</f>
        <v/>
      </c>
      <c r="C1385" t="str">
        <f t="shared" si="21"/>
        <v/>
      </c>
      <c r="D1385" t="str">
        <f>IF(A1385="","",IFERROR(VALUE(SUBSTITUTE(TRIM(Input!E1385&amp;""),"%","")),0)/IF(AND(IFERROR(VALUE(SUBSTITUTE(TRIM(Input!E1385&amp;""),"%","")),0)&gt;0,IFERROR(VALUE(SUBSTITUTE(TRIM(Input!E1385&amp;""),"%","")),0)&lt;1),1,100))</f>
        <v/>
      </c>
      <c r="E1385" t="str">
        <f>IF(A1385="","",IFERROR(VALUE(SUBSTITUTE(TRIM(Input!F1385&amp;""),"%","")),0)/IF(AND(IFERROR(VALUE(SUBSTITUTE(TRIM(Input!F1385&amp;""),"%","")),0)&gt;0,IFERROR(VALUE(SUBSTITUTE(TRIM(Input!F1385&amp;""),"%","")),0)&lt;1),1,100))</f>
        <v/>
      </c>
      <c r="F1385" t="str">
        <f>IF(A1385="","",IFERROR(VALUE(SUBSTITUTE(TRIM(Input!G1385&amp;""),"%","")),0)/IF(AND(IFERROR(VALUE(SUBSTITUTE(TRIM(Input!G1385&amp;""),"%","")),0)&gt;0,IFERROR(VALUE(SUBSTITUTE(TRIM(Input!G1385&amp;""),"%","")),0)&lt;1),1,100))</f>
        <v/>
      </c>
      <c r="G1385" t="str">
        <f>IF(A1385="","",IFERROR(VALUE(SUBSTITUTE(TRIM(Input!H1385&amp;""),"%","")),0)/IF(AND(IFERROR(VALUE(SUBSTITUTE(TRIM(Input!H1385&amp;""),"%","")),0)&gt;0,IFERROR(VALUE(SUBSTITUTE(TRIM(Input!H1385&amp;""),"%","")),0)&lt;1),1,100))</f>
        <v/>
      </c>
      <c r="H1385" t="str">
        <f>IF(A1385="","",IFERROR(VALUE(SUBSTITUTE(TRIM(Input!I1385&amp;""),"%","")),0)/IF(AND(IFERROR(VALUE(SUBSTITUTE(TRIM(Input!I1385&amp;""),"%","")),0)&gt;0,IFERROR(VALUE(SUBSTITUTE(TRIM(Input!I1385&amp;""),"%","")),0)&lt;1),1,100))</f>
        <v/>
      </c>
    </row>
    <row r="1386" spans="1:8">
      <c r="A1386" t="str">
        <f>IF(TRIM(Input!B1386&amp;"")="","",UPPER(TRIM(Input!B1386&amp;"")))</f>
        <v/>
      </c>
      <c r="B1386" t="str">
        <f>IF(A1386="","",IFERROR(VALUE(RIGHT(TRIM(Input!D1386&amp;""),1)),0))</f>
        <v/>
      </c>
      <c r="C1386" t="str">
        <f t="shared" si="21"/>
        <v/>
      </c>
      <c r="D1386" t="str">
        <f>IF(A1386="","",IFERROR(VALUE(SUBSTITUTE(TRIM(Input!E1386&amp;""),"%","")),0)/IF(AND(IFERROR(VALUE(SUBSTITUTE(TRIM(Input!E1386&amp;""),"%","")),0)&gt;0,IFERROR(VALUE(SUBSTITUTE(TRIM(Input!E1386&amp;""),"%","")),0)&lt;1),1,100))</f>
        <v/>
      </c>
      <c r="E1386" t="str">
        <f>IF(A1386="","",IFERROR(VALUE(SUBSTITUTE(TRIM(Input!F1386&amp;""),"%","")),0)/IF(AND(IFERROR(VALUE(SUBSTITUTE(TRIM(Input!F1386&amp;""),"%","")),0)&gt;0,IFERROR(VALUE(SUBSTITUTE(TRIM(Input!F1386&amp;""),"%","")),0)&lt;1),1,100))</f>
        <v/>
      </c>
      <c r="F1386" t="str">
        <f>IF(A1386="","",IFERROR(VALUE(SUBSTITUTE(TRIM(Input!G1386&amp;""),"%","")),0)/IF(AND(IFERROR(VALUE(SUBSTITUTE(TRIM(Input!G1386&amp;""),"%","")),0)&gt;0,IFERROR(VALUE(SUBSTITUTE(TRIM(Input!G1386&amp;""),"%","")),0)&lt;1),1,100))</f>
        <v/>
      </c>
      <c r="G1386" t="str">
        <f>IF(A1386="","",IFERROR(VALUE(SUBSTITUTE(TRIM(Input!H1386&amp;""),"%","")),0)/IF(AND(IFERROR(VALUE(SUBSTITUTE(TRIM(Input!H1386&amp;""),"%","")),0)&gt;0,IFERROR(VALUE(SUBSTITUTE(TRIM(Input!H1386&amp;""),"%","")),0)&lt;1),1,100))</f>
        <v/>
      </c>
      <c r="H1386" t="str">
        <f>IF(A1386="","",IFERROR(VALUE(SUBSTITUTE(TRIM(Input!I1386&amp;""),"%","")),0)/IF(AND(IFERROR(VALUE(SUBSTITUTE(TRIM(Input!I1386&amp;""),"%","")),0)&gt;0,IFERROR(VALUE(SUBSTITUTE(TRIM(Input!I1386&amp;""),"%","")),0)&lt;1),1,100))</f>
        <v/>
      </c>
    </row>
    <row r="1387" spans="1:8">
      <c r="A1387" t="str">
        <f>IF(TRIM(Input!B1387&amp;"")="","",UPPER(TRIM(Input!B1387&amp;"")))</f>
        <v/>
      </c>
      <c r="B1387" t="str">
        <f>IF(A1387="","",IFERROR(VALUE(RIGHT(TRIM(Input!D1387&amp;""),1)),0))</f>
        <v/>
      </c>
      <c r="C1387" t="str">
        <f t="shared" si="21"/>
        <v/>
      </c>
      <c r="D1387" t="str">
        <f>IF(A1387="","",IFERROR(VALUE(SUBSTITUTE(TRIM(Input!E1387&amp;""),"%","")),0)/IF(AND(IFERROR(VALUE(SUBSTITUTE(TRIM(Input!E1387&amp;""),"%","")),0)&gt;0,IFERROR(VALUE(SUBSTITUTE(TRIM(Input!E1387&amp;""),"%","")),0)&lt;1),1,100))</f>
        <v/>
      </c>
      <c r="E1387" t="str">
        <f>IF(A1387="","",IFERROR(VALUE(SUBSTITUTE(TRIM(Input!F1387&amp;""),"%","")),0)/IF(AND(IFERROR(VALUE(SUBSTITUTE(TRIM(Input!F1387&amp;""),"%","")),0)&gt;0,IFERROR(VALUE(SUBSTITUTE(TRIM(Input!F1387&amp;""),"%","")),0)&lt;1),1,100))</f>
        <v/>
      </c>
      <c r="F1387" t="str">
        <f>IF(A1387="","",IFERROR(VALUE(SUBSTITUTE(TRIM(Input!G1387&amp;""),"%","")),0)/IF(AND(IFERROR(VALUE(SUBSTITUTE(TRIM(Input!G1387&amp;""),"%","")),0)&gt;0,IFERROR(VALUE(SUBSTITUTE(TRIM(Input!G1387&amp;""),"%","")),0)&lt;1),1,100))</f>
        <v/>
      </c>
      <c r="G1387" t="str">
        <f>IF(A1387="","",IFERROR(VALUE(SUBSTITUTE(TRIM(Input!H1387&amp;""),"%","")),0)/IF(AND(IFERROR(VALUE(SUBSTITUTE(TRIM(Input!H1387&amp;""),"%","")),0)&gt;0,IFERROR(VALUE(SUBSTITUTE(TRIM(Input!H1387&amp;""),"%","")),0)&lt;1),1,100))</f>
        <v/>
      </c>
      <c r="H1387" t="str">
        <f>IF(A1387="","",IFERROR(VALUE(SUBSTITUTE(TRIM(Input!I1387&amp;""),"%","")),0)/IF(AND(IFERROR(VALUE(SUBSTITUTE(TRIM(Input!I1387&amp;""),"%","")),0)&gt;0,IFERROR(VALUE(SUBSTITUTE(TRIM(Input!I1387&amp;""),"%","")),0)&lt;1),1,100))</f>
        <v/>
      </c>
    </row>
    <row r="1388" spans="1:8">
      <c r="A1388" t="str">
        <f>IF(TRIM(Input!B1388&amp;"")="","",UPPER(TRIM(Input!B1388&amp;"")))</f>
        <v/>
      </c>
      <c r="B1388" t="str">
        <f>IF(A1388="","",IFERROR(VALUE(RIGHT(TRIM(Input!D1388&amp;""),1)),0))</f>
        <v/>
      </c>
      <c r="C1388" t="str">
        <f t="shared" si="21"/>
        <v/>
      </c>
      <c r="D1388" t="str">
        <f>IF(A1388="","",IFERROR(VALUE(SUBSTITUTE(TRIM(Input!E1388&amp;""),"%","")),0)/IF(AND(IFERROR(VALUE(SUBSTITUTE(TRIM(Input!E1388&amp;""),"%","")),0)&gt;0,IFERROR(VALUE(SUBSTITUTE(TRIM(Input!E1388&amp;""),"%","")),0)&lt;1),1,100))</f>
        <v/>
      </c>
      <c r="E1388" t="str">
        <f>IF(A1388="","",IFERROR(VALUE(SUBSTITUTE(TRIM(Input!F1388&amp;""),"%","")),0)/IF(AND(IFERROR(VALUE(SUBSTITUTE(TRIM(Input!F1388&amp;""),"%","")),0)&gt;0,IFERROR(VALUE(SUBSTITUTE(TRIM(Input!F1388&amp;""),"%","")),0)&lt;1),1,100))</f>
        <v/>
      </c>
      <c r="F1388" t="str">
        <f>IF(A1388="","",IFERROR(VALUE(SUBSTITUTE(TRIM(Input!G1388&amp;""),"%","")),0)/IF(AND(IFERROR(VALUE(SUBSTITUTE(TRIM(Input!G1388&amp;""),"%","")),0)&gt;0,IFERROR(VALUE(SUBSTITUTE(TRIM(Input!G1388&amp;""),"%","")),0)&lt;1),1,100))</f>
        <v/>
      </c>
      <c r="G1388" t="str">
        <f>IF(A1388="","",IFERROR(VALUE(SUBSTITUTE(TRIM(Input!H1388&amp;""),"%","")),0)/IF(AND(IFERROR(VALUE(SUBSTITUTE(TRIM(Input!H1388&amp;""),"%","")),0)&gt;0,IFERROR(VALUE(SUBSTITUTE(TRIM(Input!H1388&amp;""),"%","")),0)&lt;1),1,100))</f>
        <v/>
      </c>
      <c r="H1388" t="str">
        <f>IF(A1388="","",IFERROR(VALUE(SUBSTITUTE(TRIM(Input!I1388&amp;""),"%","")),0)/IF(AND(IFERROR(VALUE(SUBSTITUTE(TRIM(Input!I1388&amp;""),"%","")),0)&gt;0,IFERROR(VALUE(SUBSTITUTE(TRIM(Input!I1388&amp;""),"%","")),0)&lt;1),1,100))</f>
        <v/>
      </c>
    </row>
    <row r="1389" spans="1:8">
      <c r="A1389" t="str">
        <f>IF(TRIM(Input!B1389&amp;"")="","",UPPER(TRIM(Input!B1389&amp;"")))</f>
        <v/>
      </c>
      <c r="B1389" t="str">
        <f>IF(A1389="","",IFERROR(VALUE(RIGHT(TRIM(Input!D1389&amp;""),1)),0))</f>
        <v/>
      </c>
      <c r="C1389" t="str">
        <f t="shared" si="21"/>
        <v/>
      </c>
      <c r="D1389" t="str">
        <f>IF(A1389="","",IFERROR(VALUE(SUBSTITUTE(TRIM(Input!E1389&amp;""),"%","")),0)/IF(AND(IFERROR(VALUE(SUBSTITUTE(TRIM(Input!E1389&amp;""),"%","")),0)&gt;0,IFERROR(VALUE(SUBSTITUTE(TRIM(Input!E1389&amp;""),"%","")),0)&lt;1),1,100))</f>
        <v/>
      </c>
      <c r="E1389" t="str">
        <f>IF(A1389="","",IFERROR(VALUE(SUBSTITUTE(TRIM(Input!F1389&amp;""),"%","")),0)/IF(AND(IFERROR(VALUE(SUBSTITUTE(TRIM(Input!F1389&amp;""),"%","")),0)&gt;0,IFERROR(VALUE(SUBSTITUTE(TRIM(Input!F1389&amp;""),"%","")),0)&lt;1),1,100))</f>
        <v/>
      </c>
      <c r="F1389" t="str">
        <f>IF(A1389="","",IFERROR(VALUE(SUBSTITUTE(TRIM(Input!G1389&amp;""),"%","")),0)/IF(AND(IFERROR(VALUE(SUBSTITUTE(TRIM(Input!G1389&amp;""),"%","")),0)&gt;0,IFERROR(VALUE(SUBSTITUTE(TRIM(Input!G1389&amp;""),"%","")),0)&lt;1),1,100))</f>
        <v/>
      </c>
      <c r="G1389" t="str">
        <f>IF(A1389="","",IFERROR(VALUE(SUBSTITUTE(TRIM(Input!H1389&amp;""),"%","")),0)/IF(AND(IFERROR(VALUE(SUBSTITUTE(TRIM(Input!H1389&amp;""),"%","")),0)&gt;0,IFERROR(VALUE(SUBSTITUTE(TRIM(Input!H1389&amp;""),"%","")),0)&lt;1),1,100))</f>
        <v/>
      </c>
      <c r="H1389" t="str">
        <f>IF(A1389="","",IFERROR(VALUE(SUBSTITUTE(TRIM(Input!I1389&amp;""),"%","")),0)/IF(AND(IFERROR(VALUE(SUBSTITUTE(TRIM(Input!I1389&amp;""),"%","")),0)&gt;0,IFERROR(VALUE(SUBSTITUTE(TRIM(Input!I1389&amp;""),"%","")),0)&lt;1),1,100))</f>
        <v/>
      </c>
    </row>
    <row r="1390" spans="1:8">
      <c r="A1390" t="str">
        <f>IF(TRIM(Input!B1390&amp;"")="","",UPPER(TRIM(Input!B1390&amp;"")))</f>
        <v/>
      </c>
      <c r="B1390" t="str">
        <f>IF(A1390="","",IFERROR(VALUE(RIGHT(TRIM(Input!D1390&amp;""),1)),0))</f>
        <v/>
      </c>
      <c r="C1390" t="str">
        <f t="shared" si="21"/>
        <v/>
      </c>
      <c r="D1390" t="str">
        <f>IF(A1390="","",IFERROR(VALUE(SUBSTITUTE(TRIM(Input!E1390&amp;""),"%","")),0)/IF(AND(IFERROR(VALUE(SUBSTITUTE(TRIM(Input!E1390&amp;""),"%","")),0)&gt;0,IFERROR(VALUE(SUBSTITUTE(TRIM(Input!E1390&amp;""),"%","")),0)&lt;1),1,100))</f>
        <v/>
      </c>
      <c r="E1390" t="str">
        <f>IF(A1390="","",IFERROR(VALUE(SUBSTITUTE(TRIM(Input!F1390&amp;""),"%","")),0)/IF(AND(IFERROR(VALUE(SUBSTITUTE(TRIM(Input!F1390&amp;""),"%","")),0)&gt;0,IFERROR(VALUE(SUBSTITUTE(TRIM(Input!F1390&amp;""),"%","")),0)&lt;1),1,100))</f>
        <v/>
      </c>
      <c r="F1390" t="str">
        <f>IF(A1390="","",IFERROR(VALUE(SUBSTITUTE(TRIM(Input!G1390&amp;""),"%","")),0)/IF(AND(IFERROR(VALUE(SUBSTITUTE(TRIM(Input!G1390&amp;""),"%","")),0)&gt;0,IFERROR(VALUE(SUBSTITUTE(TRIM(Input!G1390&amp;""),"%","")),0)&lt;1),1,100))</f>
        <v/>
      </c>
      <c r="G1390" t="str">
        <f>IF(A1390="","",IFERROR(VALUE(SUBSTITUTE(TRIM(Input!H1390&amp;""),"%","")),0)/IF(AND(IFERROR(VALUE(SUBSTITUTE(TRIM(Input!H1390&amp;""),"%","")),0)&gt;0,IFERROR(VALUE(SUBSTITUTE(TRIM(Input!H1390&amp;""),"%","")),0)&lt;1),1,100))</f>
        <v/>
      </c>
      <c r="H1390" t="str">
        <f>IF(A1390="","",IFERROR(VALUE(SUBSTITUTE(TRIM(Input!I1390&amp;""),"%","")),0)/IF(AND(IFERROR(VALUE(SUBSTITUTE(TRIM(Input!I1390&amp;""),"%","")),0)&gt;0,IFERROR(VALUE(SUBSTITUTE(TRIM(Input!I1390&amp;""),"%","")),0)&lt;1),1,100))</f>
        <v/>
      </c>
    </row>
    <row r="1391" spans="1:8">
      <c r="A1391" t="str">
        <f>IF(TRIM(Input!B1391&amp;"")="","",UPPER(TRIM(Input!B1391&amp;"")))</f>
        <v/>
      </c>
      <c r="B1391" t="str">
        <f>IF(A1391="","",IFERROR(VALUE(RIGHT(TRIM(Input!D1391&amp;""),1)),0))</f>
        <v/>
      </c>
      <c r="C1391" t="str">
        <f t="shared" si="21"/>
        <v/>
      </c>
      <c r="D1391" t="str">
        <f>IF(A1391="","",IFERROR(VALUE(SUBSTITUTE(TRIM(Input!E1391&amp;""),"%","")),0)/IF(AND(IFERROR(VALUE(SUBSTITUTE(TRIM(Input!E1391&amp;""),"%","")),0)&gt;0,IFERROR(VALUE(SUBSTITUTE(TRIM(Input!E1391&amp;""),"%","")),0)&lt;1),1,100))</f>
        <v/>
      </c>
      <c r="E1391" t="str">
        <f>IF(A1391="","",IFERROR(VALUE(SUBSTITUTE(TRIM(Input!F1391&amp;""),"%","")),0)/IF(AND(IFERROR(VALUE(SUBSTITUTE(TRIM(Input!F1391&amp;""),"%","")),0)&gt;0,IFERROR(VALUE(SUBSTITUTE(TRIM(Input!F1391&amp;""),"%","")),0)&lt;1),1,100))</f>
        <v/>
      </c>
      <c r="F1391" t="str">
        <f>IF(A1391="","",IFERROR(VALUE(SUBSTITUTE(TRIM(Input!G1391&amp;""),"%","")),0)/IF(AND(IFERROR(VALUE(SUBSTITUTE(TRIM(Input!G1391&amp;""),"%","")),0)&gt;0,IFERROR(VALUE(SUBSTITUTE(TRIM(Input!G1391&amp;""),"%","")),0)&lt;1),1,100))</f>
        <v/>
      </c>
      <c r="G1391" t="str">
        <f>IF(A1391="","",IFERROR(VALUE(SUBSTITUTE(TRIM(Input!H1391&amp;""),"%","")),0)/IF(AND(IFERROR(VALUE(SUBSTITUTE(TRIM(Input!H1391&amp;""),"%","")),0)&gt;0,IFERROR(VALUE(SUBSTITUTE(TRIM(Input!H1391&amp;""),"%","")),0)&lt;1),1,100))</f>
        <v/>
      </c>
      <c r="H1391" t="str">
        <f>IF(A1391="","",IFERROR(VALUE(SUBSTITUTE(TRIM(Input!I1391&amp;""),"%","")),0)/IF(AND(IFERROR(VALUE(SUBSTITUTE(TRIM(Input!I1391&amp;""),"%","")),0)&gt;0,IFERROR(VALUE(SUBSTITUTE(TRIM(Input!I1391&amp;""),"%","")),0)&lt;1),1,100))</f>
        <v/>
      </c>
    </row>
    <row r="1392" spans="1:8">
      <c r="A1392" t="str">
        <f>IF(TRIM(Input!B1392&amp;"")="","",UPPER(TRIM(Input!B1392&amp;"")))</f>
        <v/>
      </c>
      <c r="B1392" t="str">
        <f>IF(A1392="","",IFERROR(VALUE(RIGHT(TRIM(Input!D1392&amp;""),1)),0))</f>
        <v/>
      </c>
      <c r="C1392" t="str">
        <f t="shared" si="21"/>
        <v/>
      </c>
      <c r="D1392" t="str">
        <f>IF(A1392="","",IFERROR(VALUE(SUBSTITUTE(TRIM(Input!E1392&amp;""),"%","")),0)/IF(AND(IFERROR(VALUE(SUBSTITUTE(TRIM(Input!E1392&amp;""),"%","")),0)&gt;0,IFERROR(VALUE(SUBSTITUTE(TRIM(Input!E1392&amp;""),"%","")),0)&lt;1),1,100))</f>
        <v/>
      </c>
      <c r="E1392" t="str">
        <f>IF(A1392="","",IFERROR(VALUE(SUBSTITUTE(TRIM(Input!F1392&amp;""),"%","")),0)/IF(AND(IFERROR(VALUE(SUBSTITUTE(TRIM(Input!F1392&amp;""),"%","")),0)&gt;0,IFERROR(VALUE(SUBSTITUTE(TRIM(Input!F1392&amp;""),"%","")),0)&lt;1),1,100))</f>
        <v/>
      </c>
      <c r="F1392" t="str">
        <f>IF(A1392="","",IFERROR(VALUE(SUBSTITUTE(TRIM(Input!G1392&amp;""),"%","")),0)/IF(AND(IFERROR(VALUE(SUBSTITUTE(TRIM(Input!G1392&amp;""),"%","")),0)&gt;0,IFERROR(VALUE(SUBSTITUTE(TRIM(Input!G1392&amp;""),"%","")),0)&lt;1),1,100))</f>
        <v/>
      </c>
      <c r="G1392" t="str">
        <f>IF(A1392="","",IFERROR(VALUE(SUBSTITUTE(TRIM(Input!H1392&amp;""),"%","")),0)/IF(AND(IFERROR(VALUE(SUBSTITUTE(TRIM(Input!H1392&amp;""),"%","")),0)&gt;0,IFERROR(VALUE(SUBSTITUTE(TRIM(Input!H1392&amp;""),"%","")),0)&lt;1),1,100))</f>
        <v/>
      </c>
      <c r="H1392" t="str">
        <f>IF(A1392="","",IFERROR(VALUE(SUBSTITUTE(TRIM(Input!I1392&amp;""),"%","")),0)/IF(AND(IFERROR(VALUE(SUBSTITUTE(TRIM(Input!I1392&amp;""),"%","")),0)&gt;0,IFERROR(VALUE(SUBSTITUTE(TRIM(Input!I1392&amp;""),"%","")),0)&lt;1),1,100))</f>
        <v/>
      </c>
    </row>
    <row r="1393" spans="1:8">
      <c r="A1393" t="str">
        <f>IF(TRIM(Input!B1393&amp;"")="","",UPPER(TRIM(Input!B1393&amp;"")))</f>
        <v/>
      </c>
      <c r="B1393" t="str">
        <f>IF(A1393="","",IFERROR(VALUE(RIGHT(TRIM(Input!D1393&amp;""),1)),0))</f>
        <v/>
      </c>
      <c r="C1393" t="str">
        <f t="shared" si="21"/>
        <v/>
      </c>
      <c r="D1393" t="str">
        <f>IF(A1393="","",IFERROR(VALUE(SUBSTITUTE(TRIM(Input!E1393&amp;""),"%","")),0)/IF(AND(IFERROR(VALUE(SUBSTITUTE(TRIM(Input!E1393&amp;""),"%","")),0)&gt;0,IFERROR(VALUE(SUBSTITUTE(TRIM(Input!E1393&amp;""),"%","")),0)&lt;1),1,100))</f>
        <v/>
      </c>
      <c r="E1393" t="str">
        <f>IF(A1393="","",IFERROR(VALUE(SUBSTITUTE(TRIM(Input!F1393&amp;""),"%","")),0)/IF(AND(IFERROR(VALUE(SUBSTITUTE(TRIM(Input!F1393&amp;""),"%","")),0)&gt;0,IFERROR(VALUE(SUBSTITUTE(TRIM(Input!F1393&amp;""),"%","")),0)&lt;1),1,100))</f>
        <v/>
      </c>
      <c r="F1393" t="str">
        <f>IF(A1393="","",IFERROR(VALUE(SUBSTITUTE(TRIM(Input!G1393&amp;""),"%","")),0)/IF(AND(IFERROR(VALUE(SUBSTITUTE(TRIM(Input!G1393&amp;""),"%","")),0)&gt;0,IFERROR(VALUE(SUBSTITUTE(TRIM(Input!G1393&amp;""),"%","")),0)&lt;1),1,100))</f>
        <v/>
      </c>
      <c r="G1393" t="str">
        <f>IF(A1393="","",IFERROR(VALUE(SUBSTITUTE(TRIM(Input!H1393&amp;""),"%","")),0)/IF(AND(IFERROR(VALUE(SUBSTITUTE(TRIM(Input!H1393&amp;""),"%","")),0)&gt;0,IFERROR(VALUE(SUBSTITUTE(TRIM(Input!H1393&amp;""),"%","")),0)&lt;1),1,100))</f>
        <v/>
      </c>
      <c r="H1393" t="str">
        <f>IF(A1393="","",IFERROR(VALUE(SUBSTITUTE(TRIM(Input!I1393&amp;""),"%","")),0)/IF(AND(IFERROR(VALUE(SUBSTITUTE(TRIM(Input!I1393&amp;""),"%","")),0)&gt;0,IFERROR(VALUE(SUBSTITUTE(TRIM(Input!I1393&amp;""),"%","")),0)&lt;1),1,100))</f>
        <v/>
      </c>
    </row>
    <row r="1394" spans="1:8">
      <c r="A1394" t="str">
        <f>IF(TRIM(Input!B1394&amp;"")="","",UPPER(TRIM(Input!B1394&amp;"")))</f>
        <v/>
      </c>
      <c r="B1394" t="str">
        <f>IF(A1394="","",IFERROR(VALUE(RIGHT(TRIM(Input!D1394&amp;""),1)),0))</f>
        <v/>
      </c>
      <c r="C1394" t="str">
        <f t="shared" si="21"/>
        <v/>
      </c>
      <c r="D1394" t="str">
        <f>IF(A1394="","",IFERROR(VALUE(SUBSTITUTE(TRIM(Input!E1394&amp;""),"%","")),0)/IF(AND(IFERROR(VALUE(SUBSTITUTE(TRIM(Input!E1394&amp;""),"%","")),0)&gt;0,IFERROR(VALUE(SUBSTITUTE(TRIM(Input!E1394&amp;""),"%","")),0)&lt;1),1,100))</f>
        <v/>
      </c>
      <c r="E1394" t="str">
        <f>IF(A1394="","",IFERROR(VALUE(SUBSTITUTE(TRIM(Input!F1394&amp;""),"%","")),0)/IF(AND(IFERROR(VALUE(SUBSTITUTE(TRIM(Input!F1394&amp;""),"%","")),0)&gt;0,IFERROR(VALUE(SUBSTITUTE(TRIM(Input!F1394&amp;""),"%","")),0)&lt;1),1,100))</f>
        <v/>
      </c>
      <c r="F1394" t="str">
        <f>IF(A1394="","",IFERROR(VALUE(SUBSTITUTE(TRIM(Input!G1394&amp;""),"%","")),0)/IF(AND(IFERROR(VALUE(SUBSTITUTE(TRIM(Input!G1394&amp;""),"%","")),0)&gt;0,IFERROR(VALUE(SUBSTITUTE(TRIM(Input!G1394&amp;""),"%","")),0)&lt;1),1,100))</f>
        <v/>
      </c>
      <c r="G1394" t="str">
        <f>IF(A1394="","",IFERROR(VALUE(SUBSTITUTE(TRIM(Input!H1394&amp;""),"%","")),0)/IF(AND(IFERROR(VALUE(SUBSTITUTE(TRIM(Input!H1394&amp;""),"%","")),0)&gt;0,IFERROR(VALUE(SUBSTITUTE(TRIM(Input!H1394&amp;""),"%","")),0)&lt;1),1,100))</f>
        <v/>
      </c>
      <c r="H1394" t="str">
        <f>IF(A1394="","",IFERROR(VALUE(SUBSTITUTE(TRIM(Input!I1394&amp;""),"%","")),0)/IF(AND(IFERROR(VALUE(SUBSTITUTE(TRIM(Input!I1394&amp;""),"%","")),0)&gt;0,IFERROR(VALUE(SUBSTITUTE(TRIM(Input!I1394&amp;""),"%","")),0)&lt;1),1,100))</f>
        <v/>
      </c>
    </row>
    <row r="1395" spans="1:8">
      <c r="A1395" t="str">
        <f>IF(TRIM(Input!B1395&amp;"")="","",UPPER(TRIM(Input!B1395&amp;"")))</f>
        <v/>
      </c>
      <c r="B1395" t="str">
        <f>IF(A1395="","",IFERROR(VALUE(RIGHT(TRIM(Input!D1395&amp;""),1)),0))</f>
        <v/>
      </c>
      <c r="C1395" t="str">
        <f t="shared" si="21"/>
        <v/>
      </c>
      <c r="D1395" t="str">
        <f>IF(A1395="","",IFERROR(VALUE(SUBSTITUTE(TRIM(Input!E1395&amp;""),"%","")),0)/IF(AND(IFERROR(VALUE(SUBSTITUTE(TRIM(Input!E1395&amp;""),"%","")),0)&gt;0,IFERROR(VALUE(SUBSTITUTE(TRIM(Input!E1395&amp;""),"%","")),0)&lt;1),1,100))</f>
        <v/>
      </c>
      <c r="E1395" t="str">
        <f>IF(A1395="","",IFERROR(VALUE(SUBSTITUTE(TRIM(Input!F1395&amp;""),"%","")),0)/IF(AND(IFERROR(VALUE(SUBSTITUTE(TRIM(Input!F1395&amp;""),"%","")),0)&gt;0,IFERROR(VALUE(SUBSTITUTE(TRIM(Input!F1395&amp;""),"%","")),0)&lt;1),1,100))</f>
        <v/>
      </c>
      <c r="F1395" t="str">
        <f>IF(A1395="","",IFERROR(VALUE(SUBSTITUTE(TRIM(Input!G1395&amp;""),"%","")),0)/IF(AND(IFERROR(VALUE(SUBSTITUTE(TRIM(Input!G1395&amp;""),"%","")),0)&gt;0,IFERROR(VALUE(SUBSTITUTE(TRIM(Input!G1395&amp;""),"%","")),0)&lt;1),1,100))</f>
        <v/>
      </c>
      <c r="G1395" t="str">
        <f>IF(A1395="","",IFERROR(VALUE(SUBSTITUTE(TRIM(Input!H1395&amp;""),"%","")),0)/IF(AND(IFERROR(VALUE(SUBSTITUTE(TRIM(Input!H1395&amp;""),"%","")),0)&gt;0,IFERROR(VALUE(SUBSTITUTE(TRIM(Input!H1395&amp;""),"%","")),0)&lt;1),1,100))</f>
        <v/>
      </c>
      <c r="H1395" t="str">
        <f>IF(A1395="","",IFERROR(VALUE(SUBSTITUTE(TRIM(Input!I1395&amp;""),"%","")),0)/IF(AND(IFERROR(VALUE(SUBSTITUTE(TRIM(Input!I1395&amp;""),"%","")),0)&gt;0,IFERROR(VALUE(SUBSTITUTE(TRIM(Input!I1395&amp;""),"%","")),0)&lt;1),1,100))</f>
        <v/>
      </c>
    </row>
    <row r="1396" spans="1:8">
      <c r="A1396" t="str">
        <f>IF(TRIM(Input!B1396&amp;"")="","",UPPER(TRIM(Input!B1396&amp;"")))</f>
        <v/>
      </c>
      <c r="B1396" t="str">
        <f>IF(A1396="","",IFERROR(VALUE(RIGHT(TRIM(Input!D1396&amp;""),1)),0))</f>
        <v/>
      </c>
      <c r="C1396" t="str">
        <f t="shared" si="21"/>
        <v/>
      </c>
      <c r="D1396" t="str">
        <f>IF(A1396="","",IFERROR(VALUE(SUBSTITUTE(TRIM(Input!E1396&amp;""),"%","")),0)/IF(AND(IFERROR(VALUE(SUBSTITUTE(TRIM(Input!E1396&amp;""),"%","")),0)&gt;0,IFERROR(VALUE(SUBSTITUTE(TRIM(Input!E1396&amp;""),"%","")),0)&lt;1),1,100))</f>
        <v/>
      </c>
      <c r="E1396" t="str">
        <f>IF(A1396="","",IFERROR(VALUE(SUBSTITUTE(TRIM(Input!F1396&amp;""),"%","")),0)/IF(AND(IFERROR(VALUE(SUBSTITUTE(TRIM(Input!F1396&amp;""),"%","")),0)&gt;0,IFERROR(VALUE(SUBSTITUTE(TRIM(Input!F1396&amp;""),"%","")),0)&lt;1),1,100))</f>
        <v/>
      </c>
      <c r="F1396" t="str">
        <f>IF(A1396="","",IFERROR(VALUE(SUBSTITUTE(TRIM(Input!G1396&amp;""),"%","")),0)/IF(AND(IFERROR(VALUE(SUBSTITUTE(TRIM(Input!G1396&amp;""),"%","")),0)&gt;0,IFERROR(VALUE(SUBSTITUTE(TRIM(Input!G1396&amp;""),"%","")),0)&lt;1),1,100))</f>
        <v/>
      </c>
      <c r="G1396" t="str">
        <f>IF(A1396="","",IFERROR(VALUE(SUBSTITUTE(TRIM(Input!H1396&amp;""),"%","")),0)/IF(AND(IFERROR(VALUE(SUBSTITUTE(TRIM(Input!H1396&amp;""),"%","")),0)&gt;0,IFERROR(VALUE(SUBSTITUTE(TRIM(Input!H1396&amp;""),"%","")),0)&lt;1),1,100))</f>
        <v/>
      </c>
      <c r="H1396" t="str">
        <f>IF(A1396="","",IFERROR(VALUE(SUBSTITUTE(TRIM(Input!I1396&amp;""),"%","")),0)/IF(AND(IFERROR(VALUE(SUBSTITUTE(TRIM(Input!I1396&amp;""),"%","")),0)&gt;0,IFERROR(VALUE(SUBSTITUTE(TRIM(Input!I1396&amp;""),"%","")),0)&lt;1),1,100))</f>
        <v/>
      </c>
    </row>
    <row r="1397" spans="1:8">
      <c r="A1397" t="str">
        <f>IF(TRIM(Input!B1397&amp;"")="","",UPPER(TRIM(Input!B1397&amp;"")))</f>
        <v/>
      </c>
      <c r="B1397" t="str">
        <f>IF(A1397="","",IFERROR(VALUE(RIGHT(TRIM(Input!D1397&amp;""),1)),0))</f>
        <v/>
      </c>
      <c r="C1397" t="str">
        <f t="shared" si="21"/>
        <v/>
      </c>
      <c r="D1397" t="str">
        <f>IF(A1397="","",IFERROR(VALUE(SUBSTITUTE(TRIM(Input!E1397&amp;""),"%","")),0)/IF(AND(IFERROR(VALUE(SUBSTITUTE(TRIM(Input!E1397&amp;""),"%","")),0)&gt;0,IFERROR(VALUE(SUBSTITUTE(TRIM(Input!E1397&amp;""),"%","")),0)&lt;1),1,100))</f>
        <v/>
      </c>
      <c r="E1397" t="str">
        <f>IF(A1397="","",IFERROR(VALUE(SUBSTITUTE(TRIM(Input!F1397&amp;""),"%","")),0)/IF(AND(IFERROR(VALUE(SUBSTITUTE(TRIM(Input!F1397&amp;""),"%","")),0)&gt;0,IFERROR(VALUE(SUBSTITUTE(TRIM(Input!F1397&amp;""),"%","")),0)&lt;1),1,100))</f>
        <v/>
      </c>
      <c r="F1397" t="str">
        <f>IF(A1397="","",IFERROR(VALUE(SUBSTITUTE(TRIM(Input!G1397&amp;""),"%","")),0)/IF(AND(IFERROR(VALUE(SUBSTITUTE(TRIM(Input!G1397&amp;""),"%","")),0)&gt;0,IFERROR(VALUE(SUBSTITUTE(TRIM(Input!G1397&amp;""),"%","")),0)&lt;1),1,100))</f>
        <v/>
      </c>
      <c r="G1397" t="str">
        <f>IF(A1397="","",IFERROR(VALUE(SUBSTITUTE(TRIM(Input!H1397&amp;""),"%","")),0)/IF(AND(IFERROR(VALUE(SUBSTITUTE(TRIM(Input!H1397&amp;""),"%","")),0)&gt;0,IFERROR(VALUE(SUBSTITUTE(TRIM(Input!H1397&amp;""),"%","")),0)&lt;1),1,100))</f>
        <v/>
      </c>
      <c r="H1397" t="str">
        <f>IF(A1397="","",IFERROR(VALUE(SUBSTITUTE(TRIM(Input!I1397&amp;""),"%","")),0)/IF(AND(IFERROR(VALUE(SUBSTITUTE(TRIM(Input!I1397&amp;""),"%","")),0)&gt;0,IFERROR(VALUE(SUBSTITUTE(TRIM(Input!I1397&amp;""),"%","")),0)&lt;1),1,100))</f>
        <v/>
      </c>
    </row>
    <row r="1398" spans="1:8">
      <c r="A1398" t="str">
        <f>IF(TRIM(Input!B1398&amp;"")="","",UPPER(TRIM(Input!B1398&amp;"")))</f>
        <v/>
      </c>
      <c r="B1398" t="str">
        <f>IF(A1398="","",IFERROR(VALUE(RIGHT(TRIM(Input!D1398&amp;""),1)),0))</f>
        <v/>
      </c>
      <c r="C1398" t="str">
        <f t="shared" si="21"/>
        <v/>
      </c>
      <c r="D1398" t="str">
        <f>IF(A1398="","",IFERROR(VALUE(SUBSTITUTE(TRIM(Input!E1398&amp;""),"%","")),0)/IF(AND(IFERROR(VALUE(SUBSTITUTE(TRIM(Input!E1398&amp;""),"%","")),0)&gt;0,IFERROR(VALUE(SUBSTITUTE(TRIM(Input!E1398&amp;""),"%","")),0)&lt;1),1,100))</f>
        <v/>
      </c>
      <c r="E1398" t="str">
        <f>IF(A1398="","",IFERROR(VALUE(SUBSTITUTE(TRIM(Input!F1398&amp;""),"%","")),0)/IF(AND(IFERROR(VALUE(SUBSTITUTE(TRIM(Input!F1398&amp;""),"%","")),0)&gt;0,IFERROR(VALUE(SUBSTITUTE(TRIM(Input!F1398&amp;""),"%","")),0)&lt;1),1,100))</f>
        <v/>
      </c>
      <c r="F1398" t="str">
        <f>IF(A1398="","",IFERROR(VALUE(SUBSTITUTE(TRIM(Input!G1398&amp;""),"%","")),0)/IF(AND(IFERROR(VALUE(SUBSTITUTE(TRIM(Input!G1398&amp;""),"%","")),0)&gt;0,IFERROR(VALUE(SUBSTITUTE(TRIM(Input!G1398&amp;""),"%","")),0)&lt;1),1,100))</f>
        <v/>
      </c>
      <c r="G1398" t="str">
        <f>IF(A1398="","",IFERROR(VALUE(SUBSTITUTE(TRIM(Input!H1398&amp;""),"%","")),0)/IF(AND(IFERROR(VALUE(SUBSTITUTE(TRIM(Input!H1398&amp;""),"%","")),0)&gt;0,IFERROR(VALUE(SUBSTITUTE(TRIM(Input!H1398&amp;""),"%","")),0)&lt;1),1,100))</f>
        <v/>
      </c>
      <c r="H1398" t="str">
        <f>IF(A1398="","",IFERROR(VALUE(SUBSTITUTE(TRIM(Input!I1398&amp;""),"%","")),0)/IF(AND(IFERROR(VALUE(SUBSTITUTE(TRIM(Input!I1398&amp;""),"%","")),0)&gt;0,IFERROR(VALUE(SUBSTITUTE(TRIM(Input!I1398&amp;""),"%","")),0)&lt;1),1,100))</f>
        <v/>
      </c>
    </row>
    <row r="1399" spans="1:8">
      <c r="A1399" t="str">
        <f>IF(TRIM(Input!B1399&amp;"")="","",UPPER(TRIM(Input!B1399&amp;"")))</f>
        <v/>
      </c>
      <c r="B1399" t="str">
        <f>IF(A1399="","",IFERROR(VALUE(RIGHT(TRIM(Input!D1399&amp;""),1)),0))</f>
        <v/>
      </c>
      <c r="C1399" t="str">
        <f t="shared" si="21"/>
        <v/>
      </c>
      <c r="D1399" t="str">
        <f>IF(A1399="","",IFERROR(VALUE(SUBSTITUTE(TRIM(Input!E1399&amp;""),"%","")),0)/IF(AND(IFERROR(VALUE(SUBSTITUTE(TRIM(Input!E1399&amp;""),"%","")),0)&gt;0,IFERROR(VALUE(SUBSTITUTE(TRIM(Input!E1399&amp;""),"%","")),0)&lt;1),1,100))</f>
        <v/>
      </c>
      <c r="E1399" t="str">
        <f>IF(A1399="","",IFERROR(VALUE(SUBSTITUTE(TRIM(Input!F1399&amp;""),"%","")),0)/IF(AND(IFERROR(VALUE(SUBSTITUTE(TRIM(Input!F1399&amp;""),"%","")),0)&gt;0,IFERROR(VALUE(SUBSTITUTE(TRIM(Input!F1399&amp;""),"%","")),0)&lt;1),1,100))</f>
        <v/>
      </c>
      <c r="F1399" t="str">
        <f>IF(A1399="","",IFERROR(VALUE(SUBSTITUTE(TRIM(Input!G1399&amp;""),"%","")),0)/IF(AND(IFERROR(VALUE(SUBSTITUTE(TRIM(Input!G1399&amp;""),"%","")),0)&gt;0,IFERROR(VALUE(SUBSTITUTE(TRIM(Input!G1399&amp;""),"%","")),0)&lt;1),1,100))</f>
        <v/>
      </c>
      <c r="G1399" t="str">
        <f>IF(A1399="","",IFERROR(VALUE(SUBSTITUTE(TRIM(Input!H1399&amp;""),"%","")),0)/IF(AND(IFERROR(VALUE(SUBSTITUTE(TRIM(Input!H1399&amp;""),"%","")),0)&gt;0,IFERROR(VALUE(SUBSTITUTE(TRIM(Input!H1399&amp;""),"%","")),0)&lt;1),1,100))</f>
        <v/>
      </c>
      <c r="H1399" t="str">
        <f>IF(A1399="","",IFERROR(VALUE(SUBSTITUTE(TRIM(Input!I1399&amp;""),"%","")),0)/IF(AND(IFERROR(VALUE(SUBSTITUTE(TRIM(Input!I1399&amp;""),"%","")),0)&gt;0,IFERROR(VALUE(SUBSTITUTE(TRIM(Input!I1399&amp;""),"%","")),0)&lt;1),1,100))</f>
        <v/>
      </c>
    </row>
    <row r="1400" spans="1:8">
      <c r="A1400" t="str">
        <f>IF(TRIM(Input!B1400&amp;"")="","",UPPER(TRIM(Input!B1400&amp;"")))</f>
        <v/>
      </c>
      <c r="B1400" t="str">
        <f>IF(A1400="","",IFERROR(VALUE(RIGHT(TRIM(Input!D1400&amp;""),1)),0))</f>
        <v/>
      </c>
      <c r="C1400" t="str">
        <f t="shared" si="21"/>
        <v/>
      </c>
      <c r="D1400" t="str">
        <f>IF(A1400="","",IFERROR(VALUE(SUBSTITUTE(TRIM(Input!E1400&amp;""),"%","")),0)/IF(AND(IFERROR(VALUE(SUBSTITUTE(TRIM(Input!E1400&amp;""),"%","")),0)&gt;0,IFERROR(VALUE(SUBSTITUTE(TRIM(Input!E1400&amp;""),"%","")),0)&lt;1),1,100))</f>
        <v/>
      </c>
      <c r="E1400" t="str">
        <f>IF(A1400="","",IFERROR(VALUE(SUBSTITUTE(TRIM(Input!F1400&amp;""),"%","")),0)/IF(AND(IFERROR(VALUE(SUBSTITUTE(TRIM(Input!F1400&amp;""),"%","")),0)&gt;0,IFERROR(VALUE(SUBSTITUTE(TRIM(Input!F1400&amp;""),"%","")),0)&lt;1),1,100))</f>
        <v/>
      </c>
      <c r="F1400" t="str">
        <f>IF(A1400="","",IFERROR(VALUE(SUBSTITUTE(TRIM(Input!G1400&amp;""),"%","")),0)/IF(AND(IFERROR(VALUE(SUBSTITUTE(TRIM(Input!G1400&amp;""),"%","")),0)&gt;0,IFERROR(VALUE(SUBSTITUTE(TRIM(Input!G1400&amp;""),"%","")),0)&lt;1),1,100))</f>
        <v/>
      </c>
      <c r="G1400" t="str">
        <f>IF(A1400="","",IFERROR(VALUE(SUBSTITUTE(TRIM(Input!H1400&amp;""),"%","")),0)/IF(AND(IFERROR(VALUE(SUBSTITUTE(TRIM(Input!H1400&amp;""),"%","")),0)&gt;0,IFERROR(VALUE(SUBSTITUTE(TRIM(Input!H1400&amp;""),"%","")),0)&lt;1),1,100))</f>
        <v/>
      </c>
      <c r="H1400" t="str">
        <f>IF(A1400="","",IFERROR(VALUE(SUBSTITUTE(TRIM(Input!I1400&amp;""),"%","")),0)/IF(AND(IFERROR(VALUE(SUBSTITUTE(TRIM(Input!I1400&amp;""),"%","")),0)&gt;0,IFERROR(VALUE(SUBSTITUTE(TRIM(Input!I1400&amp;""),"%","")),0)&lt;1),1,100))</f>
        <v/>
      </c>
    </row>
    <row r="1401" spans="1:8">
      <c r="A1401" t="str">
        <f>IF(TRIM(Input!B1401&amp;"")="","",UPPER(TRIM(Input!B1401&amp;"")))</f>
        <v/>
      </c>
      <c r="B1401" t="str">
        <f>IF(A1401="","",IFERROR(VALUE(RIGHT(TRIM(Input!D1401&amp;""),1)),0))</f>
        <v/>
      </c>
      <c r="C1401" t="str">
        <f t="shared" si="21"/>
        <v/>
      </c>
      <c r="D1401" t="str">
        <f>IF(A1401="","",IFERROR(VALUE(SUBSTITUTE(TRIM(Input!E1401&amp;""),"%","")),0)/IF(AND(IFERROR(VALUE(SUBSTITUTE(TRIM(Input!E1401&amp;""),"%","")),0)&gt;0,IFERROR(VALUE(SUBSTITUTE(TRIM(Input!E1401&amp;""),"%","")),0)&lt;1),1,100))</f>
        <v/>
      </c>
      <c r="E1401" t="str">
        <f>IF(A1401="","",IFERROR(VALUE(SUBSTITUTE(TRIM(Input!F1401&amp;""),"%","")),0)/IF(AND(IFERROR(VALUE(SUBSTITUTE(TRIM(Input!F1401&amp;""),"%","")),0)&gt;0,IFERROR(VALUE(SUBSTITUTE(TRIM(Input!F1401&amp;""),"%","")),0)&lt;1),1,100))</f>
        <v/>
      </c>
      <c r="F1401" t="str">
        <f>IF(A1401="","",IFERROR(VALUE(SUBSTITUTE(TRIM(Input!G1401&amp;""),"%","")),0)/IF(AND(IFERROR(VALUE(SUBSTITUTE(TRIM(Input!G1401&amp;""),"%","")),0)&gt;0,IFERROR(VALUE(SUBSTITUTE(TRIM(Input!G1401&amp;""),"%","")),0)&lt;1),1,100))</f>
        <v/>
      </c>
      <c r="G1401" t="str">
        <f>IF(A1401="","",IFERROR(VALUE(SUBSTITUTE(TRIM(Input!H1401&amp;""),"%","")),0)/IF(AND(IFERROR(VALUE(SUBSTITUTE(TRIM(Input!H1401&amp;""),"%","")),0)&gt;0,IFERROR(VALUE(SUBSTITUTE(TRIM(Input!H1401&amp;""),"%","")),0)&lt;1),1,100))</f>
        <v/>
      </c>
      <c r="H1401" t="str">
        <f>IF(A1401="","",IFERROR(VALUE(SUBSTITUTE(TRIM(Input!I1401&amp;""),"%","")),0)/IF(AND(IFERROR(VALUE(SUBSTITUTE(TRIM(Input!I1401&amp;""),"%","")),0)&gt;0,IFERROR(VALUE(SUBSTITUTE(TRIM(Input!I1401&amp;""),"%","")),0)&lt;1),1,100))</f>
        <v/>
      </c>
    </row>
    <row r="1402" spans="1:8">
      <c r="A1402" t="str">
        <f>IF(TRIM(Input!B1402&amp;"")="","",UPPER(TRIM(Input!B1402&amp;"")))</f>
        <v/>
      </c>
      <c r="B1402" t="str">
        <f>IF(A1402="","",IFERROR(VALUE(RIGHT(TRIM(Input!D1402&amp;""),1)),0))</f>
        <v/>
      </c>
      <c r="C1402" t="str">
        <f t="shared" si="21"/>
        <v/>
      </c>
      <c r="D1402" t="str">
        <f>IF(A1402="","",IFERROR(VALUE(SUBSTITUTE(TRIM(Input!E1402&amp;""),"%","")),0)/IF(AND(IFERROR(VALUE(SUBSTITUTE(TRIM(Input!E1402&amp;""),"%","")),0)&gt;0,IFERROR(VALUE(SUBSTITUTE(TRIM(Input!E1402&amp;""),"%","")),0)&lt;1),1,100))</f>
        <v/>
      </c>
      <c r="E1402" t="str">
        <f>IF(A1402="","",IFERROR(VALUE(SUBSTITUTE(TRIM(Input!F1402&amp;""),"%","")),0)/IF(AND(IFERROR(VALUE(SUBSTITUTE(TRIM(Input!F1402&amp;""),"%","")),0)&gt;0,IFERROR(VALUE(SUBSTITUTE(TRIM(Input!F1402&amp;""),"%","")),0)&lt;1),1,100))</f>
        <v/>
      </c>
      <c r="F1402" t="str">
        <f>IF(A1402="","",IFERROR(VALUE(SUBSTITUTE(TRIM(Input!G1402&amp;""),"%","")),0)/IF(AND(IFERROR(VALUE(SUBSTITUTE(TRIM(Input!G1402&amp;""),"%","")),0)&gt;0,IFERROR(VALUE(SUBSTITUTE(TRIM(Input!G1402&amp;""),"%","")),0)&lt;1),1,100))</f>
        <v/>
      </c>
      <c r="G1402" t="str">
        <f>IF(A1402="","",IFERROR(VALUE(SUBSTITUTE(TRIM(Input!H1402&amp;""),"%","")),0)/IF(AND(IFERROR(VALUE(SUBSTITUTE(TRIM(Input!H1402&amp;""),"%","")),0)&gt;0,IFERROR(VALUE(SUBSTITUTE(TRIM(Input!H1402&amp;""),"%","")),0)&lt;1),1,100))</f>
        <v/>
      </c>
      <c r="H1402" t="str">
        <f>IF(A1402="","",IFERROR(VALUE(SUBSTITUTE(TRIM(Input!I1402&amp;""),"%","")),0)/IF(AND(IFERROR(VALUE(SUBSTITUTE(TRIM(Input!I1402&amp;""),"%","")),0)&gt;0,IFERROR(VALUE(SUBSTITUTE(TRIM(Input!I1402&amp;""),"%","")),0)&lt;1),1,100))</f>
        <v/>
      </c>
    </row>
    <row r="1403" spans="1:8">
      <c r="A1403" t="str">
        <f>IF(TRIM(Input!B1403&amp;"")="","",UPPER(TRIM(Input!B1403&amp;"")))</f>
        <v/>
      </c>
      <c r="B1403" t="str">
        <f>IF(A1403="","",IFERROR(VALUE(RIGHT(TRIM(Input!D1403&amp;""),1)),0))</f>
        <v/>
      </c>
      <c r="C1403" t="str">
        <f t="shared" si="21"/>
        <v/>
      </c>
      <c r="D1403" t="str">
        <f>IF(A1403="","",IFERROR(VALUE(SUBSTITUTE(TRIM(Input!E1403&amp;""),"%","")),0)/IF(AND(IFERROR(VALUE(SUBSTITUTE(TRIM(Input!E1403&amp;""),"%","")),0)&gt;0,IFERROR(VALUE(SUBSTITUTE(TRIM(Input!E1403&amp;""),"%","")),0)&lt;1),1,100))</f>
        <v/>
      </c>
      <c r="E1403" t="str">
        <f>IF(A1403="","",IFERROR(VALUE(SUBSTITUTE(TRIM(Input!F1403&amp;""),"%","")),0)/IF(AND(IFERROR(VALUE(SUBSTITUTE(TRIM(Input!F1403&amp;""),"%","")),0)&gt;0,IFERROR(VALUE(SUBSTITUTE(TRIM(Input!F1403&amp;""),"%","")),0)&lt;1),1,100))</f>
        <v/>
      </c>
      <c r="F1403" t="str">
        <f>IF(A1403="","",IFERROR(VALUE(SUBSTITUTE(TRIM(Input!G1403&amp;""),"%","")),0)/IF(AND(IFERROR(VALUE(SUBSTITUTE(TRIM(Input!G1403&amp;""),"%","")),0)&gt;0,IFERROR(VALUE(SUBSTITUTE(TRIM(Input!G1403&amp;""),"%","")),0)&lt;1),1,100))</f>
        <v/>
      </c>
      <c r="G1403" t="str">
        <f>IF(A1403="","",IFERROR(VALUE(SUBSTITUTE(TRIM(Input!H1403&amp;""),"%","")),0)/IF(AND(IFERROR(VALUE(SUBSTITUTE(TRIM(Input!H1403&amp;""),"%","")),0)&gt;0,IFERROR(VALUE(SUBSTITUTE(TRIM(Input!H1403&amp;""),"%","")),0)&lt;1),1,100))</f>
        <v/>
      </c>
      <c r="H1403" t="str">
        <f>IF(A1403="","",IFERROR(VALUE(SUBSTITUTE(TRIM(Input!I1403&amp;""),"%","")),0)/IF(AND(IFERROR(VALUE(SUBSTITUTE(TRIM(Input!I1403&amp;""),"%","")),0)&gt;0,IFERROR(VALUE(SUBSTITUTE(TRIM(Input!I1403&amp;""),"%","")),0)&lt;1),1,100))</f>
        <v/>
      </c>
    </row>
    <row r="1404" spans="1:8">
      <c r="A1404" t="str">
        <f>IF(TRIM(Input!B1404&amp;"")="","",UPPER(TRIM(Input!B1404&amp;"")))</f>
        <v/>
      </c>
      <c r="B1404" t="str">
        <f>IF(A1404="","",IFERROR(VALUE(RIGHT(TRIM(Input!D1404&amp;""),1)),0))</f>
        <v/>
      </c>
      <c r="C1404" t="str">
        <f t="shared" si="21"/>
        <v/>
      </c>
      <c r="D1404" t="str">
        <f>IF(A1404="","",IFERROR(VALUE(SUBSTITUTE(TRIM(Input!E1404&amp;""),"%","")),0)/IF(AND(IFERROR(VALUE(SUBSTITUTE(TRIM(Input!E1404&amp;""),"%","")),0)&gt;0,IFERROR(VALUE(SUBSTITUTE(TRIM(Input!E1404&amp;""),"%","")),0)&lt;1),1,100))</f>
        <v/>
      </c>
      <c r="E1404" t="str">
        <f>IF(A1404="","",IFERROR(VALUE(SUBSTITUTE(TRIM(Input!F1404&amp;""),"%","")),0)/IF(AND(IFERROR(VALUE(SUBSTITUTE(TRIM(Input!F1404&amp;""),"%","")),0)&gt;0,IFERROR(VALUE(SUBSTITUTE(TRIM(Input!F1404&amp;""),"%","")),0)&lt;1),1,100))</f>
        <v/>
      </c>
      <c r="F1404" t="str">
        <f>IF(A1404="","",IFERROR(VALUE(SUBSTITUTE(TRIM(Input!G1404&amp;""),"%","")),0)/IF(AND(IFERROR(VALUE(SUBSTITUTE(TRIM(Input!G1404&amp;""),"%","")),0)&gt;0,IFERROR(VALUE(SUBSTITUTE(TRIM(Input!G1404&amp;""),"%","")),0)&lt;1),1,100))</f>
        <v/>
      </c>
      <c r="G1404" t="str">
        <f>IF(A1404="","",IFERROR(VALUE(SUBSTITUTE(TRIM(Input!H1404&amp;""),"%","")),0)/IF(AND(IFERROR(VALUE(SUBSTITUTE(TRIM(Input!H1404&amp;""),"%","")),0)&gt;0,IFERROR(VALUE(SUBSTITUTE(TRIM(Input!H1404&amp;""),"%","")),0)&lt;1),1,100))</f>
        <v/>
      </c>
      <c r="H1404" t="str">
        <f>IF(A1404="","",IFERROR(VALUE(SUBSTITUTE(TRIM(Input!I1404&amp;""),"%","")),0)/IF(AND(IFERROR(VALUE(SUBSTITUTE(TRIM(Input!I1404&amp;""),"%","")),0)&gt;0,IFERROR(VALUE(SUBSTITUTE(TRIM(Input!I1404&amp;""),"%","")),0)&lt;1),1,100))</f>
        <v/>
      </c>
    </row>
    <row r="1405" spans="1:8">
      <c r="A1405" t="str">
        <f>IF(TRIM(Input!B1405&amp;"")="","",UPPER(TRIM(Input!B1405&amp;"")))</f>
        <v/>
      </c>
      <c r="B1405" t="str">
        <f>IF(A1405="","",IFERROR(VALUE(RIGHT(TRIM(Input!D1405&amp;""),1)),0))</f>
        <v/>
      </c>
      <c r="C1405" t="str">
        <f t="shared" si="21"/>
        <v/>
      </c>
      <c r="D1405" t="str">
        <f>IF(A1405="","",IFERROR(VALUE(SUBSTITUTE(TRIM(Input!E1405&amp;""),"%","")),0)/IF(AND(IFERROR(VALUE(SUBSTITUTE(TRIM(Input!E1405&amp;""),"%","")),0)&gt;0,IFERROR(VALUE(SUBSTITUTE(TRIM(Input!E1405&amp;""),"%","")),0)&lt;1),1,100))</f>
        <v/>
      </c>
      <c r="E1405" t="str">
        <f>IF(A1405="","",IFERROR(VALUE(SUBSTITUTE(TRIM(Input!F1405&amp;""),"%","")),0)/IF(AND(IFERROR(VALUE(SUBSTITUTE(TRIM(Input!F1405&amp;""),"%","")),0)&gt;0,IFERROR(VALUE(SUBSTITUTE(TRIM(Input!F1405&amp;""),"%","")),0)&lt;1),1,100))</f>
        <v/>
      </c>
      <c r="F1405" t="str">
        <f>IF(A1405="","",IFERROR(VALUE(SUBSTITUTE(TRIM(Input!G1405&amp;""),"%","")),0)/IF(AND(IFERROR(VALUE(SUBSTITUTE(TRIM(Input!G1405&amp;""),"%","")),0)&gt;0,IFERROR(VALUE(SUBSTITUTE(TRIM(Input!G1405&amp;""),"%","")),0)&lt;1),1,100))</f>
        <v/>
      </c>
      <c r="G1405" t="str">
        <f>IF(A1405="","",IFERROR(VALUE(SUBSTITUTE(TRIM(Input!H1405&amp;""),"%","")),0)/IF(AND(IFERROR(VALUE(SUBSTITUTE(TRIM(Input!H1405&amp;""),"%","")),0)&gt;0,IFERROR(VALUE(SUBSTITUTE(TRIM(Input!H1405&amp;""),"%","")),0)&lt;1),1,100))</f>
        <v/>
      </c>
      <c r="H1405" t="str">
        <f>IF(A1405="","",IFERROR(VALUE(SUBSTITUTE(TRIM(Input!I1405&amp;""),"%","")),0)/IF(AND(IFERROR(VALUE(SUBSTITUTE(TRIM(Input!I1405&amp;""),"%","")),0)&gt;0,IFERROR(VALUE(SUBSTITUTE(TRIM(Input!I1405&amp;""),"%","")),0)&lt;1),1,100))</f>
        <v/>
      </c>
    </row>
    <row r="1406" spans="1:8">
      <c r="A1406" t="str">
        <f>IF(TRIM(Input!B1406&amp;"")="","",UPPER(TRIM(Input!B1406&amp;"")))</f>
        <v/>
      </c>
      <c r="B1406" t="str">
        <f>IF(A1406="","",IFERROR(VALUE(RIGHT(TRIM(Input!D1406&amp;""),1)),0))</f>
        <v/>
      </c>
      <c r="C1406" t="str">
        <f t="shared" si="21"/>
        <v/>
      </c>
      <c r="D1406" t="str">
        <f>IF(A1406="","",IFERROR(VALUE(SUBSTITUTE(TRIM(Input!E1406&amp;""),"%","")),0)/IF(AND(IFERROR(VALUE(SUBSTITUTE(TRIM(Input!E1406&amp;""),"%","")),0)&gt;0,IFERROR(VALUE(SUBSTITUTE(TRIM(Input!E1406&amp;""),"%","")),0)&lt;1),1,100))</f>
        <v/>
      </c>
      <c r="E1406" t="str">
        <f>IF(A1406="","",IFERROR(VALUE(SUBSTITUTE(TRIM(Input!F1406&amp;""),"%","")),0)/IF(AND(IFERROR(VALUE(SUBSTITUTE(TRIM(Input!F1406&amp;""),"%","")),0)&gt;0,IFERROR(VALUE(SUBSTITUTE(TRIM(Input!F1406&amp;""),"%","")),0)&lt;1),1,100))</f>
        <v/>
      </c>
      <c r="F1406" t="str">
        <f>IF(A1406="","",IFERROR(VALUE(SUBSTITUTE(TRIM(Input!G1406&amp;""),"%","")),0)/IF(AND(IFERROR(VALUE(SUBSTITUTE(TRIM(Input!G1406&amp;""),"%","")),0)&gt;0,IFERROR(VALUE(SUBSTITUTE(TRIM(Input!G1406&amp;""),"%","")),0)&lt;1),1,100))</f>
        <v/>
      </c>
      <c r="G1406" t="str">
        <f>IF(A1406="","",IFERROR(VALUE(SUBSTITUTE(TRIM(Input!H1406&amp;""),"%","")),0)/IF(AND(IFERROR(VALUE(SUBSTITUTE(TRIM(Input!H1406&amp;""),"%","")),0)&gt;0,IFERROR(VALUE(SUBSTITUTE(TRIM(Input!H1406&amp;""),"%","")),0)&lt;1),1,100))</f>
        <v/>
      </c>
      <c r="H1406" t="str">
        <f>IF(A1406="","",IFERROR(VALUE(SUBSTITUTE(TRIM(Input!I1406&amp;""),"%","")),0)/IF(AND(IFERROR(VALUE(SUBSTITUTE(TRIM(Input!I1406&amp;""),"%","")),0)&gt;0,IFERROR(VALUE(SUBSTITUTE(TRIM(Input!I1406&amp;""),"%","")),0)&lt;1),1,100))</f>
        <v/>
      </c>
    </row>
    <row r="1407" spans="1:8">
      <c r="A1407" t="str">
        <f>IF(TRIM(Input!B1407&amp;"")="","",UPPER(TRIM(Input!B1407&amp;"")))</f>
        <v/>
      </c>
      <c r="B1407" t="str">
        <f>IF(A1407="","",IFERROR(VALUE(RIGHT(TRIM(Input!D1407&amp;""),1)),0))</f>
        <v/>
      </c>
      <c r="C1407" t="str">
        <f t="shared" si="21"/>
        <v/>
      </c>
      <c r="D1407" t="str">
        <f>IF(A1407="","",IFERROR(VALUE(SUBSTITUTE(TRIM(Input!E1407&amp;""),"%","")),0)/IF(AND(IFERROR(VALUE(SUBSTITUTE(TRIM(Input!E1407&amp;""),"%","")),0)&gt;0,IFERROR(VALUE(SUBSTITUTE(TRIM(Input!E1407&amp;""),"%","")),0)&lt;1),1,100))</f>
        <v/>
      </c>
      <c r="E1407" t="str">
        <f>IF(A1407="","",IFERROR(VALUE(SUBSTITUTE(TRIM(Input!F1407&amp;""),"%","")),0)/IF(AND(IFERROR(VALUE(SUBSTITUTE(TRIM(Input!F1407&amp;""),"%","")),0)&gt;0,IFERROR(VALUE(SUBSTITUTE(TRIM(Input!F1407&amp;""),"%","")),0)&lt;1),1,100))</f>
        <v/>
      </c>
      <c r="F1407" t="str">
        <f>IF(A1407="","",IFERROR(VALUE(SUBSTITUTE(TRIM(Input!G1407&amp;""),"%","")),0)/IF(AND(IFERROR(VALUE(SUBSTITUTE(TRIM(Input!G1407&amp;""),"%","")),0)&gt;0,IFERROR(VALUE(SUBSTITUTE(TRIM(Input!G1407&amp;""),"%","")),0)&lt;1),1,100))</f>
        <v/>
      </c>
      <c r="G1407" t="str">
        <f>IF(A1407="","",IFERROR(VALUE(SUBSTITUTE(TRIM(Input!H1407&amp;""),"%","")),0)/IF(AND(IFERROR(VALUE(SUBSTITUTE(TRIM(Input!H1407&amp;""),"%","")),0)&gt;0,IFERROR(VALUE(SUBSTITUTE(TRIM(Input!H1407&amp;""),"%","")),0)&lt;1),1,100))</f>
        <v/>
      </c>
      <c r="H1407" t="str">
        <f>IF(A1407="","",IFERROR(VALUE(SUBSTITUTE(TRIM(Input!I1407&amp;""),"%","")),0)/IF(AND(IFERROR(VALUE(SUBSTITUTE(TRIM(Input!I1407&amp;""),"%","")),0)&gt;0,IFERROR(VALUE(SUBSTITUTE(TRIM(Input!I1407&amp;""),"%","")),0)&lt;1),1,100))</f>
        <v/>
      </c>
    </row>
    <row r="1408" spans="1:8">
      <c r="A1408" t="str">
        <f>IF(TRIM(Input!B1408&amp;"")="","",UPPER(TRIM(Input!B1408&amp;"")))</f>
        <v/>
      </c>
      <c r="B1408" t="str">
        <f>IF(A1408="","",IFERROR(VALUE(RIGHT(TRIM(Input!D1408&amp;""),1)),0))</f>
        <v/>
      </c>
      <c r="C1408" t="str">
        <f t="shared" si="21"/>
        <v/>
      </c>
      <c r="D1408" t="str">
        <f>IF(A1408="","",IFERROR(VALUE(SUBSTITUTE(TRIM(Input!E1408&amp;""),"%","")),0)/IF(AND(IFERROR(VALUE(SUBSTITUTE(TRIM(Input!E1408&amp;""),"%","")),0)&gt;0,IFERROR(VALUE(SUBSTITUTE(TRIM(Input!E1408&amp;""),"%","")),0)&lt;1),1,100))</f>
        <v/>
      </c>
      <c r="E1408" t="str">
        <f>IF(A1408="","",IFERROR(VALUE(SUBSTITUTE(TRIM(Input!F1408&amp;""),"%","")),0)/IF(AND(IFERROR(VALUE(SUBSTITUTE(TRIM(Input!F1408&amp;""),"%","")),0)&gt;0,IFERROR(VALUE(SUBSTITUTE(TRIM(Input!F1408&amp;""),"%","")),0)&lt;1),1,100))</f>
        <v/>
      </c>
      <c r="F1408" t="str">
        <f>IF(A1408="","",IFERROR(VALUE(SUBSTITUTE(TRIM(Input!G1408&amp;""),"%","")),0)/IF(AND(IFERROR(VALUE(SUBSTITUTE(TRIM(Input!G1408&amp;""),"%","")),0)&gt;0,IFERROR(VALUE(SUBSTITUTE(TRIM(Input!G1408&amp;""),"%","")),0)&lt;1),1,100))</f>
        <v/>
      </c>
      <c r="G1408" t="str">
        <f>IF(A1408="","",IFERROR(VALUE(SUBSTITUTE(TRIM(Input!H1408&amp;""),"%","")),0)/IF(AND(IFERROR(VALUE(SUBSTITUTE(TRIM(Input!H1408&amp;""),"%","")),0)&gt;0,IFERROR(VALUE(SUBSTITUTE(TRIM(Input!H1408&amp;""),"%","")),0)&lt;1),1,100))</f>
        <v/>
      </c>
      <c r="H1408" t="str">
        <f>IF(A1408="","",IFERROR(VALUE(SUBSTITUTE(TRIM(Input!I1408&amp;""),"%","")),0)/IF(AND(IFERROR(VALUE(SUBSTITUTE(TRIM(Input!I1408&amp;""),"%","")),0)&gt;0,IFERROR(VALUE(SUBSTITUTE(TRIM(Input!I1408&amp;""),"%","")),0)&lt;1),1,100))</f>
        <v/>
      </c>
    </row>
    <row r="1409" spans="1:8">
      <c r="A1409" t="str">
        <f>IF(TRIM(Input!B1409&amp;"")="","",UPPER(TRIM(Input!B1409&amp;"")))</f>
        <v/>
      </c>
      <c r="B1409" t="str">
        <f>IF(A1409="","",IFERROR(VALUE(RIGHT(TRIM(Input!D1409&amp;""),1)),0))</f>
        <v/>
      </c>
      <c r="C1409" t="str">
        <f t="shared" si="21"/>
        <v/>
      </c>
      <c r="D1409" t="str">
        <f>IF(A1409="","",IFERROR(VALUE(SUBSTITUTE(TRIM(Input!E1409&amp;""),"%","")),0)/IF(AND(IFERROR(VALUE(SUBSTITUTE(TRIM(Input!E1409&amp;""),"%","")),0)&gt;0,IFERROR(VALUE(SUBSTITUTE(TRIM(Input!E1409&amp;""),"%","")),0)&lt;1),1,100))</f>
        <v/>
      </c>
      <c r="E1409" t="str">
        <f>IF(A1409="","",IFERROR(VALUE(SUBSTITUTE(TRIM(Input!F1409&amp;""),"%","")),0)/IF(AND(IFERROR(VALUE(SUBSTITUTE(TRIM(Input!F1409&amp;""),"%","")),0)&gt;0,IFERROR(VALUE(SUBSTITUTE(TRIM(Input!F1409&amp;""),"%","")),0)&lt;1),1,100))</f>
        <v/>
      </c>
      <c r="F1409" t="str">
        <f>IF(A1409="","",IFERROR(VALUE(SUBSTITUTE(TRIM(Input!G1409&amp;""),"%","")),0)/IF(AND(IFERROR(VALUE(SUBSTITUTE(TRIM(Input!G1409&amp;""),"%","")),0)&gt;0,IFERROR(VALUE(SUBSTITUTE(TRIM(Input!G1409&amp;""),"%","")),0)&lt;1),1,100))</f>
        <v/>
      </c>
      <c r="G1409" t="str">
        <f>IF(A1409="","",IFERROR(VALUE(SUBSTITUTE(TRIM(Input!H1409&amp;""),"%","")),0)/IF(AND(IFERROR(VALUE(SUBSTITUTE(TRIM(Input!H1409&amp;""),"%","")),0)&gt;0,IFERROR(VALUE(SUBSTITUTE(TRIM(Input!H1409&amp;""),"%","")),0)&lt;1),1,100))</f>
        <v/>
      </c>
      <c r="H1409" t="str">
        <f>IF(A1409="","",IFERROR(VALUE(SUBSTITUTE(TRIM(Input!I1409&amp;""),"%","")),0)/IF(AND(IFERROR(VALUE(SUBSTITUTE(TRIM(Input!I1409&amp;""),"%","")),0)&gt;0,IFERROR(VALUE(SUBSTITUTE(TRIM(Input!I1409&amp;""),"%","")),0)&lt;1),1,100))</f>
        <v/>
      </c>
    </row>
    <row r="1410" spans="1:8">
      <c r="A1410" t="str">
        <f>IF(TRIM(Input!B1410&amp;"")="","",UPPER(TRIM(Input!B1410&amp;"")))</f>
        <v/>
      </c>
      <c r="B1410" t="str">
        <f>IF(A1410="","",IFERROR(VALUE(RIGHT(TRIM(Input!D1410&amp;""),1)),0))</f>
        <v/>
      </c>
      <c r="C1410" t="str">
        <f t="shared" ref="C1410:C1473" si="22">IF(A1410="","",A1410&amp;"|"&amp;B1410)</f>
        <v/>
      </c>
      <c r="D1410" t="str">
        <f>IF(A1410="","",IFERROR(VALUE(SUBSTITUTE(TRIM(Input!E1410&amp;""),"%","")),0)/IF(AND(IFERROR(VALUE(SUBSTITUTE(TRIM(Input!E1410&amp;""),"%","")),0)&gt;0,IFERROR(VALUE(SUBSTITUTE(TRIM(Input!E1410&amp;""),"%","")),0)&lt;1),1,100))</f>
        <v/>
      </c>
      <c r="E1410" t="str">
        <f>IF(A1410="","",IFERROR(VALUE(SUBSTITUTE(TRIM(Input!F1410&amp;""),"%","")),0)/IF(AND(IFERROR(VALUE(SUBSTITUTE(TRIM(Input!F1410&amp;""),"%","")),0)&gt;0,IFERROR(VALUE(SUBSTITUTE(TRIM(Input!F1410&amp;""),"%","")),0)&lt;1),1,100))</f>
        <v/>
      </c>
      <c r="F1410" t="str">
        <f>IF(A1410="","",IFERROR(VALUE(SUBSTITUTE(TRIM(Input!G1410&amp;""),"%","")),0)/IF(AND(IFERROR(VALUE(SUBSTITUTE(TRIM(Input!G1410&amp;""),"%","")),0)&gt;0,IFERROR(VALUE(SUBSTITUTE(TRIM(Input!G1410&amp;""),"%","")),0)&lt;1),1,100))</f>
        <v/>
      </c>
      <c r="G1410" t="str">
        <f>IF(A1410="","",IFERROR(VALUE(SUBSTITUTE(TRIM(Input!H1410&amp;""),"%","")),0)/IF(AND(IFERROR(VALUE(SUBSTITUTE(TRIM(Input!H1410&amp;""),"%","")),0)&gt;0,IFERROR(VALUE(SUBSTITUTE(TRIM(Input!H1410&amp;""),"%","")),0)&lt;1),1,100))</f>
        <v/>
      </c>
      <c r="H1410" t="str">
        <f>IF(A1410="","",IFERROR(VALUE(SUBSTITUTE(TRIM(Input!I1410&amp;""),"%","")),0)/IF(AND(IFERROR(VALUE(SUBSTITUTE(TRIM(Input!I1410&amp;""),"%","")),0)&gt;0,IFERROR(VALUE(SUBSTITUTE(TRIM(Input!I1410&amp;""),"%","")),0)&lt;1),1,100))</f>
        <v/>
      </c>
    </row>
    <row r="1411" spans="1:8">
      <c r="A1411" t="str">
        <f>IF(TRIM(Input!B1411&amp;"")="","",UPPER(TRIM(Input!B1411&amp;"")))</f>
        <v/>
      </c>
      <c r="B1411" t="str">
        <f>IF(A1411="","",IFERROR(VALUE(RIGHT(TRIM(Input!D1411&amp;""),1)),0))</f>
        <v/>
      </c>
      <c r="C1411" t="str">
        <f t="shared" si="22"/>
        <v/>
      </c>
      <c r="D1411" t="str">
        <f>IF(A1411="","",IFERROR(VALUE(SUBSTITUTE(TRIM(Input!E1411&amp;""),"%","")),0)/IF(AND(IFERROR(VALUE(SUBSTITUTE(TRIM(Input!E1411&amp;""),"%","")),0)&gt;0,IFERROR(VALUE(SUBSTITUTE(TRIM(Input!E1411&amp;""),"%","")),0)&lt;1),1,100))</f>
        <v/>
      </c>
      <c r="E1411" t="str">
        <f>IF(A1411="","",IFERROR(VALUE(SUBSTITUTE(TRIM(Input!F1411&amp;""),"%","")),0)/IF(AND(IFERROR(VALUE(SUBSTITUTE(TRIM(Input!F1411&amp;""),"%","")),0)&gt;0,IFERROR(VALUE(SUBSTITUTE(TRIM(Input!F1411&amp;""),"%","")),0)&lt;1),1,100))</f>
        <v/>
      </c>
      <c r="F1411" t="str">
        <f>IF(A1411="","",IFERROR(VALUE(SUBSTITUTE(TRIM(Input!G1411&amp;""),"%","")),0)/IF(AND(IFERROR(VALUE(SUBSTITUTE(TRIM(Input!G1411&amp;""),"%","")),0)&gt;0,IFERROR(VALUE(SUBSTITUTE(TRIM(Input!G1411&amp;""),"%","")),0)&lt;1),1,100))</f>
        <v/>
      </c>
      <c r="G1411" t="str">
        <f>IF(A1411="","",IFERROR(VALUE(SUBSTITUTE(TRIM(Input!H1411&amp;""),"%","")),0)/IF(AND(IFERROR(VALUE(SUBSTITUTE(TRIM(Input!H1411&amp;""),"%","")),0)&gt;0,IFERROR(VALUE(SUBSTITUTE(TRIM(Input!H1411&amp;""),"%","")),0)&lt;1),1,100))</f>
        <v/>
      </c>
      <c r="H1411" t="str">
        <f>IF(A1411="","",IFERROR(VALUE(SUBSTITUTE(TRIM(Input!I1411&amp;""),"%","")),0)/IF(AND(IFERROR(VALUE(SUBSTITUTE(TRIM(Input!I1411&amp;""),"%","")),0)&gt;0,IFERROR(VALUE(SUBSTITUTE(TRIM(Input!I1411&amp;""),"%","")),0)&lt;1),1,100))</f>
        <v/>
      </c>
    </row>
    <row r="1412" spans="1:8">
      <c r="A1412" t="str">
        <f>IF(TRIM(Input!B1412&amp;"")="","",UPPER(TRIM(Input!B1412&amp;"")))</f>
        <v/>
      </c>
      <c r="B1412" t="str">
        <f>IF(A1412="","",IFERROR(VALUE(RIGHT(TRIM(Input!D1412&amp;""),1)),0))</f>
        <v/>
      </c>
      <c r="C1412" t="str">
        <f t="shared" si="22"/>
        <v/>
      </c>
      <c r="D1412" t="str">
        <f>IF(A1412="","",IFERROR(VALUE(SUBSTITUTE(TRIM(Input!E1412&amp;""),"%","")),0)/IF(AND(IFERROR(VALUE(SUBSTITUTE(TRIM(Input!E1412&amp;""),"%","")),0)&gt;0,IFERROR(VALUE(SUBSTITUTE(TRIM(Input!E1412&amp;""),"%","")),0)&lt;1),1,100))</f>
        <v/>
      </c>
      <c r="E1412" t="str">
        <f>IF(A1412="","",IFERROR(VALUE(SUBSTITUTE(TRIM(Input!F1412&amp;""),"%","")),0)/IF(AND(IFERROR(VALUE(SUBSTITUTE(TRIM(Input!F1412&amp;""),"%","")),0)&gt;0,IFERROR(VALUE(SUBSTITUTE(TRIM(Input!F1412&amp;""),"%","")),0)&lt;1),1,100))</f>
        <v/>
      </c>
      <c r="F1412" t="str">
        <f>IF(A1412="","",IFERROR(VALUE(SUBSTITUTE(TRIM(Input!G1412&amp;""),"%","")),0)/IF(AND(IFERROR(VALUE(SUBSTITUTE(TRIM(Input!G1412&amp;""),"%","")),0)&gt;0,IFERROR(VALUE(SUBSTITUTE(TRIM(Input!G1412&amp;""),"%","")),0)&lt;1),1,100))</f>
        <v/>
      </c>
      <c r="G1412" t="str">
        <f>IF(A1412="","",IFERROR(VALUE(SUBSTITUTE(TRIM(Input!H1412&amp;""),"%","")),0)/IF(AND(IFERROR(VALUE(SUBSTITUTE(TRIM(Input!H1412&amp;""),"%","")),0)&gt;0,IFERROR(VALUE(SUBSTITUTE(TRIM(Input!H1412&amp;""),"%","")),0)&lt;1),1,100))</f>
        <v/>
      </c>
      <c r="H1412" t="str">
        <f>IF(A1412="","",IFERROR(VALUE(SUBSTITUTE(TRIM(Input!I1412&amp;""),"%","")),0)/IF(AND(IFERROR(VALUE(SUBSTITUTE(TRIM(Input!I1412&amp;""),"%","")),0)&gt;0,IFERROR(VALUE(SUBSTITUTE(TRIM(Input!I1412&amp;""),"%","")),0)&lt;1),1,100))</f>
        <v/>
      </c>
    </row>
    <row r="1413" spans="1:8">
      <c r="A1413" t="str">
        <f>IF(TRIM(Input!B1413&amp;"")="","",UPPER(TRIM(Input!B1413&amp;"")))</f>
        <v/>
      </c>
      <c r="B1413" t="str">
        <f>IF(A1413="","",IFERROR(VALUE(RIGHT(TRIM(Input!D1413&amp;""),1)),0))</f>
        <v/>
      </c>
      <c r="C1413" t="str">
        <f t="shared" si="22"/>
        <v/>
      </c>
      <c r="D1413" t="str">
        <f>IF(A1413="","",IFERROR(VALUE(SUBSTITUTE(TRIM(Input!E1413&amp;""),"%","")),0)/IF(AND(IFERROR(VALUE(SUBSTITUTE(TRIM(Input!E1413&amp;""),"%","")),0)&gt;0,IFERROR(VALUE(SUBSTITUTE(TRIM(Input!E1413&amp;""),"%","")),0)&lt;1),1,100))</f>
        <v/>
      </c>
      <c r="E1413" t="str">
        <f>IF(A1413="","",IFERROR(VALUE(SUBSTITUTE(TRIM(Input!F1413&amp;""),"%","")),0)/IF(AND(IFERROR(VALUE(SUBSTITUTE(TRIM(Input!F1413&amp;""),"%","")),0)&gt;0,IFERROR(VALUE(SUBSTITUTE(TRIM(Input!F1413&amp;""),"%","")),0)&lt;1),1,100))</f>
        <v/>
      </c>
      <c r="F1413" t="str">
        <f>IF(A1413="","",IFERROR(VALUE(SUBSTITUTE(TRIM(Input!G1413&amp;""),"%","")),0)/IF(AND(IFERROR(VALUE(SUBSTITUTE(TRIM(Input!G1413&amp;""),"%","")),0)&gt;0,IFERROR(VALUE(SUBSTITUTE(TRIM(Input!G1413&amp;""),"%","")),0)&lt;1),1,100))</f>
        <v/>
      </c>
      <c r="G1413" t="str">
        <f>IF(A1413="","",IFERROR(VALUE(SUBSTITUTE(TRIM(Input!H1413&amp;""),"%","")),0)/IF(AND(IFERROR(VALUE(SUBSTITUTE(TRIM(Input!H1413&amp;""),"%","")),0)&gt;0,IFERROR(VALUE(SUBSTITUTE(TRIM(Input!H1413&amp;""),"%","")),0)&lt;1),1,100))</f>
        <v/>
      </c>
      <c r="H1413" t="str">
        <f>IF(A1413="","",IFERROR(VALUE(SUBSTITUTE(TRIM(Input!I1413&amp;""),"%","")),0)/IF(AND(IFERROR(VALUE(SUBSTITUTE(TRIM(Input!I1413&amp;""),"%","")),0)&gt;0,IFERROR(VALUE(SUBSTITUTE(TRIM(Input!I1413&amp;""),"%","")),0)&lt;1),1,100))</f>
        <v/>
      </c>
    </row>
    <row r="1414" spans="1:8">
      <c r="A1414" t="str">
        <f>IF(TRIM(Input!B1414&amp;"")="","",UPPER(TRIM(Input!B1414&amp;"")))</f>
        <v/>
      </c>
      <c r="B1414" t="str">
        <f>IF(A1414="","",IFERROR(VALUE(RIGHT(TRIM(Input!D1414&amp;""),1)),0))</f>
        <v/>
      </c>
      <c r="C1414" t="str">
        <f t="shared" si="22"/>
        <v/>
      </c>
      <c r="D1414" t="str">
        <f>IF(A1414="","",IFERROR(VALUE(SUBSTITUTE(TRIM(Input!E1414&amp;""),"%","")),0)/IF(AND(IFERROR(VALUE(SUBSTITUTE(TRIM(Input!E1414&amp;""),"%","")),0)&gt;0,IFERROR(VALUE(SUBSTITUTE(TRIM(Input!E1414&amp;""),"%","")),0)&lt;1),1,100))</f>
        <v/>
      </c>
      <c r="E1414" t="str">
        <f>IF(A1414="","",IFERROR(VALUE(SUBSTITUTE(TRIM(Input!F1414&amp;""),"%","")),0)/IF(AND(IFERROR(VALUE(SUBSTITUTE(TRIM(Input!F1414&amp;""),"%","")),0)&gt;0,IFERROR(VALUE(SUBSTITUTE(TRIM(Input!F1414&amp;""),"%","")),0)&lt;1),1,100))</f>
        <v/>
      </c>
      <c r="F1414" t="str">
        <f>IF(A1414="","",IFERROR(VALUE(SUBSTITUTE(TRIM(Input!G1414&amp;""),"%","")),0)/IF(AND(IFERROR(VALUE(SUBSTITUTE(TRIM(Input!G1414&amp;""),"%","")),0)&gt;0,IFERROR(VALUE(SUBSTITUTE(TRIM(Input!G1414&amp;""),"%","")),0)&lt;1),1,100))</f>
        <v/>
      </c>
      <c r="G1414" t="str">
        <f>IF(A1414="","",IFERROR(VALUE(SUBSTITUTE(TRIM(Input!H1414&amp;""),"%","")),0)/IF(AND(IFERROR(VALUE(SUBSTITUTE(TRIM(Input!H1414&amp;""),"%","")),0)&gt;0,IFERROR(VALUE(SUBSTITUTE(TRIM(Input!H1414&amp;""),"%","")),0)&lt;1),1,100))</f>
        <v/>
      </c>
      <c r="H1414" t="str">
        <f>IF(A1414="","",IFERROR(VALUE(SUBSTITUTE(TRIM(Input!I1414&amp;""),"%","")),0)/IF(AND(IFERROR(VALUE(SUBSTITUTE(TRIM(Input!I1414&amp;""),"%","")),0)&gt;0,IFERROR(VALUE(SUBSTITUTE(TRIM(Input!I1414&amp;""),"%","")),0)&lt;1),1,100))</f>
        <v/>
      </c>
    </row>
    <row r="1415" spans="1:8">
      <c r="A1415" t="str">
        <f>IF(TRIM(Input!B1415&amp;"")="","",UPPER(TRIM(Input!B1415&amp;"")))</f>
        <v/>
      </c>
      <c r="B1415" t="str">
        <f>IF(A1415="","",IFERROR(VALUE(RIGHT(TRIM(Input!D1415&amp;""),1)),0))</f>
        <v/>
      </c>
      <c r="C1415" t="str">
        <f t="shared" si="22"/>
        <v/>
      </c>
      <c r="D1415" t="str">
        <f>IF(A1415="","",IFERROR(VALUE(SUBSTITUTE(TRIM(Input!E1415&amp;""),"%","")),0)/IF(AND(IFERROR(VALUE(SUBSTITUTE(TRIM(Input!E1415&amp;""),"%","")),0)&gt;0,IFERROR(VALUE(SUBSTITUTE(TRIM(Input!E1415&amp;""),"%","")),0)&lt;1),1,100))</f>
        <v/>
      </c>
      <c r="E1415" t="str">
        <f>IF(A1415="","",IFERROR(VALUE(SUBSTITUTE(TRIM(Input!F1415&amp;""),"%","")),0)/IF(AND(IFERROR(VALUE(SUBSTITUTE(TRIM(Input!F1415&amp;""),"%","")),0)&gt;0,IFERROR(VALUE(SUBSTITUTE(TRIM(Input!F1415&amp;""),"%","")),0)&lt;1),1,100))</f>
        <v/>
      </c>
      <c r="F1415" t="str">
        <f>IF(A1415="","",IFERROR(VALUE(SUBSTITUTE(TRIM(Input!G1415&amp;""),"%","")),0)/IF(AND(IFERROR(VALUE(SUBSTITUTE(TRIM(Input!G1415&amp;""),"%","")),0)&gt;0,IFERROR(VALUE(SUBSTITUTE(TRIM(Input!G1415&amp;""),"%","")),0)&lt;1),1,100))</f>
        <v/>
      </c>
      <c r="G1415" t="str">
        <f>IF(A1415="","",IFERROR(VALUE(SUBSTITUTE(TRIM(Input!H1415&amp;""),"%","")),0)/IF(AND(IFERROR(VALUE(SUBSTITUTE(TRIM(Input!H1415&amp;""),"%","")),0)&gt;0,IFERROR(VALUE(SUBSTITUTE(TRIM(Input!H1415&amp;""),"%","")),0)&lt;1),1,100))</f>
        <v/>
      </c>
      <c r="H1415" t="str">
        <f>IF(A1415="","",IFERROR(VALUE(SUBSTITUTE(TRIM(Input!I1415&amp;""),"%","")),0)/IF(AND(IFERROR(VALUE(SUBSTITUTE(TRIM(Input!I1415&amp;""),"%","")),0)&gt;0,IFERROR(VALUE(SUBSTITUTE(TRIM(Input!I1415&amp;""),"%","")),0)&lt;1),1,100))</f>
        <v/>
      </c>
    </row>
    <row r="1416" spans="1:8">
      <c r="A1416" t="str">
        <f>IF(TRIM(Input!B1416&amp;"")="","",UPPER(TRIM(Input!B1416&amp;"")))</f>
        <v/>
      </c>
      <c r="B1416" t="str">
        <f>IF(A1416="","",IFERROR(VALUE(RIGHT(TRIM(Input!D1416&amp;""),1)),0))</f>
        <v/>
      </c>
      <c r="C1416" t="str">
        <f t="shared" si="22"/>
        <v/>
      </c>
      <c r="D1416" t="str">
        <f>IF(A1416="","",IFERROR(VALUE(SUBSTITUTE(TRIM(Input!E1416&amp;""),"%","")),0)/IF(AND(IFERROR(VALUE(SUBSTITUTE(TRIM(Input!E1416&amp;""),"%","")),0)&gt;0,IFERROR(VALUE(SUBSTITUTE(TRIM(Input!E1416&amp;""),"%","")),0)&lt;1),1,100))</f>
        <v/>
      </c>
      <c r="E1416" t="str">
        <f>IF(A1416="","",IFERROR(VALUE(SUBSTITUTE(TRIM(Input!F1416&amp;""),"%","")),0)/IF(AND(IFERROR(VALUE(SUBSTITUTE(TRIM(Input!F1416&amp;""),"%","")),0)&gt;0,IFERROR(VALUE(SUBSTITUTE(TRIM(Input!F1416&amp;""),"%","")),0)&lt;1),1,100))</f>
        <v/>
      </c>
      <c r="F1416" t="str">
        <f>IF(A1416="","",IFERROR(VALUE(SUBSTITUTE(TRIM(Input!G1416&amp;""),"%","")),0)/IF(AND(IFERROR(VALUE(SUBSTITUTE(TRIM(Input!G1416&amp;""),"%","")),0)&gt;0,IFERROR(VALUE(SUBSTITUTE(TRIM(Input!G1416&amp;""),"%","")),0)&lt;1),1,100))</f>
        <v/>
      </c>
      <c r="G1416" t="str">
        <f>IF(A1416="","",IFERROR(VALUE(SUBSTITUTE(TRIM(Input!H1416&amp;""),"%","")),0)/IF(AND(IFERROR(VALUE(SUBSTITUTE(TRIM(Input!H1416&amp;""),"%","")),0)&gt;0,IFERROR(VALUE(SUBSTITUTE(TRIM(Input!H1416&amp;""),"%","")),0)&lt;1),1,100))</f>
        <v/>
      </c>
      <c r="H1416" t="str">
        <f>IF(A1416="","",IFERROR(VALUE(SUBSTITUTE(TRIM(Input!I1416&amp;""),"%","")),0)/IF(AND(IFERROR(VALUE(SUBSTITUTE(TRIM(Input!I1416&amp;""),"%","")),0)&gt;0,IFERROR(VALUE(SUBSTITUTE(TRIM(Input!I1416&amp;""),"%","")),0)&lt;1),1,100))</f>
        <v/>
      </c>
    </row>
    <row r="1417" spans="1:8">
      <c r="A1417" t="str">
        <f>IF(TRIM(Input!B1417&amp;"")="","",UPPER(TRIM(Input!B1417&amp;"")))</f>
        <v/>
      </c>
      <c r="B1417" t="str">
        <f>IF(A1417="","",IFERROR(VALUE(RIGHT(TRIM(Input!D1417&amp;""),1)),0))</f>
        <v/>
      </c>
      <c r="C1417" t="str">
        <f t="shared" si="22"/>
        <v/>
      </c>
      <c r="D1417" t="str">
        <f>IF(A1417="","",IFERROR(VALUE(SUBSTITUTE(TRIM(Input!E1417&amp;""),"%","")),0)/IF(AND(IFERROR(VALUE(SUBSTITUTE(TRIM(Input!E1417&amp;""),"%","")),0)&gt;0,IFERROR(VALUE(SUBSTITUTE(TRIM(Input!E1417&amp;""),"%","")),0)&lt;1),1,100))</f>
        <v/>
      </c>
      <c r="E1417" t="str">
        <f>IF(A1417="","",IFERROR(VALUE(SUBSTITUTE(TRIM(Input!F1417&amp;""),"%","")),0)/IF(AND(IFERROR(VALUE(SUBSTITUTE(TRIM(Input!F1417&amp;""),"%","")),0)&gt;0,IFERROR(VALUE(SUBSTITUTE(TRIM(Input!F1417&amp;""),"%","")),0)&lt;1),1,100))</f>
        <v/>
      </c>
      <c r="F1417" t="str">
        <f>IF(A1417="","",IFERROR(VALUE(SUBSTITUTE(TRIM(Input!G1417&amp;""),"%","")),0)/IF(AND(IFERROR(VALUE(SUBSTITUTE(TRIM(Input!G1417&amp;""),"%","")),0)&gt;0,IFERROR(VALUE(SUBSTITUTE(TRIM(Input!G1417&amp;""),"%","")),0)&lt;1),1,100))</f>
        <v/>
      </c>
      <c r="G1417" t="str">
        <f>IF(A1417="","",IFERROR(VALUE(SUBSTITUTE(TRIM(Input!H1417&amp;""),"%","")),0)/IF(AND(IFERROR(VALUE(SUBSTITUTE(TRIM(Input!H1417&amp;""),"%","")),0)&gt;0,IFERROR(VALUE(SUBSTITUTE(TRIM(Input!H1417&amp;""),"%","")),0)&lt;1),1,100))</f>
        <v/>
      </c>
      <c r="H1417" t="str">
        <f>IF(A1417="","",IFERROR(VALUE(SUBSTITUTE(TRIM(Input!I1417&amp;""),"%","")),0)/IF(AND(IFERROR(VALUE(SUBSTITUTE(TRIM(Input!I1417&amp;""),"%","")),0)&gt;0,IFERROR(VALUE(SUBSTITUTE(TRIM(Input!I1417&amp;""),"%","")),0)&lt;1),1,100))</f>
        <v/>
      </c>
    </row>
    <row r="1418" spans="1:8">
      <c r="A1418" t="str">
        <f>IF(TRIM(Input!B1418&amp;"")="","",UPPER(TRIM(Input!B1418&amp;"")))</f>
        <v/>
      </c>
      <c r="B1418" t="str">
        <f>IF(A1418="","",IFERROR(VALUE(RIGHT(TRIM(Input!D1418&amp;""),1)),0))</f>
        <v/>
      </c>
      <c r="C1418" t="str">
        <f t="shared" si="22"/>
        <v/>
      </c>
      <c r="D1418" t="str">
        <f>IF(A1418="","",IFERROR(VALUE(SUBSTITUTE(TRIM(Input!E1418&amp;""),"%","")),0)/IF(AND(IFERROR(VALUE(SUBSTITUTE(TRIM(Input!E1418&amp;""),"%","")),0)&gt;0,IFERROR(VALUE(SUBSTITUTE(TRIM(Input!E1418&amp;""),"%","")),0)&lt;1),1,100))</f>
        <v/>
      </c>
      <c r="E1418" t="str">
        <f>IF(A1418="","",IFERROR(VALUE(SUBSTITUTE(TRIM(Input!F1418&amp;""),"%","")),0)/IF(AND(IFERROR(VALUE(SUBSTITUTE(TRIM(Input!F1418&amp;""),"%","")),0)&gt;0,IFERROR(VALUE(SUBSTITUTE(TRIM(Input!F1418&amp;""),"%","")),0)&lt;1),1,100))</f>
        <v/>
      </c>
      <c r="F1418" t="str">
        <f>IF(A1418="","",IFERROR(VALUE(SUBSTITUTE(TRIM(Input!G1418&amp;""),"%","")),0)/IF(AND(IFERROR(VALUE(SUBSTITUTE(TRIM(Input!G1418&amp;""),"%","")),0)&gt;0,IFERROR(VALUE(SUBSTITUTE(TRIM(Input!G1418&amp;""),"%","")),0)&lt;1),1,100))</f>
        <v/>
      </c>
      <c r="G1418" t="str">
        <f>IF(A1418="","",IFERROR(VALUE(SUBSTITUTE(TRIM(Input!H1418&amp;""),"%","")),0)/IF(AND(IFERROR(VALUE(SUBSTITUTE(TRIM(Input!H1418&amp;""),"%","")),0)&gt;0,IFERROR(VALUE(SUBSTITUTE(TRIM(Input!H1418&amp;""),"%","")),0)&lt;1),1,100))</f>
        <v/>
      </c>
      <c r="H1418" t="str">
        <f>IF(A1418="","",IFERROR(VALUE(SUBSTITUTE(TRIM(Input!I1418&amp;""),"%","")),0)/IF(AND(IFERROR(VALUE(SUBSTITUTE(TRIM(Input!I1418&amp;""),"%","")),0)&gt;0,IFERROR(VALUE(SUBSTITUTE(TRIM(Input!I1418&amp;""),"%","")),0)&lt;1),1,100))</f>
        <v/>
      </c>
    </row>
    <row r="1419" spans="1:8">
      <c r="A1419" t="str">
        <f>IF(TRIM(Input!B1419&amp;"")="","",UPPER(TRIM(Input!B1419&amp;"")))</f>
        <v/>
      </c>
      <c r="B1419" t="str">
        <f>IF(A1419="","",IFERROR(VALUE(RIGHT(TRIM(Input!D1419&amp;""),1)),0))</f>
        <v/>
      </c>
      <c r="C1419" t="str">
        <f t="shared" si="22"/>
        <v/>
      </c>
      <c r="D1419" t="str">
        <f>IF(A1419="","",IFERROR(VALUE(SUBSTITUTE(TRIM(Input!E1419&amp;""),"%","")),0)/IF(AND(IFERROR(VALUE(SUBSTITUTE(TRIM(Input!E1419&amp;""),"%","")),0)&gt;0,IFERROR(VALUE(SUBSTITUTE(TRIM(Input!E1419&amp;""),"%","")),0)&lt;1),1,100))</f>
        <v/>
      </c>
      <c r="E1419" t="str">
        <f>IF(A1419="","",IFERROR(VALUE(SUBSTITUTE(TRIM(Input!F1419&amp;""),"%","")),0)/IF(AND(IFERROR(VALUE(SUBSTITUTE(TRIM(Input!F1419&amp;""),"%","")),0)&gt;0,IFERROR(VALUE(SUBSTITUTE(TRIM(Input!F1419&amp;""),"%","")),0)&lt;1),1,100))</f>
        <v/>
      </c>
      <c r="F1419" t="str">
        <f>IF(A1419="","",IFERROR(VALUE(SUBSTITUTE(TRIM(Input!G1419&amp;""),"%","")),0)/IF(AND(IFERROR(VALUE(SUBSTITUTE(TRIM(Input!G1419&amp;""),"%","")),0)&gt;0,IFERROR(VALUE(SUBSTITUTE(TRIM(Input!G1419&amp;""),"%","")),0)&lt;1),1,100))</f>
        <v/>
      </c>
      <c r="G1419" t="str">
        <f>IF(A1419="","",IFERROR(VALUE(SUBSTITUTE(TRIM(Input!H1419&amp;""),"%","")),0)/IF(AND(IFERROR(VALUE(SUBSTITUTE(TRIM(Input!H1419&amp;""),"%","")),0)&gt;0,IFERROR(VALUE(SUBSTITUTE(TRIM(Input!H1419&amp;""),"%","")),0)&lt;1),1,100))</f>
        <v/>
      </c>
      <c r="H1419" t="str">
        <f>IF(A1419="","",IFERROR(VALUE(SUBSTITUTE(TRIM(Input!I1419&amp;""),"%","")),0)/IF(AND(IFERROR(VALUE(SUBSTITUTE(TRIM(Input!I1419&amp;""),"%","")),0)&gt;0,IFERROR(VALUE(SUBSTITUTE(TRIM(Input!I1419&amp;""),"%","")),0)&lt;1),1,100))</f>
        <v/>
      </c>
    </row>
    <row r="1420" spans="1:8">
      <c r="A1420" t="str">
        <f>IF(TRIM(Input!B1420&amp;"")="","",UPPER(TRIM(Input!B1420&amp;"")))</f>
        <v/>
      </c>
      <c r="B1420" t="str">
        <f>IF(A1420="","",IFERROR(VALUE(RIGHT(TRIM(Input!D1420&amp;""),1)),0))</f>
        <v/>
      </c>
      <c r="C1420" t="str">
        <f t="shared" si="22"/>
        <v/>
      </c>
      <c r="D1420" t="str">
        <f>IF(A1420="","",IFERROR(VALUE(SUBSTITUTE(TRIM(Input!E1420&amp;""),"%","")),0)/IF(AND(IFERROR(VALUE(SUBSTITUTE(TRIM(Input!E1420&amp;""),"%","")),0)&gt;0,IFERROR(VALUE(SUBSTITUTE(TRIM(Input!E1420&amp;""),"%","")),0)&lt;1),1,100))</f>
        <v/>
      </c>
      <c r="E1420" t="str">
        <f>IF(A1420="","",IFERROR(VALUE(SUBSTITUTE(TRIM(Input!F1420&amp;""),"%","")),0)/IF(AND(IFERROR(VALUE(SUBSTITUTE(TRIM(Input!F1420&amp;""),"%","")),0)&gt;0,IFERROR(VALUE(SUBSTITUTE(TRIM(Input!F1420&amp;""),"%","")),0)&lt;1),1,100))</f>
        <v/>
      </c>
      <c r="F1420" t="str">
        <f>IF(A1420="","",IFERROR(VALUE(SUBSTITUTE(TRIM(Input!G1420&amp;""),"%","")),0)/IF(AND(IFERROR(VALUE(SUBSTITUTE(TRIM(Input!G1420&amp;""),"%","")),0)&gt;0,IFERROR(VALUE(SUBSTITUTE(TRIM(Input!G1420&amp;""),"%","")),0)&lt;1),1,100))</f>
        <v/>
      </c>
      <c r="G1420" t="str">
        <f>IF(A1420="","",IFERROR(VALUE(SUBSTITUTE(TRIM(Input!H1420&amp;""),"%","")),0)/IF(AND(IFERROR(VALUE(SUBSTITUTE(TRIM(Input!H1420&amp;""),"%","")),0)&gt;0,IFERROR(VALUE(SUBSTITUTE(TRIM(Input!H1420&amp;""),"%","")),0)&lt;1),1,100))</f>
        <v/>
      </c>
      <c r="H1420" t="str">
        <f>IF(A1420="","",IFERROR(VALUE(SUBSTITUTE(TRIM(Input!I1420&amp;""),"%","")),0)/IF(AND(IFERROR(VALUE(SUBSTITUTE(TRIM(Input!I1420&amp;""),"%","")),0)&gt;0,IFERROR(VALUE(SUBSTITUTE(TRIM(Input!I1420&amp;""),"%","")),0)&lt;1),1,100))</f>
        <v/>
      </c>
    </row>
    <row r="1421" spans="1:8">
      <c r="A1421" t="str">
        <f>IF(TRIM(Input!B1421&amp;"")="","",UPPER(TRIM(Input!B1421&amp;"")))</f>
        <v/>
      </c>
      <c r="B1421" t="str">
        <f>IF(A1421="","",IFERROR(VALUE(RIGHT(TRIM(Input!D1421&amp;""),1)),0))</f>
        <v/>
      </c>
      <c r="C1421" t="str">
        <f t="shared" si="22"/>
        <v/>
      </c>
      <c r="D1421" t="str">
        <f>IF(A1421="","",IFERROR(VALUE(SUBSTITUTE(TRIM(Input!E1421&amp;""),"%","")),0)/IF(AND(IFERROR(VALUE(SUBSTITUTE(TRIM(Input!E1421&amp;""),"%","")),0)&gt;0,IFERROR(VALUE(SUBSTITUTE(TRIM(Input!E1421&amp;""),"%","")),0)&lt;1),1,100))</f>
        <v/>
      </c>
      <c r="E1421" t="str">
        <f>IF(A1421="","",IFERROR(VALUE(SUBSTITUTE(TRIM(Input!F1421&amp;""),"%","")),0)/IF(AND(IFERROR(VALUE(SUBSTITUTE(TRIM(Input!F1421&amp;""),"%","")),0)&gt;0,IFERROR(VALUE(SUBSTITUTE(TRIM(Input!F1421&amp;""),"%","")),0)&lt;1),1,100))</f>
        <v/>
      </c>
      <c r="F1421" t="str">
        <f>IF(A1421="","",IFERROR(VALUE(SUBSTITUTE(TRIM(Input!G1421&amp;""),"%","")),0)/IF(AND(IFERROR(VALUE(SUBSTITUTE(TRIM(Input!G1421&amp;""),"%","")),0)&gt;0,IFERROR(VALUE(SUBSTITUTE(TRIM(Input!G1421&amp;""),"%","")),0)&lt;1),1,100))</f>
        <v/>
      </c>
      <c r="G1421" t="str">
        <f>IF(A1421="","",IFERROR(VALUE(SUBSTITUTE(TRIM(Input!H1421&amp;""),"%","")),0)/IF(AND(IFERROR(VALUE(SUBSTITUTE(TRIM(Input!H1421&amp;""),"%","")),0)&gt;0,IFERROR(VALUE(SUBSTITUTE(TRIM(Input!H1421&amp;""),"%","")),0)&lt;1),1,100))</f>
        <v/>
      </c>
      <c r="H1421" t="str">
        <f>IF(A1421="","",IFERROR(VALUE(SUBSTITUTE(TRIM(Input!I1421&amp;""),"%","")),0)/IF(AND(IFERROR(VALUE(SUBSTITUTE(TRIM(Input!I1421&amp;""),"%","")),0)&gt;0,IFERROR(VALUE(SUBSTITUTE(TRIM(Input!I1421&amp;""),"%","")),0)&lt;1),1,100))</f>
        <v/>
      </c>
    </row>
    <row r="1422" spans="1:8">
      <c r="A1422" t="str">
        <f>IF(TRIM(Input!B1422&amp;"")="","",UPPER(TRIM(Input!B1422&amp;"")))</f>
        <v/>
      </c>
      <c r="B1422" t="str">
        <f>IF(A1422="","",IFERROR(VALUE(RIGHT(TRIM(Input!D1422&amp;""),1)),0))</f>
        <v/>
      </c>
      <c r="C1422" t="str">
        <f t="shared" si="22"/>
        <v/>
      </c>
      <c r="D1422" t="str">
        <f>IF(A1422="","",IFERROR(VALUE(SUBSTITUTE(TRIM(Input!E1422&amp;""),"%","")),0)/IF(AND(IFERROR(VALUE(SUBSTITUTE(TRIM(Input!E1422&amp;""),"%","")),0)&gt;0,IFERROR(VALUE(SUBSTITUTE(TRIM(Input!E1422&amp;""),"%","")),0)&lt;1),1,100))</f>
        <v/>
      </c>
      <c r="E1422" t="str">
        <f>IF(A1422="","",IFERROR(VALUE(SUBSTITUTE(TRIM(Input!F1422&amp;""),"%","")),0)/IF(AND(IFERROR(VALUE(SUBSTITUTE(TRIM(Input!F1422&amp;""),"%","")),0)&gt;0,IFERROR(VALUE(SUBSTITUTE(TRIM(Input!F1422&amp;""),"%","")),0)&lt;1),1,100))</f>
        <v/>
      </c>
      <c r="F1422" t="str">
        <f>IF(A1422="","",IFERROR(VALUE(SUBSTITUTE(TRIM(Input!G1422&amp;""),"%","")),0)/IF(AND(IFERROR(VALUE(SUBSTITUTE(TRIM(Input!G1422&amp;""),"%","")),0)&gt;0,IFERROR(VALUE(SUBSTITUTE(TRIM(Input!G1422&amp;""),"%","")),0)&lt;1),1,100))</f>
        <v/>
      </c>
      <c r="G1422" t="str">
        <f>IF(A1422="","",IFERROR(VALUE(SUBSTITUTE(TRIM(Input!H1422&amp;""),"%","")),0)/IF(AND(IFERROR(VALUE(SUBSTITUTE(TRIM(Input!H1422&amp;""),"%","")),0)&gt;0,IFERROR(VALUE(SUBSTITUTE(TRIM(Input!H1422&amp;""),"%","")),0)&lt;1),1,100))</f>
        <v/>
      </c>
      <c r="H1422" t="str">
        <f>IF(A1422="","",IFERROR(VALUE(SUBSTITUTE(TRIM(Input!I1422&amp;""),"%","")),0)/IF(AND(IFERROR(VALUE(SUBSTITUTE(TRIM(Input!I1422&amp;""),"%","")),0)&gt;0,IFERROR(VALUE(SUBSTITUTE(TRIM(Input!I1422&amp;""),"%","")),0)&lt;1),1,100))</f>
        <v/>
      </c>
    </row>
    <row r="1423" spans="1:8">
      <c r="A1423" t="str">
        <f>IF(TRIM(Input!B1423&amp;"")="","",UPPER(TRIM(Input!B1423&amp;"")))</f>
        <v/>
      </c>
      <c r="B1423" t="str">
        <f>IF(A1423="","",IFERROR(VALUE(RIGHT(TRIM(Input!D1423&amp;""),1)),0))</f>
        <v/>
      </c>
      <c r="C1423" t="str">
        <f t="shared" si="22"/>
        <v/>
      </c>
      <c r="D1423" t="str">
        <f>IF(A1423="","",IFERROR(VALUE(SUBSTITUTE(TRIM(Input!E1423&amp;""),"%","")),0)/IF(AND(IFERROR(VALUE(SUBSTITUTE(TRIM(Input!E1423&amp;""),"%","")),0)&gt;0,IFERROR(VALUE(SUBSTITUTE(TRIM(Input!E1423&amp;""),"%","")),0)&lt;1),1,100))</f>
        <v/>
      </c>
      <c r="E1423" t="str">
        <f>IF(A1423="","",IFERROR(VALUE(SUBSTITUTE(TRIM(Input!F1423&amp;""),"%","")),0)/IF(AND(IFERROR(VALUE(SUBSTITUTE(TRIM(Input!F1423&amp;""),"%","")),0)&gt;0,IFERROR(VALUE(SUBSTITUTE(TRIM(Input!F1423&amp;""),"%","")),0)&lt;1),1,100))</f>
        <v/>
      </c>
      <c r="F1423" t="str">
        <f>IF(A1423="","",IFERROR(VALUE(SUBSTITUTE(TRIM(Input!G1423&amp;""),"%","")),0)/IF(AND(IFERROR(VALUE(SUBSTITUTE(TRIM(Input!G1423&amp;""),"%","")),0)&gt;0,IFERROR(VALUE(SUBSTITUTE(TRIM(Input!G1423&amp;""),"%","")),0)&lt;1),1,100))</f>
        <v/>
      </c>
      <c r="G1423" t="str">
        <f>IF(A1423="","",IFERROR(VALUE(SUBSTITUTE(TRIM(Input!H1423&amp;""),"%","")),0)/IF(AND(IFERROR(VALUE(SUBSTITUTE(TRIM(Input!H1423&amp;""),"%","")),0)&gt;0,IFERROR(VALUE(SUBSTITUTE(TRIM(Input!H1423&amp;""),"%","")),0)&lt;1),1,100))</f>
        <v/>
      </c>
      <c r="H1423" t="str">
        <f>IF(A1423="","",IFERROR(VALUE(SUBSTITUTE(TRIM(Input!I1423&amp;""),"%","")),0)/IF(AND(IFERROR(VALUE(SUBSTITUTE(TRIM(Input!I1423&amp;""),"%","")),0)&gt;0,IFERROR(VALUE(SUBSTITUTE(TRIM(Input!I1423&amp;""),"%","")),0)&lt;1),1,100))</f>
        <v/>
      </c>
    </row>
    <row r="1424" spans="1:8">
      <c r="A1424" t="str">
        <f>IF(TRIM(Input!B1424&amp;"")="","",UPPER(TRIM(Input!B1424&amp;"")))</f>
        <v/>
      </c>
      <c r="B1424" t="str">
        <f>IF(A1424="","",IFERROR(VALUE(RIGHT(TRIM(Input!D1424&amp;""),1)),0))</f>
        <v/>
      </c>
      <c r="C1424" t="str">
        <f t="shared" si="22"/>
        <v/>
      </c>
      <c r="D1424" t="str">
        <f>IF(A1424="","",IFERROR(VALUE(SUBSTITUTE(TRIM(Input!E1424&amp;""),"%","")),0)/IF(AND(IFERROR(VALUE(SUBSTITUTE(TRIM(Input!E1424&amp;""),"%","")),0)&gt;0,IFERROR(VALUE(SUBSTITUTE(TRIM(Input!E1424&amp;""),"%","")),0)&lt;1),1,100))</f>
        <v/>
      </c>
      <c r="E1424" t="str">
        <f>IF(A1424="","",IFERROR(VALUE(SUBSTITUTE(TRIM(Input!F1424&amp;""),"%","")),0)/IF(AND(IFERROR(VALUE(SUBSTITUTE(TRIM(Input!F1424&amp;""),"%","")),0)&gt;0,IFERROR(VALUE(SUBSTITUTE(TRIM(Input!F1424&amp;""),"%","")),0)&lt;1),1,100))</f>
        <v/>
      </c>
      <c r="F1424" t="str">
        <f>IF(A1424="","",IFERROR(VALUE(SUBSTITUTE(TRIM(Input!G1424&amp;""),"%","")),0)/IF(AND(IFERROR(VALUE(SUBSTITUTE(TRIM(Input!G1424&amp;""),"%","")),0)&gt;0,IFERROR(VALUE(SUBSTITUTE(TRIM(Input!G1424&amp;""),"%","")),0)&lt;1),1,100))</f>
        <v/>
      </c>
      <c r="G1424" t="str">
        <f>IF(A1424="","",IFERROR(VALUE(SUBSTITUTE(TRIM(Input!H1424&amp;""),"%","")),0)/IF(AND(IFERROR(VALUE(SUBSTITUTE(TRIM(Input!H1424&amp;""),"%","")),0)&gt;0,IFERROR(VALUE(SUBSTITUTE(TRIM(Input!H1424&amp;""),"%","")),0)&lt;1),1,100))</f>
        <v/>
      </c>
      <c r="H1424" t="str">
        <f>IF(A1424="","",IFERROR(VALUE(SUBSTITUTE(TRIM(Input!I1424&amp;""),"%","")),0)/IF(AND(IFERROR(VALUE(SUBSTITUTE(TRIM(Input!I1424&amp;""),"%","")),0)&gt;0,IFERROR(VALUE(SUBSTITUTE(TRIM(Input!I1424&amp;""),"%","")),0)&lt;1),1,100))</f>
        <v/>
      </c>
    </row>
    <row r="1425" spans="1:8">
      <c r="A1425" t="str">
        <f>IF(TRIM(Input!B1425&amp;"")="","",UPPER(TRIM(Input!B1425&amp;"")))</f>
        <v/>
      </c>
      <c r="B1425" t="str">
        <f>IF(A1425="","",IFERROR(VALUE(RIGHT(TRIM(Input!D1425&amp;""),1)),0))</f>
        <v/>
      </c>
      <c r="C1425" t="str">
        <f t="shared" si="22"/>
        <v/>
      </c>
      <c r="D1425" t="str">
        <f>IF(A1425="","",IFERROR(VALUE(SUBSTITUTE(TRIM(Input!E1425&amp;""),"%","")),0)/IF(AND(IFERROR(VALUE(SUBSTITUTE(TRIM(Input!E1425&amp;""),"%","")),0)&gt;0,IFERROR(VALUE(SUBSTITUTE(TRIM(Input!E1425&amp;""),"%","")),0)&lt;1),1,100))</f>
        <v/>
      </c>
      <c r="E1425" t="str">
        <f>IF(A1425="","",IFERROR(VALUE(SUBSTITUTE(TRIM(Input!F1425&amp;""),"%","")),0)/IF(AND(IFERROR(VALUE(SUBSTITUTE(TRIM(Input!F1425&amp;""),"%","")),0)&gt;0,IFERROR(VALUE(SUBSTITUTE(TRIM(Input!F1425&amp;""),"%","")),0)&lt;1),1,100))</f>
        <v/>
      </c>
      <c r="F1425" t="str">
        <f>IF(A1425="","",IFERROR(VALUE(SUBSTITUTE(TRIM(Input!G1425&amp;""),"%","")),0)/IF(AND(IFERROR(VALUE(SUBSTITUTE(TRIM(Input!G1425&amp;""),"%","")),0)&gt;0,IFERROR(VALUE(SUBSTITUTE(TRIM(Input!G1425&amp;""),"%","")),0)&lt;1),1,100))</f>
        <v/>
      </c>
      <c r="G1425" t="str">
        <f>IF(A1425="","",IFERROR(VALUE(SUBSTITUTE(TRIM(Input!H1425&amp;""),"%","")),0)/IF(AND(IFERROR(VALUE(SUBSTITUTE(TRIM(Input!H1425&amp;""),"%","")),0)&gt;0,IFERROR(VALUE(SUBSTITUTE(TRIM(Input!H1425&amp;""),"%","")),0)&lt;1),1,100))</f>
        <v/>
      </c>
      <c r="H1425" t="str">
        <f>IF(A1425="","",IFERROR(VALUE(SUBSTITUTE(TRIM(Input!I1425&amp;""),"%","")),0)/IF(AND(IFERROR(VALUE(SUBSTITUTE(TRIM(Input!I1425&amp;""),"%","")),0)&gt;0,IFERROR(VALUE(SUBSTITUTE(TRIM(Input!I1425&amp;""),"%","")),0)&lt;1),1,100))</f>
        <v/>
      </c>
    </row>
    <row r="1426" spans="1:8">
      <c r="A1426" t="str">
        <f>IF(TRIM(Input!B1426&amp;"")="","",UPPER(TRIM(Input!B1426&amp;"")))</f>
        <v/>
      </c>
      <c r="B1426" t="str">
        <f>IF(A1426="","",IFERROR(VALUE(RIGHT(TRIM(Input!D1426&amp;""),1)),0))</f>
        <v/>
      </c>
      <c r="C1426" t="str">
        <f t="shared" si="22"/>
        <v/>
      </c>
      <c r="D1426" t="str">
        <f>IF(A1426="","",IFERROR(VALUE(SUBSTITUTE(TRIM(Input!E1426&amp;""),"%","")),0)/IF(AND(IFERROR(VALUE(SUBSTITUTE(TRIM(Input!E1426&amp;""),"%","")),0)&gt;0,IFERROR(VALUE(SUBSTITUTE(TRIM(Input!E1426&amp;""),"%","")),0)&lt;1),1,100))</f>
        <v/>
      </c>
      <c r="E1426" t="str">
        <f>IF(A1426="","",IFERROR(VALUE(SUBSTITUTE(TRIM(Input!F1426&amp;""),"%","")),0)/IF(AND(IFERROR(VALUE(SUBSTITUTE(TRIM(Input!F1426&amp;""),"%","")),0)&gt;0,IFERROR(VALUE(SUBSTITUTE(TRIM(Input!F1426&amp;""),"%","")),0)&lt;1),1,100))</f>
        <v/>
      </c>
      <c r="F1426" t="str">
        <f>IF(A1426="","",IFERROR(VALUE(SUBSTITUTE(TRIM(Input!G1426&amp;""),"%","")),0)/IF(AND(IFERROR(VALUE(SUBSTITUTE(TRIM(Input!G1426&amp;""),"%","")),0)&gt;0,IFERROR(VALUE(SUBSTITUTE(TRIM(Input!G1426&amp;""),"%","")),0)&lt;1),1,100))</f>
        <v/>
      </c>
      <c r="G1426" t="str">
        <f>IF(A1426="","",IFERROR(VALUE(SUBSTITUTE(TRIM(Input!H1426&amp;""),"%","")),0)/IF(AND(IFERROR(VALUE(SUBSTITUTE(TRIM(Input!H1426&amp;""),"%","")),0)&gt;0,IFERROR(VALUE(SUBSTITUTE(TRIM(Input!H1426&amp;""),"%","")),0)&lt;1),1,100))</f>
        <v/>
      </c>
      <c r="H1426" t="str">
        <f>IF(A1426="","",IFERROR(VALUE(SUBSTITUTE(TRIM(Input!I1426&amp;""),"%","")),0)/IF(AND(IFERROR(VALUE(SUBSTITUTE(TRIM(Input!I1426&amp;""),"%","")),0)&gt;0,IFERROR(VALUE(SUBSTITUTE(TRIM(Input!I1426&amp;""),"%","")),0)&lt;1),1,100))</f>
        <v/>
      </c>
    </row>
    <row r="1427" spans="1:8">
      <c r="A1427" t="str">
        <f>IF(TRIM(Input!B1427&amp;"")="","",UPPER(TRIM(Input!B1427&amp;"")))</f>
        <v/>
      </c>
      <c r="B1427" t="str">
        <f>IF(A1427="","",IFERROR(VALUE(RIGHT(TRIM(Input!D1427&amp;""),1)),0))</f>
        <v/>
      </c>
      <c r="C1427" t="str">
        <f t="shared" si="22"/>
        <v/>
      </c>
      <c r="D1427" t="str">
        <f>IF(A1427="","",IFERROR(VALUE(SUBSTITUTE(TRIM(Input!E1427&amp;""),"%","")),0)/IF(AND(IFERROR(VALUE(SUBSTITUTE(TRIM(Input!E1427&amp;""),"%","")),0)&gt;0,IFERROR(VALUE(SUBSTITUTE(TRIM(Input!E1427&amp;""),"%","")),0)&lt;1),1,100))</f>
        <v/>
      </c>
      <c r="E1427" t="str">
        <f>IF(A1427="","",IFERROR(VALUE(SUBSTITUTE(TRIM(Input!F1427&amp;""),"%","")),0)/IF(AND(IFERROR(VALUE(SUBSTITUTE(TRIM(Input!F1427&amp;""),"%","")),0)&gt;0,IFERROR(VALUE(SUBSTITUTE(TRIM(Input!F1427&amp;""),"%","")),0)&lt;1),1,100))</f>
        <v/>
      </c>
      <c r="F1427" t="str">
        <f>IF(A1427="","",IFERROR(VALUE(SUBSTITUTE(TRIM(Input!G1427&amp;""),"%","")),0)/IF(AND(IFERROR(VALUE(SUBSTITUTE(TRIM(Input!G1427&amp;""),"%","")),0)&gt;0,IFERROR(VALUE(SUBSTITUTE(TRIM(Input!G1427&amp;""),"%","")),0)&lt;1),1,100))</f>
        <v/>
      </c>
      <c r="G1427" t="str">
        <f>IF(A1427="","",IFERROR(VALUE(SUBSTITUTE(TRIM(Input!H1427&amp;""),"%","")),0)/IF(AND(IFERROR(VALUE(SUBSTITUTE(TRIM(Input!H1427&amp;""),"%","")),0)&gt;0,IFERROR(VALUE(SUBSTITUTE(TRIM(Input!H1427&amp;""),"%","")),0)&lt;1),1,100))</f>
        <v/>
      </c>
      <c r="H1427" t="str">
        <f>IF(A1427="","",IFERROR(VALUE(SUBSTITUTE(TRIM(Input!I1427&amp;""),"%","")),0)/IF(AND(IFERROR(VALUE(SUBSTITUTE(TRIM(Input!I1427&amp;""),"%","")),0)&gt;0,IFERROR(VALUE(SUBSTITUTE(TRIM(Input!I1427&amp;""),"%","")),0)&lt;1),1,100))</f>
        <v/>
      </c>
    </row>
    <row r="1428" spans="1:8">
      <c r="A1428" t="str">
        <f>IF(TRIM(Input!B1428&amp;"")="","",UPPER(TRIM(Input!B1428&amp;"")))</f>
        <v/>
      </c>
      <c r="B1428" t="str">
        <f>IF(A1428="","",IFERROR(VALUE(RIGHT(TRIM(Input!D1428&amp;""),1)),0))</f>
        <v/>
      </c>
      <c r="C1428" t="str">
        <f t="shared" si="22"/>
        <v/>
      </c>
      <c r="D1428" t="str">
        <f>IF(A1428="","",IFERROR(VALUE(SUBSTITUTE(TRIM(Input!E1428&amp;""),"%","")),0)/IF(AND(IFERROR(VALUE(SUBSTITUTE(TRIM(Input!E1428&amp;""),"%","")),0)&gt;0,IFERROR(VALUE(SUBSTITUTE(TRIM(Input!E1428&amp;""),"%","")),0)&lt;1),1,100))</f>
        <v/>
      </c>
      <c r="E1428" t="str">
        <f>IF(A1428="","",IFERROR(VALUE(SUBSTITUTE(TRIM(Input!F1428&amp;""),"%","")),0)/IF(AND(IFERROR(VALUE(SUBSTITUTE(TRIM(Input!F1428&amp;""),"%","")),0)&gt;0,IFERROR(VALUE(SUBSTITUTE(TRIM(Input!F1428&amp;""),"%","")),0)&lt;1),1,100))</f>
        <v/>
      </c>
      <c r="F1428" t="str">
        <f>IF(A1428="","",IFERROR(VALUE(SUBSTITUTE(TRIM(Input!G1428&amp;""),"%","")),0)/IF(AND(IFERROR(VALUE(SUBSTITUTE(TRIM(Input!G1428&amp;""),"%","")),0)&gt;0,IFERROR(VALUE(SUBSTITUTE(TRIM(Input!G1428&amp;""),"%","")),0)&lt;1),1,100))</f>
        <v/>
      </c>
      <c r="G1428" t="str">
        <f>IF(A1428="","",IFERROR(VALUE(SUBSTITUTE(TRIM(Input!H1428&amp;""),"%","")),0)/IF(AND(IFERROR(VALUE(SUBSTITUTE(TRIM(Input!H1428&amp;""),"%","")),0)&gt;0,IFERROR(VALUE(SUBSTITUTE(TRIM(Input!H1428&amp;""),"%","")),0)&lt;1),1,100))</f>
        <v/>
      </c>
      <c r="H1428" t="str">
        <f>IF(A1428="","",IFERROR(VALUE(SUBSTITUTE(TRIM(Input!I1428&amp;""),"%","")),0)/IF(AND(IFERROR(VALUE(SUBSTITUTE(TRIM(Input!I1428&amp;""),"%","")),0)&gt;0,IFERROR(VALUE(SUBSTITUTE(TRIM(Input!I1428&amp;""),"%","")),0)&lt;1),1,100))</f>
        <v/>
      </c>
    </row>
    <row r="1429" spans="1:8">
      <c r="A1429" t="str">
        <f>IF(TRIM(Input!B1429&amp;"")="","",UPPER(TRIM(Input!B1429&amp;"")))</f>
        <v/>
      </c>
      <c r="B1429" t="str">
        <f>IF(A1429="","",IFERROR(VALUE(RIGHT(TRIM(Input!D1429&amp;""),1)),0))</f>
        <v/>
      </c>
      <c r="C1429" t="str">
        <f t="shared" si="22"/>
        <v/>
      </c>
      <c r="D1429" t="str">
        <f>IF(A1429="","",IFERROR(VALUE(SUBSTITUTE(TRIM(Input!E1429&amp;""),"%","")),0)/IF(AND(IFERROR(VALUE(SUBSTITUTE(TRIM(Input!E1429&amp;""),"%","")),0)&gt;0,IFERROR(VALUE(SUBSTITUTE(TRIM(Input!E1429&amp;""),"%","")),0)&lt;1),1,100))</f>
        <v/>
      </c>
      <c r="E1429" t="str">
        <f>IF(A1429="","",IFERROR(VALUE(SUBSTITUTE(TRIM(Input!F1429&amp;""),"%","")),0)/IF(AND(IFERROR(VALUE(SUBSTITUTE(TRIM(Input!F1429&amp;""),"%","")),0)&gt;0,IFERROR(VALUE(SUBSTITUTE(TRIM(Input!F1429&amp;""),"%","")),0)&lt;1),1,100))</f>
        <v/>
      </c>
      <c r="F1429" t="str">
        <f>IF(A1429="","",IFERROR(VALUE(SUBSTITUTE(TRIM(Input!G1429&amp;""),"%","")),0)/IF(AND(IFERROR(VALUE(SUBSTITUTE(TRIM(Input!G1429&amp;""),"%","")),0)&gt;0,IFERROR(VALUE(SUBSTITUTE(TRIM(Input!G1429&amp;""),"%","")),0)&lt;1),1,100))</f>
        <v/>
      </c>
      <c r="G1429" t="str">
        <f>IF(A1429="","",IFERROR(VALUE(SUBSTITUTE(TRIM(Input!H1429&amp;""),"%","")),0)/IF(AND(IFERROR(VALUE(SUBSTITUTE(TRIM(Input!H1429&amp;""),"%","")),0)&gt;0,IFERROR(VALUE(SUBSTITUTE(TRIM(Input!H1429&amp;""),"%","")),0)&lt;1),1,100))</f>
        <v/>
      </c>
      <c r="H1429" t="str">
        <f>IF(A1429="","",IFERROR(VALUE(SUBSTITUTE(TRIM(Input!I1429&amp;""),"%","")),0)/IF(AND(IFERROR(VALUE(SUBSTITUTE(TRIM(Input!I1429&amp;""),"%","")),0)&gt;0,IFERROR(VALUE(SUBSTITUTE(TRIM(Input!I1429&amp;""),"%","")),0)&lt;1),1,100))</f>
        <v/>
      </c>
    </row>
    <row r="1430" spans="1:8">
      <c r="A1430" t="str">
        <f>IF(TRIM(Input!B1430&amp;"")="","",UPPER(TRIM(Input!B1430&amp;"")))</f>
        <v/>
      </c>
      <c r="B1430" t="str">
        <f>IF(A1430="","",IFERROR(VALUE(RIGHT(TRIM(Input!D1430&amp;""),1)),0))</f>
        <v/>
      </c>
      <c r="C1430" t="str">
        <f t="shared" si="22"/>
        <v/>
      </c>
      <c r="D1430" t="str">
        <f>IF(A1430="","",IFERROR(VALUE(SUBSTITUTE(TRIM(Input!E1430&amp;""),"%","")),0)/IF(AND(IFERROR(VALUE(SUBSTITUTE(TRIM(Input!E1430&amp;""),"%","")),0)&gt;0,IFERROR(VALUE(SUBSTITUTE(TRIM(Input!E1430&amp;""),"%","")),0)&lt;1),1,100))</f>
        <v/>
      </c>
      <c r="E1430" t="str">
        <f>IF(A1430="","",IFERROR(VALUE(SUBSTITUTE(TRIM(Input!F1430&amp;""),"%","")),0)/IF(AND(IFERROR(VALUE(SUBSTITUTE(TRIM(Input!F1430&amp;""),"%","")),0)&gt;0,IFERROR(VALUE(SUBSTITUTE(TRIM(Input!F1430&amp;""),"%","")),0)&lt;1),1,100))</f>
        <v/>
      </c>
      <c r="F1430" t="str">
        <f>IF(A1430="","",IFERROR(VALUE(SUBSTITUTE(TRIM(Input!G1430&amp;""),"%","")),0)/IF(AND(IFERROR(VALUE(SUBSTITUTE(TRIM(Input!G1430&amp;""),"%","")),0)&gt;0,IFERROR(VALUE(SUBSTITUTE(TRIM(Input!G1430&amp;""),"%","")),0)&lt;1),1,100))</f>
        <v/>
      </c>
      <c r="G1430" t="str">
        <f>IF(A1430="","",IFERROR(VALUE(SUBSTITUTE(TRIM(Input!H1430&amp;""),"%","")),0)/IF(AND(IFERROR(VALUE(SUBSTITUTE(TRIM(Input!H1430&amp;""),"%","")),0)&gt;0,IFERROR(VALUE(SUBSTITUTE(TRIM(Input!H1430&amp;""),"%","")),0)&lt;1),1,100))</f>
        <v/>
      </c>
      <c r="H1430" t="str">
        <f>IF(A1430="","",IFERROR(VALUE(SUBSTITUTE(TRIM(Input!I1430&amp;""),"%","")),0)/IF(AND(IFERROR(VALUE(SUBSTITUTE(TRIM(Input!I1430&amp;""),"%","")),0)&gt;0,IFERROR(VALUE(SUBSTITUTE(TRIM(Input!I1430&amp;""),"%","")),0)&lt;1),1,100))</f>
        <v/>
      </c>
    </row>
    <row r="1431" spans="1:8">
      <c r="A1431" t="str">
        <f>IF(TRIM(Input!B1431&amp;"")="","",UPPER(TRIM(Input!B1431&amp;"")))</f>
        <v/>
      </c>
      <c r="B1431" t="str">
        <f>IF(A1431="","",IFERROR(VALUE(RIGHT(TRIM(Input!D1431&amp;""),1)),0))</f>
        <v/>
      </c>
      <c r="C1431" t="str">
        <f t="shared" si="22"/>
        <v/>
      </c>
      <c r="D1431" t="str">
        <f>IF(A1431="","",IFERROR(VALUE(SUBSTITUTE(TRIM(Input!E1431&amp;""),"%","")),0)/IF(AND(IFERROR(VALUE(SUBSTITUTE(TRIM(Input!E1431&amp;""),"%","")),0)&gt;0,IFERROR(VALUE(SUBSTITUTE(TRIM(Input!E1431&amp;""),"%","")),0)&lt;1),1,100))</f>
        <v/>
      </c>
      <c r="E1431" t="str">
        <f>IF(A1431="","",IFERROR(VALUE(SUBSTITUTE(TRIM(Input!F1431&amp;""),"%","")),0)/IF(AND(IFERROR(VALUE(SUBSTITUTE(TRIM(Input!F1431&amp;""),"%","")),0)&gt;0,IFERROR(VALUE(SUBSTITUTE(TRIM(Input!F1431&amp;""),"%","")),0)&lt;1),1,100))</f>
        <v/>
      </c>
      <c r="F1431" t="str">
        <f>IF(A1431="","",IFERROR(VALUE(SUBSTITUTE(TRIM(Input!G1431&amp;""),"%","")),0)/IF(AND(IFERROR(VALUE(SUBSTITUTE(TRIM(Input!G1431&amp;""),"%","")),0)&gt;0,IFERROR(VALUE(SUBSTITUTE(TRIM(Input!G1431&amp;""),"%","")),0)&lt;1),1,100))</f>
        <v/>
      </c>
      <c r="G1431" t="str">
        <f>IF(A1431="","",IFERROR(VALUE(SUBSTITUTE(TRIM(Input!H1431&amp;""),"%","")),0)/IF(AND(IFERROR(VALUE(SUBSTITUTE(TRIM(Input!H1431&amp;""),"%","")),0)&gt;0,IFERROR(VALUE(SUBSTITUTE(TRIM(Input!H1431&amp;""),"%","")),0)&lt;1),1,100))</f>
        <v/>
      </c>
      <c r="H1431" t="str">
        <f>IF(A1431="","",IFERROR(VALUE(SUBSTITUTE(TRIM(Input!I1431&amp;""),"%","")),0)/IF(AND(IFERROR(VALUE(SUBSTITUTE(TRIM(Input!I1431&amp;""),"%","")),0)&gt;0,IFERROR(VALUE(SUBSTITUTE(TRIM(Input!I1431&amp;""),"%","")),0)&lt;1),1,100))</f>
        <v/>
      </c>
    </row>
    <row r="1432" spans="1:8">
      <c r="A1432" t="str">
        <f>IF(TRIM(Input!B1432&amp;"")="","",UPPER(TRIM(Input!B1432&amp;"")))</f>
        <v/>
      </c>
      <c r="B1432" t="str">
        <f>IF(A1432="","",IFERROR(VALUE(RIGHT(TRIM(Input!D1432&amp;""),1)),0))</f>
        <v/>
      </c>
      <c r="C1432" t="str">
        <f t="shared" si="22"/>
        <v/>
      </c>
      <c r="D1432" t="str">
        <f>IF(A1432="","",IFERROR(VALUE(SUBSTITUTE(TRIM(Input!E1432&amp;""),"%","")),0)/IF(AND(IFERROR(VALUE(SUBSTITUTE(TRIM(Input!E1432&amp;""),"%","")),0)&gt;0,IFERROR(VALUE(SUBSTITUTE(TRIM(Input!E1432&amp;""),"%","")),0)&lt;1),1,100))</f>
        <v/>
      </c>
      <c r="E1432" t="str">
        <f>IF(A1432="","",IFERROR(VALUE(SUBSTITUTE(TRIM(Input!F1432&amp;""),"%","")),0)/IF(AND(IFERROR(VALUE(SUBSTITUTE(TRIM(Input!F1432&amp;""),"%","")),0)&gt;0,IFERROR(VALUE(SUBSTITUTE(TRIM(Input!F1432&amp;""),"%","")),0)&lt;1),1,100))</f>
        <v/>
      </c>
      <c r="F1432" t="str">
        <f>IF(A1432="","",IFERROR(VALUE(SUBSTITUTE(TRIM(Input!G1432&amp;""),"%","")),0)/IF(AND(IFERROR(VALUE(SUBSTITUTE(TRIM(Input!G1432&amp;""),"%","")),0)&gt;0,IFERROR(VALUE(SUBSTITUTE(TRIM(Input!G1432&amp;""),"%","")),0)&lt;1),1,100))</f>
        <v/>
      </c>
      <c r="G1432" t="str">
        <f>IF(A1432="","",IFERROR(VALUE(SUBSTITUTE(TRIM(Input!H1432&amp;""),"%","")),0)/IF(AND(IFERROR(VALUE(SUBSTITUTE(TRIM(Input!H1432&amp;""),"%","")),0)&gt;0,IFERROR(VALUE(SUBSTITUTE(TRIM(Input!H1432&amp;""),"%","")),0)&lt;1),1,100))</f>
        <v/>
      </c>
      <c r="H1432" t="str">
        <f>IF(A1432="","",IFERROR(VALUE(SUBSTITUTE(TRIM(Input!I1432&amp;""),"%","")),0)/IF(AND(IFERROR(VALUE(SUBSTITUTE(TRIM(Input!I1432&amp;""),"%","")),0)&gt;0,IFERROR(VALUE(SUBSTITUTE(TRIM(Input!I1432&amp;""),"%","")),0)&lt;1),1,100))</f>
        <v/>
      </c>
    </row>
    <row r="1433" spans="1:8">
      <c r="A1433" t="str">
        <f>IF(TRIM(Input!B1433&amp;"")="","",UPPER(TRIM(Input!B1433&amp;"")))</f>
        <v/>
      </c>
      <c r="B1433" t="str">
        <f>IF(A1433="","",IFERROR(VALUE(RIGHT(TRIM(Input!D1433&amp;""),1)),0))</f>
        <v/>
      </c>
      <c r="C1433" t="str">
        <f t="shared" si="22"/>
        <v/>
      </c>
      <c r="D1433" t="str">
        <f>IF(A1433="","",IFERROR(VALUE(SUBSTITUTE(TRIM(Input!E1433&amp;""),"%","")),0)/IF(AND(IFERROR(VALUE(SUBSTITUTE(TRIM(Input!E1433&amp;""),"%","")),0)&gt;0,IFERROR(VALUE(SUBSTITUTE(TRIM(Input!E1433&amp;""),"%","")),0)&lt;1),1,100))</f>
        <v/>
      </c>
      <c r="E1433" t="str">
        <f>IF(A1433="","",IFERROR(VALUE(SUBSTITUTE(TRIM(Input!F1433&amp;""),"%","")),0)/IF(AND(IFERROR(VALUE(SUBSTITUTE(TRIM(Input!F1433&amp;""),"%","")),0)&gt;0,IFERROR(VALUE(SUBSTITUTE(TRIM(Input!F1433&amp;""),"%","")),0)&lt;1),1,100))</f>
        <v/>
      </c>
      <c r="F1433" t="str">
        <f>IF(A1433="","",IFERROR(VALUE(SUBSTITUTE(TRIM(Input!G1433&amp;""),"%","")),0)/IF(AND(IFERROR(VALUE(SUBSTITUTE(TRIM(Input!G1433&amp;""),"%","")),0)&gt;0,IFERROR(VALUE(SUBSTITUTE(TRIM(Input!G1433&amp;""),"%","")),0)&lt;1),1,100))</f>
        <v/>
      </c>
      <c r="G1433" t="str">
        <f>IF(A1433="","",IFERROR(VALUE(SUBSTITUTE(TRIM(Input!H1433&amp;""),"%","")),0)/IF(AND(IFERROR(VALUE(SUBSTITUTE(TRIM(Input!H1433&amp;""),"%","")),0)&gt;0,IFERROR(VALUE(SUBSTITUTE(TRIM(Input!H1433&amp;""),"%","")),0)&lt;1),1,100))</f>
        <v/>
      </c>
      <c r="H1433" t="str">
        <f>IF(A1433="","",IFERROR(VALUE(SUBSTITUTE(TRIM(Input!I1433&amp;""),"%","")),0)/IF(AND(IFERROR(VALUE(SUBSTITUTE(TRIM(Input!I1433&amp;""),"%","")),0)&gt;0,IFERROR(VALUE(SUBSTITUTE(TRIM(Input!I1433&amp;""),"%","")),0)&lt;1),1,100))</f>
        <v/>
      </c>
    </row>
    <row r="1434" spans="1:8">
      <c r="A1434" t="str">
        <f>IF(TRIM(Input!B1434&amp;"")="","",UPPER(TRIM(Input!B1434&amp;"")))</f>
        <v/>
      </c>
      <c r="B1434" t="str">
        <f>IF(A1434="","",IFERROR(VALUE(RIGHT(TRIM(Input!D1434&amp;""),1)),0))</f>
        <v/>
      </c>
      <c r="C1434" t="str">
        <f t="shared" si="22"/>
        <v/>
      </c>
      <c r="D1434" t="str">
        <f>IF(A1434="","",IFERROR(VALUE(SUBSTITUTE(TRIM(Input!E1434&amp;""),"%","")),0)/IF(AND(IFERROR(VALUE(SUBSTITUTE(TRIM(Input!E1434&amp;""),"%","")),0)&gt;0,IFERROR(VALUE(SUBSTITUTE(TRIM(Input!E1434&amp;""),"%","")),0)&lt;1),1,100))</f>
        <v/>
      </c>
      <c r="E1434" t="str">
        <f>IF(A1434="","",IFERROR(VALUE(SUBSTITUTE(TRIM(Input!F1434&amp;""),"%","")),0)/IF(AND(IFERROR(VALUE(SUBSTITUTE(TRIM(Input!F1434&amp;""),"%","")),0)&gt;0,IFERROR(VALUE(SUBSTITUTE(TRIM(Input!F1434&amp;""),"%","")),0)&lt;1),1,100))</f>
        <v/>
      </c>
      <c r="F1434" t="str">
        <f>IF(A1434="","",IFERROR(VALUE(SUBSTITUTE(TRIM(Input!G1434&amp;""),"%","")),0)/IF(AND(IFERROR(VALUE(SUBSTITUTE(TRIM(Input!G1434&amp;""),"%","")),0)&gt;0,IFERROR(VALUE(SUBSTITUTE(TRIM(Input!G1434&amp;""),"%","")),0)&lt;1),1,100))</f>
        <v/>
      </c>
      <c r="G1434" t="str">
        <f>IF(A1434="","",IFERROR(VALUE(SUBSTITUTE(TRIM(Input!H1434&amp;""),"%","")),0)/IF(AND(IFERROR(VALUE(SUBSTITUTE(TRIM(Input!H1434&amp;""),"%","")),0)&gt;0,IFERROR(VALUE(SUBSTITUTE(TRIM(Input!H1434&amp;""),"%","")),0)&lt;1),1,100))</f>
        <v/>
      </c>
      <c r="H1434" t="str">
        <f>IF(A1434="","",IFERROR(VALUE(SUBSTITUTE(TRIM(Input!I1434&amp;""),"%","")),0)/IF(AND(IFERROR(VALUE(SUBSTITUTE(TRIM(Input!I1434&amp;""),"%","")),0)&gt;0,IFERROR(VALUE(SUBSTITUTE(TRIM(Input!I1434&amp;""),"%","")),0)&lt;1),1,100))</f>
        <v/>
      </c>
    </row>
    <row r="1435" spans="1:8">
      <c r="A1435" t="str">
        <f>IF(TRIM(Input!B1435&amp;"")="","",UPPER(TRIM(Input!B1435&amp;"")))</f>
        <v/>
      </c>
      <c r="B1435" t="str">
        <f>IF(A1435="","",IFERROR(VALUE(RIGHT(TRIM(Input!D1435&amp;""),1)),0))</f>
        <v/>
      </c>
      <c r="C1435" t="str">
        <f t="shared" si="22"/>
        <v/>
      </c>
      <c r="D1435" t="str">
        <f>IF(A1435="","",IFERROR(VALUE(SUBSTITUTE(TRIM(Input!E1435&amp;""),"%","")),0)/IF(AND(IFERROR(VALUE(SUBSTITUTE(TRIM(Input!E1435&amp;""),"%","")),0)&gt;0,IFERROR(VALUE(SUBSTITUTE(TRIM(Input!E1435&amp;""),"%","")),0)&lt;1),1,100))</f>
        <v/>
      </c>
      <c r="E1435" t="str">
        <f>IF(A1435="","",IFERROR(VALUE(SUBSTITUTE(TRIM(Input!F1435&amp;""),"%","")),0)/IF(AND(IFERROR(VALUE(SUBSTITUTE(TRIM(Input!F1435&amp;""),"%","")),0)&gt;0,IFERROR(VALUE(SUBSTITUTE(TRIM(Input!F1435&amp;""),"%","")),0)&lt;1),1,100))</f>
        <v/>
      </c>
      <c r="F1435" t="str">
        <f>IF(A1435="","",IFERROR(VALUE(SUBSTITUTE(TRIM(Input!G1435&amp;""),"%","")),0)/IF(AND(IFERROR(VALUE(SUBSTITUTE(TRIM(Input!G1435&amp;""),"%","")),0)&gt;0,IFERROR(VALUE(SUBSTITUTE(TRIM(Input!G1435&amp;""),"%","")),0)&lt;1),1,100))</f>
        <v/>
      </c>
      <c r="G1435" t="str">
        <f>IF(A1435="","",IFERROR(VALUE(SUBSTITUTE(TRIM(Input!H1435&amp;""),"%","")),0)/IF(AND(IFERROR(VALUE(SUBSTITUTE(TRIM(Input!H1435&amp;""),"%","")),0)&gt;0,IFERROR(VALUE(SUBSTITUTE(TRIM(Input!H1435&amp;""),"%","")),0)&lt;1),1,100))</f>
        <v/>
      </c>
      <c r="H1435" t="str">
        <f>IF(A1435="","",IFERROR(VALUE(SUBSTITUTE(TRIM(Input!I1435&amp;""),"%","")),0)/IF(AND(IFERROR(VALUE(SUBSTITUTE(TRIM(Input!I1435&amp;""),"%","")),0)&gt;0,IFERROR(VALUE(SUBSTITUTE(TRIM(Input!I1435&amp;""),"%","")),0)&lt;1),1,100))</f>
        <v/>
      </c>
    </row>
    <row r="1436" spans="1:8">
      <c r="A1436" t="str">
        <f>IF(TRIM(Input!B1436&amp;"")="","",UPPER(TRIM(Input!B1436&amp;"")))</f>
        <v/>
      </c>
      <c r="B1436" t="str">
        <f>IF(A1436="","",IFERROR(VALUE(RIGHT(TRIM(Input!D1436&amp;""),1)),0))</f>
        <v/>
      </c>
      <c r="C1436" t="str">
        <f t="shared" si="22"/>
        <v/>
      </c>
      <c r="D1436" t="str">
        <f>IF(A1436="","",IFERROR(VALUE(SUBSTITUTE(TRIM(Input!E1436&amp;""),"%","")),0)/IF(AND(IFERROR(VALUE(SUBSTITUTE(TRIM(Input!E1436&amp;""),"%","")),0)&gt;0,IFERROR(VALUE(SUBSTITUTE(TRIM(Input!E1436&amp;""),"%","")),0)&lt;1),1,100))</f>
        <v/>
      </c>
      <c r="E1436" t="str">
        <f>IF(A1436="","",IFERROR(VALUE(SUBSTITUTE(TRIM(Input!F1436&amp;""),"%","")),0)/IF(AND(IFERROR(VALUE(SUBSTITUTE(TRIM(Input!F1436&amp;""),"%","")),0)&gt;0,IFERROR(VALUE(SUBSTITUTE(TRIM(Input!F1436&amp;""),"%","")),0)&lt;1),1,100))</f>
        <v/>
      </c>
      <c r="F1436" t="str">
        <f>IF(A1436="","",IFERROR(VALUE(SUBSTITUTE(TRIM(Input!G1436&amp;""),"%","")),0)/IF(AND(IFERROR(VALUE(SUBSTITUTE(TRIM(Input!G1436&amp;""),"%","")),0)&gt;0,IFERROR(VALUE(SUBSTITUTE(TRIM(Input!G1436&amp;""),"%","")),0)&lt;1),1,100))</f>
        <v/>
      </c>
      <c r="G1436" t="str">
        <f>IF(A1436="","",IFERROR(VALUE(SUBSTITUTE(TRIM(Input!H1436&amp;""),"%","")),0)/IF(AND(IFERROR(VALUE(SUBSTITUTE(TRIM(Input!H1436&amp;""),"%","")),0)&gt;0,IFERROR(VALUE(SUBSTITUTE(TRIM(Input!H1436&amp;""),"%","")),0)&lt;1),1,100))</f>
        <v/>
      </c>
      <c r="H1436" t="str">
        <f>IF(A1436="","",IFERROR(VALUE(SUBSTITUTE(TRIM(Input!I1436&amp;""),"%","")),0)/IF(AND(IFERROR(VALUE(SUBSTITUTE(TRIM(Input!I1436&amp;""),"%","")),0)&gt;0,IFERROR(VALUE(SUBSTITUTE(TRIM(Input!I1436&amp;""),"%","")),0)&lt;1),1,100))</f>
        <v/>
      </c>
    </row>
    <row r="1437" spans="1:8">
      <c r="A1437" t="str">
        <f>IF(TRIM(Input!B1437&amp;"")="","",UPPER(TRIM(Input!B1437&amp;"")))</f>
        <v/>
      </c>
      <c r="B1437" t="str">
        <f>IF(A1437="","",IFERROR(VALUE(RIGHT(TRIM(Input!D1437&amp;""),1)),0))</f>
        <v/>
      </c>
      <c r="C1437" t="str">
        <f t="shared" si="22"/>
        <v/>
      </c>
      <c r="D1437" t="str">
        <f>IF(A1437="","",IFERROR(VALUE(SUBSTITUTE(TRIM(Input!E1437&amp;""),"%","")),0)/IF(AND(IFERROR(VALUE(SUBSTITUTE(TRIM(Input!E1437&amp;""),"%","")),0)&gt;0,IFERROR(VALUE(SUBSTITUTE(TRIM(Input!E1437&amp;""),"%","")),0)&lt;1),1,100))</f>
        <v/>
      </c>
      <c r="E1437" t="str">
        <f>IF(A1437="","",IFERROR(VALUE(SUBSTITUTE(TRIM(Input!F1437&amp;""),"%","")),0)/IF(AND(IFERROR(VALUE(SUBSTITUTE(TRIM(Input!F1437&amp;""),"%","")),0)&gt;0,IFERROR(VALUE(SUBSTITUTE(TRIM(Input!F1437&amp;""),"%","")),0)&lt;1),1,100))</f>
        <v/>
      </c>
      <c r="F1437" t="str">
        <f>IF(A1437="","",IFERROR(VALUE(SUBSTITUTE(TRIM(Input!G1437&amp;""),"%","")),0)/IF(AND(IFERROR(VALUE(SUBSTITUTE(TRIM(Input!G1437&amp;""),"%","")),0)&gt;0,IFERROR(VALUE(SUBSTITUTE(TRIM(Input!G1437&amp;""),"%","")),0)&lt;1),1,100))</f>
        <v/>
      </c>
      <c r="G1437" t="str">
        <f>IF(A1437="","",IFERROR(VALUE(SUBSTITUTE(TRIM(Input!H1437&amp;""),"%","")),0)/IF(AND(IFERROR(VALUE(SUBSTITUTE(TRIM(Input!H1437&amp;""),"%","")),0)&gt;0,IFERROR(VALUE(SUBSTITUTE(TRIM(Input!H1437&amp;""),"%","")),0)&lt;1),1,100))</f>
        <v/>
      </c>
      <c r="H1437" t="str">
        <f>IF(A1437="","",IFERROR(VALUE(SUBSTITUTE(TRIM(Input!I1437&amp;""),"%","")),0)/IF(AND(IFERROR(VALUE(SUBSTITUTE(TRIM(Input!I1437&amp;""),"%","")),0)&gt;0,IFERROR(VALUE(SUBSTITUTE(TRIM(Input!I1437&amp;""),"%","")),0)&lt;1),1,100))</f>
        <v/>
      </c>
    </row>
    <row r="1438" spans="1:8">
      <c r="A1438" t="str">
        <f>IF(TRIM(Input!B1438&amp;"")="","",UPPER(TRIM(Input!B1438&amp;"")))</f>
        <v/>
      </c>
      <c r="B1438" t="str">
        <f>IF(A1438="","",IFERROR(VALUE(RIGHT(TRIM(Input!D1438&amp;""),1)),0))</f>
        <v/>
      </c>
      <c r="C1438" t="str">
        <f t="shared" si="22"/>
        <v/>
      </c>
      <c r="D1438" t="str">
        <f>IF(A1438="","",IFERROR(VALUE(SUBSTITUTE(TRIM(Input!E1438&amp;""),"%","")),0)/IF(AND(IFERROR(VALUE(SUBSTITUTE(TRIM(Input!E1438&amp;""),"%","")),0)&gt;0,IFERROR(VALUE(SUBSTITUTE(TRIM(Input!E1438&amp;""),"%","")),0)&lt;1),1,100))</f>
        <v/>
      </c>
      <c r="E1438" t="str">
        <f>IF(A1438="","",IFERROR(VALUE(SUBSTITUTE(TRIM(Input!F1438&amp;""),"%","")),0)/IF(AND(IFERROR(VALUE(SUBSTITUTE(TRIM(Input!F1438&amp;""),"%","")),0)&gt;0,IFERROR(VALUE(SUBSTITUTE(TRIM(Input!F1438&amp;""),"%","")),0)&lt;1),1,100))</f>
        <v/>
      </c>
      <c r="F1438" t="str">
        <f>IF(A1438="","",IFERROR(VALUE(SUBSTITUTE(TRIM(Input!G1438&amp;""),"%","")),0)/IF(AND(IFERROR(VALUE(SUBSTITUTE(TRIM(Input!G1438&amp;""),"%","")),0)&gt;0,IFERROR(VALUE(SUBSTITUTE(TRIM(Input!G1438&amp;""),"%","")),0)&lt;1),1,100))</f>
        <v/>
      </c>
      <c r="G1438" t="str">
        <f>IF(A1438="","",IFERROR(VALUE(SUBSTITUTE(TRIM(Input!H1438&amp;""),"%","")),0)/IF(AND(IFERROR(VALUE(SUBSTITUTE(TRIM(Input!H1438&amp;""),"%","")),0)&gt;0,IFERROR(VALUE(SUBSTITUTE(TRIM(Input!H1438&amp;""),"%","")),0)&lt;1),1,100))</f>
        <v/>
      </c>
      <c r="H1438" t="str">
        <f>IF(A1438="","",IFERROR(VALUE(SUBSTITUTE(TRIM(Input!I1438&amp;""),"%","")),0)/IF(AND(IFERROR(VALUE(SUBSTITUTE(TRIM(Input!I1438&amp;""),"%","")),0)&gt;0,IFERROR(VALUE(SUBSTITUTE(TRIM(Input!I1438&amp;""),"%","")),0)&lt;1),1,100))</f>
        <v/>
      </c>
    </row>
    <row r="1439" spans="1:8">
      <c r="A1439" t="str">
        <f>IF(TRIM(Input!B1439&amp;"")="","",UPPER(TRIM(Input!B1439&amp;"")))</f>
        <v/>
      </c>
      <c r="B1439" t="str">
        <f>IF(A1439="","",IFERROR(VALUE(RIGHT(TRIM(Input!D1439&amp;""),1)),0))</f>
        <v/>
      </c>
      <c r="C1439" t="str">
        <f t="shared" si="22"/>
        <v/>
      </c>
      <c r="D1439" t="str">
        <f>IF(A1439="","",IFERROR(VALUE(SUBSTITUTE(TRIM(Input!E1439&amp;""),"%","")),0)/IF(AND(IFERROR(VALUE(SUBSTITUTE(TRIM(Input!E1439&amp;""),"%","")),0)&gt;0,IFERROR(VALUE(SUBSTITUTE(TRIM(Input!E1439&amp;""),"%","")),0)&lt;1),1,100))</f>
        <v/>
      </c>
      <c r="E1439" t="str">
        <f>IF(A1439="","",IFERROR(VALUE(SUBSTITUTE(TRIM(Input!F1439&amp;""),"%","")),0)/IF(AND(IFERROR(VALUE(SUBSTITUTE(TRIM(Input!F1439&amp;""),"%","")),0)&gt;0,IFERROR(VALUE(SUBSTITUTE(TRIM(Input!F1439&amp;""),"%","")),0)&lt;1),1,100))</f>
        <v/>
      </c>
      <c r="F1439" t="str">
        <f>IF(A1439="","",IFERROR(VALUE(SUBSTITUTE(TRIM(Input!G1439&amp;""),"%","")),0)/IF(AND(IFERROR(VALUE(SUBSTITUTE(TRIM(Input!G1439&amp;""),"%","")),0)&gt;0,IFERROR(VALUE(SUBSTITUTE(TRIM(Input!G1439&amp;""),"%","")),0)&lt;1),1,100))</f>
        <v/>
      </c>
      <c r="G1439" t="str">
        <f>IF(A1439="","",IFERROR(VALUE(SUBSTITUTE(TRIM(Input!H1439&amp;""),"%","")),0)/IF(AND(IFERROR(VALUE(SUBSTITUTE(TRIM(Input!H1439&amp;""),"%","")),0)&gt;0,IFERROR(VALUE(SUBSTITUTE(TRIM(Input!H1439&amp;""),"%","")),0)&lt;1),1,100))</f>
        <v/>
      </c>
      <c r="H1439" t="str">
        <f>IF(A1439="","",IFERROR(VALUE(SUBSTITUTE(TRIM(Input!I1439&amp;""),"%","")),0)/IF(AND(IFERROR(VALUE(SUBSTITUTE(TRIM(Input!I1439&amp;""),"%","")),0)&gt;0,IFERROR(VALUE(SUBSTITUTE(TRIM(Input!I1439&amp;""),"%","")),0)&lt;1),1,100))</f>
        <v/>
      </c>
    </row>
    <row r="1440" spans="1:8">
      <c r="A1440" t="str">
        <f>IF(TRIM(Input!B1440&amp;"")="","",UPPER(TRIM(Input!B1440&amp;"")))</f>
        <v/>
      </c>
      <c r="B1440" t="str">
        <f>IF(A1440="","",IFERROR(VALUE(RIGHT(TRIM(Input!D1440&amp;""),1)),0))</f>
        <v/>
      </c>
      <c r="C1440" t="str">
        <f t="shared" si="22"/>
        <v/>
      </c>
      <c r="D1440" t="str">
        <f>IF(A1440="","",IFERROR(VALUE(SUBSTITUTE(TRIM(Input!E1440&amp;""),"%","")),0)/IF(AND(IFERROR(VALUE(SUBSTITUTE(TRIM(Input!E1440&amp;""),"%","")),0)&gt;0,IFERROR(VALUE(SUBSTITUTE(TRIM(Input!E1440&amp;""),"%","")),0)&lt;1),1,100))</f>
        <v/>
      </c>
      <c r="E1440" t="str">
        <f>IF(A1440="","",IFERROR(VALUE(SUBSTITUTE(TRIM(Input!F1440&amp;""),"%","")),0)/IF(AND(IFERROR(VALUE(SUBSTITUTE(TRIM(Input!F1440&amp;""),"%","")),0)&gt;0,IFERROR(VALUE(SUBSTITUTE(TRIM(Input!F1440&amp;""),"%","")),0)&lt;1),1,100))</f>
        <v/>
      </c>
      <c r="F1440" t="str">
        <f>IF(A1440="","",IFERROR(VALUE(SUBSTITUTE(TRIM(Input!G1440&amp;""),"%","")),0)/IF(AND(IFERROR(VALUE(SUBSTITUTE(TRIM(Input!G1440&amp;""),"%","")),0)&gt;0,IFERROR(VALUE(SUBSTITUTE(TRIM(Input!G1440&amp;""),"%","")),0)&lt;1),1,100))</f>
        <v/>
      </c>
      <c r="G1440" t="str">
        <f>IF(A1440="","",IFERROR(VALUE(SUBSTITUTE(TRIM(Input!H1440&amp;""),"%","")),0)/IF(AND(IFERROR(VALUE(SUBSTITUTE(TRIM(Input!H1440&amp;""),"%","")),0)&gt;0,IFERROR(VALUE(SUBSTITUTE(TRIM(Input!H1440&amp;""),"%","")),0)&lt;1),1,100))</f>
        <v/>
      </c>
      <c r="H1440" t="str">
        <f>IF(A1440="","",IFERROR(VALUE(SUBSTITUTE(TRIM(Input!I1440&amp;""),"%","")),0)/IF(AND(IFERROR(VALUE(SUBSTITUTE(TRIM(Input!I1440&amp;""),"%","")),0)&gt;0,IFERROR(VALUE(SUBSTITUTE(TRIM(Input!I1440&amp;""),"%","")),0)&lt;1),1,100))</f>
        <v/>
      </c>
    </row>
    <row r="1441" spans="1:8">
      <c r="A1441" t="str">
        <f>IF(TRIM(Input!B1441&amp;"")="","",UPPER(TRIM(Input!B1441&amp;"")))</f>
        <v/>
      </c>
      <c r="B1441" t="str">
        <f>IF(A1441="","",IFERROR(VALUE(RIGHT(TRIM(Input!D1441&amp;""),1)),0))</f>
        <v/>
      </c>
      <c r="C1441" t="str">
        <f t="shared" si="22"/>
        <v/>
      </c>
      <c r="D1441" t="str">
        <f>IF(A1441="","",IFERROR(VALUE(SUBSTITUTE(TRIM(Input!E1441&amp;""),"%","")),0)/IF(AND(IFERROR(VALUE(SUBSTITUTE(TRIM(Input!E1441&amp;""),"%","")),0)&gt;0,IFERROR(VALUE(SUBSTITUTE(TRIM(Input!E1441&amp;""),"%","")),0)&lt;1),1,100))</f>
        <v/>
      </c>
      <c r="E1441" t="str">
        <f>IF(A1441="","",IFERROR(VALUE(SUBSTITUTE(TRIM(Input!F1441&amp;""),"%","")),0)/IF(AND(IFERROR(VALUE(SUBSTITUTE(TRIM(Input!F1441&amp;""),"%","")),0)&gt;0,IFERROR(VALUE(SUBSTITUTE(TRIM(Input!F1441&amp;""),"%","")),0)&lt;1),1,100))</f>
        <v/>
      </c>
      <c r="F1441" t="str">
        <f>IF(A1441="","",IFERROR(VALUE(SUBSTITUTE(TRIM(Input!G1441&amp;""),"%","")),0)/IF(AND(IFERROR(VALUE(SUBSTITUTE(TRIM(Input!G1441&amp;""),"%","")),0)&gt;0,IFERROR(VALUE(SUBSTITUTE(TRIM(Input!G1441&amp;""),"%","")),0)&lt;1),1,100))</f>
        <v/>
      </c>
      <c r="G1441" t="str">
        <f>IF(A1441="","",IFERROR(VALUE(SUBSTITUTE(TRIM(Input!H1441&amp;""),"%","")),0)/IF(AND(IFERROR(VALUE(SUBSTITUTE(TRIM(Input!H1441&amp;""),"%","")),0)&gt;0,IFERROR(VALUE(SUBSTITUTE(TRIM(Input!H1441&amp;""),"%","")),0)&lt;1),1,100))</f>
        <v/>
      </c>
      <c r="H1441" t="str">
        <f>IF(A1441="","",IFERROR(VALUE(SUBSTITUTE(TRIM(Input!I1441&amp;""),"%","")),0)/IF(AND(IFERROR(VALUE(SUBSTITUTE(TRIM(Input!I1441&amp;""),"%","")),0)&gt;0,IFERROR(VALUE(SUBSTITUTE(TRIM(Input!I1441&amp;""),"%","")),0)&lt;1),1,100))</f>
        <v/>
      </c>
    </row>
    <row r="1442" spans="1:8">
      <c r="A1442" t="str">
        <f>IF(TRIM(Input!B1442&amp;"")="","",UPPER(TRIM(Input!B1442&amp;"")))</f>
        <v/>
      </c>
      <c r="B1442" t="str">
        <f>IF(A1442="","",IFERROR(VALUE(RIGHT(TRIM(Input!D1442&amp;""),1)),0))</f>
        <v/>
      </c>
      <c r="C1442" t="str">
        <f t="shared" si="22"/>
        <v/>
      </c>
      <c r="D1442" t="str">
        <f>IF(A1442="","",IFERROR(VALUE(SUBSTITUTE(TRIM(Input!E1442&amp;""),"%","")),0)/IF(AND(IFERROR(VALUE(SUBSTITUTE(TRIM(Input!E1442&amp;""),"%","")),0)&gt;0,IFERROR(VALUE(SUBSTITUTE(TRIM(Input!E1442&amp;""),"%","")),0)&lt;1),1,100))</f>
        <v/>
      </c>
      <c r="E1442" t="str">
        <f>IF(A1442="","",IFERROR(VALUE(SUBSTITUTE(TRIM(Input!F1442&amp;""),"%","")),0)/IF(AND(IFERROR(VALUE(SUBSTITUTE(TRIM(Input!F1442&amp;""),"%","")),0)&gt;0,IFERROR(VALUE(SUBSTITUTE(TRIM(Input!F1442&amp;""),"%","")),0)&lt;1),1,100))</f>
        <v/>
      </c>
      <c r="F1442" t="str">
        <f>IF(A1442="","",IFERROR(VALUE(SUBSTITUTE(TRIM(Input!G1442&amp;""),"%","")),0)/IF(AND(IFERROR(VALUE(SUBSTITUTE(TRIM(Input!G1442&amp;""),"%","")),0)&gt;0,IFERROR(VALUE(SUBSTITUTE(TRIM(Input!G1442&amp;""),"%","")),0)&lt;1),1,100))</f>
        <v/>
      </c>
      <c r="G1442" t="str">
        <f>IF(A1442="","",IFERROR(VALUE(SUBSTITUTE(TRIM(Input!H1442&amp;""),"%","")),0)/IF(AND(IFERROR(VALUE(SUBSTITUTE(TRIM(Input!H1442&amp;""),"%","")),0)&gt;0,IFERROR(VALUE(SUBSTITUTE(TRIM(Input!H1442&amp;""),"%","")),0)&lt;1),1,100))</f>
        <v/>
      </c>
      <c r="H1442" t="str">
        <f>IF(A1442="","",IFERROR(VALUE(SUBSTITUTE(TRIM(Input!I1442&amp;""),"%","")),0)/IF(AND(IFERROR(VALUE(SUBSTITUTE(TRIM(Input!I1442&amp;""),"%","")),0)&gt;0,IFERROR(VALUE(SUBSTITUTE(TRIM(Input!I1442&amp;""),"%","")),0)&lt;1),1,100))</f>
        <v/>
      </c>
    </row>
    <row r="1443" spans="1:8">
      <c r="A1443" t="str">
        <f>IF(TRIM(Input!B1443&amp;"")="","",UPPER(TRIM(Input!B1443&amp;"")))</f>
        <v/>
      </c>
      <c r="B1443" t="str">
        <f>IF(A1443="","",IFERROR(VALUE(RIGHT(TRIM(Input!D1443&amp;""),1)),0))</f>
        <v/>
      </c>
      <c r="C1443" t="str">
        <f t="shared" si="22"/>
        <v/>
      </c>
      <c r="D1443" t="str">
        <f>IF(A1443="","",IFERROR(VALUE(SUBSTITUTE(TRIM(Input!E1443&amp;""),"%","")),0)/IF(AND(IFERROR(VALUE(SUBSTITUTE(TRIM(Input!E1443&amp;""),"%","")),0)&gt;0,IFERROR(VALUE(SUBSTITUTE(TRIM(Input!E1443&amp;""),"%","")),0)&lt;1),1,100))</f>
        <v/>
      </c>
      <c r="E1443" t="str">
        <f>IF(A1443="","",IFERROR(VALUE(SUBSTITUTE(TRIM(Input!F1443&amp;""),"%","")),0)/IF(AND(IFERROR(VALUE(SUBSTITUTE(TRIM(Input!F1443&amp;""),"%","")),0)&gt;0,IFERROR(VALUE(SUBSTITUTE(TRIM(Input!F1443&amp;""),"%","")),0)&lt;1),1,100))</f>
        <v/>
      </c>
      <c r="F1443" t="str">
        <f>IF(A1443="","",IFERROR(VALUE(SUBSTITUTE(TRIM(Input!G1443&amp;""),"%","")),0)/IF(AND(IFERROR(VALUE(SUBSTITUTE(TRIM(Input!G1443&amp;""),"%","")),0)&gt;0,IFERROR(VALUE(SUBSTITUTE(TRIM(Input!G1443&amp;""),"%","")),0)&lt;1),1,100))</f>
        <v/>
      </c>
      <c r="G1443" t="str">
        <f>IF(A1443="","",IFERROR(VALUE(SUBSTITUTE(TRIM(Input!H1443&amp;""),"%","")),0)/IF(AND(IFERROR(VALUE(SUBSTITUTE(TRIM(Input!H1443&amp;""),"%","")),0)&gt;0,IFERROR(VALUE(SUBSTITUTE(TRIM(Input!H1443&amp;""),"%","")),0)&lt;1),1,100))</f>
        <v/>
      </c>
      <c r="H1443" t="str">
        <f>IF(A1443="","",IFERROR(VALUE(SUBSTITUTE(TRIM(Input!I1443&amp;""),"%","")),0)/IF(AND(IFERROR(VALUE(SUBSTITUTE(TRIM(Input!I1443&amp;""),"%","")),0)&gt;0,IFERROR(VALUE(SUBSTITUTE(TRIM(Input!I1443&amp;""),"%","")),0)&lt;1),1,100))</f>
        <v/>
      </c>
    </row>
    <row r="1444" spans="1:8">
      <c r="A1444" t="str">
        <f>IF(TRIM(Input!B1444&amp;"")="","",UPPER(TRIM(Input!B1444&amp;"")))</f>
        <v/>
      </c>
      <c r="B1444" t="str">
        <f>IF(A1444="","",IFERROR(VALUE(RIGHT(TRIM(Input!D1444&amp;""),1)),0))</f>
        <v/>
      </c>
      <c r="C1444" t="str">
        <f t="shared" si="22"/>
        <v/>
      </c>
      <c r="D1444" t="str">
        <f>IF(A1444="","",IFERROR(VALUE(SUBSTITUTE(TRIM(Input!E1444&amp;""),"%","")),0)/IF(AND(IFERROR(VALUE(SUBSTITUTE(TRIM(Input!E1444&amp;""),"%","")),0)&gt;0,IFERROR(VALUE(SUBSTITUTE(TRIM(Input!E1444&amp;""),"%","")),0)&lt;1),1,100))</f>
        <v/>
      </c>
      <c r="E1444" t="str">
        <f>IF(A1444="","",IFERROR(VALUE(SUBSTITUTE(TRIM(Input!F1444&amp;""),"%","")),0)/IF(AND(IFERROR(VALUE(SUBSTITUTE(TRIM(Input!F1444&amp;""),"%","")),0)&gt;0,IFERROR(VALUE(SUBSTITUTE(TRIM(Input!F1444&amp;""),"%","")),0)&lt;1),1,100))</f>
        <v/>
      </c>
      <c r="F1444" t="str">
        <f>IF(A1444="","",IFERROR(VALUE(SUBSTITUTE(TRIM(Input!G1444&amp;""),"%","")),0)/IF(AND(IFERROR(VALUE(SUBSTITUTE(TRIM(Input!G1444&amp;""),"%","")),0)&gt;0,IFERROR(VALUE(SUBSTITUTE(TRIM(Input!G1444&amp;""),"%","")),0)&lt;1),1,100))</f>
        <v/>
      </c>
      <c r="G1444" t="str">
        <f>IF(A1444="","",IFERROR(VALUE(SUBSTITUTE(TRIM(Input!H1444&amp;""),"%","")),0)/IF(AND(IFERROR(VALUE(SUBSTITUTE(TRIM(Input!H1444&amp;""),"%","")),0)&gt;0,IFERROR(VALUE(SUBSTITUTE(TRIM(Input!H1444&amp;""),"%","")),0)&lt;1),1,100))</f>
        <v/>
      </c>
      <c r="H1444" t="str">
        <f>IF(A1444="","",IFERROR(VALUE(SUBSTITUTE(TRIM(Input!I1444&amp;""),"%","")),0)/IF(AND(IFERROR(VALUE(SUBSTITUTE(TRIM(Input!I1444&amp;""),"%","")),0)&gt;0,IFERROR(VALUE(SUBSTITUTE(TRIM(Input!I1444&amp;""),"%","")),0)&lt;1),1,100))</f>
        <v/>
      </c>
    </row>
    <row r="1445" spans="1:8">
      <c r="A1445" t="str">
        <f>IF(TRIM(Input!B1445&amp;"")="","",UPPER(TRIM(Input!B1445&amp;"")))</f>
        <v/>
      </c>
      <c r="B1445" t="str">
        <f>IF(A1445="","",IFERROR(VALUE(RIGHT(TRIM(Input!D1445&amp;""),1)),0))</f>
        <v/>
      </c>
      <c r="C1445" t="str">
        <f t="shared" si="22"/>
        <v/>
      </c>
      <c r="D1445" t="str">
        <f>IF(A1445="","",IFERROR(VALUE(SUBSTITUTE(TRIM(Input!E1445&amp;""),"%","")),0)/IF(AND(IFERROR(VALUE(SUBSTITUTE(TRIM(Input!E1445&amp;""),"%","")),0)&gt;0,IFERROR(VALUE(SUBSTITUTE(TRIM(Input!E1445&amp;""),"%","")),0)&lt;1),1,100))</f>
        <v/>
      </c>
      <c r="E1445" t="str">
        <f>IF(A1445="","",IFERROR(VALUE(SUBSTITUTE(TRIM(Input!F1445&amp;""),"%","")),0)/IF(AND(IFERROR(VALUE(SUBSTITUTE(TRIM(Input!F1445&amp;""),"%","")),0)&gt;0,IFERROR(VALUE(SUBSTITUTE(TRIM(Input!F1445&amp;""),"%","")),0)&lt;1),1,100))</f>
        <v/>
      </c>
      <c r="F1445" t="str">
        <f>IF(A1445="","",IFERROR(VALUE(SUBSTITUTE(TRIM(Input!G1445&amp;""),"%","")),0)/IF(AND(IFERROR(VALUE(SUBSTITUTE(TRIM(Input!G1445&amp;""),"%","")),0)&gt;0,IFERROR(VALUE(SUBSTITUTE(TRIM(Input!G1445&amp;""),"%","")),0)&lt;1),1,100))</f>
        <v/>
      </c>
      <c r="G1445" t="str">
        <f>IF(A1445="","",IFERROR(VALUE(SUBSTITUTE(TRIM(Input!H1445&amp;""),"%","")),0)/IF(AND(IFERROR(VALUE(SUBSTITUTE(TRIM(Input!H1445&amp;""),"%","")),0)&gt;0,IFERROR(VALUE(SUBSTITUTE(TRIM(Input!H1445&amp;""),"%","")),0)&lt;1),1,100))</f>
        <v/>
      </c>
      <c r="H1445" t="str">
        <f>IF(A1445="","",IFERROR(VALUE(SUBSTITUTE(TRIM(Input!I1445&amp;""),"%","")),0)/IF(AND(IFERROR(VALUE(SUBSTITUTE(TRIM(Input!I1445&amp;""),"%","")),0)&gt;0,IFERROR(VALUE(SUBSTITUTE(TRIM(Input!I1445&amp;""),"%","")),0)&lt;1),1,100))</f>
        <v/>
      </c>
    </row>
    <row r="1446" spans="1:8">
      <c r="A1446" t="str">
        <f>IF(TRIM(Input!B1446&amp;"")="","",UPPER(TRIM(Input!B1446&amp;"")))</f>
        <v/>
      </c>
      <c r="B1446" t="str">
        <f>IF(A1446="","",IFERROR(VALUE(RIGHT(TRIM(Input!D1446&amp;""),1)),0))</f>
        <v/>
      </c>
      <c r="C1446" t="str">
        <f t="shared" si="22"/>
        <v/>
      </c>
      <c r="D1446" t="str">
        <f>IF(A1446="","",IFERROR(VALUE(SUBSTITUTE(TRIM(Input!E1446&amp;""),"%","")),0)/IF(AND(IFERROR(VALUE(SUBSTITUTE(TRIM(Input!E1446&amp;""),"%","")),0)&gt;0,IFERROR(VALUE(SUBSTITUTE(TRIM(Input!E1446&amp;""),"%","")),0)&lt;1),1,100))</f>
        <v/>
      </c>
      <c r="E1446" t="str">
        <f>IF(A1446="","",IFERROR(VALUE(SUBSTITUTE(TRIM(Input!F1446&amp;""),"%","")),0)/IF(AND(IFERROR(VALUE(SUBSTITUTE(TRIM(Input!F1446&amp;""),"%","")),0)&gt;0,IFERROR(VALUE(SUBSTITUTE(TRIM(Input!F1446&amp;""),"%","")),0)&lt;1),1,100))</f>
        <v/>
      </c>
      <c r="F1446" t="str">
        <f>IF(A1446="","",IFERROR(VALUE(SUBSTITUTE(TRIM(Input!G1446&amp;""),"%","")),0)/IF(AND(IFERROR(VALUE(SUBSTITUTE(TRIM(Input!G1446&amp;""),"%","")),0)&gt;0,IFERROR(VALUE(SUBSTITUTE(TRIM(Input!G1446&amp;""),"%","")),0)&lt;1),1,100))</f>
        <v/>
      </c>
      <c r="G1446" t="str">
        <f>IF(A1446="","",IFERROR(VALUE(SUBSTITUTE(TRIM(Input!H1446&amp;""),"%","")),0)/IF(AND(IFERROR(VALUE(SUBSTITUTE(TRIM(Input!H1446&amp;""),"%","")),0)&gt;0,IFERROR(VALUE(SUBSTITUTE(TRIM(Input!H1446&amp;""),"%","")),0)&lt;1),1,100))</f>
        <v/>
      </c>
      <c r="H1446" t="str">
        <f>IF(A1446="","",IFERROR(VALUE(SUBSTITUTE(TRIM(Input!I1446&amp;""),"%","")),0)/IF(AND(IFERROR(VALUE(SUBSTITUTE(TRIM(Input!I1446&amp;""),"%","")),0)&gt;0,IFERROR(VALUE(SUBSTITUTE(TRIM(Input!I1446&amp;""),"%","")),0)&lt;1),1,100))</f>
        <v/>
      </c>
    </row>
    <row r="1447" spans="1:8">
      <c r="A1447" t="str">
        <f>IF(TRIM(Input!B1447&amp;"")="","",UPPER(TRIM(Input!B1447&amp;"")))</f>
        <v/>
      </c>
      <c r="B1447" t="str">
        <f>IF(A1447="","",IFERROR(VALUE(RIGHT(TRIM(Input!D1447&amp;""),1)),0))</f>
        <v/>
      </c>
      <c r="C1447" t="str">
        <f t="shared" si="22"/>
        <v/>
      </c>
      <c r="D1447" t="str">
        <f>IF(A1447="","",IFERROR(VALUE(SUBSTITUTE(TRIM(Input!E1447&amp;""),"%","")),0)/IF(AND(IFERROR(VALUE(SUBSTITUTE(TRIM(Input!E1447&amp;""),"%","")),0)&gt;0,IFERROR(VALUE(SUBSTITUTE(TRIM(Input!E1447&amp;""),"%","")),0)&lt;1),1,100))</f>
        <v/>
      </c>
      <c r="E1447" t="str">
        <f>IF(A1447="","",IFERROR(VALUE(SUBSTITUTE(TRIM(Input!F1447&amp;""),"%","")),0)/IF(AND(IFERROR(VALUE(SUBSTITUTE(TRIM(Input!F1447&amp;""),"%","")),0)&gt;0,IFERROR(VALUE(SUBSTITUTE(TRIM(Input!F1447&amp;""),"%","")),0)&lt;1),1,100))</f>
        <v/>
      </c>
      <c r="F1447" t="str">
        <f>IF(A1447="","",IFERROR(VALUE(SUBSTITUTE(TRIM(Input!G1447&amp;""),"%","")),0)/IF(AND(IFERROR(VALUE(SUBSTITUTE(TRIM(Input!G1447&amp;""),"%","")),0)&gt;0,IFERROR(VALUE(SUBSTITUTE(TRIM(Input!G1447&amp;""),"%","")),0)&lt;1),1,100))</f>
        <v/>
      </c>
      <c r="G1447" t="str">
        <f>IF(A1447="","",IFERROR(VALUE(SUBSTITUTE(TRIM(Input!H1447&amp;""),"%","")),0)/IF(AND(IFERROR(VALUE(SUBSTITUTE(TRIM(Input!H1447&amp;""),"%","")),0)&gt;0,IFERROR(VALUE(SUBSTITUTE(TRIM(Input!H1447&amp;""),"%","")),0)&lt;1),1,100))</f>
        <v/>
      </c>
      <c r="H1447" t="str">
        <f>IF(A1447="","",IFERROR(VALUE(SUBSTITUTE(TRIM(Input!I1447&amp;""),"%","")),0)/IF(AND(IFERROR(VALUE(SUBSTITUTE(TRIM(Input!I1447&amp;""),"%","")),0)&gt;0,IFERROR(VALUE(SUBSTITUTE(TRIM(Input!I1447&amp;""),"%","")),0)&lt;1),1,100))</f>
        <v/>
      </c>
    </row>
    <row r="1448" spans="1:8">
      <c r="A1448" t="str">
        <f>IF(TRIM(Input!B1448&amp;"")="","",UPPER(TRIM(Input!B1448&amp;"")))</f>
        <v/>
      </c>
      <c r="B1448" t="str">
        <f>IF(A1448="","",IFERROR(VALUE(RIGHT(TRIM(Input!D1448&amp;""),1)),0))</f>
        <v/>
      </c>
      <c r="C1448" t="str">
        <f t="shared" si="22"/>
        <v/>
      </c>
      <c r="D1448" t="str">
        <f>IF(A1448="","",IFERROR(VALUE(SUBSTITUTE(TRIM(Input!E1448&amp;""),"%","")),0)/IF(AND(IFERROR(VALUE(SUBSTITUTE(TRIM(Input!E1448&amp;""),"%","")),0)&gt;0,IFERROR(VALUE(SUBSTITUTE(TRIM(Input!E1448&amp;""),"%","")),0)&lt;1),1,100))</f>
        <v/>
      </c>
      <c r="E1448" t="str">
        <f>IF(A1448="","",IFERROR(VALUE(SUBSTITUTE(TRIM(Input!F1448&amp;""),"%","")),0)/IF(AND(IFERROR(VALUE(SUBSTITUTE(TRIM(Input!F1448&amp;""),"%","")),0)&gt;0,IFERROR(VALUE(SUBSTITUTE(TRIM(Input!F1448&amp;""),"%","")),0)&lt;1),1,100))</f>
        <v/>
      </c>
      <c r="F1448" t="str">
        <f>IF(A1448="","",IFERROR(VALUE(SUBSTITUTE(TRIM(Input!G1448&amp;""),"%","")),0)/IF(AND(IFERROR(VALUE(SUBSTITUTE(TRIM(Input!G1448&amp;""),"%","")),0)&gt;0,IFERROR(VALUE(SUBSTITUTE(TRIM(Input!G1448&amp;""),"%","")),0)&lt;1),1,100))</f>
        <v/>
      </c>
      <c r="G1448" t="str">
        <f>IF(A1448="","",IFERROR(VALUE(SUBSTITUTE(TRIM(Input!H1448&amp;""),"%","")),0)/IF(AND(IFERROR(VALUE(SUBSTITUTE(TRIM(Input!H1448&amp;""),"%","")),0)&gt;0,IFERROR(VALUE(SUBSTITUTE(TRIM(Input!H1448&amp;""),"%","")),0)&lt;1),1,100))</f>
        <v/>
      </c>
      <c r="H1448" t="str">
        <f>IF(A1448="","",IFERROR(VALUE(SUBSTITUTE(TRIM(Input!I1448&amp;""),"%","")),0)/IF(AND(IFERROR(VALUE(SUBSTITUTE(TRIM(Input!I1448&amp;""),"%","")),0)&gt;0,IFERROR(VALUE(SUBSTITUTE(TRIM(Input!I1448&amp;""),"%","")),0)&lt;1),1,100))</f>
        <v/>
      </c>
    </row>
    <row r="1449" spans="1:8">
      <c r="A1449" t="str">
        <f>IF(TRIM(Input!B1449&amp;"")="","",UPPER(TRIM(Input!B1449&amp;"")))</f>
        <v/>
      </c>
      <c r="B1449" t="str">
        <f>IF(A1449="","",IFERROR(VALUE(RIGHT(TRIM(Input!D1449&amp;""),1)),0))</f>
        <v/>
      </c>
      <c r="C1449" t="str">
        <f t="shared" si="22"/>
        <v/>
      </c>
      <c r="D1449" t="str">
        <f>IF(A1449="","",IFERROR(VALUE(SUBSTITUTE(TRIM(Input!E1449&amp;""),"%","")),0)/IF(AND(IFERROR(VALUE(SUBSTITUTE(TRIM(Input!E1449&amp;""),"%","")),0)&gt;0,IFERROR(VALUE(SUBSTITUTE(TRIM(Input!E1449&amp;""),"%","")),0)&lt;1),1,100))</f>
        <v/>
      </c>
      <c r="E1449" t="str">
        <f>IF(A1449="","",IFERROR(VALUE(SUBSTITUTE(TRIM(Input!F1449&amp;""),"%","")),0)/IF(AND(IFERROR(VALUE(SUBSTITUTE(TRIM(Input!F1449&amp;""),"%","")),0)&gt;0,IFERROR(VALUE(SUBSTITUTE(TRIM(Input!F1449&amp;""),"%","")),0)&lt;1),1,100))</f>
        <v/>
      </c>
      <c r="F1449" t="str">
        <f>IF(A1449="","",IFERROR(VALUE(SUBSTITUTE(TRIM(Input!G1449&amp;""),"%","")),0)/IF(AND(IFERROR(VALUE(SUBSTITUTE(TRIM(Input!G1449&amp;""),"%","")),0)&gt;0,IFERROR(VALUE(SUBSTITUTE(TRIM(Input!G1449&amp;""),"%","")),0)&lt;1),1,100))</f>
        <v/>
      </c>
      <c r="G1449" t="str">
        <f>IF(A1449="","",IFERROR(VALUE(SUBSTITUTE(TRIM(Input!H1449&amp;""),"%","")),0)/IF(AND(IFERROR(VALUE(SUBSTITUTE(TRIM(Input!H1449&amp;""),"%","")),0)&gt;0,IFERROR(VALUE(SUBSTITUTE(TRIM(Input!H1449&amp;""),"%","")),0)&lt;1),1,100))</f>
        <v/>
      </c>
      <c r="H1449" t="str">
        <f>IF(A1449="","",IFERROR(VALUE(SUBSTITUTE(TRIM(Input!I1449&amp;""),"%","")),0)/IF(AND(IFERROR(VALUE(SUBSTITUTE(TRIM(Input!I1449&amp;""),"%","")),0)&gt;0,IFERROR(VALUE(SUBSTITUTE(TRIM(Input!I1449&amp;""),"%","")),0)&lt;1),1,100))</f>
        <v/>
      </c>
    </row>
    <row r="1450" spans="1:8">
      <c r="A1450" t="str">
        <f>IF(TRIM(Input!B1450&amp;"")="","",UPPER(TRIM(Input!B1450&amp;"")))</f>
        <v/>
      </c>
      <c r="B1450" t="str">
        <f>IF(A1450="","",IFERROR(VALUE(RIGHT(TRIM(Input!D1450&amp;""),1)),0))</f>
        <v/>
      </c>
      <c r="C1450" t="str">
        <f t="shared" si="22"/>
        <v/>
      </c>
      <c r="D1450" t="str">
        <f>IF(A1450="","",IFERROR(VALUE(SUBSTITUTE(TRIM(Input!E1450&amp;""),"%","")),0)/IF(AND(IFERROR(VALUE(SUBSTITUTE(TRIM(Input!E1450&amp;""),"%","")),0)&gt;0,IFERROR(VALUE(SUBSTITUTE(TRIM(Input!E1450&amp;""),"%","")),0)&lt;1),1,100))</f>
        <v/>
      </c>
      <c r="E1450" t="str">
        <f>IF(A1450="","",IFERROR(VALUE(SUBSTITUTE(TRIM(Input!F1450&amp;""),"%","")),0)/IF(AND(IFERROR(VALUE(SUBSTITUTE(TRIM(Input!F1450&amp;""),"%","")),0)&gt;0,IFERROR(VALUE(SUBSTITUTE(TRIM(Input!F1450&amp;""),"%","")),0)&lt;1),1,100))</f>
        <v/>
      </c>
      <c r="F1450" t="str">
        <f>IF(A1450="","",IFERROR(VALUE(SUBSTITUTE(TRIM(Input!G1450&amp;""),"%","")),0)/IF(AND(IFERROR(VALUE(SUBSTITUTE(TRIM(Input!G1450&amp;""),"%","")),0)&gt;0,IFERROR(VALUE(SUBSTITUTE(TRIM(Input!G1450&amp;""),"%","")),0)&lt;1),1,100))</f>
        <v/>
      </c>
      <c r="G1450" t="str">
        <f>IF(A1450="","",IFERROR(VALUE(SUBSTITUTE(TRIM(Input!H1450&amp;""),"%","")),0)/IF(AND(IFERROR(VALUE(SUBSTITUTE(TRIM(Input!H1450&amp;""),"%","")),0)&gt;0,IFERROR(VALUE(SUBSTITUTE(TRIM(Input!H1450&amp;""),"%","")),0)&lt;1),1,100))</f>
        <v/>
      </c>
      <c r="H1450" t="str">
        <f>IF(A1450="","",IFERROR(VALUE(SUBSTITUTE(TRIM(Input!I1450&amp;""),"%","")),0)/IF(AND(IFERROR(VALUE(SUBSTITUTE(TRIM(Input!I1450&amp;""),"%","")),0)&gt;0,IFERROR(VALUE(SUBSTITUTE(TRIM(Input!I1450&amp;""),"%","")),0)&lt;1),1,100))</f>
        <v/>
      </c>
    </row>
    <row r="1451" spans="1:8">
      <c r="A1451" t="str">
        <f>IF(TRIM(Input!B1451&amp;"")="","",UPPER(TRIM(Input!B1451&amp;"")))</f>
        <v/>
      </c>
      <c r="B1451" t="str">
        <f>IF(A1451="","",IFERROR(VALUE(RIGHT(TRIM(Input!D1451&amp;""),1)),0))</f>
        <v/>
      </c>
      <c r="C1451" t="str">
        <f t="shared" si="22"/>
        <v/>
      </c>
      <c r="D1451" t="str">
        <f>IF(A1451="","",IFERROR(VALUE(SUBSTITUTE(TRIM(Input!E1451&amp;""),"%","")),0)/IF(AND(IFERROR(VALUE(SUBSTITUTE(TRIM(Input!E1451&amp;""),"%","")),0)&gt;0,IFERROR(VALUE(SUBSTITUTE(TRIM(Input!E1451&amp;""),"%","")),0)&lt;1),1,100))</f>
        <v/>
      </c>
      <c r="E1451" t="str">
        <f>IF(A1451="","",IFERROR(VALUE(SUBSTITUTE(TRIM(Input!F1451&amp;""),"%","")),0)/IF(AND(IFERROR(VALUE(SUBSTITUTE(TRIM(Input!F1451&amp;""),"%","")),0)&gt;0,IFERROR(VALUE(SUBSTITUTE(TRIM(Input!F1451&amp;""),"%","")),0)&lt;1),1,100))</f>
        <v/>
      </c>
      <c r="F1451" t="str">
        <f>IF(A1451="","",IFERROR(VALUE(SUBSTITUTE(TRIM(Input!G1451&amp;""),"%","")),0)/IF(AND(IFERROR(VALUE(SUBSTITUTE(TRIM(Input!G1451&amp;""),"%","")),0)&gt;0,IFERROR(VALUE(SUBSTITUTE(TRIM(Input!G1451&amp;""),"%","")),0)&lt;1),1,100))</f>
        <v/>
      </c>
      <c r="G1451" t="str">
        <f>IF(A1451="","",IFERROR(VALUE(SUBSTITUTE(TRIM(Input!H1451&amp;""),"%","")),0)/IF(AND(IFERROR(VALUE(SUBSTITUTE(TRIM(Input!H1451&amp;""),"%","")),0)&gt;0,IFERROR(VALUE(SUBSTITUTE(TRIM(Input!H1451&amp;""),"%","")),0)&lt;1),1,100))</f>
        <v/>
      </c>
      <c r="H1451" t="str">
        <f>IF(A1451="","",IFERROR(VALUE(SUBSTITUTE(TRIM(Input!I1451&amp;""),"%","")),0)/IF(AND(IFERROR(VALUE(SUBSTITUTE(TRIM(Input!I1451&amp;""),"%","")),0)&gt;0,IFERROR(VALUE(SUBSTITUTE(TRIM(Input!I1451&amp;""),"%","")),0)&lt;1),1,100))</f>
        <v/>
      </c>
    </row>
    <row r="1452" spans="1:8">
      <c r="A1452" t="str">
        <f>IF(TRIM(Input!B1452&amp;"")="","",UPPER(TRIM(Input!B1452&amp;"")))</f>
        <v/>
      </c>
      <c r="B1452" t="str">
        <f>IF(A1452="","",IFERROR(VALUE(RIGHT(TRIM(Input!D1452&amp;""),1)),0))</f>
        <v/>
      </c>
      <c r="C1452" t="str">
        <f t="shared" si="22"/>
        <v/>
      </c>
      <c r="D1452" t="str">
        <f>IF(A1452="","",IFERROR(VALUE(SUBSTITUTE(TRIM(Input!E1452&amp;""),"%","")),0)/IF(AND(IFERROR(VALUE(SUBSTITUTE(TRIM(Input!E1452&amp;""),"%","")),0)&gt;0,IFERROR(VALUE(SUBSTITUTE(TRIM(Input!E1452&amp;""),"%","")),0)&lt;1),1,100))</f>
        <v/>
      </c>
      <c r="E1452" t="str">
        <f>IF(A1452="","",IFERROR(VALUE(SUBSTITUTE(TRIM(Input!F1452&amp;""),"%","")),0)/IF(AND(IFERROR(VALUE(SUBSTITUTE(TRIM(Input!F1452&amp;""),"%","")),0)&gt;0,IFERROR(VALUE(SUBSTITUTE(TRIM(Input!F1452&amp;""),"%","")),0)&lt;1),1,100))</f>
        <v/>
      </c>
      <c r="F1452" t="str">
        <f>IF(A1452="","",IFERROR(VALUE(SUBSTITUTE(TRIM(Input!G1452&amp;""),"%","")),0)/IF(AND(IFERROR(VALUE(SUBSTITUTE(TRIM(Input!G1452&amp;""),"%","")),0)&gt;0,IFERROR(VALUE(SUBSTITUTE(TRIM(Input!G1452&amp;""),"%","")),0)&lt;1),1,100))</f>
        <v/>
      </c>
      <c r="G1452" t="str">
        <f>IF(A1452="","",IFERROR(VALUE(SUBSTITUTE(TRIM(Input!H1452&amp;""),"%","")),0)/IF(AND(IFERROR(VALUE(SUBSTITUTE(TRIM(Input!H1452&amp;""),"%","")),0)&gt;0,IFERROR(VALUE(SUBSTITUTE(TRIM(Input!H1452&amp;""),"%","")),0)&lt;1),1,100))</f>
        <v/>
      </c>
      <c r="H1452" t="str">
        <f>IF(A1452="","",IFERROR(VALUE(SUBSTITUTE(TRIM(Input!I1452&amp;""),"%","")),0)/IF(AND(IFERROR(VALUE(SUBSTITUTE(TRIM(Input!I1452&amp;""),"%","")),0)&gt;0,IFERROR(VALUE(SUBSTITUTE(TRIM(Input!I1452&amp;""),"%","")),0)&lt;1),1,100))</f>
        <v/>
      </c>
    </row>
    <row r="1453" spans="1:8">
      <c r="A1453" t="str">
        <f>IF(TRIM(Input!B1453&amp;"")="","",UPPER(TRIM(Input!B1453&amp;"")))</f>
        <v/>
      </c>
      <c r="B1453" t="str">
        <f>IF(A1453="","",IFERROR(VALUE(RIGHT(TRIM(Input!D1453&amp;""),1)),0))</f>
        <v/>
      </c>
      <c r="C1453" t="str">
        <f t="shared" si="22"/>
        <v/>
      </c>
      <c r="D1453" t="str">
        <f>IF(A1453="","",IFERROR(VALUE(SUBSTITUTE(TRIM(Input!E1453&amp;""),"%","")),0)/IF(AND(IFERROR(VALUE(SUBSTITUTE(TRIM(Input!E1453&amp;""),"%","")),0)&gt;0,IFERROR(VALUE(SUBSTITUTE(TRIM(Input!E1453&amp;""),"%","")),0)&lt;1),1,100))</f>
        <v/>
      </c>
      <c r="E1453" t="str">
        <f>IF(A1453="","",IFERROR(VALUE(SUBSTITUTE(TRIM(Input!F1453&amp;""),"%","")),0)/IF(AND(IFERROR(VALUE(SUBSTITUTE(TRIM(Input!F1453&amp;""),"%","")),0)&gt;0,IFERROR(VALUE(SUBSTITUTE(TRIM(Input!F1453&amp;""),"%","")),0)&lt;1),1,100))</f>
        <v/>
      </c>
      <c r="F1453" t="str">
        <f>IF(A1453="","",IFERROR(VALUE(SUBSTITUTE(TRIM(Input!G1453&amp;""),"%","")),0)/IF(AND(IFERROR(VALUE(SUBSTITUTE(TRIM(Input!G1453&amp;""),"%","")),0)&gt;0,IFERROR(VALUE(SUBSTITUTE(TRIM(Input!G1453&amp;""),"%","")),0)&lt;1),1,100))</f>
        <v/>
      </c>
      <c r="G1453" t="str">
        <f>IF(A1453="","",IFERROR(VALUE(SUBSTITUTE(TRIM(Input!H1453&amp;""),"%","")),0)/IF(AND(IFERROR(VALUE(SUBSTITUTE(TRIM(Input!H1453&amp;""),"%","")),0)&gt;0,IFERROR(VALUE(SUBSTITUTE(TRIM(Input!H1453&amp;""),"%","")),0)&lt;1),1,100))</f>
        <v/>
      </c>
      <c r="H1453" t="str">
        <f>IF(A1453="","",IFERROR(VALUE(SUBSTITUTE(TRIM(Input!I1453&amp;""),"%","")),0)/IF(AND(IFERROR(VALUE(SUBSTITUTE(TRIM(Input!I1453&amp;""),"%","")),0)&gt;0,IFERROR(VALUE(SUBSTITUTE(TRIM(Input!I1453&amp;""),"%","")),0)&lt;1),1,100))</f>
        <v/>
      </c>
    </row>
    <row r="1454" spans="1:8">
      <c r="A1454" t="str">
        <f>IF(TRIM(Input!B1454&amp;"")="","",UPPER(TRIM(Input!B1454&amp;"")))</f>
        <v/>
      </c>
      <c r="B1454" t="str">
        <f>IF(A1454="","",IFERROR(VALUE(RIGHT(TRIM(Input!D1454&amp;""),1)),0))</f>
        <v/>
      </c>
      <c r="C1454" t="str">
        <f t="shared" si="22"/>
        <v/>
      </c>
      <c r="D1454" t="str">
        <f>IF(A1454="","",IFERROR(VALUE(SUBSTITUTE(TRIM(Input!E1454&amp;""),"%","")),0)/IF(AND(IFERROR(VALUE(SUBSTITUTE(TRIM(Input!E1454&amp;""),"%","")),0)&gt;0,IFERROR(VALUE(SUBSTITUTE(TRIM(Input!E1454&amp;""),"%","")),0)&lt;1),1,100))</f>
        <v/>
      </c>
      <c r="E1454" t="str">
        <f>IF(A1454="","",IFERROR(VALUE(SUBSTITUTE(TRIM(Input!F1454&amp;""),"%","")),0)/IF(AND(IFERROR(VALUE(SUBSTITUTE(TRIM(Input!F1454&amp;""),"%","")),0)&gt;0,IFERROR(VALUE(SUBSTITUTE(TRIM(Input!F1454&amp;""),"%","")),0)&lt;1),1,100))</f>
        <v/>
      </c>
      <c r="F1454" t="str">
        <f>IF(A1454="","",IFERROR(VALUE(SUBSTITUTE(TRIM(Input!G1454&amp;""),"%","")),0)/IF(AND(IFERROR(VALUE(SUBSTITUTE(TRIM(Input!G1454&amp;""),"%","")),0)&gt;0,IFERROR(VALUE(SUBSTITUTE(TRIM(Input!G1454&amp;""),"%","")),0)&lt;1),1,100))</f>
        <v/>
      </c>
      <c r="G1454" t="str">
        <f>IF(A1454="","",IFERROR(VALUE(SUBSTITUTE(TRIM(Input!H1454&amp;""),"%","")),0)/IF(AND(IFERROR(VALUE(SUBSTITUTE(TRIM(Input!H1454&amp;""),"%","")),0)&gt;0,IFERROR(VALUE(SUBSTITUTE(TRIM(Input!H1454&amp;""),"%","")),0)&lt;1),1,100))</f>
        <v/>
      </c>
      <c r="H1454" t="str">
        <f>IF(A1454="","",IFERROR(VALUE(SUBSTITUTE(TRIM(Input!I1454&amp;""),"%","")),0)/IF(AND(IFERROR(VALUE(SUBSTITUTE(TRIM(Input!I1454&amp;""),"%","")),0)&gt;0,IFERROR(VALUE(SUBSTITUTE(TRIM(Input!I1454&amp;""),"%","")),0)&lt;1),1,100))</f>
        <v/>
      </c>
    </row>
    <row r="1455" spans="1:8">
      <c r="A1455" t="str">
        <f>IF(TRIM(Input!B1455&amp;"")="","",UPPER(TRIM(Input!B1455&amp;"")))</f>
        <v/>
      </c>
      <c r="B1455" t="str">
        <f>IF(A1455="","",IFERROR(VALUE(RIGHT(TRIM(Input!D1455&amp;""),1)),0))</f>
        <v/>
      </c>
      <c r="C1455" t="str">
        <f t="shared" si="22"/>
        <v/>
      </c>
      <c r="D1455" t="str">
        <f>IF(A1455="","",IFERROR(VALUE(SUBSTITUTE(TRIM(Input!E1455&amp;""),"%","")),0)/IF(AND(IFERROR(VALUE(SUBSTITUTE(TRIM(Input!E1455&amp;""),"%","")),0)&gt;0,IFERROR(VALUE(SUBSTITUTE(TRIM(Input!E1455&amp;""),"%","")),0)&lt;1),1,100))</f>
        <v/>
      </c>
      <c r="E1455" t="str">
        <f>IF(A1455="","",IFERROR(VALUE(SUBSTITUTE(TRIM(Input!F1455&amp;""),"%","")),0)/IF(AND(IFERROR(VALUE(SUBSTITUTE(TRIM(Input!F1455&amp;""),"%","")),0)&gt;0,IFERROR(VALUE(SUBSTITUTE(TRIM(Input!F1455&amp;""),"%","")),0)&lt;1),1,100))</f>
        <v/>
      </c>
      <c r="F1455" t="str">
        <f>IF(A1455="","",IFERROR(VALUE(SUBSTITUTE(TRIM(Input!G1455&amp;""),"%","")),0)/IF(AND(IFERROR(VALUE(SUBSTITUTE(TRIM(Input!G1455&amp;""),"%","")),0)&gt;0,IFERROR(VALUE(SUBSTITUTE(TRIM(Input!G1455&amp;""),"%","")),0)&lt;1),1,100))</f>
        <v/>
      </c>
      <c r="G1455" t="str">
        <f>IF(A1455="","",IFERROR(VALUE(SUBSTITUTE(TRIM(Input!H1455&amp;""),"%","")),0)/IF(AND(IFERROR(VALUE(SUBSTITUTE(TRIM(Input!H1455&amp;""),"%","")),0)&gt;0,IFERROR(VALUE(SUBSTITUTE(TRIM(Input!H1455&amp;""),"%","")),0)&lt;1),1,100))</f>
        <v/>
      </c>
      <c r="H1455" t="str">
        <f>IF(A1455="","",IFERROR(VALUE(SUBSTITUTE(TRIM(Input!I1455&amp;""),"%","")),0)/IF(AND(IFERROR(VALUE(SUBSTITUTE(TRIM(Input!I1455&amp;""),"%","")),0)&gt;0,IFERROR(VALUE(SUBSTITUTE(TRIM(Input!I1455&amp;""),"%","")),0)&lt;1),1,100))</f>
        <v/>
      </c>
    </row>
    <row r="1456" spans="1:8">
      <c r="A1456" t="str">
        <f>IF(TRIM(Input!B1456&amp;"")="","",UPPER(TRIM(Input!B1456&amp;"")))</f>
        <v/>
      </c>
      <c r="B1456" t="str">
        <f>IF(A1456="","",IFERROR(VALUE(RIGHT(TRIM(Input!D1456&amp;""),1)),0))</f>
        <v/>
      </c>
      <c r="C1456" t="str">
        <f t="shared" si="22"/>
        <v/>
      </c>
      <c r="D1456" t="str">
        <f>IF(A1456="","",IFERROR(VALUE(SUBSTITUTE(TRIM(Input!E1456&amp;""),"%","")),0)/IF(AND(IFERROR(VALUE(SUBSTITUTE(TRIM(Input!E1456&amp;""),"%","")),0)&gt;0,IFERROR(VALUE(SUBSTITUTE(TRIM(Input!E1456&amp;""),"%","")),0)&lt;1),1,100))</f>
        <v/>
      </c>
      <c r="E1456" t="str">
        <f>IF(A1456="","",IFERROR(VALUE(SUBSTITUTE(TRIM(Input!F1456&amp;""),"%","")),0)/IF(AND(IFERROR(VALUE(SUBSTITUTE(TRIM(Input!F1456&amp;""),"%","")),0)&gt;0,IFERROR(VALUE(SUBSTITUTE(TRIM(Input!F1456&amp;""),"%","")),0)&lt;1),1,100))</f>
        <v/>
      </c>
      <c r="F1456" t="str">
        <f>IF(A1456="","",IFERROR(VALUE(SUBSTITUTE(TRIM(Input!G1456&amp;""),"%","")),0)/IF(AND(IFERROR(VALUE(SUBSTITUTE(TRIM(Input!G1456&amp;""),"%","")),0)&gt;0,IFERROR(VALUE(SUBSTITUTE(TRIM(Input!G1456&amp;""),"%","")),0)&lt;1),1,100))</f>
        <v/>
      </c>
      <c r="G1456" t="str">
        <f>IF(A1456="","",IFERROR(VALUE(SUBSTITUTE(TRIM(Input!H1456&amp;""),"%","")),0)/IF(AND(IFERROR(VALUE(SUBSTITUTE(TRIM(Input!H1456&amp;""),"%","")),0)&gt;0,IFERROR(VALUE(SUBSTITUTE(TRIM(Input!H1456&amp;""),"%","")),0)&lt;1),1,100))</f>
        <v/>
      </c>
      <c r="H1456" t="str">
        <f>IF(A1456="","",IFERROR(VALUE(SUBSTITUTE(TRIM(Input!I1456&amp;""),"%","")),0)/IF(AND(IFERROR(VALUE(SUBSTITUTE(TRIM(Input!I1456&amp;""),"%","")),0)&gt;0,IFERROR(VALUE(SUBSTITUTE(TRIM(Input!I1456&amp;""),"%","")),0)&lt;1),1,100))</f>
        <v/>
      </c>
    </row>
    <row r="1457" spans="1:8">
      <c r="A1457" t="str">
        <f>IF(TRIM(Input!B1457&amp;"")="","",UPPER(TRIM(Input!B1457&amp;"")))</f>
        <v/>
      </c>
      <c r="B1457" t="str">
        <f>IF(A1457="","",IFERROR(VALUE(RIGHT(TRIM(Input!D1457&amp;""),1)),0))</f>
        <v/>
      </c>
      <c r="C1457" t="str">
        <f t="shared" si="22"/>
        <v/>
      </c>
      <c r="D1457" t="str">
        <f>IF(A1457="","",IFERROR(VALUE(SUBSTITUTE(TRIM(Input!E1457&amp;""),"%","")),0)/IF(AND(IFERROR(VALUE(SUBSTITUTE(TRIM(Input!E1457&amp;""),"%","")),0)&gt;0,IFERROR(VALUE(SUBSTITUTE(TRIM(Input!E1457&amp;""),"%","")),0)&lt;1),1,100))</f>
        <v/>
      </c>
      <c r="E1457" t="str">
        <f>IF(A1457="","",IFERROR(VALUE(SUBSTITUTE(TRIM(Input!F1457&amp;""),"%","")),0)/IF(AND(IFERROR(VALUE(SUBSTITUTE(TRIM(Input!F1457&amp;""),"%","")),0)&gt;0,IFERROR(VALUE(SUBSTITUTE(TRIM(Input!F1457&amp;""),"%","")),0)&lt;1),1,100))</f>
        <v/>
      </c>
      <c r="F1457" t="str">
        <f>IF(A1457="","",IFERROR(VALUE(SUBSTITUTE(TRIM(Input!G1457&amp;""),"%","")),0)/IF(AND(IFERROR(VALUE(SUBSTITUTE(TRIM(Input!G1457&amp;""),"%","")),0)&gt;0,IFERROR(VALUE(SUBSTITUTE(TRIM(Input!G1457&amp;""),"%","")),0)&lt;1),1,100))</f>
        <v/>
      </c>
      <c r="G1457" t="str">
        <f>IF(A1457="","",IFERROR(VALUE(SUBSTITUTE(TRIM(Input!H1457&amp;""),"%","")),0)/IF(AND(IFERROR(VALUE(SUBSTITUTE(TRIM(Input!H1457&amp;""),"%","")),0)&gt;0,IFERROR(VALUE(SUBSTITUTE(TRIM(Input!H1457&amp;""),"%","")),0)&lt;1),1,100))</f>
        <v/>
      </c>
      <c r="H1457" t="str">
        <f>IF(A1457="","",IFERROR(VALUE(SUBSTITUTE(TRIM(Input!I1457&amp;""),"%","")),0)/IF(AND(IFERROR(VALUE(SUBSTITUTE(TRIM(Input!I1457&amp;""),"%","")),0)&gt;0,IFERROR(VALUE(SUBSTITUTE(TRIM(Input!I1457&amp;""),"%","")),0)&lt;1),1,100))</f>
        <v/>
      </c>
    </row>
    <row r="1458" spans="1:8">
      <c r="A1458" t="str">
        <f>IF(TRIM(Input!B1458&amp;"")="","",UPPER(TRIM(Input!B1458&amp;"")))</f>
        <v/>
      </c>
      <c r="B1458" t="str">
        <f>IF(A1458="","",IFERROR(VALUE(RIGHT(TRIM(Input!D1458&amp;""),1)),0))</f>
        <v/>
      </c>
      <c r="C1458" t="str">
        <f t="shared" si="22"/>
        <v/>
      </c>
      <c r="D1458" t="str">
        <f>IF(A1458="","",IFERROR(VALUE(SUBSTITUTE(TRIM(Input!E1458&amp;""),"%","")),0)/IF(AND(IFERROR(VALUE(SUBSTITUTE(TRIM(Input!E1458&amp;""),"%","")),0)&gt;0,IFERROR(VALUE(SUBSTITUTE(TRIM(Input!E1458&amp;""),"%","")),0)&lt;1),1,100))</f>
        <v/>
      </c>
      <c r="E1458" t="str">
        <f>IF(A1458="","",IFERROR(VALUE(SUBSTITUTE(TRIM(Input!F1458&amp;""),"%","")),0)/IF(AND(IFERROR(VALUE(SUBSTITUTE(TRIM(Input!F1458&amp;""),"%","")),0)&gt;0,IFERROR(VALUE(SUBSTITUTE(TRIM(Input!F1458&amp;""),"%","")),0)&lt;1),1,100))</f>
        <v/>
      </c>
      <c r="F1458" t="str">
        <f>IF(A1458="","",IFERROR(VALUE(SUBSTITUTE(TRIM(Input!G1458&amp;""),"%","")),0)/IF(AND(IFERROR(VALUE(SUBSTITUTE(TRIM(Input!G1458&amp;""),"%","")),0)&gt;0,IFERROR(VALUE(SUBSTITUTE(TRIM(Input!G1458&amp;""),"%","")),0)&lt;1),1,100))</f>
        <v/>
      </c>
      <c r="G1458" t="str">
        <f>IF(A1458="","",IFERROR(VALUE(SUBSTITUTE(TRIM(Input!H1458&amp;""),"%","")),0)/IF(AND(IFERROR(VALUE(SUBSTITUTE(TRIM(Input!H1458&amp;""),"%","")),0)&gt;0,IFERROR(VALUE(SUBSTITUTE(TRIM(Input!H1458&amp;""),"%","")),0)&lt;1),1,100))</f>
        <v/>
      </c>
      <c r="H1458" t="str">
        <f>IF(A1458="","",IFERROR(VALUE(SUBSTITUTE(TRIM(Input!I1458&amp;""),"%","")),0)/IF(AND(IFERROR(VALUE(SUBSTITUTE(TRIM(Input!I1458&amp;""),"%","")),0)&gt;0,IFERROR(VALUE(SUBSTITUTE(TRIM(Input!I1458&amp;""),"%","")),0)&lt;1),1,100))</f>
        <v/>
      </c>
    </row>
    <row r="1459" spans="1:8">
      <c r="A1459" t="str">
        <f>IF(TRIM(Input!B1459&amp;"")="","",UPPER(TRIM(Input!B1459&amp;"")))</f>
        <v/>
      </c>
      <c r="B1459" t="str">
        <f>IF(A1459="","",IFERROR(VALUE(RIGHT(TRIM(Input!D1459&amp;""),1)),0))</f>
        <v/>
      </c>
      <c r="C1459" t="str">
        <f t="shared" si="22"/>
        <v/>
      </c>
      <c r="D1459" t="str">
        <f>IF(A1459="","",IFERROR(VALUE(SUBSTITUTE(TRIM(Input!E1459&amp;""),"%","")),0)/IF(AND(IFERROR(VALUE(SUBSTITUTE(TRIM(Input!E1459&amp;""),"%","")),0)&gt;0,IFERROR(VALUE(SUBSTITUTE(TRIM(Input!E1459&amp;""),"%","")),0)&lt;1),1,100))</f>
        <v/>
      </c>
      <c r="E1459" t="str">
        <f>IF(A1459="","",IFERROR(VALUE(SUBSTITUTE(TRIM(Input!F1459&amp;""),"%","")),0)/IF(AND(IFERROR(VALUE(SUBSTITUTE(TRIM(Input!F1459&amp;""),"%","")),0)&gt;0,IFERROR(VALUE(SUBSTITUTE(TRIM(Input!F1459&amp;""),"%","")),0)&lt;1),1,100))</f>
        <v/>
      </c>
      <c r="F1459" t="str">
        <f>IF(A1459="","",IFERROR(VALUE(SUBSTITUTE(TRIM(Input!G1459&amp;""),"%","")),0)/IF(AND(IFERROR(VALUE(SUBSTITUTE(TRIM(Input!G1459&amp;""),"%","")),0)&gt;0,IFERROR(VALUE(SUBSTITUTE(TRIM(Input!G1459&amp;""),"%","")),0)&lt;1),1,100))</f>
        <v/>
      </c>
      <c r="G1459" t="str">
        <f>IF(A1459="","",IFERROR(VALUE(SUBSTITUTE(TRIM(Input!H1459&amp;""),"%","")),0)/IF(AND(IFERROR(VALUE(SUBSTITUTE(TRIM(Input!H1459&amp;""),"%","")),0)&gt;0,IFERROR(VALUE(SUBSTITUTE(TRIM(Input!H1459&amp;""),"%","")),0)&lt;1),1,100))</f>
        <v/>
      </c>
      <c r="H1459" t="str">
        <f>IF(A1459="","",IFERROR(VALUE(SUBSTITUTE(TRIM(Input!I1459&amp;""),"%","")),0)/IF(AND(IFERROR(VALUE(SUBSTITUTE(TRIM(Input!I1459&amp;""),"%","")),0)&gt;0,IFERROR(VALUE(SUBSTITUTE(TRIM(Input!I1459&amp;""),"%","")),0)&lt;1),1,100))</f>
        <v/>
      </c>
    </row>
    <row r="1460" spans="1:8">
      <c r="A1460" t="str">
        <f>IF(TRIM(Input!B1460&amp;"")="","",UPPER(TRIM(Input!B1460&amp;"")))</f>
        <v/>
      </c>
      <c r="B1460" t="str">
        <f>IF(A1460="","",IFERROR(VALUE(RIGHT(TRIM(Input!D1460&amp;""),1)),0))</f>
        <v/>
      </c>
      <c r="C1460" t="str">
        <f t="shared" si="22"/>
        <v/>
      </c>
      <c r="D1460" t="str">
        <f>IF(A1460="","",IFERROR(VALUE(SUBSTITUTE(TRIM(Input!E1460&amp;""),"%","")),0)/IF(AND(IFERROR(VALUE(SUBSTITUTE(TRIM(Input!E1460&amp;""),"%","")),0)&gt;0,IFERROR(VALUE(SUBSTITUTE(TRIM(Input!E1460&amp;""),"%","")),0)&lt;1),1,100))</f>
        <v/>
      </c>
      <c r="E1460" t="str">
        <f>IF(A1460="","",IFERROR(VALUE(SUBSTITUTE(TRIM(Input!F1460&amp;""),"%","")),0)/IF(AND(IFERROR(VALUE(SUBSTITUTE(TRIM(Input!F1460&amp;""),"%","")),0)&gt;0,IFERROR(VALUE(SUBSTITUTE(TRIM(Input!F1460&amp;""),"%","")),0)&lt;1),1,100))</f>
        <v/>
      </c>
      <c r="F1460" t="str">
        <f>IF(A1460="","",IFERROR(VALUE(SUBSTITUTE(TRIM(Input!G1460&amp;""),"%","")),0)/IF(AND(IFERROR(VALUE(SUBSTITUTE(TRIM(Input!G1460&amp;""),"%","")),0)&gt;0,IFERROR(VALUE(SUBSTITUTE(TRIM(Input!G1460&amp;""),"%","")),0)&lt;1),1,100))</f>
        <v/>
      </c>
      <c r="G1460" t="str">
        <f>IF(A1460="","",IFERROR(VALUE(SUBSTITUTE(TRIM(Input!H1460&amp;""),"%","")),0)/IF(AND(IFERROR(VALUE(SUBSTITUTE(TRIM(Input!H1460&amp;""),"%","")),0)&gt;0,IFERROR(VALUE(SUBSTITUTE(TRIM(Input!H1460&amp;""),"%","")),0)&lt;1),1,100))</f>
        <v/>
      </c>
      <c r="H1460" t="str">
        <f>IF(A1460="","",IFERROR(VALUE(SUBSTITUTE(TRIM(Input!I1460&amp;""),"%","")),0)/IF(AND(IFERROR(VALUE(SUBSTITUTE(TRIM(Input!I1460&amp;""),"%","")),0)&gt;0,IFERROR(VALUE(SUBSTITUTE(TRIM(Input!I1460&amp;""),"%","")),0)&lt;1),1,100))</f>
        <v/>
      </c>
    </row>
    <row r="1461" spans="1:8">
      <c r="A1461" t="str">
        <f>IF(TRIM(Input!B1461&amp;"")="","",UPPER(TRIM(Input!B1461&amp;"")))</f>
        <v/>
      </c>
      <c r="B1461" t="str">
        <f>IF(A1461="","",IFERROR(VALUE(RIGHT(TRIM(Input!D1461&amp;""),1)),0))</f>
        <v/>
      </c>
      <c r="C1461" t="str">
        <f t="shared" si="22"/>
        <v/>
      </c>
      <c r="D1461" t="str">
        <f>IF(A1461="","",IFERROR(VALUE(SUBSTITUTE(TRIM(Input!E1461&amp;""),"%","")),0)/IF(AND(IFERROR(VALUE(SUBSTITUTE(TRIM(Input!E1461&amp;""),"%","")),0)&gt;0,IFERROR(VALUE(SUBSTITUTE(TRIM(Input!E1461&amp;""),"%","")),0)&lt;1),1,100))</f>
        <v/>
      </c>
      <c r="E1461" t="str">
        <f>IF(A1461="","",IFERROR(VALUE(SUBSTITUTE(TRIM(Input!F1461&amp;""),"%","")),0)/IF(AND(IFERROR(VALUE(SUBSTITUTE(TRIM(Input!F1461&amp;""),"%","")),0)&gt;0,IFERROR(VALUE(SUBSTITUTE(TRIM(Input!F1461&amp;""),"%","")),0)&lt;1),1,100))</f>
        <v/>
      </c>
      <c r="F1461" t="str">
        <f>IF(A1461="","",IFERROR(VALUE(SUBSTITUTE(TRIM(Input!G1461&amp;""),"%","")),0)/IF(AND(IFERROR(VALUE(SUBSTITUTE(TRIM(Input!G1461&amp;""),"%","")),0)&gt;0,IFERROR(VALUE(SUBSTITUTE(TRIM(Input!G1461&amp;""),"%","")),0)&lt;1),1,100))</f>
        <v/>
      </c>
      <c r="G1461" t="str">
        <f>IF(A1461="","",IFERROR(VALUE(SUBSTITUTE(TRIM(Input!H1461&amp;""),"%","")),0)/IF(AND(IFERROR(VALUE(SUBSTITUTE(TRIM(Input!H1461&amp;""),"%","")),0)&gt;0,IFERROR(VALUE(SUBSTITUTE(TRIM(Input!H1461&amp;""),"%","")),0)&lt;1),1,100))</f>
        <v/>
      </c>
      <c r="H1461" t="str">
        <f>IF(A1461="","",IFERROR(VALUE(SUBSTITUTE(TRIM(Input!I1461&amp;""),"%","")),0)/IF(AND(IFERROR(VALUE(SUBSTITUTE(TRIM(Input!I1461&amp;""),"%","")),0)&gt;0,IFERROR(VALUE(SUBSTITUTE(TRIM(Input!I1461&amp;""),"%","")),0)&lt;1),1,100))</f>
        <v/>
      </c>
    </row>
    <row r="1462" spans="1:8">
      <c r="A1462" t="str">
        <f>IF(TRIM(Input!B1462&amp;"")="","",UPPER(TRIM(Input!B1462&amp;"")))</f>
        <v/>
      </c>
      <c r="B1462" t="str">
        <f>IF(A1462="","",IFERROR(VALUE(RIGHT(TRIM(Input!D1462&amp;""),1)),0))</f>
        <v/>
      </c>
      <c r="C1462" t="str">
        <f t="shared" si="22"/>
        <v/>
      </c>
      <c r="D1462" t="str">
        <f>IF(A1462="","",IFERROR(VALUE(SUBSTITUTE(TRIM(Input!E1462&amp;""),"%","")),0)/IF(AND(IFERROR(VALUE(SUBSTITUTE(TRIM(Input!E1462&amp;""),"%","")),0)&gt;0,IFERROR(VALUE(SUBSTITUTE(TRIM(Input!E1462&amp;""),"%","")),0)&lt;1),1,100))</f>
        <v/>
      </c>
      <c r="E1462" t="str">
        <f>IF(A1462="","",IFERROR(VALUE(SUBSTITUTE(TRIM(Input!F1462&amp;""),"%","")),0)/IF(AND(IFERROR(VALUE(SUBSTITUTE(TRIM(Input!F1462&amp;""),"%","")),0)&gt;0,IFERROR(VALUE(SUBSTITUTE(TRIM(Input!F1462&amp;""),"%","")),0)&lt;1),1,100))</f>
        <v/>
      </c>
      <c r="F1462" t="str">
        <f>IF(A1462="","",IFERROR(VALUE(SUBSTITUTE(TRIM(Input!G1462&amp;""),"%","")),0)/IF(AND(IFERROR(VALUE(SUBSTITUTE(TRIM(Input!G1462&amp;""),"%","")),0)&gt;0,IFERROR(VALUE(SUBSTITUTE(TRIM(Input!G1462&amp;""),"%","")),0)&lt;1),1,100))</f>
        <v/>
      </c>
      <c r="G1462" t="str">
        <f>IF(A1462="","",IFERROR(VALUE(SUBSTITUTE(TRIM(Input!H1462&amp;""),"%","")),0)/IF(AND(IFERROR(VALUE(SUBSTITUTE(TRIM(Input!H1462&amp;""),"%","")),0)&gt;0,IFERROR(VALUE(SUBSTITUTE(TRIM(Input!H1462&amp;""),"%","")),0)&lt;1),1,100))</f>
        <v/>
      </c>
      <c r="H1462" t="str">
        <f>IF(A1462="","",IFERROR(VALUE(SUBSTITUTE(TRIM(Input!I1462&amp;""),"%","")),0)/IF(AND(IFERROR(VALUE(SUBSTITUTE(TRIM(Input!I1462&amp;""),"%","")),0)&gt;0,IFERROR(VALUE(SUBSTITUTE(TRIM(Input!I1462&amp;""),"%","")),0)&lt;1),1,100))</f>
        <v/>
      </c>
    </row>
    <row r="1463" spans="1:8">
      <c r="A1463" t="str">
        <f>IF(TRIM(Input!B1463&amp;"")="","",UPPER(TRIM(Input!B1463&amp;"")))</f>
        <v/>
      </c>
      <c r="B1463" t="str">
        <f>IF(A1463="","",IFERROR(VALUE(RIGHT(TRIM(Input!D1463&amp;""),1)),0))</f>
        <v/>
      </c>
      <c r="C1463" t="str">
        <f t="shared" si="22"/>
        <v/>
      </c>
      <c r="D1463" t="str">
        <f>IF(A1463="","",IFERROR(VALUE(SUBSTITUTE(TRIM(Input!E1463&amp;""),"%","")),0)/IF(AND(IFERROR(VALUE(SUBSTITUTE(TRIM(Input!E1463&amp;""),"%","")),0)&gt;0,IFERROR(VALUE(SUBSTITUTE(TRIM(Input!E1463&amp;""),"%","")),0)&lt;1),1,100))</f>
        <v/>
      </c>
      <c r="E1463" t="str">
        <f>IF(A1463="","",IFERROR(VALUE(SUBSTITUTE(TRIM(Input!F1463&amp;""),"%","")),0)/IF(AND(IFERROR(VALUE(SUBSTITUTE(TRIM(Input!F1463&amp;""),"%","")),0)&gt;0,IFERROR(VALUE(SUBSTITUTE(TRIM(Input!F1463&amp;""),"%","")),0)&lt;1),1,100))</f>
        <v/>
      </c>
      <c r="F1463" t="str">
        <f>IF(A1463="","",IFERROR(VALUE(SUBSTITUTE(TRIM(Input!G1463&amp;""),"%","")),0)/IF(AND(IFERROR(VALUE(SUBSTITUTE(TRIM(Input!G1463&amp;""),"%","")),0)&gt;0,IFERROR(VALUE(SUBSTITUTE(TRIM(Input!G1463&amp;""),"%","")),0)&lt;1),1,100))</f>
        <v/>
      </c>
      <c r="G1463" t="str">
        <f>IF(A1463="","",IFERROR(VALUE(SUBSTITUTE(TRIM(Input!H1463&amp;""),"%","")),0)/IF(AND(IFERROR(VALUE(SUBSTITUTE(TRIM(Input!H1463&amp;""),"%","")),0)&gt;0,IFERROR(VALUE(SUBSTITUTE(TRIM(Input!H1463&amp;""),"%","")),0)&lt;1),1,100))</f>
        <v/>
      </c>
      <c r="H1463" t="str">
        <f>IF(A1463="","",IFERROR(VALUE(SUBSTITUTE(TRIM(Input!I1463&amp;""),"%","")),0)/IF(AND(IFERROR(VALUE(SUBSTITUTE(TRIM(Input!I1463&amp;""),"%","")),0)&gt;0,IFERROR(VALUE(SUBSTITUTE(TRIM(Input!I1463&amp;""),"%","")),0)&lt;1),1,100))</f>
        <v/>
      </c>
    </row>
    <row r="1464" spans="1:8">
      <c r="A1464" t="str">
        <f>IF(TRIM(Input!B1464&amp;"")="","",UPPER(TRIM(Input!B1464&amp;"")))</f>
        <v/>
      </c>
      <c r="B1464" t="str">
        <f>IF(A1464="","",IFERROR(VALUE(RIGHT(TRIM(Input!D1464&amp;""),1)),0))</f>
        <v/>
      </c>
      <c r="C1464" t="str">
        <f t="shared" si="22"/>
        <v/>
      </c>
      <c r="D1464" t="str">
        <f>IF(A1464="","",IFERROR(VALUE(SUBSTITUTE(TRIM(Input!E1464&amp;""),"%","")),0)/IF(AND(IFERROR(VALUE(SUBSTITUTE(TRIM(Input!E1464&amp;""),"%","")),0)&gt;0,IFERROR(VALUE(SUBSTITUTE(TRIM(Input!E1464&amp;""),"%","")),0)&lt;1),1,100))</f>
        <v/>
      </c>
      <c r="E1464" t="str">
        <f>IF(A1464="","",IFERROR(VALUE(SUBSTITUTE(TRIM(Input!F1464&amp;""),"%","")),0)/IF(AND(IFERROR(VALUE(SUBSTITUTE(TRIM(Input!F1464&amp;""),"%","")),0)&gt;0,IFERROR(VALUE(SUBSTITUTE(TRIM(Input!F1464&amp;""),"%","")),0)&lt;1),1,100))</f>
        <v/>
      </c>
      <c r="F1464" t="str">
        <f>IF(A1464="","",IFERROR(VALUE(SUBSTITUTE(TRIM(Input!G1464&amp;""),"%","")),0)/IF(AND(IFERROR(VALUE(SUBSTITUTE(TRIM(Input!G1464&amp;""),"%","")),0)&gt;0,IFERROR(VALUE(SUBSTITUTE(TRIM(Input!G1464&amp;""),"%","")),0)&lt;1),1,100))</f>
        <v/>
      </c>
      <c r="G1464" t="str">
        <f>IF(A1464="","",IFERROR(VALUE(SUBSTITUTE(TRIM(Input!H1464&amp;""),"%","")),0)/IF(AND(IFERROR(VALUE(SUBSTITUTE(TRIM(Input!H1464&amp;""),"%","")),0)&gt;0,IFERROR(VALUE(SUBSTITUTE(TRIM(Input!H1464&amp;""),"%","")),0)&lt;1),1,100))</f>
        <v/>
      </c>
      <c r="H1464" t="str">
        <f>IF(A1464="","",IFERROR(VALUE(SUBSTITUTE(TRIM(Input!I1464&amp;""),"%","")),0)/IF(AND(IFERROR(VALUE(SUBSTITUTE(TRIM(Input!I1464&amp;""),"%","")),0)&gt;0,IFERROR(VALUE(SUBSTITUTE(TRIM(Input!I1464&amp;""),"%","")),0)&lt;1),1,100))</f>
        <v/>
      </c>
    </row>
    <row r="1465" spans="1:8">
      <c r="A1465" t="str">
        <f>IF(TRIM(Input!B1465&amp;"")="","",UPPER(TRIM(Input!B1465&amp;"")))</f>
        <v/>
      </c>
      <c r="B1465" t="str">
        <f>IF(A1465="","",IFERROR(VALUE(RIGHT(TRIM(Input!D1465&amp;""),1)),0))</f>
        <v/>
      </c>
      <c r="C1465" t="str">
        <f t="shared" si="22"/>
        <v/>
      </c>
      <c r="D1465" t="str">
        <f>IF(A1465="","",IFERROR(VALUE(SUBSTITUTE(TRIM(Input!E1465&amp;""),"%","")),0)/IF(AND(IFERROR(VALUE(SUBSTITUTE(TRIM(Input!E1465&amp;""),"%","")),0)&gt;0,IFERROR(VALUE(SUBSTITUTE(TRIM(Input!E1465&amp;""),"%","")),0)&lt;1),1,100))</f>
        <v/>
      </c>
      <c r="E1465" t="str">
        <f>IF(A1465="","",IFERROR(VALUE(SUBSTITUTE(TRIM(Input!F1465&amp;""),"%","")),0)/IF(AND(IFERROR(VALUE(SUBSTITUTE(TRIM(Input!F1465&amp;""),"%","")),0)&gt;0,IFERROR(VALUE(SUBSTITUTE(TRIM(Input!F1465&amp;""),"%","")),0)&lt;1),1,100))</f>
        <v/>
      </c>
      <c r="F1465" t="str">
        <f>IF(A1465="","",IFERROR(VALUE(SUBSTITUTE(TRIM(Input!G1465&amp;""),"%","")),0)/IF(AND(IFERROR(VALUE(SUBSTITUTE(TRIM(Input!G1465&amp;""),"%","")),0)&gt;0,IFERROR(VALUE(SUBSTITUTE(TRIM(Input!G1465&amp;""),"%","")),0)&lt;1),1,100))</f>
        <v/>
      </c>
      <c r="G1465" t="str">
        <f>IF(A1465="","",IFERROR(VALUE(SUBSTITUTE(TRIM(Input!H1465&amp;""),"%","")),0)/IF(AND(IFERROR(VALUE(SUBSTITUTE(TRIM(Input!H1465&amp;""),"%","")),0)&gt;0,IFERROR(VALUE(SUBSTITUTE(TRIM(Input!H1465&amp;""),"%","")),0)&lt;1),1,100))</f>
        <v/>
      </c>
      <c r="H1465" t="str">
        <f>IF(A1465="","",IFERROR(VALUE(SUBSTITUTE(TRIM(Input!I1465&amp;""),"%","")),0)/IF(AND(IFERROR(VALUE(SUBSTITUTE(TRIM(Input!I1465&amp;""),"%","")),0)&gt;0,IFERROR(VALUE(SUBSTITUTE(TRIM(Input!I1465&amp;""),"%","")),0)&lt;1),1,100))</f>
        <v/>
      </c>
    </row>
    <row r="1466" spans="1:8">
      <c r="A1466" t="str">
        <f>IF(TRIM(Input!B1466&amp;"")="","",UPPER(TRIM(Input!B1466&amp;"")))</f>
        <v/>
      </c>
      <c r="B1466" t="str">
        <f>IF(A1466="","",IFERROR(VALUE(RIGHT(TRIM(Input!D1466&amp;""),1)),0))</f>
        <v/>
      </c>
      <c r="C1466" t="str">
        <f t="shared" si="22"/>
        <v/>
      </c>
      <c r="D1466" t="str">
        <f>IF(A1466="","",IFERROR(VALUE(SUBSTITUTE(TRIM(Input!E1466&amp;""),"%","")),0)/IF(AND(IFERROR(VALUE(SUBSTITUTE(TRIM(Input!E1466&amp;""),"%","")),0)&gt;0,IFERROR(VALUE(SUBSTITUTE(TRIM(Input!E1466&amp;""),"%","")),0)&lt;1),1,100))</f>
        <v/>
      </c>
      <c r="E1466" t="str">
        <f>IF(A1466="","",IFERROR(VALUE(SUBSTITUTE(TRIM(Input!F1466&amp;""),"%","")),0)/IF(AND(IFERROR(VALUE(SUBSTITUTE(TRIM(Input!F1466&amp;""),"%","")),0)&gt;0,IFERROR(VALUE(SUBSTITUTE(TRIM(Input!F1466&amp;""),"%","")),0)&lt;1),1,100))</f>
        <v/>
      </c>
      <c r="F1466" t="str">
        <f>IF(A1466="","",IFERROR(VALUE(SUBSTITUTE(TRIM(Input!G1466&amp;""),"%","")),0)/IF(AND(IFERROR(VALUE(SUBSTITUTE(TRIM(Input!G1466&amp;""),"%","")),0)&gt;0,IFERROR(VALUE(SUBSTITUTE(TRIM(Input!G1466&amp;""),"%","")),0)&lt;1),1,100))</f>
        <v/>
      </c>
      <c r="G1466" t="str">
        <f>IF(A1466="","",IFERROR(VALUE(SUBSTITUTE(TRIM(Input!H1466&amp;""),"%","")),0)/IF(AND(IFERROR(VALUE(SUBSTITUTE(TRIM(Input!H1466&amp;""),"%","")),0)&gt;0,IFERROR(VALUE(SUBSTITUTE(TRIM(Input!H1466&amp;""),"%","")),0)&lt;1),1,100))</f>
        <v/>
      </c>
      <c r="H1466" t="str">
        <f>IF(A1466="","",IFERROR(VALUE(SUBSTITUTE(TRIM(Input!I1466&amp;""),"%","")),0)/IF(AND(IFERROR(VALUE(SUBSTITUTE(TRIM(Input!I1466&amp;""),"%","")),0)&gt;0,IFERROR(VALUE(SUBSTITUTE(TRIM(Input!I1466&amp;""),"%","")),0)&lt;1),1,100))</f>
        <v/>
      </c>
    </row>
    <row r="1467" spans="1:8">
      <c r="A1467" t="str">
        <f>IF(TRIM(Input!B1467&amp;"")="","",UPPER(TRIM(Input!B1467&amp;"")))</f>
        <v/>
      </c>
      <c r="B1467" t="str">
        <f>IF(A1467="","",IFERROR(VALUE(RIGHT(TRIM(Input!D1467&amp;""),1)),0))</f>
        <v/>
      </c>
      <c r="C1467" t="str">
        <f t="shared" si="22"/>
        <v/>
      </c>
      <c r="D1467" t="str">
        <f>IF(A1467="","",IFERROR(VALUE(SUBSTITUTE(TRIM(Input!E1467&amp;""),"%","")),0)/IF(AND(IFERROR(VALUE(SUBSTITUTE(TRIM(Input!E1467&amp;""),"%","")),0)&gt;0,IFERROR(VALUE(SUBSTITUTE(TRIM(Input!E1467&amp;""),"%","")),0)&lt;1),1,100))</f>
        <v/>
      </c>
      <c r="E1467" t="str">
        <f>IF(A1467="","",IFERROR(VALUE(SUBSTITUTE(TRIM(Input!F1467&amp;""),"%","")),0)/IF(AND(IFERROR(VALUE(SUBSTITUTE(TRIM(Input!F1467&amp;""),"%","")),0)&gt;0,IFERROR(VALUE(SUBSTITUTE(TRIM(Input!F1467&amp;""),"%","")),0)&lt;1),1,100))</f>
        <v/>
      </c>
      <c r="F1467" t="str">
        <f>IF(A1467="","",IFERROR(VALUE(SUBSTITUTE(TRIM(Input!G1467&amp;""),"%","")),0)/IF(AND(IFERROR(VALUE(SUBSTITUTE(TRIM(Input!G1467&amp;""),"%","")),0)&gt;0,IFERROR(VALUE(SUBSTITUTE(TRIM(Input!G1467&amp;""),"%","")),0)&lt;1),1,100))</f>
        <v/>
      </c>
      <c r="G1467" t="str">
        <f>IF(A1467="","",IFERROR(VALUE(SUBSTITUTE(TRIM(Input!H1467&amp;""),"%","")),0)/IF(AND(IFERROR(VALUE(SUBSTITUTE(TRIM(Input!H1467&amp;""),"%","")),0)&gt;0,IFERROR(VALUE(SUBSTITUTE(TRIM(Input!H1467&amp;""),"%","")),0)&lt;1),1,100))</f>
        <v/>
      </c>
      <c r="H1467" t="str">
        <f>IF(A1467="","",IFERROR(VALUE(SUBSTITUTE(TRIM(Input!I1467&amp;""),"%","")),0)/IF(AND(IFERROR(VALUE(SUBSTITUTE(TRIM(Input!I1467&amp;""),"%","")),0)&gt;0,IFERROR(VALUE(SUBSTITUTE(TRIM(Input!I1467&amp;""),"%","")),0)&lt;1),1,100))</f>
        <v/>
      </c>
    </row>
    <row r="1468" spans="1:8">
      <c r="A1468" t="str">
        <f>IF(TRIM(Input!B1468&amp;"")="","",UPPER(TRIM(Input!B1468&amp;"")))</f>
        <v/>
      </c>
      <c r="B1468" t="str">
        <f>IF(A1468="","",IFERROR(VALUE(RIGHT(TRIM(Input!D1468&amp;""),1)),0))</f>
        <v/>
      </c>
      <c r="C1468" t="str">
        <f t="shared" si="22"/>
        <v/>
      </c>
      <c r="D1468" t="str">
        <f>IF(A1468="","",IFERROR(VALUE(SUBSTITUTE(TRIM(Input!E1468&amp;""),"%","")),0)/IF(AND(IFERROR(VALUE(SUBSTITUTE(TRIM(Input!E1468&amp;""),"%","")),0)&gt;0,IFERROR(VALUE(SUBSTITUTE(TRIM(Input!E1468&amp;""),"%","")),0)&lt;1),1,100))</f>
        <v/>
      </c>
      <c r="E1468" t="str">
        <f>IF(A1468="","",IFERROR(VALUE(SUBSTITUTE(TRIM(Input!F1468&amp;""),"%","")),0)/IF(AND(IFERROR(VALUE(SUBSTITUTE(TRIM(Input!F1468&amp;""),"%","")),0)&gt;0,IFERROR(VALUE(SUBSTITUTE(TRIM(Input!F1468&amp;""),"%","")),0)&lt;1),1,100))</f>
        <v/>
      </c>
      <c r="F1468" t="str">
        <f>IF(A1468="","",IFERROR(VALUE(SUBSTITUTE(TRIM(Input!G1468&amp;""),"%","")),0)/IF(AND(IFERROR(VALUE(SUBSTITUTE(TRIM(Input!G1468&amp;""),"%","")),0)&gt;0,IFERROR(VALUE(SUBSTITUTE(TRIM(Input!G1468&amp;""),"%","")),0)&lt;1),1,100))</f>
        <v/>
      </c>
      <c r="G1468" t="str">
        <f>IF(A1468="","",IFERROR(VALUE(SUBSTITUTE(TRIM(Input!H1468&amp;""),"%","")),0)/IF(AND(IFERROR(VALUE(SUBSTITUTE(TRIM(Input!H1468&amp;""),"%","")),0)&gt;0,IFERROR(VALUE(SUBSTITUTE(TRIM(Input!H1468&amp;""),"%","")),0)&lt;1),1,100))</f>
        <v/>
      </c>
      <c r="H1468" t="str">
        <f>IF(A1468="","",IFERROR(VALUE(SUBSTITUTE(TRIM(Input!I1468&amp;""),"%","")),0)/IF(AND(IFERROR(VALUE(SUBSTITUTE(TRIM(Input!I1468&amp;""),"%","")),0)&gt;0,IFERROR(VALUE(SUBSTITUTE(TRIM(Input!I1468&amp;""),"%","")),0)&lt;1),1,100))</f>
        <v/>
      </c>
    </row>
    <row r="1469" spans="1:8">
      <c r="A1469" t="str">
        <f>IF(TRIM(Input!B1469&amp;"")="","",UPPER(TRIM(Input!B1469&amp;"")))</f>
        <v/>
      </c>
      <c r="B1469" t="str">
        <f>IF(A1469="","",IFERROR(VALUE(RIGHT(TRIM(Input!D1469&amp;""),1)),0))</f>
        <v/>
      </c>
      <c r="C1469" t="str">
        <f t="shared" si="22"/>
        <v/>
      </c>
      <c r="D1469" t="str">
        <f>IF(A1469="","",IFERROR(VALUE(SUBSTITUTE(TRIM(Input!E1469&amp;""),"%","")),0)/IF(AND(IFERROR(VALUE(SUBSTITUTE(TRIM(Input!E1469&amp;""),"%","")),0)&gt;0,IFERROR(VALUE(SUBSTITUTE(TRIM(Input!E1469&amp;""),"%","")),0)&lt;1),1,100))</f>
        <v/>
      </c>
      <c r="E1469" t="str">
        <f>IF(A1469="","",IFERROR(VALUE(SUBSTITUTE(TRIM(Input!F1469&amp;""),"%","")),0)/IF(AND(IFERROR(VALUE(SUBSTITUTE(TRIM(Input!F1469&amp;""),"%","")),0)&gt;0,IFERROR(VALUE(SUBSTITUTE(TRIM(Input!F1469&amp;""),"%","")),0)&lt;1),1,100))</f>
        <v/>
      </c>
      <c r="F1469" t="str">
        <f>IF(A1469="","",IFERROR(VALUE(SUBSTITUTE(TRIM(Input!G1469&amp;""),"%","")),0)/IF(AND(IFERROR(VALUE(SUBSTITUTE(TRIM(Input!G1469&amp;""),"%","")),0)&gt;0,IFERROR(VALUE(SUBSTITUTE(TRIM(Input!G1469&amp;""),"%","")),0)&lt;1),1,100))</f>
        <v/>
      </c>
      <c r="G1469" t="str">
        <f>IF(A1469="","",IFERROR(VALUE(SUBSTITUTE(TRIM(Input!H1469&amp;""),"%","")),0)/IF(AND(IFERROR(VALUE(SUBSTITUTE(TRIM(Input!H1469&amp;""),"%","")),0)&gt;0,IFERROR(VALUE(SUBSTITUTE(TRIM(Input!H1469&amp;""),"%","")),0)&lt;1),1,100))</f>
        <v/>
      </c>
      <c r="H1469" t="str">
        <f>IF(A1469="","",IFERROR(VALUE(SUBSTITUTE(TRIM(Input!I1469&amp;""),"%","")),0)/IF(AND(IFERROR(VALUE(SUBSTITUTE(TRIM(Input!I1469&amp;""),"%","")),0)&gt;0,IFERROR(VALUE(SUBSTITUTE(TRIM(Input!I1469&amp;""),"%","")),0)&lt;1),1,100))</f>
        <v/>
      </c>
    </row>
    <row r="1470" spans="1:8">
      <c r="A1470" t="str">
        <f>IF(TRIM(Input!B1470&amp;"")="","",UPPER(TRIM(Input!B1470&amp;"")))</f>
        <v/>
      </c>
      <c r="B1470" t="str">
        <f>IF(A1470="","",IFERROR(VALUE(RIGHT(TRIM(Input!D1470&amp;""),1)),0))</f>
        <v/>
      </c>
      <c r="C1470" t="str">
        <f t="shared" si="22"/>
        <v/>
      </c>
      <c r="D1470" t="str">
        <f>IF(A1470="","",IFERROR(VALUE(SUBSTITUTE(TRIM(Input!E1470&amp;""),"%","")),0)/IF(AND(IFERROR(VALUE(SUBSTITUTE(TRIM(Input!E1470&amp;""),"%","")),0)&gt;0,IFERROR(VALUE(SUBSTITUTE(TRIM(Input!E1470&amp;""),"%","")),0)&lt;1),1,100))</f>
        <v/>
      </c>
      <c r="E1470" t="str">
        <f>IF(A1470="","",IFERROR(VALUE(SUBSTITUTE(TRIM(Input!F1470&amp;""),"%","")),0)/IF(AND(IFERROR(VALUE(SUBSTITUTE(TRIM(Input!F1470&amp;""),"%","")),0)&gt;0,IFERROR(VALUE(SUBSTITUTE(TRIM(Input!F1470&amp;""),"%","")),0)&lt;1),1,100))</f>
        <v/>
      </c>
      <c r="F1470" t="str">
        <f>IF(A1470="","",IFERROR(VALUE(SUBSTITUTE(TRIM(Input!G1470&amp;""),"%","")),0)/IF(AND(IFERROR(VALUE(SUBSTITUTE(TRIM(Input!G1470&amp;""),"%","")),0)&gt;0,IFERROR(VALUE(SUBSTITUTE(TRIM(Input!G1470&amp;""),"%","")),0)&lt;1),1,100))</f>
        <v/>
      </c>
      <c r="G1470" t="str">
        <f>IF(A1470="","",IFERROR(VALUE(SUBSTITUTE(TRIM(Input!H1470&amp;""),"%","")),0)/IF(AND(IFERROR(VALUE(SUBSTITUTE(TRIM(Input!H1470&amp;""),"%","")),0)&gt;0,IFERROR(VALUE(SUBSTITUTE(TRIM(Input!H1470&amp;""),"%","")),0)&lt;1),1,100))</f>
        <v/>
      </c>
      <c r="H1470" t="str">
        <f>IF(A1470="","",IFERROR(VALUE(SUBSTITUTE(TRIM(Input!I1470&amp;""),"%","")),0)/IF(AND(IFERROR(VALUE(SUBSTITUTE(TRIM(Input!I1470&amp;""),"%","")),0)&gt;0,IFERROR(VALUE(SUBSTITUTE(TRIM(Input!I1470&amp;""),"%","")),0)&lt;1),1,100))</f>
        <v/>
      </c>
    </row>
    <row r="1471" spans="1:8">
      <c r="A1471" t="str">
        <f>IF(TRIM(Input!B1471&amp;"")="","",UPPER(TRIM(Input!B1471&amp;"")))</f>
        <v/>
      </c>
      <c r="B1471" t="str">
        <f>IF(A1471="","",IFERROR(VALUE(RIGHT(TRIM(Input!D1471&amp;""),1)),0))</f>
        <v/>
      </c>
      <c r="C1471" t="str">
        <f t="shared" si="22"/>
        <v/>
      </c>
      <c r="D1471" t="str">
        <f>IF(A1471="","",IFERROR(VALUE(SUBSTITUTE(TRIM(Input!E1471&amp;""),"%","")),0)/IF(AND(IFERROR(VALUE(SUBSTITUTE(TRIM(Input!E1471&amp;""),"%","")),0)&gt;0,IFERROR(VALUE(SUBSTITUTE(TRIM(Input!E1471&amp;""),"%","")),0)&lt;1),1,100))</f>
        <v/>
      </c>
      <c r="E1471" t="str">
        <f>IF(A1471="","",IFERROR(VALUE(SUBSTITUTE(TRIM(Input!F1471&amp;""),"%","")),0)/IF(AND(IFERROR(VALUE(SUBSTITUTE(TRIM(Input!F1471&amp;""),"%","")),0)&gt;0,IFERROR(VALUE(SUBSTITUTE(TRIM(Input!F1471&amp;""),"%","")),0)&lt;1),1,100))</f>
        <v/>
      </c>
      <c r="F1471" t="str">
        <f>IF(A1471="","",IFERROR(VALUE(SUBSTITUTE(TRIM(Input!G1471&amp;""),"%","")),0)/IF(AND(IFERROR(VALUE(SUBSTITUTE(TRIM(Input!G1471&amp;""),"%","")),0)&gt;0,IFERROR(VALUE(SUBSTITUTE(TRIM(Input!G1471&amp;""),"%","")),0)&lt;1),1,100))</f>
        <v/>
      </c>
      <c r="G1471" t="str">
        <f>IF(A1471="","",IFERROR(VALUE(SUBSTITUTE(TRIM(Input!H1471&amp;""),"%","")),0)/IF(AND(IFERROR(VALUE(SUBSTITUTE(TRIM(Input!H1471&amp;""),"%","")),0)&gt;0,IFERROR(VALUE(SUBSTITUTE(TRIM(Input!H1471&amp;""),"%","")),0)&lt;1),1,100))</f>
        <v/>
      </c>
      <c r="H1471" t="str">
        <f>IF(A1471="","",IFERROR(VALUE(SUBSTITUTE(TRIM(Input!I1471&amp;""),"%","")),0)/IF(AND(IFERROR(VALUE(SUBSTITUTE(TRIM(Input!I1471&amp;""),"%","")),0)&gt;0,IFERROR(VALUE(SUBSTITUTE(TRIM(Input!I1471&amp;""),"%","")),0)&lt;1),1,100))</f>
        <v/>
      </c>
    </row>
    <row r="1472" spans="1:8">
      <c r="A1472" t="str">
        <f>IF(TRIM(Input!B1472&amp;"")="","",UPPER(TRIM(Input!B1472&amp;"")))</f>
        <v/>
      </c>
      <c r="B1472" t="str">
        <f>IF(A1472="","",IFERROR(VALUE(RIGHT(TRIM(Input!D1472&amp;""),1)),0))</f>
        <v/>
      </c>
      <c r="C1472" t="str">
        <f t="shared" si="22"/>
        <v/>
      </c>
      <c r="D1472" t="str">
        <f>IF(A1472="","",IFERROR(VALUE(SUBSTITUTE(TRIM(Input!E1472&amp;""),"%","")),0)/IF(AND(IFERROR(VALUE(SUBSTITUTE(TRIM(Input!E1472&amp;""),"%","")),0)&gt;0,IFERROR(VALUE(SUBSTITUTE(TRIM(Input!E1472&amp;""),"%","")),0)&lt;1),1,100))</f>
        <v/>
      </c>
      <c r="E1472" t="str">
        <f>IF(A1472="","",IFERROR(VALUE(SUBSTITUTE(TRIM(Input!F1472&amp;""),"%","")),0)/IF(AND(IFERROR(VALUE(SUBSTITUTE(TRIM(Input!F1472&amp;""),"%","")),0)&gt;0,IFERROR(VALUE(SUBSTITUTE(TRIM(Input!F1472&amp;""),"%","")),0)&lt;1),1,100))</f>
        <v/>
      </c>
      <c r="F1472" t="str">
        <f>IF(A1472="","",IFERROR(VALUE(SUBSTITUTE(TRIM(Input!G1472&amp;""),"%","")),0)/IF(AND(IFERROR(VALUE(SUBSTITUTE(TRIM(Input!G1472&amp;""),"%","")),0)&gt;0,IFERROR(VALUE(SUBSTITUTE(TRIM(Input!G1472&amp;""),"%","")),0)&lt;1),1,100))</f>
        <v/>
      </c>
      <c r="G1472" t="str">
        <f>IF(A1472="","",IFERROR(VALUE(SUBSTITUTE(TRIM(Input!H1472&amp;""),"%","")),0)/IF(AND(IFERROR(VALUE(SUBSTITUTE(TRIM(Input!H1472&amp;""),"%","")),0)&gt;0,IFERROR(VALUE(SUBSTITUTE(TRIM(Input!H1472&amp;""),"%","")),0)&lt;1),1,100))</f>
        <v/>
      </c>
      <c r="H1472" t="str">
        <f>IF(A1472="","",IFERROR(VALUE(SUBSTITUTE(TRIM(Input!I1472&amp;""),"%","")),0)/IF(AND(IFERROR(VALUE(SUBSTITUTE(TRIM(Input!I1472&amp;""),"%","")),0)&gt;0,IFERROR(VALUE(SUBSTITUTE(TRIM(Input!I1472&amp;""),"%","")),0)&lt;1),1,100))</f>
        <v/>
      </c>
    </row>
    <row r="1473" spans="1:8">
      <c r="A1473" t="str">
        <f>IF(TRIM(Input!B1473&amp;"")="","",UPPER(TRIM(Input!B1473&amp;"")))</f>
        <v/>
      </c>
      <c r="B1473" t="str">
        <f>IF(A1473="","",IFERROR(VALUE(RIGHT(TRIM(Input!D1473&amp;""),1)),0))</f>
        <v/>
      </c>
      <c r="C1473" t="str">
        <f t="shared" si="22"/>
        <v/>
      </c>
      <c r="D1473" t="str">
        <f>IF(A1473="","",IFERROR(VALUE(SUBSTITUTE(TRIM(Input!E1473&amp;""),"%","")),0)/IF(AND(IFERROR(VALUE(SUBSTITUTE(TRIM(Input!E1473&amp;""),"%","")),0)&gt;0,IFERROR(VALUE(SUBSTITUTE(TRIM(Input!E1473&amp;""),"%","")),0)&lt;1),1,100))</f>
        <v/>
      </c>
      <c r="E1473" t="str">
        <f>IF(A1473="","",IFERROR(VALUE(SUBSTITUTE(TRIM(Input!F1473&amp;""),"%","")),0)/IF(AND(IFERROR(VALUE(SUBSTITUTE(TRIM(Input!F1473&amp;""),"%","")),0)&gt;0,IFERROR(VALUE(SUBSTITUTE(TRIM(Input!F1473&amp;""),"%","")),0)&lt;1),1,100))</f>
        <v/>
      </c>
      <c r="F1473" t="str">
        <f>IF(A1473="","",IFERROR(VALUE(SUBSTITUTE(TRIM(Input!G1473&amp;""),"%","")),0)/IF(AND(IFERROR(VALUE(SUBSTITUTE(TRIM(Input!G1473&amp;""),"%","")),0)&gt;0,IFERROR(VALUE(SUBSTITUTE(TRIM(Input!G1473&amp;""),"%","")),0)&lt;1),1,100))</f>
        <v/>
      </c>
      <c r="G1473" t="str">
        <f>IF(A1473="","",IFERROR(VALUE(SUBSTITUTE(TRIM(Input!H1473&amp;""),"%","")),0)/IF(AND(IFERROR(VALUE(SUBSTITUTE(TRIM(Input!H1473&amp;""),"%","")),0)&gt;0,IFERROR(VALUE(SUBSTITUTE(TRIM(Input!H1473&amp;""),"%","")),0)&lt;1),1,100))</f>
        <v/>
      </c>
      <c r="H1473" t="str">
        <f>IF(A1473="","",IFERROR(VALUE(SUBSTITUTE(TRIM(Input!I1473&amp;""),"%","")),0)/IF(AND(IFERROR(VALUE(SUBSTITUTE(TRIM(Input!I1473&amp;""),"%","")),0)&gt;0,IFERROR(VALUE(SUBSTITUTE(TRIM(Input!I1473&amp;""),"%","")),0)&lt;1),1,100))</f>
        <v/>
      </c>
    </row>
    <row r="1474" spans="1:8">
      <c r="A1474" t="str">
        <f>IF(TRIM(Input!B1474&amp;"")="","",UPPER(TRIM(Input!B1474&amp;"")))</f>
        <v/>
      </c>
      <c r="B1474" t="str">
        <f>IF(A1474="","",IFERROR(VALUE(RIGHT(TRIM(Input!D1474&amp;""),1)),0))</f>
        <v/>
      </c>
      <c r="C1474" t="str">
        <f t="shared" ref="C1474:C1537" si="23">IF(A1474="","",A1474&amp;"|"&amp;B1474)</f>
        <v/>
      </c>
      <c r="D1474" t="str">
        <f>IF(A1474="","",IFERROR(VALUE(SUBSTITUTE(TRIM(Input!E1474&amp;""),"%","")),0)/IF(AND(IFERROR(VALUE(SUBSTITUTE(TRIM(Input!E1474&amp;""),"%","")),0)&gt;0,IFERROR(VALUE(SUBSTITUTE(TRIM(Input!E1474&amp;""),"%","")),0)&lt;1),1,100))</f>
        <v/>
      </c>
      <c r="E1474" t="str">
        <f>IF(A1474="","",IFERROR(VALUE(SUBSTITUTE(TRIM(Input!F1474&amp;""),"%","")),0)/IF(AND(IFERROR(VALUE(SUBSTITUTE(TRIM(Input!F1474&amp;""),"%","")),0)&gt;0,IFERROR(VALUE(SUBSTITUTE(TRIM(Input!F1474&amp;""),"%","")),0)&lt;1),1,100))</f>
        <v/>
      </c>
      <c r="F1474" t="str">
        <f>IF(A1474="","",IFERROR(VALUE(SUBSTITUTE(TRIM(Input!G1474&amp;""),"%","")),0)/IF(AND(IFERROR(VALUE(SUBSTITUTE(TRIM(Input!G1474&amp;""),"%","")),0)&gt;0,IFERROR(VALUE(SUBSTITUTE(TRIM(Input!G1474&amp;""),"%","")),0)&lt;1),1,100))</f>
        <v/>
      </c>
      <c r="G1474" t="str">
        <f>IF(A1474="","",IFERROR(VALUE(SUBSTITUTE(TRIM(Input!H1474&amp;""),"%","")),0)/IF(AND(IFERROR(VALUE(SUBSTITUTE(TRIM(Input!H1474&amp;""),"%","")),0)&gt;0,IFERROR(VALUE(SUBSTITUTE(TRIM(Input!H1474&amp;""),"%","")),0)&lt;1),1,100))</f>
        <v/>
      </c>
      <c r="H1474" t="str">
        <f>IF(A1474="","",IFERROR(VALUE(SUBSTITUTE(TRIM(Input!I1474&amp;""),"%","")),0)/IF(AND(IFERROR(VALUE(SUBSTITUTE(TRIM(Input!I1474&amp;""),"%","")),0)&gt;0,IFERROR(VALUE(SUBSTITUTE(TRIM(Input!I1474&amp;""),"%","")),0)&lt;1),1,100))</f>
        <v/>
      </c>
    </row>
    <row r="1475" spans="1:8">
      <c r="A1475" t="str">
        <f>IF(TRIM(Input!B1475&amp;"")="","",UPPER(TRIM(Input!B1475&amp;"")))</f>
        <v/>
      </c>
      <c r="B1475" t="str">
        <f>IF(A1475="","",IFERROR(VALUE(RIGHT(TRIM(Input!D1475&amp;""),1)),0))</f>
        <v/>
      </c>
      <c r="C1475" t="str">
        <f t="shared" si="23"/>
        <v/>
      </c>
      <c r="D1475" t="str">
        <f>IF(A1475="","",IFERROR(VALUE(SUBSTITUTE(TRIM(Input!E1475&amp;""),"%","")),0)/IF(AND(IFERROR(VALUE(SUBSTITUTE(TRIM(Input!E1475&amp;""),"%","")),0)&gt;0,IFERROR(VALUE(SUBSTITUTE(TRIM(Input!E1475&amp;""),"%","")),0)&lt;1),1,100))</f>
        <v/>
      </c>
      <c r="E1475" t="str">
        <f>IF(A1475="","",IFERROR(VALUE(SUBSTITUTE(TRIM(Input!F1475&amp;""),"%","")),0)/IF(AND(IFERROR(VALUE(SUBSTITUTE(TRIM(Input!F1475&amp;""),"%","")),0)&gt;0,IFERROR(VALUE(SUBSTITUTE(TRIM(Input!F1475&amp;""),"%","")),0)&lt;1),1,100))</f>
        <v/>
      </c>
      <c r="F1475" t="str">
        <f>IF(A1475="","",IFERROR(VALUE(SUBSTITUTE(TRIM(Input!G1475&amp;""),"%","")),0)/IF(AND(IFERROR(VALUE(SUBSTITUTE(TRIM(Input!G1475&amp;""),"%","")),0)&gt;0,IFERROR(VALUE(SUBSTITUTE(TRIM(Input!G1475&amp;""),"%","")),0)&lt;1),1,100))</f>
        <v/>
      </c>
      <c r="G1475" t="str">
        <f>IF(A1475="","",IFERROR(VALUE(SUBSTITUTE(TRIM(Input!H1475&amp;""),"%","")),0)/IF(AND(IFERROR(VALUE(SUBSTITUTE(TRIM(Input!H1475&amp;""),"%","")),0)&gt;0,IFERROR(VALUE(SUBSTITUTE(TRIM(Input!H1475&amp;""),"%","")),0)&lt;1),1,100))</f>
        <v/>
      </c>
      <c r="H1475" t="str">
        <f>IF(A1475="","",IFERROR(VALUE(SUBSTITUTE(TRIM(Input!I1475&amp;""),"%","")),0)/IF(AND(IFERROR(VALUE(SUBSTITUTE(TRIM(Input!I1475&amp;""),"%","")),0)&gt;0,IFERROR(VALUE(SUBSTITUTE(TRIM(Input!I1475&amp;""),"%","")),0)&lt;1),1,100))</f>
        <v/>
      </c>
    </row>
    <row r="1476" spans="1:8">
      <c r="A1476" t="str">
        <f>IF(TRIM(Input!B1476&amp;"")="","",UPPER(TRIM(Input!B1476&amp;"")))</f>
        <v/>
      </c>
      <c r="B1476" t="str">
        <f>IF(A1476="","",IFERROR(VALUE(RIGHT(TRIM(Input!D1476&amp;""),1)),0))</f>
        <v/>
      </c>
      <c r="C1476" t="str">
        <f t="shared" si="23"/>
        <v/>
      </c>
      <c r="D1476" t="str">
        <f>IF(A1476="","",IFERROR(VALUE(SUBSTITUTE(TRIM(Input!E1476&amp;""),"%","")),0)/IF(AND(IFERROR(VALUE(SUBSTITUTE(TRIM(Input!E1476&amp;""),"%","")),0)&gt;0,IFERROR(VALUE(SUBSTITUTE(TRIM(Input!E1476&amp;""),"%","")),0)&lt;1),1,100))</f>
        <v/>
      </c>
      <c r="E1476" t="str">
        <f>IF(A1476="","",IFERROR(VALUE(SUBSTITUTE(TRIM(Input!F1476&amp;""),"%","")),0)/IF(AND(IFERROR(VALUE(SUBSTITUTE(TRIM(Input!F1476&amp;""),"%","")),0)&gt;0,IFERROR(VALUE(SUBSTITUTE(TRIM(Input!F1476&amp;""),"%","")),0)&lt;1),1,100))</f>
        <v/>
      </c>
      <c r="F1476" t="str">
        <f>IF(A1476="","",IFERROR(VALUE(SUBSTITUTE(TRIM(Input!G1476&amp;""),"%","")),0)/IF(AND(IFERROR(VALUE(SUBSTITUTE(TRIM(Input!G1476&amp;""),"%","")),0)&gt;0,IFERROR(VALUE(SUBSTITUTE(TRIM(Input!G1476&amp;""),"%","")),0)&lt;1),1,100))</f>
        <v/>
      </c>
      <c r="G1476" t="str">
        <f>IF(A1476="","",IFERROR(VALUE(SUBSTITUTE(TRIM(Input!H1476&amp;""),"%","")),0)/IF(AND(IFERROR(VALUE(SUBSTITUTE(TRIM(Input!H1476&amp;""),"%","")),0)&gt;0,IFERROR(VALUE(SUBSTITUTE(TRIM(Input!H1476&amp;""),"%","")),0)&lt;1),1,100))</f>
        <v/>
      </c>
      <c r="H1476" t="str">
        <f>IF(A1476="","",IFERROR(VALUE(SUBSTITUTE(TRIM(Input!I1476&amp;""),"%","")),0)/IF(AND(IFERROR(VALUE(SUBSTITUTE(TRIM(Input!I1476&amp;""),"%","")),0)&gt;0,IFERROR(VALUE(SUBSTITUTE(TRIM(Input!I1476&amp;""),"%","")),0)&lt;1),1,100))</f>
        <v/>
      </c>
    </row>
    <row r="1477" spans="1:8">
      <c r="A1477" t="str">
        <f>IF(TRIM(Input!B1477&amp;"")="","",UPPER(TRIM(Input!B1477&amp;"")))</f>
        <v/>
      </c>
      <c r="B1477" t="str">
        <f>IF(A1477="","",IFERROR(VALUE(RIGHT(TRIM(Input!D1477&amp;""),1)),0))</f>
        <v/>
      </c>
      <c r="C1477" t="str">
        <f t="shared" si="23"/>
        <v/>
      </c>
      <c r="D1477" t="str">
        <f>IF(A1477="","",IFERROR(VALUE(SUBSTITUTE(TRIM(Input!E1477&amp;""),"%","")),0)/IF(AND(IFERROR(VALUE(SUBSTITUTE(TRIM(Input!E1477&amp;""),"%","")),0)&gt;0,IFERROR(VALUE(SUBSTITUTE(TRIM(Input!E1477&amp;""),"%","")),0)&lt;1),1,100))</f>
        <v/>
      </c>
      <c r="E1477" t="str">
        <f>IF(A1477="","",IFERROR(VALUE(SUBSTITUTE(TRIM(Input!F1477&amp;""),"%","")),0)/IF(AND(IFERROR(VALUE(SUBSTITUTE(TRIM(Input!F1477&amp;""),"%","")),0)&gt;0,IFERROR(VALUE(SUBSTITUTE(TRIM(Input!F1477&amp;""),"%","")),0)&lt;1),1,100))</f>
        <v/>
      </c>
      <c r="F1477" t="str">
        <f>IF(A1477="","",IFERROR(VALUE(SUBSTITUTE(TRIM(Input!G1477&amp;""),"%","")),0)/IF(AND(IFERROR(VALUE(SUBSTITUTE(TRIM(Input!G1477&amp;""),"%","")),0)&gt;0,IFERROR(VALUE(SUBSTITUTE(TRIM(Input!G1477&amp;""),"%","")),0)&lt;1),1,100))</f>
        <v/>
      </c>
      <c r="G1477" t="str">
        <f>IF(A1477="","",IFERROR(VALUE(SUBSTITUTE(TRIM(Input!H1477&amp;""),"%","")),0)/IF(AND(IFERROR(VALUE(SUBSTITUTE(TRIM(Input!H1477&amp;""),"%","")),0)&gt;0,IFERROR(VALUE(SUBSTITUTE(TRIM(Input!H1477&amp;""),"%","")),0)&lt;1),1,100))</f>
        <v/>
      </c>
      <c r="H1477" t="str">
        <f>IF(A1477="","",IFERROR(VALUE(SUBSTITUTE(TRIM(Input!I1477&amp;""),"%","")),0)/IF(AND(IFERROR(VALUE(SUBSTITUTE(TRIM(Input!I1477&amp;""),"%","")),0)&gt;0,IFERROR(VALUE(SUBSTITUTE(TRIM(Input!I1477&amp;""),"%","")),0)&lt;1),1,100))</f>
        <v/>
      </c>
    </row>
    <row r="1478" spans="1:8">
      <c r="A1478" t="str">
        <f>IF(TRIM(Input!B1478&amp;"")="","",UPPER(TRIM(Input!B1478&amp;"")))</f>
        <v/>
      </c>
      <c r="B1478" t="str">
        <f>IF(A1478="","",IFERROR(VALUE(RIGHT(TRIM(Input!D1478&amp;""),1)),0))</f>
        <v/>
      </c>
      <c r="C1478" t="str">
        <f t="shared" si="23"/>
        <v/>
      </c>
      <c r="D1478" t="str">
        <f>IF(A1478="","",IFERROR(VALUE(SUBSTITUTE(TRIM(Input!E1478&amp;""),"%","")),0)/IF(AND(IFERROR(VALUE(SUBSTITUTE(TRIM(Input!E1478&amp;""),"%","")),0)&gt;0,IFERROR(VALUE(SUBSTITUTE(TRIM(Input!E1478&amp;""),"%","")),0)&lt;1),1,100))</f>
        <v/>
      </c>
      <c r="E1478" t="str">
        <f>IF(A1478="","",IFERROR(VALUE(SUBSTITUTE(TRIM(Input!F1478&amp;""),"%","")),0)/IF(AND(IFERROR(VALUE(SUBSTITUTE(TRIM(Input!F1478&amp;""),"%","")),0)&gt;0,IFERROR(VALUE(SUBSTITUTE(TRIM(Input!F1478&amp;""),"%","")),0)&lt;1),1,100))</f>
        <v/>
      </c>
      <c r="F1478" t="str">
        <f>IF(A1478="","",IFERROR(VALUE(SUBSTITUTE(TRIM(Input!G1478&amp;""),"%","")),0)/IF(AND(IFERROR(VALUE(SUBSTITUTE(TRIM(Input!G1478&amp;""),"%","")),0)&gt;0,IFERROR(VALUE(SUBSTITUTE(TRIM(Input!G1478&amp;""),"%","")),0)&lt;1),1,100))</f>
        <v/>
      </c>
      <c r="G1478" t="str">
        <f>IF(A1478="","",IFERROR(VALUE(SUBSTITUTE(TRIM(Input!H1478&amp;""),"%","")),0)/IF(AND(IFERROR(VALUE(SUBSTITUTE(TRIM(Input!H1478&amp;""),"%","")),0)&gt;0,IFERROR(VALUE(SUBSTITUTE(TRIM(Input!H1478&amp;""),"%","")),0)&lt;1),1,100))</f>
        <v/>
      </c>
      <c r="H1478" t="str">
        <f>IF(A1478="","",IFERROR(VALUE(SUBSTITUTE(TRIM(Input!I1478&amp;""),"%","")),0)/IF(AND(IFERROR(VALUE(SUBSTITUTE(TRIM(Input!I1478&amp;""),"%","")),0)&gt;0,IFERROR(VALUE(SUBSTITUTE(TRIM(Input!I1478&amp;""),"%","")),0)&lt;1),1,100))</f>
        <v/>
      </c>
    </row>
    <row r="1479" spans="1:8">
      <c r="A1479" t="str">
        <f>IF(TRIM(Input!B1479&amp;"")="","",UPPER(TRIM(Input!B1479&amp;"")))</f>
        <v/>
      </c>
      <c r="B1479" t="str">
        <f>IF(A1479="","",IFERROR(VALUE(RIGHT(TRIM(Input!D1479&amp;""),1)),0))</f>
        <v/>
      </c>
      <c r="C1479" t="str">
        <f t="shared" si="23"/>
        <v/>
      </c>
      <c r="D1479" t="str">
        <f>IF(A1479="","",IFERROR(VALUE(SUBSTITUTE(TRIM(Input!E1479&amp;""),"%","")),0)/IF(AND(IFERROR(VALUE(SUBSTITUTE(TRIM(Input!E1479&amp;""),"%","")),0)&gt;0,IFERROR(VALUE(SUBSTITUTE(TRIM(Input!E1479&amp;""),"%","")),0)&lt;1),1,100))</f>
        <v/>
      </c>
      <c r="E1479" t="str">
        <f>IF(A1479="","",IFERROR(VALUE(SUBSTITUTE(TRIM(Input!F1479&amp;""),"%","")),0)/IF(AND(IFERROR(VALUE(SUBSTITUTE(TRIM(Input!F1479&amp;""),"%","")),0)&gt;0,IFERROR(VALUE(SUBSTITUTE(TRIM(Input!F1479&amp;""),"%","")),0)&lt;1),1,100))</f>
        <v/>
      </c>
      <c r="F1479" t="str">
        <f>IF(A1479="","",IFERROR(VALUE(SUBSTITUTE(TRIM(Input!G1479&amp;""),"%","")),0)/IF(AND(IFERROR(VALUE(SUBSTITUTE(TRIM(Input!G1479&amp;""),"%","")),0)&gt;0,IFERROR(VALUE(SUBSTITUTE(TRIM(Input!G1479&amp;""),"%","")),0)&lt;1),1,100))</f>
        <v/>
      </c>
      <c r="G1479" t="str">
        <f>IF(A1479="","",IFERROR(VALUE(SUBSTITUTE(TRIM(Input!H1479&amp;""),"%","")),0)/IF(AND(IFERROR(VALUE(SUBSTITUTE(TRIM(Input!H1479&amp;""),"%","")),0)&gt;0,IFERROR(VALUE(SUBSTITUTE(TRIM(Input!H1479&amp;""),"%","")),0)&lt;1),1,100))</f>
        <v/>
      </c>
      <c r="H1479" t="str">
        <f>IF(A1479="","",IFERROR(VALUE(SUBSTITUTE(TRIM(Input!I1479&amp;""),"%","")),0)/IF(AND(IFERROR(VALUE(SUBSTITUTE(TRIM(Input!I1479&amp;""),"%","")),0)&gt;0,IFERROR(VALUE(SUBSTITUTE(TRIM(Input!I1479&amp;""),"%","")),0)&lt;1),1,100))</f>
        <v/>
      </c>
    </row>
    <row r="1480" spans="1:8">
      <c r="A1480" t="str">
        <f>IF(TRIM(Input!B1480&amp;"")="","",UPPER(TRIM(Input!B1480&amp;"")))</f>
        <v/>
      </c>
      <c r="B1480" t="str">
        <f>IF(A1480="","",IFERROR(VALUE(RIGHT(TRIM(Input!D1480&amp;""),1)),0))</f>
        <v/>
      </c>
      <c r="C1480" t="str">
        <f t="shared" si="23"/>
        <v/>
      </c>
      <c r="D1480" t="str">
        <f>IF(A1480="","",IFERROR(VALUE(SUBSTITUTE(TRIM(Input!E1480&amp;""),"%","")),0)/IF(AND(IFERROR(VALUE(SUBSTITUTE(TRIM(Input!E1480&amp;""),"%","")),0)&gt;0,IFERROR(VALUE(SUBSTITUTE(TRIM(Input!E1480&amp;""),"%","")),0)&lt;1),1,100))</f>
        <v/>
      </c>
      <c r="E1480" t="str">
        <f>IF(A1480="","",IFERROR(VALUE(SUBSTITUTE(TRIM(Input!F1480&amp;""),"%","")),0)/IF(AND(IFERROR(VALUE(SUBSTITUTE(TRIM(Input!F1480&amp;""),"%","")),0)&gt;0,IFERROR(VALUE(SUBSTITUTE(TRIM(Input!F1480&amp;""),"%","")),0)&lt;1),1,100))</f>
        <v/>
      </c>
      <c r="F1480" t="str">
        <f>IF(A1480="","",IFERROR(VALUE(SUBSTITUTE(TRIM(Input!G1480&amp;""),"%","")),0)/IF(AND(IFERROR(VALUE(SUBSTITUTE(TRIM(Input!G1480&amp;""),"%","")),0)&gt;0,IFERROR(VALUE(SUBSTITUTE(TRIM(Input!G1480&amp;""),"%","")),0)&lt;1),1,100))</f>
        <v/>
      </c>
      <c r="G1480" t="str">
        <f>IF(A1480="","",IFERROR(VALUE(SUBSTITUTE(TRIM(Input!H1480&amp;""),"%","")),0)/IF(AND(IFERROR(VALUE(SUBSTITUTE(TRIM(Input!H1480&amp;""),"%","")),0)&gt;0,IFERROR(VALUE(SUBSTITUTE(TRIM(Input!H1480&amp;""),"%","")),0)&lt;1),1,100))</f>
        <v/>
      </c>
      <c r="H1480" t="str">
        <f>IF(A1480="","",IFERROR(VALUE(SUBSTITUTE(TRIM(Input!I1480&amp;""),"%","")),0)/IF(AND(IFERROR(VALUE(SUBSTITUTE(TRIM(Input!I1480&amp;""),"%","")),0)&gt;0,IFERROR(VALUE(SUBSTITUTE(TRIM(Input!I1480&amp;""),"%","")),0)&lt;1),1,100))</f>
        <v/>
      </c>
    </row>
    <row r="1481" spans="1:8">
      <c r="A1481" t="str">
        <f>IF(TRIM(Input!B1481&amp;"")="","",UPPER(TRIM(Input!B1481&amp;"")))</f>
        <v/>
      </c>
      <c r="B1481" t="str">
        <f>IF(A1481="","",IFERROR(VALUE(RIGHT(TRIM(Input!D1481&amp;""),1)),0))</f>
        <v/>
      </c>
      <c r="C1481" t="str">
        <f t="shared" si="23"/>
        <v/>
      </c>
      <c r="D1481" t="str">
        <f>IF(A1481="","",IFERROR(VALUE(SUBSTITUTE(TRIM(Input!E1481&amp;""),"%","")),0)/IF(AND(IFERROR(VALUE(SUBSTITUTE(TRIM(Input!E1481&amp;""),"%","")),0)&gt;0,IFERROR(VALUE(SUBSTITUTE(TRIM(Input!E1481&amp;""),"%","")),0)&lt;1),1,100))</f>
        <v/>
      </c>
      <c r="E1481" t="str">
        <f>IF(A1481="","",IFERROR(VALUE(SUBSTITUTE(TRIM(Input!F1481&amp;""),"%","")),0)/IF(AND(IFERROR(VALUE(SUBSTITUTE(TRIM(Input!F1481&amp;""),"%","")),0)&gt;0,IFERROR(VALUE(SUBSTITUTE(TRIM(Input!F1481&amp;""),"%","")),0)&lt;1),1,100))</f>
        <v/>
      </c>
      <c r="F1481" t="str">
        <f>IF(A1481="","",IFERROR(VALUE(SUBSTITUTE(TRIM(Input!G1481&amp;""),"%","")),0)/IF(AND(IFERROR(VALUE(SUBSTITUTE(TRIM(Input!G1481&amp;""),"%","")),0)&gt;0,IFERROR(VALUE(SUBSTITUTE(TRIM(Input!G1481&amp;""),"%","")),0)&lt;1),1,100))</f>
        <v/>
      </c>
      <c r="G1481" t="str">
        <f>IF(A1481="","",IFERROR(VALUE(SUBSTITUTE(TRIM(Input!H1481&amp;""),"%","")),0)/IF(AND(IFERROR(VALUE(SUBSTITUTE(TRIM(Input!H1481&amp;""),"%","")),0)&gt;0,IFERROR(VALUE(SUBSTITUTE(TRIM(Input!H1481&amp;""),"%","")),0)&lt;1),1,100))</f>
        <v/>
      </c>
      <c r="H1481" t="str">
        <f>IF(A1481="","",IFERROR(VALUE(SUBSTITUTE(TRIM(Input!I1481&amp;""),"%","")),0)/IF(AND(IFERROR(VALUE(SUBSTITUTE(TRIM(Input!I1481&amp;""),"%","")),0)&gt;0,IFERROR(VALUE(SUBSTITUTE(TRIM(Input!I1481&amp;""),"%","")),0)&lt;1),1,100))</f>
        <v/>
      </c>
    </row>
    <row r="1482" spans="1:8">
      <c r="A1482" t="str">
        <f>IF(TRIM(Input!B1482&amp;"")="","",UPPER(TRIM(Input!B1482&amp;"")))</f>
        <v/>
      </c>
      <c r="B1482" t="str">
        <f>IF(A1482="","",IFERROR(VALUE(RIGHT(TRIM(Input!D1482&amp;""),1)),0))</f>
        <v/>
      </c>
      <c r="C1482" t="str">
        <f t="shared" si="23"/>
        <v/>
      </c>
      <c r="D1482" t="str">
        <f>IF(A1482="","",IFERROR(VALUE(SUBSTITUTE(TRIM(Input!E1482&amp;""),"%","")),0)/IF(AND(IFERROR(VALUE(SUBSTITUTE(TRIM(Input!E1482&amp;""),"%","")),0)&gt;0,IFERROR(VALUE(SUBSTITUTE(TRIM(Input!E1482&amp;""),"%","")),0)&lt;1),1,100))</f>
        <v/>
      </c>
      <c r="E1482" t="str">
        <f>IF(A1482="","",IFERROR(VALUE(SUBSTITUTE(TRIM(Input!F1482&amp;""),"%","")),0)/IF(AND(IFERROR(VALUE(SUBSTITUTE(TRIM(Input!F1482&amp;""),"%","")),0)&gt;0,IFERROR(VALUE(SUBSTITUTE(TRIM(Input!F1482&amp;""),"%","")),0)&lt;1),1,100))</f>
        <v/>
      </c>
      <c r="F1482" t="str">
        <f>IF(A1482="","",IFERROR(VALUE(SUBSTITUTE(TRIM(Input!G1482&amp;""),"%","")),0)/IF(AND(IFERROR(VALUE(SUBSTITUTE(TRIM(Input!G1482&amp;""),"%","")),0)&gt;0,IFERROR(VALUE(SUBSTITUTE(TRIM(Input!G1482&amp;""),"%","")),0)&lt;1),1,100))</f>
        <v/>
      </c>
      <c r="G1482" t="str">
        <f>IF(A1482="","",IFERROR(VALUE(SUBSTITUTE(TRIM(Input!H1482&amp;""),"%","")),0)/IF(AND(IFERROR(VALUE(SUBSTITUTE(TRIM(Input!H1482&amp;""),"%","")),0)&gt;0,IFERROR(VALUE(SUBSTITUTE(TRIM(Input!H1482&amp;""),"%","")),0)&lt;1),1,100))</f>
        <v/>
      </c>
      <c r="H1482" t="str">
        <f>IF(A1482="","",IFERROR(VALUE(SUBSTITUTE(TRIM(Input!I1482&amp;""),"%","")),0)/IF(AND(IFERROR(VALUE(SUBSTITUTE(TRIM(Input!I1482&amp;""),"%","")),0)&gt;0,IFERROR(VALUE(SUBSTITUTE(TRIM(Input!I1482&amp;""),"%","")),0)&lt;1),1,100))</f>
        <v/>
      </c>
    </row>
    <row r="1483" spans="1:8">
      <c r="A1483" t="str">
        <f>IF(TRIM(Input!B1483&amp;"")="","",UPPER(TRIM(Input!B1483&amp;"")))</f>
        <v/>
      </c>
      <c r="B1483" t="str">
        <f>IF(A1483="","",IFERROR(VALUE(RIGHT(TRIM(Input!D1483&amp;""),1)),0))</f>
        <v/>
      </c>
      <c r="C1483" t="str">
        <f t="shared" si="23"/>
        <v/>
      </c>
      <c r="D1483" t="str">
        <f>IF(A1483="","",IFERROR(VALUE(SUBSTITUTE(TRIM(Input!E1483&amp;""),"%","")),0)/IF(AND(IFERROR(VALUE(SUBSTITUTE(TRIM(Input!E1483&amp;""),"%","")),0)&gt;0,IFERROR(VALUE(SUBSTITUTE(TRIM(Input!E1483&amp;""),"%","")),0)&lt;1),1,100))</f>
        <v/>
      </c>
      <c r="E1483" t="str">
        <f>IF(A1483="","",IFERROR(VALUE(SUBSTITUTE(TRIM(Input!F1483&amp;""),"%","")),0)/IF(AND(IFERROR(VALUE(SUBSTITUTE(TRIM(Input!F1483&amp;""),"%","")),0)&gt;0,IFERROR(VALUE(SUBSTITUTE(TRIM(Input!F1483&amp;""),"%","")),0)&lt;1),1,100))</f>
        <v/>
      </c>
      <c r="F1483" t="str">
        <f>IF(A1483="","",IFERROR(VALUE(SUBSTITUTE(TRIM(Input!G1483&amp;""),"%","")),0)/IF(AND(IFERROR(VALUE(SUBSTITUTE(TRIM(Input!G1483&amp;""),"%","")),0)&gt;0,IFERROR(VALUE(SUBSTITUTE(TRIM(Input!G1483&amp;""),"%","")),0)&lt;1),1,100))</f>
        <v/>
      </c>
      <c r="G1483" t="str">
        <f>IF(A1483="","",IFERROR(VALUE(SUBSTITUTE(TRIM(Input!H1483&amp;""),"%","")),0)/IF(AND(IFERROR(VALUE(SUBSTITUTE(TRIM(Input!H1483&amp;""),"%","")),0)&gt;0,IFERROR(VALUE(SUBSTITUTE(TRIM(Input!H1483&amp;""),"%","")),0)&lt;1),1,100))</f>
        <v/>
      </c>
      <c r="H1483" t="str">
        <f>IF(A1483="","",IFERROR(VALUE(SUBSTITUTE(TRIM(Input!I1483&amp;""),"%","")),0)/IF(AND(IFERROR(VALUE(SUBSTITUTE(TRIM(Input!I1483&amp;""),"%","")),0)&gt;0,IFERROR(VALUE(SUBSTITUTE(TRIM(Input!I1483&amp;""),"%","")),0)&lt;1),1,100))</f>
        <v/>
      </c>
    </row>
    <row r="1484" spans="1:8">
      <c r="A1484" t="str">
        <f>IF(TRIM(Input!B1484&amp;"")="","",UPPER(TRIM(Input!B1484&amp;"")))</f>
        <v/>
      </c>
      <c r="B1484" t="str">
        <f>IF(A1484="","",IFERROR(VALUE(RIGHT(TRIM(Input!D1484&amp;""),1)),0))</f>
        <v/>
      </c>
      <c r="C1484" t="str">
        <f t="shared" si="23"/>
        <v/>
      </c>
      <c r="D1484" t="str">
        <f>IF(A1484="","",IFERROR(VALUE(SUBSTITUTE(TRIM(Input!E1484&amp;""),"%","")),0)/IF(AND(IFERROR(VALUE(SUBSTITUTE(TRIM(Input!E1484&amp;""),"%","")),0)&gt;0,IFERROR(VALUE(SUBSTITUTE(TRIM(Input!E1484&amp;""),"%","")),0)&lt;1),1,100))</f>
        <v/>
      </c>
      <c r="E1484" t="str">
        <f>IF(A1484="","",IFERROR(VALUE(SUBSTITUTE(TRIM(Input!F1484&amp;""),"%","")),0)/IF(AND(IFERROR(VALUE(SUBSTITUTE(TRIM(Input!F1484&amp;""),"%","")),0)&gt;0,IFERROR(VALUE(SUBSTITUTE(TRIM(Input!F1484&amp;""),"%","")),0)&lt;1),1,100))</f>
        <v/>
      </c>
      <c r="F1484" t="str">
        <f>IF(A1484="","",IFERROR(VALUE(SUBSTITUTE(TRIM(Input!G1484&amp;""),"%","")),0)/IF(AND(IFERROR(VALUE(SUBSTITUTE(TRIM(Input!G1484&amp;""),"%","")),0)&gt;0,IFERROR(VALUE(SUBSTITUTE(TRIM(Input!G1484&amp;""),"%","")),0)&lt;1),1,100))</f>
        <v/>
      </c>
      <c r="G1484" t="str">
        <f>IF(A1484="","",IFERROR(VALUE(SUBSTITUTE(TRIM(Input!H1484&amp;""),"%","")),0)/IF(AND(IFERROR(VALUE(SUBSTITUTE(TRIM(Input!H1484&amp;""),"%","")),0)&gt;0,IFERROR(VALUE(SUBSTITUTE(TRIM(Input!H1484&amp;""),"%","")),0)&lt;1),1,100))</f>
        <v/>
      </c>
      <c r="H1484" t="str">
        <f>IF(A1484="","",IFERROR(VALUE(SUBSTITUTE(TRIM(Input!I1484&amp;""),"%","")),0)/IF(AND(IFERROR(VALUE(SUBSTITUTE(TRIM(Input!I1484&amp;""),"%","")),0)&gt;0,IFERROR(VALUE(SUBSTITUTE(TRIM(Input!I1484&amp;""),"%","")),0)&lt;1),1,100))</f>
        <v/>
      </c>
    </row>
    <row r="1485" spans="1:8">
      <c r="A1485" t="str">
        <f>IF(TRIM(Input!B1485&amp;"")="","",UPPER(TRIM(Input!B1485&amp;"")))</f>
        <v/>
      </c>
      <c r="B1485" t="str">
        <f>IF(A1485="","",IFERROR(VALUE(RIGHT(TRIM(Input!D1485&amp;""),1)),0))</f>
        <v/>
      </c>
      <c r="C1485" t="str">
        <f t="shared" si="23"/>
        <v/>
      </c>
      <c r="D1485" t="str">
        <f>IF(A1485="","",IFERROR(VALUE(SUBSTITUTE(TRIM(Input!E1485&amp;""),"%","")),0)/IF(AND(IFERROR(VALUE(SUBSTITUTE(TRIM(Input!E1485&amp;""),"%","")),0)&gt;0,IFERROR(VALUE(SUBSTITUTE(TRIM(Input!E1485&amp;""),"%","")),0)&lt;1),1,100))</f>
        <v/>
      </c>
      <c r="E1485" t="str">
        <f>IF(A1485="","",IFERROR(VALUE(SUBSTITUTE(TRIM(Input!F1485&amp;""),"%","")),0)/IF(AND(IFERROR(VALUE(SUBSTITUTE(TRIM(Input!F1485&amp;""),"%","")),0)&gt;0,IFERROR(VALUE(SUBSTITUTE(TRIM(Input!F1485&amp;""),"%","")),0)&lt;1),1,100))</f>
        <v/>
      </c>
      <c r="F1485" t="str">
        <f>IF(A1485="","",IFERROR(VALUE(SUBSTITUTE(TRIM(Input!G1485&amp;""),"%","")),0)/IF(AND(IFERROR(VALUE(SUBSTITUTE(TRIM(Input!G1485&amp;""),"%","")),0)&gt;0,IFERROR(VALUE(SUBSTITUTE(TRIM(Input!G1485&amp;""),"%","")),0)&lt;1),1,100))</f>
        <v/>
      </c>
      <c r="G1485" t="str">
        <f>IF(A1485="","",IFERROR(VALUE(SUBSTITUTE(TRIM(Input!H1485&amp;""),"%","")),0)/IF(AND(IFERROR(VALUE(SUBSTITUTE(TRIM(Input!H1485&amp;""),"%","")),0)&gt;0,IFERROR(VALUE(SUBSTITUTE(TRIM(Input!H1485&amp;""),"%","")),0)&lt;1),1,100))</f>
        <v/>
      </c>
      <c r="H1485" t="str">
        <f>IF(A1485="","",IFERROR(VALUE(SUBSTITUTE(TRIM(Input!I1485&amp;""),"%","")),0)/IF(AND(IFERROR(VALUE(SUBSTITUTE(TRIM(Input!I1485&amp;""),"%","")),0)&gt;0,IFERROR(VALUE(SUBSTITUTE(TRIM(Input!I1485&amp;""),"%","")),0)&lt;1),1,100))</f>
        <v/>
      </c>
    </row>
    <row r="1486" spans="1:8">
      <c r="A1486" t="str">
        <f>IF(TRIM(Input!B1486&amp;"")="","",UPPER(TRIM(Input!B1486&amp;"")))</f>
        <v/>
      </c>
      <c r="B1486" t="str">
        <f>IF(A1486="","",IFERROR(VALUE(RIGHT(TRIM(Input!D1486&amp;""),1)),0))</f>
        <v/>
      </c>
      <c r="C1486" t="str">
        <f t="shared" si="23"/>
        <v/>
      </c>
      <c r="D1486" t="str">
        <f>IF(A1486="","",IFERROR(VALUE(SUBSTITUTE(TRIM(Input!E1486&amp;""),"%","")),0)/IF(AND(IFERROR(VALUE(SUBSTITUTE(TRIM(Input!E1486&amp;""),"%","")),0)&gt;0,IFERROR(VALUE(SUBSTITUTE(TRIM(Input!E1486&amp;""),"%","")),0)&lt;1),1,100))</f>
        <v/>
      </c>
      <c r="E1486" t="str">
        <f>IF(A1486="","",IFERROR(VALUE(SUBSTITUTE(TRIM(Input!F1486&amp;""),"%","")),0)/IF(AND(IFERROR(VALUE(SUBSTITUTE(TRIM(Input!F1486&amp;""),"%","")),0)&gt;0,IFERROR(VALUE(SUBSTITUTE(TRIM(Input!F1486&amp;""),"%","")),0)&lt;1),1,100))</f>
        <v/>
      </c>
      <c r="F1486" t="str">
        <f>IF(A1486="","",IFERROR(VALUE(SUBSTITUTE(TRIM(Input!G1486&amp;""),"%","")),0)/IF(AND(IFERROR(VALUE(SUBSTITUTE(TRIM(Input!G1486&amp;""),"%","")),0)&gt;0,IFERROR(VALUE(SUBSTITUTE(TRIM(Input!G1486&amp;""),"%","")),0)&lt;1),1,100))</f>
        <v/>
      </c>
      <c r="G1486" t="str">
        <f>IF(A1486="","",IFERROR(VALUE(SUBSTITUTE(TRIM(Input!H1486&amp;""),"%","")),0)/IF(AND(IFERROR(VALUE(SUBSTITUTE(TRIM(Input!H1486&amp;""),"%","")),0)&gt;0,IFERROR(VALUE(SUBSTITUTE(TRIM(Input!H1486&amp;""),"%","")),0)&lt;1),1,100))</f>
        <v/>
      </c>
      <c r="H1486" t="str">
        <f>IF(A1486="","",IFERROR(VALUE(SUBSTITUTE(TRIM(Input!I1486&amp;""),"%","")),0)/IF(AND(IFERROR(VALUE(SUBSTITUTE(TRIM(Input!I1486&amp;""),"%","")),0)&gt;0,IFERROR(VALUE(SUBSTITUTE(TRIM(Input!I1486&amp;""),"%","")),0)&lt;1),1,100))</f>
        <v/>
      </c>
    </row>
    <row r="1487" spans="1:8">
      <c r="A1487" t="str">
        <f>IF(TRIM(Input!B1487&amp;"")="","",UPPER(TRIM(Input!B1487&amp;"")))</f>
        <v/>
      </c>
      <c r="B1487" t="str">
        <f>IF(A1487="","",IFERROR(VALUE(RIGHT(TRIM(Input!D1487&amp;""),1)),0))</f>
        <v/>
      </c>
      <c r="C1487" t="str">
        <f t="shared" si="23"/>
        <v/>
      </c>
      <c r="D1487" t="str">
        <f>IF(A1487="","",IFERROR(VALUE(SUBSTITUTE(TRIM(Input!E1487&amp;""),"%","")),0)/IF(AND(IFERROR(VALUE(SUBSTITUTE(TRIM(Input!E1487&amp;""),"%","")),0)&gt;0,IFERROR(VALUE(SUBSTITUTE(TRIM(Input!E1487&amp;""),"%","")),0)&lt;1),1,100))</f>
        <v/>
      </c>
      <c r="E1487" t="str">
        <f>IF(A1487="","",IFERROR(VALUE(SUBSTITUTE(TRIM(Input!F1487&amp;""),"%","")),0)/IF(AND(IFERROR(VALUE(SUBSTITUTE(TRIM(Input!F1487&amp;""),"%","")),0)&gt;0,IFERROR(VALUE(SUBSTITUTE(TRIM(Input!F1487&amp;""),"%","")),0)&lt;1),1,100))</f>
        <v/>
      </c>
      <c r="F1487" t="str">
        <f>IF(A1487="","",IFERROR(VALUE(SUBSTITUTE(TRIM(Input!G1487&amp;""),"%","")),0)/IF(AND(IFERROR(VALUE(SUBSTITUTE(TRIM(Input!G1487&amp;""),"%","")),0)&gt;0,IFERROR(VALUE(SUBSTITUTE(TRIM(Input!G1487&amp;""),"%","")),0)&lt;1),1,100))</f>
        <v/>
      </c>
      <c r="G1487" t="str">
        <f>IF(A1487="","",IFERROR(VALUE(SUBSTITUTE(TRIM(Input!H1487&amp;""),"%","")),0)/IF(AND(IFERROR(VALUE(SUBSTITUTE(TRIM(Input!H1487&amp;""),"%","")),0)&gt;0,IFERROR(VALUE(SUBSTITUTE(TRIM(Input!H1487&amp;""),"%","")),0)&lt;1),1,100))</f>
        <v/>
      </c>
      <c r="H1487" t="str">
        <f>IF(A1487="","",IFERROR(VALUE(SUBSTITUTE(TRIM(Input!I1487&amp;""),"%","")),0)/IF(AND(IFERROR(VALUE(SUBSTITUTE(TRIM(Input!I1487&amp;""),"%","")),0)&gt;0,IFERROR(VALUE(SUBSTITUTE(TRIM(Input!I1487&amp;""),"%","")),0)&lt;1),1,100))</f>
        <v/>
      </c>
    </row>
    <row r="1488" spans="1:8">
      <c r="A1488" t="str">
        <f>IF(TRIM(Input!B1488&amp;"")="","",UPPER(TRIM(Input!B1488&amp;"")))</f>
        <v/>
      </c>
      <c r="B1488" t="str">
        <f>IF(A1488="","",IFERROR(VALUE(RIGHT(TRIM(Input!D1488&amp;""),1)),0))</f>
        <v/>
      </c>
      <c r="C1488" t="str">
        <f t="shared" si="23"/>
        <v/>
      </c>
      <c r="D1488" t="str">
        <f>IF(A1488="","",IFERROR(VALUE(SUBSTITUTE(TRIM(Input!E1488&amp;""),"%","")),0)/IF(AND(IFERROR(VALUE(SUBSTITUTE(TRIM(Input!E1488&amp;""),"%","")),0)&gt;0,IFERROR(VALUE(SUBSTITUTE(TRIM(Input!E1488&amp;""),"%","")),0)&lt;1),1,100))</f>
        <v/>
      </c>
      <c r="E1488" t="str">
        <f>IF(A1488="","",IFERROR(VALUE(SUBSTITUTE(TRIM(Input!F1488&amp;""),"%","")),0)/IF(AND(IFERROR(VALUE(SUBSTITUTE(TRIM(Input!F1488&amp;""),"%","")),0)&gt;0,IFERROR(VALUE(SUBSTITUTE(TRIM(Input!F1488&amp;""),"%","")),0)&lt;1),1,100))</f>
        <v/>
      </c>
      <c r="F1488" t="str">
        <f>IF(A1488="","",IFERROR(VALUE(SUBSTITUTE(TRIM(Input!G1488&amp;""),"%","")),0)/IF(AND(IFERROR(VALUE(SUBSTITUTE(TRIM(Input!G1488&amp;""),"%","")),0)&gt;0,IFERROR(VALUE(SUBSTITUTE(TRIM(Input!G1488&amp;""),"%","")),0)&lt;1),1,100))</f>
        <v/>
      </c>
      <c r="G1488" t="str">
        <f>IF(A1488="","",IFERROR(VALUE(SUBSTITUTE(TRIM(Input!H1488&amp;""),"%","")),0)/IF(AND(IFERROR(VALUE(SUBSTITUTE(TRIM(Input!H1488&amp;""),"%","")),0)&gt;0,IFERROR(VALUE(SUBSTITUTE(TRIM(Input!H1488&amp;""),"%","")),0)&lt;1),1,100))</f>
        <v/>
      </c>
      <c r="H1488" t="str">
        <f>IF(A1488="","",IFERROR(VALUE(SUBSTITUTE(TRIM(Input!I1488&amp;""),"%","")),0)/IF(AND(IFERROR(VALUE(SUBSTITUTE(TRIM(Input!I1488&amp;""),"%","")),0)&gt;0,IFERROR(VALUE(SUBSTITUTE(TRIM(Input!I1488&amp;""),"%","")),0)&lt;1),1,100))</f>
        <v/>
      </c>
    </row>
    <row r="1489" spans="1:8">
      <c r="A1489" t="str">
        <f>IF(TRIM(Input!B1489&amp;"")="","",UPPER(TRIM(Input!B1489&amp;"")))</f>
        <v/>
      </c>
      <c r="B1489" t="str">
        <f>IF(A1489="","",IFERROR(VALUE(RIGHT(TRIM(Input!D1489&amp;""),1)),0))</f>
        <v/>
      </c>
      <c r="C1489" t="str">
        <f t="shared" si="23"/>
        <v/>
      </c>
      <c r="D1489" t="str">
        <f>IF(A1489="","",IFERROR(VALUE(SUBSTITUTE(TRIM(Input!E1489&amp;""),"%","")),0)/IF(AND(IFERROR(VALUE(SUBSTITUTE(TRIM(Input!E1489&amp;""),"%","")),0)&gt;0,IFERROR(VALUE(SUBSTITUTE(TRIM(Input!E1489&amp;""),"%","")),0)&lt;1),1,100))</f>
        <v/>
      </c>
      <c r="E1489" t="str">
        <f>IF(A1489="","",IFERROR(VALUE(SUBSTITUTE(TRIM(Input!F1489&amp;""),"%","")),0)/IF(AND(IFERROR(VALUE(SUBSTITUTE(TRIM(Input!F1489&amp;""),"%","")),0)&gt;0,IFERROR(VALUE(SUBSTITUTE(TRIM(Input!F1489&amp;""),"%","")),0)&lt;1),1,100))</f>
        <v/>
      </c>
      <c r="F1489" t="str">
        <f>IF(A1489="","",IFERROR(VALUE(SUBSTITUTE(TRIM(Input!G1489&amp;""),"%","")),0)/IF(AND(IFERROR(VALUE(SUBSTITUTE(TRIM(Input!G1489&amp;""),"%","")),0)&gt;0,IFERROR(VALUE(SUBSTITUTE(TRIM(Input!G1489&amp;""),"%","")),0)&lt;1),1,100))</f>
        <v/>
      </c>
      <c r="G1489" t="str">
        <f>IF(A1489="","",IFERROR(VALUE(SUBSTITUTE(TRIM(Input!H1489&amp;""),"%","")),0)/IF(AND(IFERROR(VALUE(SUBSTITUTE(TRIM(Input!H1489&amp;""),"%","")),0)&gt;0,IFERROR(VALUE(SUBSTITUTE(TRIM(Input!H1489&amp;""),"%","")),0)&lt;1),1,100))</f>
        <v/>
      </c>
      <c r="H1489" t="str">
        <f>IF(A1489="","",IFERROR(VALUE(SUBSTITUTE(TRIM(Input!I1489&amp;""),"%","")),0)/IF(AND(IFERROR(VALUE(SUBSTITUTE(TRIM(Input!I1489&amp;""),"%","")),0)&gt;0,IFERROR(VALUE(SUBSTITUTE(TRIM(Input!I1489&amp;""),"%","")),0)&lt;1),1,100))</f>
        <v/>
      </c>
    </row>
    <row r="1490" spans="1:8">
      <c r="A1490" t="str">
        <f>IF(TRIM(Input!B1490&amp;"")="","",UPPER(TRIM(Input!B1490&amp;"")))</f>
        <v/>
      </c>
      <c r="B1490" t="str">
        <f>IF(A1490="","",IFERROR(VALUE(RIGHT(TRIM(Input!D1490&amp;""),1)),0))</f>
        <v/>
      </c>
      <c r="C1490" t="str">
        <f t="shared" si="23"/>
        <v/>
      </c>
      <c r="D1490" t="str">
        <f>IF(A1490="","",IFERROR(VALUE(SUBSTITUTE(TRIM(Input!E1490&amp;""),"%","")),0)/IF(AND(IFERROR(VALUE(SUBSTITUTE(TRIM(Input!E1490&amp;""),"%","")),0)&gt;0,IFERROR(VALUE(SUBSTITUTE(TRIM(Input!E1490&amp;""),"%","")),0)&lt;1),1,100))</f>
        <v/>
      </c>
      <c r="E1490" t="str">
        <f>IF(A1490="","",IFERROR(VALUE(SUBSTITUTE(TRIM(Input!F1490&amp;""),"%","")),0)/IF(AND(IFERROR(VALUE(SUBSTITUTE(TRIM(Input!F1490&amp;""),"%","")),0)&gt;0,IFERROR(VALUE(SUBSTITUTE(TRIM(Input!F1490&amp;""),"%","")),0)&lt;1),1,100))</f>
        <v/>
      </c>
      <c r="F1490" t="str">
        <f>IF(A1490="","",IFERROR(VALUE(SUBSTITUTE(TRIM(Input!G1490&amp;""),"%","")),0)/IF(AND(IFERROR(VALUE(SUBSTITUTE(TRIM(Input!G1490&amp;""),"%","")),0)&gt;0,IFERROR(VALUE(SUBSTITUTE(TRIM(Input!G1490&amp;""),"%","")),0)&lt;1),1,100))</f>
        <v/>
      </c>
      <c r="G1490" t="str">
        <f>IF(A1490="","",IFERROR(VALUE(SUBSTITUTE(TRIM(Input!H1490&amp;""),"%","")),0)/IF(AND(IFERROR(VALUE(SUBSTITUTE(TRIM(Input!H1490&amp;""),"%","")),0)&gt;0,IFERROR(VALUE(SUBSTITUTE(TRIM(Input!H1490&amp;""),"%","")),0)&lt;1),1,100))</f>
        <v/>
      </c>
      <c r="H1490" t="str">
        <f>IF(A1490="","",IFERROR(VALUE(SUBSTITUTE(TRIM(Input!I1490&amp;""),"%","")),0)/IF(AND(IFERROR(VALUE(SUBSTITUTE(TRIM(Input!I1490&amp;""),"%","")),0)&gt;0,IFERROR(VALUE(SUBSTITUTE(TRIM(Input!I1490&amp;""),"%","")),0)&lt;1),1,100))</f>
        <v/>
      </c>
    </row>
    <row r="1491" spans="1:8">
      <c r="A1491" t="str">
        <f>IF(TRIM(Input!B1491&amp;"")="","",UPPER(TRIM(Input!B1491&amp;"")))</f>
        <v/>
      </c>
      <c r="B1491" t="str">
        <f>IF(A1491="","",IFERROR(VALUE(RIGHT(TRIM(Input!D1491&amp;""),1)),0))</f>
        <v/>
      </c>
      <c r="C1491" t="str">
        <f t="shared" si="23"/>
        <v/>
      </c>
      <c r="D1491" t="str">
        <f>IF(A1491="","",IFERROR(VALUE(SUBSTITUTE(TRIM(Input!E1491&amp;""),"%","")),0)/IF(AND(IFERROR(VALUE(SUBSTITUTE(TRIM(Input!E1491&amp;""),"%","")),0)&gt;0,IFERROR(VALUE(SUBSTITUTE(TRIM(Input!E1491&amp;""),"%","")),0)&lt;1),1,100))</f>
        <v/>
      </c>
      <c r="E1491" t="str">
        <f>IF(A1491="","",IFERROR(VALUE(SUBSTITUTE(TRIM(Input!F1491&amp;""),"%","")),0)/IF(AND(IFERROR(VALUE(SUBSTITUTE(TRIM(Input!F1491&amp;""),"%","")),0)&gt;0,IFERROR(VALUE(SUBSTITUTE(TRIM(Input!F1491&amp;""),"%","")),0)&lt;1),1,100))</f>
        <v/>
      </c>
      <c r="F1491" t="str">
        <f>IF(A1491="","",IFERROR(VALUE(SUBSTITUTE(TRIM(Input!G1491&amp;""),"%","")),0)/IF(AND(IFERROR(VALUE(SUBSTITUTE(TRIM(Input!G1491&amp;""),"%","")),0)&gt;0,IFERROR(VALUE(SUBSTITUTE(TRIM(Input!G1491&amp;""),"%","")),0)&lt;1),1,100))</f>
        <v/>
      </c>
      <c r="G1491" t="str">
        <f>IF(A1491="","",IFERROR(VALUE(SUBSTITUTE(TRIM(Input!H1491&amp;""),"%","")),0)/IF(AND(IFERROR(VALUE(SUBSTITUTE(TRIM(Input!H1491&amp;""),"%","")),0)&gt;0,IFERROR(VALUE(SUBSTITUTE(TRIM(Input!H1491&amp;""),"%","")),0)&lt;1),1,100))</f>
        <v/>
      </c>
      <c r="H1491" t="str">
        <f>IF(A1491="","",IFERROR(VALUE(SUBSTITUTE(TRIM(Input!I1491&amp;""),"%","")),0)/IF(AND(IFERROR(VALUE(SUBSTITUTE(TRIM(Input!I1491&amp;""),"%","")),0)&gt;0,IFERROR(VALUE(SUBSTITUTE(TRIM(Input!I1491&amp;""),"%","")),0)&lt;1),1,100))</f>
        <v/>
      </c>
    </row>
    <row r="1492" spans="1:8">
      <c r="A1492" t="str">
        <f>IF(TRIM(Input!B1492&amp;"")="","",UPPER(TRIM(Input!B1492&amp;"")))</f>
        <v/>
      </c>
      <c r="B1492" t="str">
        <f>IF(A1492="","",IFERROR(VALUE(RIGHT(TRIM(Input!D1492&amp;""),1)),0))</f>
        <v/>
      </c>
      <c r="C1492" t="str">
        <f t="shared" si="23"/>
        <v/>
      </c>
      <c r="D1492" t="str">
        <f>IF(A1492="","",IFERROR(VALUE(SUBSTITUTE(TRIM(Input!E1492&amp;""),"%","")),0)/IF(AND(IFERROR(VALUE(SUBSTITUTE(TRIM(Input!E1492&amp;""),"%","")),0)&gt;0,IFERROR(VALUE(SUBSTITUTE(TRIM(Input!E1492&amp;""),"%","")),0)&lt;1),1,100))</f>
        <v/>
      </c>
      <c r="E1492" t="str">
        <f>IF(A1492="","",IFERROR(VALUE(SUBSTITUTE(TRIM(Input!F1492&amp;""),"%","")),0)/IF(AND(IFERROR(VALUE(SUBSTITUTE(TRIM(Input!F1492&amp;""),"%","")),0)&gt;0,IFERROR(VALUE(SUBSTITUTE(TRIM(Input!F1492&amp;""),"%","")),0)&lt;1),1,100))</f>
        <v/>
      </c>
      <c r="F1492" t="str">
        <f>IF(A1492="","",IFERROR(VALUE(SUBSTITUTE(TRIM(Input!G1492&amp;""),"%","")),0)/IF(AND(IFERROR(VALUE(SUBSTITUTE(TRIM(Input!G1492&amp;""),"%","")),0)&gt;0,IFERROR(VALUE(SUBSTITUTE(TRIM(Input!G1492&amp;""),"%","")),0)&lt;1),1,100))</f>
        <v/>
      </c>
      <c r="G1492" t="str">
        <f>IF(A1492="","",IFERROR(VALUE(SUBSTITUTE(TRIM(Input!H1492&amp;""),"%","")),0)/IF(AND(IFERROR(VALUE(SUBSTITUTE(TRIM(Input!H1492&amp;""),"%","")),0)&gt;0,IFERROR(VALUE(SUBSTITUTE(TRIM(Input!H1492&amp;""),"%","")),0)&lt;1),1,100))</f>
        <v/>
      </c>
      <c r="H1492" t="str">
        <f>IF(A1492="","",IFERROR(VALUE(SUBSTITUTE(TRIM(Input!I1492&amp;""),"%","")),0)/IF(AND(IFERROR(VALUE(SUBSTITUTE(TRIM(Input!I1492&amp;""),"%","")),0)&gt;0,IFERROR(VALUE(SUBSTITUTE(TRIM(Input!I1492&amp;""),"%","")),0)&lt;1),1,100))</f>
        <v/>
      </c>
    </row>
    <row r="1493" spans="1:8">
      <c r="A1493" t="str">
        <f>IF(TRIM(Input!B1493&amp;"")="","",UPPER(TRIM(Input!B1493&amp;"")))</f>
        <v/>
      </c>
      <c r="B1493" t="str">
        <f>IF(A1493="","",IFERROR(VALUE(RIGHT(TRIM(Input!D1493&amp;""),1)),0))</f>
        <v/>
      </c>
      <c r="C1493" t="str">
        <f t="shared" si="23"/>
        <v/>
      </c>
      <c r="D1493" t="str">
        <f>IF(A1493="","",IFERROR(VALUE(SUBSTITUTE(TRIM(Input!E1493&amp;""),"%","")),0)/IF(AND(IFERROR(VALUE(SUBSTITUTE(TRIM(Input!E1493&amp;""),"%","")),0)&gt;0,IFERROR(VALUE(SUBSTITUTE(TRIM(Input!E1493&amp;""),"%","")),0)&lt;1),1,100))</f>
        <v/>
      </c>
      <c r="E1493" t="str">
        <f>IF(A1493="","",IFERROR(VALUE(SUBSTITUTE(TRIM(Input!F1493&amp;""),"%","")),0)/IF(AND(IFERROR(VALUE(SUBSTITUTE(TRIM(Input!F1493&amp;""),"%","")),0)&gt;0,IFERROR(VALUE(SUBSTITUTE(TRIM(Input!F1493&amp;""),"%","")),0)&lt;1),1,100))</f>
        <v/>
      </c>
      <c r="F1493" t="str">
        <f>IF(A1493="","",IFERROR(VALUE(SUBSTITUTE(TRIM(Input!G1493&amp;""),"%","")),0)/IF(AND(IFERROR(VALUE(SUBSTITUTE(TRIM(Input!G1493&amp;""),"%","")),0)&gt;0,IFERROR(VALUE(SUBSTITUTE(TRIM(Input!G1493&amp;""),"%","")),0)&lt;1),1,100))</f>
        <v/>
      </c>
      <c r="G1493" t="str">
        <f>IF(A1493="","",IFERROR(VALUE(SUBSTITUTE(TRIM(Input!H1493&amp;""),"%","")),0)/IF(AND(IFERROR(VALUE(SUBSTITUTE(TRIM(Input!H1493&amp;""),"%","")),0)&gt;0,IFERROR(VALUE(SUBSTITUTE(TRIM(Input!H1493&amp;""),"%","")),0)&lt;1),1,100))</f>
        <v/>
      </c>
      <c r="H1493" t="str">
        <f>IF(A1493="","",IFERROR(VALUE(SUBSTITUTE(TRIM(Input!I1493&amp;""),"%","")),0)/IF(AND(IFERROR(VALUE(SUBSTITUTE(TRIM(Input!I1493&amp;""),"%","")),0)&gt;0,IFERROR(VALUE(SUBSTITUTE(TRIM(Input!I1493&amp;""),"%","")),0)&lt;1),1,100))</f>
        <v/>
      </c>
    </row>
    <row r="1494" spans="1:8">
      <c r="A1494" t="str">
        <f>IF(TRIM(Input!B1494&amp;"")="","",UPPER(TRIM(Input!B1494&amp;"")))</f>
        <v/>
      </c>
      <c r="B1494" t="str">
        <f>IF(A1494="","",IFERROR(VALUE(RIGHT(TRIM(Input!D1494&amp;""),1)),0))</f>
        <v/>
      </c>
      <c r="C1494" t="str">
        <f t="shared" si="23"/>
        <v/>
      </c>
      <c r="D1494" t="str">
        <f>IF(A1494="","",IFERROR(VALUE(SUBSTITUTE(TRIM(Input!E1494&amp;""),"%","")),0)/IF(AND(IFERROR(VALUE(SUBSTITUTE(TRIM(Input!E1494&amp;""),"%","")),0)&gt;0,IFERROR(VALUE(SUBSTITUTE(TRIM(Input!E1494&amp;""),"%","")),0)&lt;1),1,100))</f>
        <v/>
      </c>
      <c r="E1494" t="str">
        <f>IF(A1494="","",IFERROR(VALUE(SUBSTITUTE(TRIM(Input!F1494&amp;""),"%","")),0)/IF(AND(IFERROR(VALUE(SUBSTITUTE(TRIM(Input!F1494&amp;""),"%","")),0)&gt;0,IFERROR(VALUE(SUBSTITUTE(TRIM(Input!F1494&amp;""),"%","")),0)&lt;1),1,100))</f>
        <v/>
      </c>
      <c r="F1494" t="str">
        <f>IF(A1494="","",IFERROR(VALUE(SUBSTITUTE(TRIM(Input!G1494&amp;""),"%","")),0)/IF(AND(IFERROR(VALUE(SUBSTITUTE(TRIM(Input!G1494&amp;""),"%","")),0)&gt;0,IFERROR(VALUE(SUBSTITUTE(TRIM(Input!G1494&amp;""),"%","")),0)&lt;1),1,100))</f>
        <v/>
      </c>
      <c r="G1494" t="str">
        <f>IF(A1494="","",IFERROR(VALUE(SUBSTITUTE(TRIM(Input!H1494&amp;""),"%","")),0)/IF(AND(IFERROR(VALUE(SUBSTITUTE(TRIM(Input!H1494&amp;""),"%","")),0)&gt;0,IFERROR(VALUE(SUBSTITUTE(TRIM(Input!H1494&amp;""),"%","")),0)&lt;1),1,100))</f>
        <v/>
      </c>
      <c r="H1494" t="str">
        <f>IF(A1494="","",IFERROR(VALUE(SUBSTITUTE(TRIM(Input!I1494&amp;""),"%","")),0)/IF(AND(IFERROR(VALUE(SUBSTITUTE(TRIM(Input!I1494&amp;""),"%","")),0)&gt;0,IFERROR(VALUE(SUBSTITUTE(TRIM(Input!I1494&amp;""),"%","")),0)&lt;1),1,100))</f>
        <v/>
      </c>
    </row>
    <row r="1495" spans="1:8">
      <c r="A1495" t="str">
        <f>IF(TRIM(Input!B1495&amp;"")="","",UPPER(TRIM(Input!B1495&amp;"")))</f>
        <v/>
      </c>
      <c r="B1495" t="str">
        <f>IF(A1495="","",IFERROR(VALUE(RIGHT(TRIM(Input!D1495&amp;""),1)),0))</f>
        <v/>
      </c>
      <c r="C1495" t="str">
        <f t="shared" si="23"/>
        <v/>
      </c>
      <c r="D1495" t="str">
        <f>IF(A1495="","",IFERROR(VALUE(SUBSTITUTE(TRIM(Input!E1495&amp;""),"%","")),0)/IF(AND(IFERROR(VALUE(SUBSTITUTE(TRIM(Input!E1495&amp;""),"%","")),0)&gt;0,IFERROR(VALUE(SUBSTITUTE(TRIM(Input!E1495&amp;""),"%","")),0)&lt;1),1,100))</f>
        <v/>
      </c>
      <c r="E1495" t="str">
        <f>IF(A1495="","",IFERROR(VALUE(SUBSTITUTE(TRIM(Input!F1495&amp;""),"%","")),0)/IF(AND(IFERROR(VALUE(SUBSTITUTE(TRIM(Input!F1495&amp;""),"%","")),0)&gt;0,IFERROR(VALUE(SUBSTITUTE(TRIM(Input!F1495&amp;""),"%","")),0)&lt;1),1,100))</f>
        <v/>
      </c>
      <c r="F1495" t="str">
        <f>IF(A1495="","",IFERROR(VALUE(SUBSTITUTE(TRIM(Input!G1495&amp;""),"%","")),0)/IF(AND(IFERROR(VALUE(SUBSTITUTE(TRIM(Input!G1495&amp;""),"%","")),0)&gt;0,IFERROR(VALUE(SUBSTITUTE(TRIM(Input!G1495&amp;""),"%","")),0)&lt;1),1,100))</f>
        <v/>
      </c>
      <c r="G1495" t="str">
        <f>IF(A1495="","",IFERROR(VALUE(SUBSTITUTE(TRIM(Input!H1495&amp;""),"%","")),0)/IF(AND(IFERROR(VALUE(SUBSTITUTE(TRIM(Input!H1495&amp;""),"%","")),0)&gt;0,IFERROR(VALUE(SUBSTITUTE(TRIM(Input!H1495&amp;""),"%","")),0)&lt;1),1,100))</f>
        <v/>
      </c>
      <c r="H1495" t="str">
        <f>IF(A1495="","",IFERROR(VALUE(SUBSTITUTE(TRIM(Input!I1495&amp;""),"%","")),0)/IF(AND(IFERROR(VALUE(SUBSTITUTE(TRIM(Input!I1495&amp;""),"%","")),0)&gt;0,IFERROR(VALUE(SUBSTITUTE(TRIM(Input!I1495&amp;""),"%","")),0)&lt;1),1,100))</f>
        <v/>
      </c>
    </row>
    <row r="1496" spans="1:8">
      <c r="A1496" t="str">
        <f>IF(TRIM(Input!B1496&amp;"")="","",UPPER(TRIM(Input!B1496&amp;"")))</f>
        <v/>
      </c>
      <c r="B1496" t="str">
        <f>IF(A1496="","",IFERROR(VALUE(RIGHT(TRIM(Input!D1496&amp;""),1)),0))</f>
        <v/>
      </c>
      <c r="C1496" t="str">
        <f t="shared" si="23"/>
        <v/>
      </c>
      <c r="D1496" t="str">
        <f>IF(A1496="","",IFERROR(VALUE(SUBSTITUTE(TRIM(Input!E1496&amp;""),"%","")),0)/IF(AND(IFERROR(VALUE(SUBSTITUTE(TRIM(Input!E1496&amp;""),"%","")),0)&gt;0,IFERROR(VALUE(SUBSTITUTE(TRIM(Input!E1496&amp;""),"%","")),0)&lt;1),1,100))</f>
        <v/>
      </c>
      <c r="E1496" t="str">
        <f>IF(A1496="","",IFERROR(VALUE(SUBSTITUTE(TRIM(Input!F1496&amp;""),"%","")),0)/IF(AND(IFERROR(VALUE(SUBSTITUTE(TRIM(Input!F1496&amp;""),"%","")),0)&gt;0,IFERROR(VALUE(SUBSTITUTE(TRIM(Input!F1496&amp;""),"%","")),0)&lt;1),1,100))</f>
        <v/>
      </c>
      <c r="F1496" t="str">
        <f>IF(A1496="","",IFERROR(VALUE(SUBSTITUTE(TRIM(Input!G1496&amp;""),"%","")),0)/IF(AND(IFERROR(VALUE(SUBSTITUTE(TRIM(Input!G1496&amp;""),"%","")),0)&gt;0,IFERROR(VALUE(SUBSTITUTE(TRIM(Input!G1496&amp;""),"%","")),0)&lt;1),1,100))</f>
        <v/>
      </c>
      <c r="G1496" t="str">
        <f>IF(A1496="","",IFERROR(VALUE(SUBSTITUTE(TRIM(Input!H1496&amp;""),"%","")),0)/IF(AND(IFERROR(VALUE(SUBSTITUTE(TRIM(Input!H1496&amp;""),"%","")),0)&gt;0,IFERROR(VALUE(SUBSTITUTE(TRIM(Input!H1496&amp;""),"%","")),0)&lt;1),1,100))</f>
        <v/>
      </c>
      <c r="H1496" t="str">
        <f>IF(A1496="","",IFERROR(VALUE(SUBSTITUTE(TRIM(Input!I1496&amp;""),"%","")),0)/IF(AND(IFERROR(VALUE(SUBSTITUTE(TRIM(Input!I1496&amp;""),"%","")),0)&gt;0,IFERROR(VALUE(SUBSTITUTE(TRIM(Input!I1496&amp;""),"%","")),0)&lt;1),1,100))</f>
        <v/>
      </c>
    </row>
    <row r="1497" spans="1:8">
      <c r="A1497" t="str">
        <f>IF(TRIM(Input!B1497&amp;"")="","",UPPER(TRIM(Input!B1497&amp;"")))</f>
        <v/>
      </c>
      <c r="B1497" t="str">
        <f>IF(A1497="","",IFERROR(VALUE(RIGHT(TRIM(Input!D1497&amp;""),1)),0))</f>
        <v/>
      </c>
      <c r="C1497" t="str">
        <f t="shared" si="23"/>
        <v/>
      </c>
      <c r="D1497" t="str">
        <f>IF(A1497="","",IFERROR(VALUE(SUBSTITUTE(TRIM(Input!E1497&amp;""),"%","")),0)/IF(AND(IFERROR(VALUE(SUBSTITUTE(TRIM(Input!E1497&amp;""),"%","")),0)&gt;0,IFERROR(VALUE(SUBSTITUTE(TRIM(Input!E1497&amp;""),"%","")),0)&lt;1),1,100))</f>
        <v/>
      </c>
      <c r="E1497" t="str">
        <f>IF(A1497="","",IFERROR(VALUE(SUBSTITUTE(TRIM(Input!F1497&amp;""),"%","")),0)/IF(AND(IFERROR(VALUE(SUBSTITUTE(TRIM(Input!F1497&amp;""),"%","")),0)&gt;0,IFERROR(VALUE(SUBSTITUTE(TRIM(Input!F1497&amp;""),"%","")),0)&lt;1),1,100))</f>
        <v/>
      </c>
      <c r="F1497" t="str">
        <f>IF(A1497="","",IFERROR(VALUE(SUBSTITUTE(TRIM(Input!G1497&amp;""),"%","")),0)/IF(AND(IFERROR(VALUE(SUBSTITUTE(TRIM(Input!G1497&amp;""),"%","")),0)&gt;0,IFERROR(VALUE(SUBSTITUTE(TRIM(Input!G1497&amp;""),"%","")),0)&lt;1),1,100))</f>
        <v/>
      </c>
      <c r="G1497" t="str">
        <f>IF(A1497="","",IFERROR(VALUE(SUBSTITUTE(TRIM(Input!H1497&amp;""),"%","")),0)/IF(AND(IFERROR(VALUE(SUBSTITUTE(TRIM(Input!H1497&amp;""),"%","")),0)&gt;0,IFERROR(VALUE(SUBSTITUTE(TRIM(Input!H1497&amp;""),"%","")),0)&lt;1),1,100))</f>
        <v/>
      </c>
      <c r="H1497" t="str">
        <f>IF(A1497="","",IFERROR(VALUE(SUBSTITUTE(TRIM(Input!I1497&amp;""),"%","")),0)/IF(AND(IFERROR(VALUE(SUBSTITUTE(TRIM(Input!I1497&amp;""),"%","")),0)&gt;0,IFERROR(VALUE(SUBSTITUTE(TRIM(Input!I1497&amp;""),"%","")),0)&lt;1),1,100))</f>
        <v/>
      </c>
    </row>
    <row r="1498" spans="1:8">
      <c r="A1498" t="str">
        <f>IF(TRIM(Input!B1498&amp;"")="","",UPPER(TRIM(Input!B1498&amp;"")))</f>
        <v/>
      </c>
      <c r="B1498" t="str">
        <f>IF(A1498="","",IFERROR(VALUE(RIGHT(TRIM(Input!D1498&amp;""),1)),0))</f>
        <v/>
      </c>
      <c r="C1498" t="str">
        <f t="shared" si="23"/>
        <v/>
      </c>
      <c r="D1498" t="str">
        <f>IF(A1498="","",IFERROR(VALUE(SUBSTITUTE(TRIM(Input!E1498&amp;""),"%","")),0)/IF(AND(IFERROR(VALUE(SUBSTITUTE(TRIM(Input!E1498&amp;""),"%","")),0)&gt;0,IFERROR(VALUE(SUBSTITUTE(TRIM(Input!E1498&amp;""),"%","")),0)&lt;1),1,100))</f>
        <v/>
      </c>
      <c r="E1498" t="str">
        <f>IF(A1498="","",IFERROR(VALUE(SUBSTITUTE(TRIM(Input!F1498&amp;""),"%","")),0)/IF(AND(IFERROR(VALUE(SUBSTITUTE(TRIM(Input!F1498&amp;""),"%","")),0)&gt;0,IFERROR(VALUE(SUBSTITUTE(TRIM(Input!F1498&amp;""),"%","")),0)&lt;1),1,100))</f>
        <v/>
      </c>
      <c r="F1498" t="str">
        <f>IF(A1498="","",IFERROR(VALUE(SUBSTITUTE(TRIM(Input!G1498&amp;""),"%","")),0)/IF(AND(IFERROR(VALUE(SUBSTITUTE(TRIM(Input!G1498&amp;""),"%","")),0)&gt;0,IFERROR(VALUE(SUBSTITUTE(TRIM(Input!G1498&amp;""),"%","")),0)&lt;1),1,100))</f>
        <v/>
      </c>
      <c r="G1498" t="str">
        <f>IF(A1498="","",IFERROR(VALUE(SUBSTITUTE(TRIM(Input!H1498&amp;""),"%","")),0)/IF(AND(IFERROR(VALUE(SUBSTITUTE(TRIM(Input!H1498&amp;""),"%","")),0)&gt;0,IFERROR(VALUE(SUBSTITUTE(TRIM(Input!H1498&amp;""),"%","")),0)&lt;1),1,100))</f>
        <v/>
      </c>
      <c r="H1498" t="str">
        <f>IF(A1498="","",IFERROR(VALUE(SUBSTITUTE(TRIM(Input!I1498&amp;""),"%","")),0)/IF(AND(IFERROR(VALUE(SUBSTITUTE(TRIM(Input!I1498&amp;""),"%","")),0)&gt;0,IFERROR(VALUE(SUBSTITUTE(TRIM(Input!I1498&amp;""),"%","")),0)&lt;1),1,100))</f>
        <v/>
      </c>
    </row>
    <row r="1499" spans="1:8">
      <c r="A1499" t="str">
        <f>IF(TRIM(Input!B1499&amp;"")="","",UPPER(TRIM(Input!B1499&amp;"")))</f>
        <v/>
      </c>
      <c r="B1499" t="str">
        <f>IF(A1499="","",IFERROR(VALUE(RIGHT(TRIM(Input!D1499&amp;""),1)),0))</f>
        <v/>
      </c>
      <c r="C1499" t="str">
        <f t="shared" si="23"/>
        <v/>
      </c>
      <c r="D1499" t="str">
        <f>IF(A1499="","",IFERROR(VALUE(SUBSTITUTE(TRIM(Input!E1499&amp;""),"%","")),0)/IF(AND(IFERROR(VALUE(SUBSTITUTE(TRIM(Input!E1499&amp;""),"%","")),0)&gt;0,IFERROR(VALUE(SUBSTITUTE(TRIM(Input!E1499&amp;""),"%","")),0)&lt;1),1,100))</f>
        <v/>
      </c>
      <c r="E1499" t="str">
        <f>IF(A1499="","",IFERROR(VALUE(SUBSTITUTE(TRIM(Input!F1499&amp;""),"%","")),0)/IF(AND(IFERROR(VALUE(SUBSTITUTE(TRIM(Input!F1499&amp;""),"%","")),0)&gt;0,IFERROR(VALUE(SUBSTITUTE(TRIM(Input!F1499&amp;""),"%","")),0)&lt;1),1,100))</f>
        <v/>
      </c>
      <c r="F1499" t="str">
        <f>IF(A1499="","",IFERROR(VALUE(SUBSTITUTE(TRIM(Input!G1499&amp;""),"%","")),0)/IF(AND(IFERROR(VALUE(SUBSTITUTE(TRIM(Input!G1499&amp;""),"%","")),0)&gt;0,IFERROR(VALUE(SUBSTITUTE(TRIM(Input!G1499&amp;""),"%","")),0)&lt;1),1,100))</f>
        <v/>
      </c>
      <c r="G1499" t="str">
        <f>IF(A1499="","",IFERROR(VALUE(SUBSTITUTE(TRIM(Input!H1499&amp;""),"%","")),0)/IF(AND(IFERROR(VALUE(SUBSTITUTE(TRIM(Input!H1499&amp;""),"%","")),0)&gt;0,IFERROR(VALUE(SUBSTITUTE(TRIM(Input!H1499&amp;""),"%","")),0)&lt;1),1,100))</f>
        <v/>
      </c>
      <c r="H1499" t="str">
        <f>IF(A1499="","",IFERROR(VALUE(SUBSTITUTE(TRIM(Input!I1499&amp;""),"%","")),0)/IF(AND(IFERROR(VALUE(SUBSTITUTE(TRIM(Input!I1499&amp;""),"%","")),0)&gt;0,IFERROR(VALUE(SUBSTITUTE(TRIM(Input!I1499&amp;""),"%","")),0)&lt;1),1,100))</f>
        <v/>
      </c>
    </row>
    <row r="1500" spans="1:8">
      <c r="A1500" t="str">
        <f>IF(TRIM(Input!B1500&amp;"")="","",UPPER(TRIM(Input!B1500&amp;"")))</f>
        <v/>
      </c>
      <c r="B1500" t="str">
        <f>IF(A1500="","",IFERROR(VALUE(RIGHT(TRIM(Input!D1500&amp;""),1)),0))</f>
        <v/>
      </c>
      <c r="C1500" t="str">
        <f t="shared" si="23"/>
        <v/>
      </c>
      <c r="D1500" t="str">
        <f>IF(A1500="","",IFERROR(VALUE(SUBSTITUTE(TRIM(Input!E1500&amp;""),"%","")),0)/IF(AND(IFERROR(VALUE(SUBSTITUTE(TRIM(Input!E1500&amp;""),"%","")),0)&gt;0,IFERROR(VALUE(SUBSTITUTE(TRIM(Input!E1500&amp;""),"%","")),0)&lt;1),1,100))</f>
        <v/>
      </c>
      <c r="E1500" t="str">
        <f>IF(A1500="","",IFERROR(VALUE(SUBSTITUTE(TRIM(Input!F1500&amp;""),"%","")),0)/IF(AND(IFERROR(VALUE(SUBSTITUTE(TRIM(Input!F1500&amp;""),"%","")),0)&gt;0,IFERROR(VALUE(SUBSTITUTE(TRIM(Input!F1500&amp;""),"%","")),0)&lt;1),1,100))</f>
        <v/>
      </c>
      <c r="F1500" t="str">
        <f>IF(A1500="","",IFERROR(VALUE(SUBSTITUTE(TRIM(Input!G1500&amp;""),"%","")),0)/IF(AND(IFERROR(VALUE(SUBSTITUTE(TRIM(Input!G1500&amp;""),"%","")),0)&gt;0,IFERROR(VALUE(SUBSTITUTE(TRIM(Input!G1500&amp;""),"%","")),0)&lt;1),1,100))</f>
        <v/>
      </c>
      <c r="G1500" t="str">
        <f>IF(A1500="","",IFERROR(VALUE(SUBSTITUTE(TRIM(Input!H1500&amp;""),"%","")),0)/IF(AND(IFERROR(VALUE(SUBSTITUTE(TRIM(Input!H1500&amp;""),"%","")),0)&gt;0,IFERROR(VALUE(SUBSTITUTE(TRIM(Input!H1500&amp;""),"%","")),0)&lt;1),1,100))</f>
        <v/>
      </c>
      <c r="H1500" t="str">
        <f>IF(A1500="","",IFERROR(VALUE(SUBSTITUTE(TRIM(Input!I1500&amp;""),"%","")),0)/IF(AND(IFERROR(VALUE(SUBSTITUTE(TRIM(Input!I1500&amp;""),"%","")),0)&gt;0,IFERROR(VALUE(SUBSTITUTE(TRIM(Input!I1500&amp;""),"%","")),0)&lt;1),1,100))</f>
        <v/>
      </c>
    </row>
    <row r="1501" spans="1:8">
      <c r="A1501" t="str">
        <f>IF(TRIM(Input!B1501&amp;"")="","",UPPER(TRIM(Input!B1501&amp;"")))</f>
        <v/>
      </c>
      <c r="B1501" t="str">
        <f>IF(A1501="","",IFERROR(VALUE(RIGHT(TRIM(Input!D1501&amp;""),1)),0))</f>
        <v/>
      </c>
      <c r="C1501" t="str">
        <f t="shared" si="23"/>
        <v/>
      </c>
      <c r="D1501" t="str">
        <f>IF(A1501="","",IFERROR(VALUE(SUBSTITUTE(TRIM(Input!E1501&amp;""),"%","")),0)/IF(AND(IFERROR(VALUE(SUBSTITUTE(TRIM(Input!E1501&amp;""),"%","")),0)&gt;0,IFERROR(VALUE(SUBSTITUTE(TRIM(Input!E1501&amp;""),"%","")),0)&lt;1),1,100))</f>
        <v/>
      </c>
      <c r="E1501" t="str">
        <f>IF(A1501="","",IFERROR(VALUE(SUBSTITUTE(TRIM(Input!F1501&amp;""),"%","")),0)/IF(AND(IFERROR(VALUE(SUBSTITUTE(TRIM(Input!F1501&amp;""),"%","")),0)&gt;0,IFERROR(VALUE(SUBSTITUTE(TRIM(Input!F1501&amp;""),"%","")),0)&lt;1),1,100))</f>
        <v/>
      </c>
      <c r="F1501" t="str">
        <f>IF(A1501="","",IFERROR(VALUE(SUBSTITUTE(TRIM(Input!G1501&amp;""),"%","")),0)/IF(AND(IFERROR(VALUE(SUBSTITUTE(TRIM(Input!G1501&amp;""),"%","")),0)&gt;0,IFERROR(VALUE(SUBSTITUTE(TRIM(Input!G1501&amp;""),"%","")),0)&lt;1),1,100))</f>
        <v/>
      </c>
      <c r="G1501" t="str">
        <f>IF(A1501="","",IFERROR(VALUE(SUBSTITUTE(TRIM(Input!H1501&amp;""),"%","")),0)/IF(AND(IFERROR(VALUE(SUBSTITUTE(TRIM(Input!H1501&amp;""),"%","")),0)&gt;0,IFERROR(VALUE(SUBSTITUTE(TRIM(Input!H1501&amp;""),"%","")),0)&lt;1),1,100))</f>
        <v/>
      </c>
      <c r="H1501" t="str">
        <f>IF(A1501="","",IFERROR(VALUE(SUBSTITUTE(TRIM(Input!I1501&amp;""),"%","")),0)/IF(AND(IFERROR(VALUE(SUBSTITUTE(TRIM(Input!I1501&amp;""),"%","")),0)&gt;0,IFERROR(VALUE(SUBSTITUTE(TRIM(Input!I1501&amp;""),"%","")),0)&lt;1),1,100))</f>
        <v/>
      </c>
    </row>
    <row r="1502" spans="1:8">
      <c r="A1502" t="str">
        <f>IF(TRIM(Input!B1502&amp;"")="","",UPPER(TRIM(Input!B1502&amp;"")))</f>
        <v/>
      </c>
      <c r="B1502" t="str">
        <f>IF(A1502="","",IFERROR(VALUE(RIGHT(TRIM(Input!D1502&amp;""),1)),0))</f>
        <v/>
      </c>
      <c r="C1502" t="str">
        <f t="shared" si="23"/>
        <v/>
      </c>
      <c r="D1502" t="str">
        <f>IF(A1502="","",IFERROR(VALUE(SUBSTITUTE(TRIM(Input!E1502&amp;""),"%","")),0)/IF(AND(IFERROR(VALUE(SUBSTITUTE(TRIM(Input!E1502&amp;""),"%","")),0)&gt;0,IFERROR(VALUE(SUBSTITUTE(TRIM(Input!E1502&amp;""),"%","")),0)&lt;1),1,100))</f>
        <v/>
      </c>
      <c r="E1502" t="str">
        <f>IF(A1502="","",IFERROR(VALUE(SUBSTITUTE(TRIM(Input!F1502&amp;""),"%","")),0)/IF(AND(IFERROR(VALUE(SUBSTITUTE(TRIM(Input!F1502&amp;""),"%","")),0)&gt;0,IFERROR(VALUE(SUBSTITUTE(TRIM(Input!F1502&amp;""),"%","")),0)&lt;1),1,100))</f>
        <v/>
      </c>
      <c r="F1502" t="str">
        <f>IF(A1502="","",IFERROR(VALUE(SUBSTITUTE(TRIM(Input!G1502&amp;""),"%","")),0)/IF(AND(IFERROR(VALUE(SUBSTITUTE(TRIM(Input!G1502&amp;""),"%","")),0)&gt;0,IFERROR(VALUE(SUBSTITUTE(TRIM(Input!G1502&amp;""),"%","")),0)&lt;1),1,100))</f>
        <v/>
      </c>
      <c r="G1502" t="str">
        <f>IF(A1502="","",IFERROR(VALUE(SUBSTITUTE(TRIM(Input!H1502&amp;""),"%","")),0)/IF(AND(IFERROR(VALUE(SUBSTITUTE(TRIM(Input!H1502&amp;""),"%","")),0)&gt;0,IFERROR(VALUE(SUBSTITUTE(TRIM(Input!H1502&amp;""),"%","")),0)&lt;1),1,100))</f>
        <v/>
      </c>
      <c r="H1502" t="str">
        <f>IF(A1502="","",IFERROR(VALUE(SUBSTITUTE(TRIM(Input!I1502&amp;""),"%","")),0)/IF(AND(IFERROR(VALUE(SUBSTITUTE(TRIM(Input!I1502&amp;""),"%","")),0)&gt;0,IFERROR(VALUE(SUBSTITUTE(TRIM(Input!I1502&amp;""),"%","")),0)&lt;1),1,100))</f>
        <v/>
      </c>
    </row>
    <row r="1503" spans="1:8">
      <c r="A1503" t="str">
        <f>IF(TRIM(Input!B1503&amp;"")="","",UPPER(TRIM(Input!B1503&amp;"")))</f>
        <v/>
      </c>
      <c r="B1503" t="str">
        <f>IF(A1503="","",IFERROR(VALUE(RIGHT(TRIM(Input!D1503&amp;""),1)),0))</f>
        <v/>
      </c>
      <c r="C1503" t="str">
        <f t="shared" si="23"/>
        <v/>
      </c>
      <c r="D1503" t="str">
        <f>IF(A1503="","",IFERROR(VALUE(SUBSTITUTE(TRIM(Input!E1503&amp;""),"%","")),0)/IF(AND(IFERROR(VALUE(SUBSTITUTE(TRIM(Input!E1503&amp;""),"%","")),0)&gt;0,IFERROR(VALUE(SUBSTITUTE(TRIM(Input!E1503&amp;""),"%","")),0)&lt;1),1,100))</f>
        <v/>
      </c>
      <c r="E1503" t="str">
        <f>IF(A1503="","",IFERROR(VALUE(SUBSTITUTE(TRIM(Input!F1503&amp;""),"%","")),0)/IF(AND(IFERROR(VALUE(SUBSTITUTE(TRIM(Input!F1503&amp;""),"%","")),0)&gt;0,IFERROR(VALUE(SUBSTITUTE(TRIM(Input!F1503&amp;""),"%","")),0)&lt;1),1,100))</f>
        <v/>
      </c>
      <c r="F1503" t="str">
        <f>IF(A1503="","",IFERROR(VALUE(SUBSTITUTE(TRIM(Input!G1503&amp;""),"%","")),0)/IF(AND(IFERROR(VALUE(SUBSTITUTE(TRIM(Input!G1503&amp;""),"%","")),0)&gt;0,IFERROR(VALUE(SUBSTITUTE(TRIM(Input!G1503&amp;""),"%","")),0)&lt;1),1,100))</f>
        <v/>
      </c>
      <c r="G1503" t="str">
        <f>IF(A1503="","",IFERROR(VALUE(SUBSTITUTE(TRIM(Input!H1503&amp;""),"%","")),0)/IF(AND(IFERROR(VALUE(SUBSTITUTE(TRIM(Input!H1503&amp;""),"%","")),0)&gt;0,IFERROR(VALUE(SUBSTITUTE(TRIM(Input!H1503&amp;""),"%","")),0)&lt;1),1,100))</f>
        <v/>
      </c>
      <c r="H1503" t="str">
        <f>IF(A1503="","",IFERROR(VALUE(SUBSTITUTE(TRIM(Input!I1503&amp;""),"%","")),0)/IF(AND(IFERROR(VALUE(SUBSTITUTE(TRIM(Input!I1503&amp;""),"%","")),0)&gt;0,IFERROR(VALUE(SUBSTITUTE(TRIM(Input!I1503&amp;""),"%","")),0)&lt;1),1,100))</f>
        <v/>
      </c>
    </row>
    <row r="1504" spans="1:8">
      <c r="A1504" t="str">
        <f>IF(TRIM(Input!B1504&amp;"")="","",UPPER(TRIM(Input!B1504&amp;"")))</f>
        <v/>
      </c>
      <c r="B1504" t="str">
        <f>IF(A1504="","",IFERROR(VALUE(RIGHT(TRIM(Input!D1504&amp;""),1)),0))</f>
        <v/>
      </c>
      <c r="C1504" t="str">
        <f t="shared" si="23"/>
        <v/>
      </c>
      <c r="D1504" t="str">
        <f>IF(A1504="","",IFERROR(VALUE(SUBSTITUTE(TRIM(Input!E1504&amp;""),"%","")),0)/IF(AND(IFERROR(VALUE(SUBSTITUTE(TRIM(Input!E1504&amp;""),"%","")),0)&gt;0,IFERROR(VALUE(SUBSTITUTE(TRIM(Input!E1504&amp;""),"%","")),0)&lt;1),1,100))</f>
        <v/>
      </c>
      <c r="E1504" t="str">
        <f>IF(A1504="","",IFERROR(VALUE(SUBSTITUTE(TRIM(Input!F1504&amp;""),"%","")),0)/IF(AND(IFERROR(VALUE(SUBSTITUTE(TRIM(Input!F1504&amp;""),"%","")),0)&gt;0,IFERROR(VALUE(SUBSTITUTE(TRIM(Input!F1504&amp;""),"%","")),0)&lt;1),1,100))</f>
        <v/>
      </c>
      <c r="F1504" t="str">
        <f>IF(A1504="","",IFERROR(VALUE(SUBSTITUTE(TRIM(Input!G1504&amp;""),"%","")),0)/IF(AND(IFERROR(VALUE(SUBSTITUTE(TRIM(Input!G1504&amp;""),"%","")),0)&gt;0,IFERROR(VALUE(SUBSTITUTE(TRIM(Input!G1504&amp;""),"%","")),0)&lt;1),1,100))</f>
        <v/>
      </c>
      <c r="G1504" t="str">
        <f>IF(A1504="","",IFERROR(VALUE(SUBSTITUTE(TRIM(Input!H1504&amp;""),"%","")),0)/IF(AND(IFERROR(VALUE(SUBSTITUTE(TRIM(Input!H1504&amp;""),"%","")),0)&gt;0,IFERROR(VALUE(SUBSTITUTE(TRIM(Input!H1504&amp;""),"%","")),0)&lt;1),1,100))</f>
        <v/>
      </c>
      <c r="H1504" t="str">
        <f>IF(A1504="","",IFERROR(VALUE(SUBSTITUTE(TRIM(Input!I1504&amp;""),"%","")),0)/IF(AND(IFERROR(VALUE(SUBSTITUTE(TRIM(Input!I1504&amp;""),"%","")),0)&gt;0,IFERROR(VALUE(SUBSTITUTE(TRIM(Input!I1504&amp;""),"%","")),0)&lt;1),1,100))</f>
        <v/>
      </c>
    </row>
    <row r="1505" spans="1:8">
      <c r="A1505" t="str">
        <f>IF(TRIM(Input!B1505&amp;"")="","",UPPER(TRIM(Input!B1505&amp;"")))</f>
        <v/>
      </c>
      <c r="B1505" t="str">
        <f>IF(A1505="","",IFERROR(VALUE(RIGHT(TRIM(Input!D1505&amp;""),1)),0))</f>
        <v/>
      </c>
      <c r="C1505" t="str">
        <f t="shared" si="23"/>
        <v/>
      </c>
      <c r="D1505" t="str">
        <f>IF(A1505="","",IFERROR(VALUE(SUBSTITUTE(TRIM(Input!E1505&amp;""),"%","")),0)/IF(AND(IFERROR(VALUE(SUBSTITUTE(TRIM(Input!E1505&amp;""),"%","")),0)&gt;0,IFERROR(VALUE(SUBSTITUTE(TRIM(Input!E1505&amp;""),"%","")),0)&lt;1),1,100))</f>
        <v/>
      </c>
      <c r="E1505" t="str">
        <f>IF(A1505="","",IFERROR(VALUE(SUBSTITUTE(TRIM(Input!F1505&amp;""),"%","")),0)/IF(AND(IFERROR(VALUE(SUBSTITUTE(TRIM(Input!F1505&amp;""),"%","")),0)&gt;0,IFERROR(VALUE(SUBSTITUTE(TRIM(Input!F1505&amp;""),"%","")),0)&lt;1),1,100))</f>
        <v/>
      </c>
      <c r="F1505" t="str">
        <f>IF(A1505="","",IFERROR(VALUE(SUBSTITUTE(TRIM(Input!G1505&amp;""),"%","")),0)/IF(AND(IFERROR(VALUE(SUBSTITUTE(TRIM(Input!G1505&amp;""),"%","")),0)&gt;0,IFERROR(VALUE(SUBSTITUTE(TRIM(Input!G1505&amp;""),"%","")),0)&lt;1),1,100))</f>
        <v/>
      </c>
      <c r="G1505" t="str">
        <f>IF(A1505="","",IFERROR(VALUE(SUBSTITUTE(TRIM(Input!H1505&amp;""),"%","")),0)/IF(AND(IFERROR(VALUE(SUBSTITUTE(TRIM(Input!H1505&amp;""),"%","")),0)&gt;0,IFERROR(VALUE(SUBSTITUTE(TRIM(Input!H1505&amp;""),"%","")),0)&lt;1),1,100))</f>
        <v/>
      </c>
      <c r="H1505" t="str">
        <f>IF(A1505="","",IFERROR(VALUE(SUBSTITUTE(TRIM(Input!I1505&amp;""),"%","")),0)/IF(AND(IFERROR(VALUE(SUBSTITUTE(TRIM(Input!I1505&amp;""),"%","")),0)&gt;0,IFERROR(VALUE(SUBSTITUTE(TRIM(Input!I1505&amp;""),"%","")),0)&lt;1),1,100))</f>
        <v/>
      </c>
    </row>
    <row r="1506" spans="1:8">
      <c r="A1506" t="str">
        <f>IF(TRIM(Input!B1506&amp;"")="","",UPPER(TRIM(Input!B1506&amp;"")))</f>
        <v/>
      </c>
      <c r="B1506" t="str">
        <f>IF(A1506="","",IFERROR(VALUE(RIGHT(TRIM(Input!D1506&amp;""),1)),0))</f>
        <v/>
      </c>
      <c r="C1506" t="str">
        <f t="shared" si="23"/>
        <v/>
      </c>
      <c r="D1506" t="str">
        <f>IF(A1506="","",IFERROR(VALUE(SUBSTITUTE(TRIM(Input!E1506&amp;""),"%","")),0)/IF(AND(IFERROR(VALUE(SUBSTITUTE(TRIM(Input!E1506&amp;""),"%","")),0)&gt;0,IFERROR(VALUE(SUBSTITUTE(TRIM(Input!E1506&amp;""),"%","")),0)&lt;1),1,100))</f>
        <v/>
      </c>
      <c r="E1506" t="str">
        <f>IF(A1506="","",IFERROR(VALUE(SUBSTITUTE(TRIM(Input!F1506&amp;""),"%","")),0)/IF(AND(IFERROR(VALUE(SUBSTITUTE(TRIM(Input!F1506&amp;""),"%","")),0)&gt;0,IFERROR(VALUE(SUBSTITUTE(TRIM(Input!F1506&amp;""),"%","")),0)&lt;1),1,100))</f>
        <v/>
      </c>
      <c r="F1506" t="str">
        <f>IF(A1506="","",IFERROR(VALUE(SUBSTITUTE(TRIM(Input!G1506&amp;""),"%","")),0)/IF(AND(IFERROR(VALUE(SUBSTITUTE(TRIM(Input!G1506&amp;""),"%","")),0)&gt;0,IFERROR(VALUE(SUBSTITUTE(TRIM(Input!G1506&amp;""),"%","")),0)&lt;1),1,100))</f>
        <v/>
      </c>
      <c r="G1506" t="str">
        <f>IF(A1506="","",IFERROR(VALUE(SUBSTITUTE(TRIM(Input!H1506&amp;""),"%","")),0)/IF(AND(IFERROR(VALUE(SUBSTITUTE(TRIM(Input!H1506&amp;""),"%","")),0)&gt;0,IFERROR(VALUE(SUBSTITUTE(TRIM(Input!H1506&amp;""),"%","")),0)&lt;1),1,100))</f>
        <v/>
      </c>
      <c r="H1506" t="str">
        <f>IF(A1506="","",IFERROR(VALUE(SUBSTITUTE(TRIM(Input!I1506&amp;""),"%","")),0)/IF(AND(IFERROR(VALUE(SUBSTITUTE(TRIM(Input!I1506&amp;""),"%","")),0)&gt;0,IFERROR(VALUE(SUBSTITUTE(TRIM(Input!I1506&amp;""),"%","")),0)&lt;1),1,100))</f>
        <v/>
      </c>
    </row>
    <row r="1507" spans="1:8">
      <c r="A1507" t="str">
        <f>IF(TRIM(Input!B1507&amp;"")="","",UPPER(TRIM(Input!B1507&amp;"")))</f>
        <v/>
      </c>
      <c r="B1507" t="str">
        <f>IF(A1507="","",IFERROR(VALUE(RIGHT(TRIM(Input!D1507&amp;""),1)),0))</f>
        <v/>
      </c>
      <c r="C1507" t="str">
        <f t="shared" si="23"/>
        <v/>
      </c>
      <c r="D1507" t="str">
        <f>IF(A1507="","",IFERROR(VALUE(SUBSTITUTE(TRIM(Input!E1507&amp;""),"%","")),0)/IF(AND(IFERROR(VALUE(SUBSTITUTE(TRIM(Input!E1507&amp;""),"%","")),0)&gt;0,IFERROR(VALUE(SUBSTITUTE(TRIM(Input!E1507&amp;""),"%","")),0)&lt;1),1,100))</f>
        <v/>
      </c>
      <c r="E1507" t="str">
        <f>IF(A1507="","",IFERROR(VALUE(SUBSTITUTE(TRIM(Input!F1507&amp;""),"%","")),0)/IF(AND(IFERROR(VALUE(SUBSTITUTE(TRIM(Input!F1507&amp;""),"%","")),0)&gt;0,IFERROR(VALUE(SUBSTITUTE(TRIM(Input!F1507&amp;""),"%","")),0)&lt;1),1,100))</f>
        <v/>
      </c>
      <c r="F1507" t="str">
        <f>IF(A1507="","",IFERROR(VALUE(SUBSTITUTE(TRIM(Input!G1507&amp;""),"%","")),0)/IF(AND(IFERROR(VALUE(SUBSTITUTE(TRIM(Input!G1507&amp;""),"%","")),0)&gt;0,IFERROR(VALUE(SUBSTITUTE(TRIM(Input!G1507&amp;""),"%","")),0)&lt;1),1,100))</f>
        <v/>
      </c>
      <c r="G1507" t="str">
        <f>IF(A1507="","",IFERROR(VALUE(SUBSTITUTE(TRIM(Input!H1507&amp;""),"%","")),0)/IF(AND(IFERROR(VALUE(SUBSTITUTE(TRIM(Input!H1507&amp;""),"%","")),0)&gt;0,IFERROR(VALUE(SUBSTITUTE(TRIM(Input!H1507&amp;""),"%","")),0)&lt;1),1,100))</f>
        <v/>
      </c>
      <c r="H1507" t="str">
        <f>IF(A1507="","",IFERROR(VALUE(SUBSTITUTE(TRIM(Input!I1507&amp;""),"%","")),0)/IF(AND(IFERROR(VALUE(SUBSTITUTE(TRIM(Input!I1507&amp;""),"%","")),0)&gt;0,IFERROR(VALUE(SUBSTITUTE(TRIM(Input!I1507&amp;""),"%","")),0)&lt;1),1,100))</f>
        <v/>
      </c>
    </row>
    <row r="1508" spans="1:8">
      <c r="A1508" t="str">
        <f>IF(TRIM(Input!B1508&amp;"")="","",UPPER(TRIM(Input!B1508&amp;"")))</f>
        <v/>
      </c>
      <c r="B1508" t="str">
        <f>IF(A1508="","",IFERROR(VALUE(RIGHT(TRIM(Input!D1508&amp;""),1)),0))</f>
        <v/>
      </c>
      <c r="C1508" t="str">
        <f t="shared" si="23"/>
        <v/>
      </c>
      <c r="D1508" t="str">
        <f>IF(A1508="","",IFERROR(VALUE(SUBSTITUTE(TRIM(Input!E1508&amp;""),"%","")),0)/IF(AND(IFERROR(VALUE(SUBSTITUTE(TRIM(Input!E1508&amp;""),"%","")),0)&gt;0,IFERROR(VALUE(SUBSTITUTE(TRIM(Input!E1508&amp;""),"%","")),0)&lt;1),1,100))</f>
        <v/>
      </c>
      <c r="E1508" t="str">
        <f>IF(A1508="","",IFERROR(VALUE(SUBSTITUTE(TRIM(Input!F1508&amp;""),"%","")),0)/IF(AND(IFERROR(VALUE(SUBSTITUTE(TRIM(Input!F1508&amp;""),"%","")),0)&gt;0,IFERROR(VALUE(SUBSTITUTE(TRIM(Input!F1508&amp;""),"%","")),0)&lt;1),1,100))</f>
        <v/>
      </c>
      <c r="F1508" t="str">
        <f>IF(A1508="","",IFERROR(VALUE(SUBSTITUTE(TRIM(Input!G1508&amp;""),"%","")),0)/IF(AND(IFERROR(VALUE(SUBSTITUTE(TRIM(Input!G1508&amp;""),"%","")),0)&gt;0,IFERROR(VALUE(SUBSTITUTE(TRIM(Input!G1508&amp;""),"%","")),0)&lt;1),1,100))</f>
        <v/>
      </c>
      <c r="G1508" t="str">
        <f>IF(A1508="","",IFERROR(VALUE(SUBSTITUTE(TRIM(Input!H1508&amp;""),"%","")),0)/IF(AND(IFERROR(VALUE(SUBSTITUTE(TRIM(Input!H1508&amp;""),"%","")),0)&gt;0,IFERROR(VALUE(SUBSTITUTE(TRIM(Input!H1508&amp;""),"%","")),0)&lt;1),1,100))</f>
        <v/>
      </c>
      <c r="H1508" t="str">
        <f>IF(A1508="","",IFERROR(VALUE(SUBSTITUTE(TRIM(Input!I1508&amp;""),"%","")),0)/IF(AND(IFERROR(VALUE(SUBSTITUTE(TRIM(Input!I1508&amp;""),"%","")),0)&gt;0,IFERROR(VALUE(SUBSTITUTE(TRIM(Input!I1508&amp;""),"%","")),0)&lt;1),1,100))</f>
        <v/>
      </c>
    </row>
    <row r="1509" spans="1:8">
      <c r="A1509" t="str">
        <f>IF(TRIM(Input!B1509&amp;"")="","",UPPER(TRIM(Input!B1509&amp;"")))</f>
        <v/>
      </c>
      <c r="B1509" t="str">
        <f>IF(A1509="","",IFERROR(VALUE(RIGHT(TRIM(Input!D1509&amp;""),1)),0))</f>
        <v/>
      </c>
      <c r="C1509" t="str">
        <f t="shared" si="23"/>
        <v/>
      </c>
      <c r="D1509" t="str">
        <f>IF(A1509="","",IFERROR(VALUE(SUBSTITUTE(TRIM(Input!E1509&amp;""),"%","")),0)/IF(AND(IFERROR(VALUE(SUBSTITUTE(TRIM(Input!E1509&amp;""),"%","")),0)&gt;0,IFERROR(VALUE(SUBSTITUTE(TRIM(Input!E1509&amp;""),"%","")),0)&lt;1),1,100))</f>
        <v/>
      </c>
      <c r="E1509" t="str">
        <f>IF(A1509="","",IFERROR(VALUE(SUBSTITUTE(TRIM(Input!F1509&amp;""),"%","")),0)/IF(AND(IFERROR(VALUE(SUBSTITUTE(TRIM(Input!F1509&amp;""),"%","")),0)&gt;0,IFERROR(VALUE(SUBSTITUTE(TRIM(Input!F1509&amp;""),"%","")),0)&lt;1),1,100))</f>
        <v/>
      </c>
      <c r="F1509" t="str">
        <f>IF(A1509="","",IFERROR(VALUE(SUBSTITUTE(TRIM(Input!G1509&amp;""),"%","")),0)/IF(AND(IFERROR(VALUE(SUBSTITUTE(TRIM(Input!G1509&amp;""),"%","")),0)&gt;0,IFERROR(VALUE(SUBSTITUTE(TRIM(Input!G1509&amp;""),"%","")),0)&lt;1),1,100))</f>
        <v/>
      </c>
      <c r="G1509" t="str">
        <f>IF(A1509="","",IFERROR(VALUE(SUBSTITUTE(TRIM(Input!H1509&amp;""),"%","")),0)/IF(AND(IFERROR(VALUE(SUBSTITUTE(TRIM(Input!H1509&amp;""),"%","")),0)&gt;0,IFERROR(VALUE(SUBSTITUTE(TRIM(Input!H1509&amp;""),"%","")),0)&lt;1),1,100))</f>
        <v/>
      </c>
      <c r="H1509" t="str">
        <f>IF(A1509="","",IFERROR(VALUE(SUBSTITUTE(TRIM(Input!I1509&amp;""),"%","")),0)/IF(AND(IFERROR(VALUE(SUBSTITUTE(TRIM(Input!I1509&amp;""),"%","")),0)&gt;0,IFERROR(VALUE(SUBSTITUTE(TRIM(Input!I1509&amp;""),"%","")),0)&lt;1),1,100))</f>
        <v/>
      </c>
    </row>
    <row r="1510" spans="1:8">
      <c r="A1510" t="str">
        <f>IF(TRIM(Input!B1510&amp;"")="","",UPPER(TRIM(Input!B1510&amp;"")))</f>
        <v/>
      </c>
      <c r="B1510" t="str">
        <f>IF(A1510="","",IFERROR(VALUE(RIGHT(TRIM(Input!D1510&amp;""),1)),0))</f>
        <v/>
      </c>
      <c r="C1510" t="str">
        <f t="shared" si="23"/>
        <v/>
      </c>
      <c r="D1510" t="str">
        <f>IF(A1510="","",IFERROR(VALUE(SUBSTITUTE(TRIM(Input!E1510&amp;""),"%","")),0)/IF(AND(IFERROR(VALUE(SUBSTITUTE(TRIM(Input!E1510&amp;""),"%","")),0)&gt;0,IFERROR(VALUE(SUBSTITUTE(TRIM(Input!E1510&amp;""),"%","")),0)&lt;1),1,100))</f>
        <v/>
      </c>
      <c r="E1510" t="str">
        <f>IF(A1510="","",IFERROR(VALUE(SUBSTITUTE(TRIM(Input!F1510&amp;""),"%","")),0)/IF(AND(IFERROR(VALUE(SUBSTITUTE(TRIM(Input!F1510&amp;""),"%","")),0)&gt;0,IFERROR(VALUE(SUBSTITUTE(TRIM(Input!F1510&amp;""),"%","")),0)&lt;1),1,100))</f>
        <v/>
      </c>
      <c r="F1510" t="str">
        <f>IF(A1510="","",IFERROR(VALUE(SUBSTITUTE(TRIM(Input!G1510&amp;""),"%","")),0)/IF(AND(IFERROR(VALUE(SUBSTITUTE(TRIM(Input!G1510&amp;""),"%","")),0)&gt;0,IFERROR(VALUE(SUBSTITUTE(TRIM(Input!G1510&amp;""),"%","")),0)&lt;1),1,100))</f>
        <v/>
      </c>
      <c r="G1510" t="str">
        <f>IF(A1510="","",IFERROR(VALUE(SUBSTITUTE(TRIM(Input!H1510&amp;""),"%","")),0)/IF(AND(IFERROR(VALUE(SUBSTITUTE(TRIM(Input!H1510&amp;""),"%","")),0)&gt;0,IFERROR(VALUE(SUBSTITUTE(TRIM(Input!H1510&amp;""),"%","")),0)&lt;1),1,100))</f>
        <v/>
      </c>
      <c r="H1510" t="str">
        <f>IF(A1510="","",IFERROR(VALUE(SUBSTITUTE(TRIM(Input!I1510&amp;""),"%","")),0)/IF(AND(IFERROR(VALUE(SUBSTITUTE(TRIM(Input!I1510&amp;""),"%","")),0)&gt;0,IFERROR(VALUE(SUBSTITUTE(TRIM(Input!I1510&amp;""),"%","")),0)&lt;1),1,100))</f>
        <v/>
      </c>
    </row>
    <row r="1511" spans="1:8">
      <c r="A1511" t="str">
        <f>IF(TRIM(Input!B1511&amp;"")="","",UPPER(TRIM(Input!B1511&amp;"")))</f>
        <v/>
      </c>
      <c r="B1511" t="str">
        <f>IF(A1511="","",IFERROR(VALUE(RIGHT(TRIM(Input!D1511&amp;""),1)),0))</f>
        <v/>
      </c>
      <c r="C1511" t="str">
        <f t="shared" si="23"/>
        <v/>
      </c>
      <c r="D1511" t="str">
        <f>IF(A1511="","",IFERROR(VALUE(SUBSTITUTE(TRIM(Input!E1511&amp;""),"%","")),0)/IF(AND(IFERROR(VALUE(SUBSTITUTE(TRIM(Input!E1511&amp;""),"%","")),0)&gt;0,IFERROR(VALUE(SUBSTITUTE(TRIM(Input!E1511&amp;""),"%","")),0)&lt;1),1,100))</f>
        <v/>
      </c>
      <c r="E1511" t="str">
        <f>IF(A1511="","",IFERROR(VALUE(SUBSTITUTE(TRIM(Input!F1511&amp;""),"%","")),0)/IF(AND(IFERROR(VALUE(SUBSTITUTE(TRIM(Input!F1511&amp;""),"%","")),0)&gt;0,IFERROR(VALUE(SUBSTITUTE(TRIM(Input!F1511&amp;""),"%","")),0)&lt;1),1,100))</f>
        <v/>
      </c>
      <c r="F1511" t="str">
        <f>IF(A1511="","",IFERROR(VALUE(SUBSTITUTE(TRIM(Input!G1511&amp;""),"%","")),0)/IF(AND(IFERROR(VALUE(SUBSTITUTE(TRIM(Input!G1511&amp;""),"%","")),0)&gt;0,IFERROR(VALUE(SUBSTITUTE(TRIM(Input!G1511&amp;""),"%","")),0)&lt;1),1,100))</f>
        <v/>
      </c>
      <c r="G1511" t="str">
        <f>IF(A1511="","",IFERROR(VALUE(SUBSTITUTE(TRIM(Input!H1511&amp;""),"%","")),0)/IF(AND(IFERROR(VALUE(SUBSTITUTE(TRIM(Input!H1511&amp;""),"%","")),0)&gt;0,IFERROR(VALUE(SUBSTITUTE(TRIM(Input!H1511&amp;""),"%","")),0)&lt;1),1,100))</f>
        <v/>
      </c>
      <c r="H1511" t="str">
        <f>IF(A1511="","",IFERROR(VALUE(SUBSTITUTE(TRIM(Input!I1511&amp;""),"%","")),0)/IF(AND(IFERROR(VALUE(SUBSTITUTE(TRIM(Input!I1511&amp;""),"%","")),0)&gt;0,IFERROR(VALUE(SUBSTITUTE(TRIM(Input!I1511&amp;""),"%","")),0)&lt;1),1,100))</f>
        <v/>
      </c>
    </row>
    <row r="1512" spans="1:8">
      <c r="A1512" t="str">
        <f>IF(TRIM(Input!B1512&amp;"")="","",UPPER(TRIM(Input!B1512&amp;"")))</f>
        <v/>
      </c>
      <c r="B1512" t="str">
        <f>IF(A1512="","",IFERROR(VALUE(RIGHT(TRIM(Input!D1512&amp;""),1)),0))</f>
        <v/>
      </c>
      <c r="C1512" t="str">
        <f t="shared" si="23"/>
        <v/>
      </c>
      <c r="D1512" t="str">
        <f>IF(A1512="","",IFERROR(VALUE(SUBSTITUTE(TRIM(Input!E1512&amp;""),"%","")),0)/IF(AND(IFERROR(VALUE(SUBSTITUTE(TRIM(Input!E1512&amp;""),"%","")),0)&gt;0,IFERROR(VALUE(SUBSTITUTE(TRIM(Input!E1512&amp;""),"%","")),0)&lt;1),1,100))</f>
        <v/>
      </c>
      <c r="E1512" t="str">
        <f>IF(A1512="","",IFERROR(VALUE(SUBSTITUTE(TRIM(Input!F1512&amp;""),"%","")),0)/IF(AND(IFERROR(VALUE(SUBSTITUTE(TRIM(Input!F1512&amp;""),"%","")),0)&gt;0,IFERROR(VALUE(SUBSTITUTE(TRIM(Input!F1512&amp;""),"%","")),0)&lt;1),1,100))</f>
        <v/>
      </c>
      <c r="F1512" t="str">
        <f>IF(A1512="","",IFERROR(VALUE(SUBSTITUTE(TRIM(Input!G1512&amp;""),"%","")),0)/IF(AND(IFERROR(VALUE(SUBSTITUTE(TRIM(Input!G1512&amp;""),"%","")),0)&gt;0,IFERROR(VALUE(SUBSTITUTE(TRIM(Input!G1512&amp;""),"%","")),0)&lt;1),1,100))</f>
        <v/>
      </c>
      <c r="G1512" t="str">
        <f>IF(A1512="","",IFERROR(VALUE(SUBSTITUTE(TRIM(Input!H1512&amp;""),"%","")),0)/IF(AND(IFERROR(VALUE(SUBSTITUTE(TRIM(Input!H1512&amp;""),"%","")),0)&gt;0,IFERROR(VALUE(SUBSTITUTE(TRIM(Input!H1512&amp;""),"%","")),0)&lt;1),1,100))</f>
        <v/>
      </c>
      <c r="H1512" t="str">
        <f>IF(A1512="","",IFERROR(VALUE(SUBSTITUTE(TRIM(Input!I1512&amp;""),"%","")),0)/IF(AND(IFERROR(VALUE(SUBSTITUTE(TRIM(Input!I1512&amp;""),"%","")),0)&gt;0,IFERROR(VALUE(SUBSTITUTE(TRIM(Input!I1512&amp;""),"%","")),0)&lt;1),1,100))</f>
        <v/>
      </c>
    </row>
    <row r="1513" spans="1:8">
      <c r="A1513" t="str">
        <f>IF(TRIM(Input!B1513&amp;"")="","",UPPER(TRIM(Input!B1513&amp;"")))</f>
        <v/>
      </c>
      <c r="B1513" t="str">
        <f>IF(A1513="","",IFERROR(VALUE(RIGHT(TRIM(Input!D1513&amp;""),1)),0))</f>
        <v/>
      </c>
      <c r="C1513" t="str">
        <f t="shared" si="23"/>
        <v/>
      </c>
      <c r="D1513" t="str">
        <f>IF(A1513="","",IFERROR(VALUE(SUBSTITUTE(TRIM(Input!E1513&amp;""),"%","")),0)/IF(AND(IFERROR(VALUE(SUBSTITUTE(TRIM(Input!E1513&amp;""),"%","")),0)&gt;0,IFERROR(VALUE(SUBSTITUTE(TRIM(Input!E1513&amp;""),"%","")),0)&lt;1),1,100))</f>
        <v/>
      </c>
      <c r="E1513" t="str">
        <f>IF(A1513="","",IFERROR(VALUE(SUBSTITUTE(TRIM(Input!F1513&amp;""),"%","")),0)/IF(AND(IFERROR(VALUE(SUBSTITUTE(TRIM(Input!F1513&amp;""),"%","")),0)&gt;0,IFERROR(VALUE(SUBSTITUTE(TRIM(Input!F1513&amp;""),"%","")),0)&lt;1),1,100))</f>
        <v/>
      </c>
      <c r="F1513" t="str">
        <f>IF(A1513="","",IFERROR(VALUE(SUBSTITUTE(TRIM(Input!G1513&amp;""),"%","")),0)/IF(AND(IFERROR(VALUE(SUBSTITUTE(TRIM(Input!G1513&amp;""),"%","")),0)&gt;0,IFERROR(VALUE(SUBSTITUTE(TRIM(Input!G1513&amp;""),"%","")),0)&lt;1),1,100))</f>
        <v/>
      </c>
      <c r="G1513" t="str">
        <f>IF(A1513="","",IFERROR(VALUE(SUBSTITUTE(TRIM(Input!H1513&amp;""),"%","")),0)/IF(AND(IFERROR(VALUE(SUBSTITUTE(TRIM(Input!H1513&amp;""),"%","")),0)&gt;0,IFERROR(VALUE(SUBSTITUTE(TRIM(Input!H1513&amp;""),"%","")),0)&lt;1),1,100))</f>
        <v/>
      </c>
      <c r="H1513" t="str">
        <f>IF(A1513="","",IFERROR(VALUE(SUBSTITUTE(TRIM(Input!I1513&amp;""),"%","")),0)/IF(AND(IFERROR(VALUE(SUBSTITUTE(TRIM(Input!I1513&amp;""),"%","")),0)&gt;0,IFERROR(VALUE(SUBSTITUTE(TRIM(Input!I1513&amp;""),"%","")),0)&lt;1),1,100))</f>
        <v/>
      </c>
    </row>
    <row r="1514" spans="1:8">
      <c r="A1514" t="str">
        <f>IF(TRIM(Input!B1514&amp;"")="","",UPPER(TRIM(Input!B1514&amp;"")))</f>
        <v/>
      </c>
      <c r="B1514" t="str">
        <f>IF(A1514="","",IFERROR(VALUE(RIGHT(TRIM(Input!D1514&amp;""),1)),0))</f>
        <v/>
      </c>
      <c r="C1514" t="str">
        <f t="shared" si="23"/>
        <v/>
      </c>
      <c r="D1514" t="str">
        <f>IF(A1514="","",IFERROR(VALUE(SUBSTITUTE(TRIM(Input!E1514&amp;""),"%","")),0)/IF(AND(IFERROR(VALUE(SUBSTITUTE(TRIM(Input!E1514&amp;""),"%","")),0)&gt;0,IFERROR(VALUE(SUBSTITUTE(TRIM(Input!E1514&amp;""),"%","")),0)&lt;1),1,100))</f>
        <v/>
      </c>
      <c r="E1514" t="str">
        <f>IF(A1514="","",IFERROR(VALUE(SUBSTITUTE(TRIM(Input!F1514&amp;""),"%","")),0)/IF(AND(IFERROR(VALUE(SUBSTITUTE(TRIM(Input!F1514&amp;""),"%","")),0)&gt;0,IFERROR(VALUE(SUBSTITUTE(TRIM(Input!F1514&amp;""),"%","")),0)&lt;1),1,100))</f>
        <v/>
      </c>
      <c r="F1514" t="str">
        <f>IF(A1514="","",IFERROR(VALUE(SUBSTITUTE(TRIM(Input!G1514&amp;""),"%","")),0)/IF(AND(IFERROR(VALUE(SUBSTITUTE(TRIM(Input!G1514&amp;""),"%","")),0)&gt;0,IFERROR(VALUE(SUBSTITUTE(TRIM(Input!G1514&amp;""),"%","")),0)&lt;1),1,100))</f>
        <v/>
      </c>
      <c r="G1514" t="str">
        <f>IF(A1514="","",IFERROR(VALUE(SUBSTITUTE(TRIM(Input!H1514&amp;""),"%","")),0)/IF(AND(IFERROR(VALUE(SUBSTITUTE(TRIM(Input!H1514&amp;""),"%","")),0)&gt;0,IFERROR(VALUE(SUBSTITUTE(TRIM(Input!H1514&amp;""),"%","")),0)&lt;1),1,100))</f>
        <v/>
      </c>
      <c r="H1514" t="str">
        <f>IF(A1514="","",IFERROR(VALUE(SUBSTITUTE(TRIM(Input!I1514&amp;""),"%","")),0)/IF(AND(IFERROR(VALUE(SUBSTITUTE(TRIM(Input!I1514&amp;""),"%","")),0)&gt;0,IFERROR(VALUE(SUBSTITUTE(TRIM(Input!I1514&amp;""),"%","")),0)&lt;1),1,100))</f>
        <v/>
      </c>
    </row>
    <row r="1515" spans="1:8">
      <c r="A1515" t="str">
        <f>IF(TRIM(Input!B1515&amp;"")="","",UPPER(TRIM(Input!B1515&amp;"")))</f>
        <v/>
      </c>
      <c r="B1515" t="str">
        <f>IF(A1515="","",IFERROR(VALUE(RIGHT(TRIM(Input!D1515&amp;""),1)),0))</f>
        <v/>
      </c>
      <c r="C1515" t="str">
        <f t="shared" si="23"/>
        <v/>
      </c>
      <c r="D1515" t="str">
        <f>IF(A1515="","",IFERROR(VALUE(SUBSTITUTE(TRIM(Input!E1515&amp;""),"%","")),0)/IF(AND(IFERROR(VALUE(SUBSTITUTE(TRIM(Input!E1515&amp;""),"%","")),0)&gt;0,IFERROR(VALUE(SUBSTITUTE(TRIM(Input!E1515&amp;""),"%","")),0)&lt;1),1,100))</f>
        <v/>
      </c>
      <c r="E1515" t="str">
        <f>IF(A1515="","",IFERROR(VALUE(SUBSTITUTE(TRIM(Input!F1515&amp;""),"%","")),0)/IF(AND(IFERROR(VALUE(SUBSTITUTE(TRIM(Input!F1515&amp;""),"%","")),0)&gt;0,IFERROR(VALUE(SUBSTITUTE(TRIM(Input!F1515&amp;""),"%","")),0)&lt;1),1,100))</f>
        <v/>
      </c>
      <c r="F1515" t="str">
        <f>IF(A1515="","",IFERROR(VALUE(SUBSTITUTE(TRIM(Input!G1515&amp;""),"%","")),0)/IF(AND(IFERROR(VALUE(SUBSTITUTE(TRIM(Input!G1515&amp;""),"%","")),0)&gt;0,IFERROR(VALUE(SUBSTITUTE(TRIM(Input!G1515&amp;""),"%","")),0)&lt;1),1,100))</f>
        <v/>
      </c>
      <c r="G1515" t="str">
        <f>IF(A1515="","",IFERROR(VALUE(SUBSTITUTE(TRIM(Input!H1515&amp;""),"%","")),0)/IF(AND(IFERROR(VALUE(SUBSTITUTE(TRIM(Input!H1515&amp;""),"%","")),0)&gt;0,IFERROR(VALUE(SUBSTITUTE(TRIM(Input!H1515&amp;""),"%","")),0)&lt;1),1,100))</f>
        <v/>
      </c>
      <c r="H1515" t="str">
        <f>IF(A1515="","",IFERROR(VALUE(SUBSTITUTE(TRIM(Input!I1515&amp;""),"%","")),0)/IF(AND(IFERROR(VALUE(SUBSTITUTE(TRIM(Input!I1515&amp;""),"%","")),0)&gt;0,IFERROR(VALUE(SUBSTITUTE(TRIM(Input!I1515&amp;""),"%","")),0)&lt;1),1,100))</f>
        <v/>
      </c>
    </row>
    <row r="1516" spans="1:8">
      <c r="A1516" t="str">
        <f>IF(TRIM(Input!B1516&amp;"")="","",UPPER(TRIM(Input!B1516&amp;"")))</f>
        <v/>
      </c>
      <c r="B1516" t="str">
        <f>IF(A1516="","",IFERROR(VALUE(RIGHT(TRIM(Input!D1516&amp;""),1)),0))</f>
        <v/>
      </c>
      <c r="C1516" t="str">
        <f t="shared" si="23"/>
        <v/>
      </c>
      <c r="D1516" t="str">
        <f>IF(A1516="","",IFERROR(VALUE(SUBSTITUTE(TRIM(Input!E1516&amp;""),"%","")),0)/IF(AND(IFERROR(VALUE(SUBSTITUTE(TRIM(Input!E1516&amp;""),"%","")),0)&gt;0,IFERROR(VALUE(SUBSTITUTE(TRIM(Input!E1516&amp;""),"%","")),0)&lt;1),1,100))</f>
        <v/>
      </c>
      <c r="E1516" t="str">
        <f>IF(A1516="","",IFERROR(VALUE(SUBSTITUTE(TRIM(Input!F1516&amp;""),"%","")),0)/IF(AND(IFERROR(VALUE(SUBSTITUTE(TRIM(Input!F1516&amp;""),"%","")),0)&gt;0,IFERROR(VALUE(SUBSTITUTE(TRIM(Input!F1516&amp;""),"%","")),0)&lt;1),1,100))</f>
        <v/>
      </c>
      <c r="F1516" t="str">
        <f>IF(A1516="","",IFERROR(VALUE(SUBSTITUTE(TRIM(Input!G1516&amp;""),"%","")),0)/IF(AND(IFERROR(VALUE(SUBSTITUTE(TRIM(Input!G1516&amp;""),"%","")),0)&gt;0,IFERROR(VALUE(SUBSTITUTE(TRIM(Input!G1516&amp;""),"%","")),0)&lt;1),1,100))</f>
        <v/>
      </c>
      <c r="G1516" t="str">
        <f>IF(A1516="","",IFERROR(VALUE(SUBSTITUTE(TRIM(Input!H1516&amp;""),"%","")),0)/IF(AND(IFERROR(VALUE(SUBSTITUTE(TRIM(Input!H1516&amp;""),"%","")),0)&gt;0,IFERROR(VALUE(SUBSTITUTE(TRIM(Input!H1516&amp;""),"%","")),0)&lt;1),1,100))</f>
        <v/>
      </c>
      <c r="H1516" t="str">
        <f>IF(A1516="","",IFERROR(VALUE(SUBSTITUTE(TRIM(Input!I1516&amp;""),"%","")),0)/IF(AND(IFERROR(VALUE(SUBSTITUTE(TRIM(Input!I1516&amp;""),"%","")),0)&gt;0,IFERROR(VALUE(SUBSTITUTE(TRIM(Input!I1516&amp;""),"%","")),0)&lt;1),1,100))</f>
        <v/>
      </c>
    </row>
    <row r="1517" spans="1:8">
      <c r="A1517" t="str">
        <f>IF(TRIM(Input!B1517&amp;"")="","",UPPER(TRIM(Input!B1517&amp;"")))</f>
        <v/>
      </c>
      <c r="B1517" t="str">
        <f>IF(A1517="","",IFERROR(VALUE(RIGHT(TRIM(Input!D1517&amp;""),1)),0))</f>
        <v/>
      </c>
      <c r="C1517" t="str">
        <f t="shared" si="23"/>
        <v/>
      </c>
      <c r="D1517" t="str">
        <f>IF(A1517="","",IFERROR(VALUE(SUBSTITUTE(TRIM(Input!E1517&amp;""),"%","")),0)/IF(AND(IFERROR(VALUE(SUBSTITUTE(TRIM(Input!E1517&amp;""),"%","")),0)&gt;0,IFERROR(VALUE(SUBSTITUTE(TRIM(Input!E1517&amp;""),"%","")),0)&lt;1),1,100))</f>
        <v/>
      </c>
      <c r="E1517" t="str">
        <f>IF(A1517="","",IFERROR(VALUE(SUBSTITUTE(TRIM(Input!F1517&amp;""),"%","")),0)/IF(AND(IFERROR(VALUE(SUBSTITUTE(TRIM(Input!F1517&amp;""),"%","")),0)&gt;0,IFERROR(VALUE(SUBSTITUTE(TRIM(Input!F1517&amp;""),"%","")),0)&lt;1),1,100))</f>
        <v/>
      </c>
      <c r="F1517" t="str">
        <f>IF(A1517="","",IFERROR(VALUE(SUBSTITUTE(TRIM(Input!G1517&amp;""),"%","")),0)/IF(AND(IFERROR(VALUE(SUBSTITUTE(TRIM(Input!G1517&amp;""),"%","")),0)&gt;0,IFERROR(VALUE(SUBSTITUTE(TRIM(Input!G1517&amp;""),"%","")),0)&lt;1),1,100))</f>
        <v/>
      </c>
      <c r="G1517" t="str">
        <f>IF(A1517="","",IFERROR(VALUE(SUBSTITUTE(TRIM(Input!H1517&amp;""),"%","")),0)/IF(AND(IFERROR(VALUE(SUBSTITUTE(TRIM(Input!H1517&amp;""),"%","")),0)&gt;0,IFERROR(VALUE(SUBSTITUTE(TRIM(Input!H1517&amp;""),"%","")),0)&lt;1),1,100))</f>
        <v/>
      </c>
      <c r="H1517" t="str">
        <f>IF(A1517="","",IFERROR(VALUE(SUBSTITUTE(TRIM(Input!I1517&amp;""),"%","")),0)/IF(AND(IFERROR(VALUE(SUBSTITUTE(TRIM(Input!I1517&amp;""),"%","")),0)&gt;0,IFERROR(VALUE(SUBSTITUTE(TRIM(Input!I1517&amp;""),"%","")),0)&lt;1),1,100))</f>
        <v/>
      </c>
    </row>
    <row r="1518" spans="1:8">
      <c r="A1518" t="str">
        <f>IF(TRIM(Input!B1518&amp;"")="","",UPPER(TRIM(Input!B1518&amp;"")))</f>
        <v/>
      </c>
      <c r="B1518" t="str">
        <f>IF(A1518="","",IFERROR(VALUE(RIGHT(TRIM(Input!D1518&amp;""),1)),0))</f>
        <v/>
      </c>
      <c r="C1518" t="str">
        <f t="shared" si="23"/>
        <v/>
      </c>
      <c r="D1518" t="str">
        <f>IF(A1518="","",IFERROR(VALUE(SUBSTITUTE(TRIM(Input!E1518&amp;""),"%","")),0)/IF(AND(IFERROR(VALUE(SUBSTITUTE(TRIM(Input!E1518&amp;""),"%","")),0)&gt;0,IFERROR(VALUE(SUBSTITUTE(TRIM(Input!E1518&amp;""),"%","")),0)&lt;1),1,100))</f>
        <v/>
      </c>
      <c r="E1518" t="str">
        <f>IF(A1518="","",IFERROR(VALUE(SUBSTITUTE(TRIM(Input!F1518&amp;""),"%","")),0)/IF(AND(IFERROR(VALUE(SUBSTITUTE(TRIM(Input!F1518&amp;""),"%","")),0)&gt;0,IFERROR(VALUE(SUBSTITUTE(TRIM(Input!F1518&amp;""),"%","")),0)&lt;1),1,100))</f>
        <v/>
      </c>
      <c r="F1518" t="str">
        <f>IF(A1518="","",IFERROR(VALUE(SUBSTITUTE(TRIM(Input!G1518&amp;""),"%","")),0)/IF(AND(IFERROR(VALUE(SUBSTITUTE(TRIM(Input!G1518&amp;""),"%","")),0)&gt;0,IFERROR(VALUE(SUBSTITUTE(TRIM(Input!G1518&amp;""),"%","")),0)&lt;1),1,100))</f>
        <v/>
      </c>
      <c r="G1518" t="str">
        <f>IF(A1518="","",IFERROR(VALUE(SUBSTITUTE(TRIM(Input!H1518&amp;""),"%","")),0)/IF(AND(IFERROR(VALUE(SUBSTITUTE(TRIM(Input!H1518&amp;""),"%","")),0)&gt;0,IFERROR(VALUE(SUBSTITUTE(TRIM(Input!H1518&amp;""),"%","")),0)&lt;1),1,100))</f>
        <v/>
      </c>
      <c r="H1518" t="str">
        <f>IF(A1518="","",IFERROR(VALUE(SUBSTITUTE(TRIM(Input!I1518&amp;""),"%","")),0)/IF(AND(IFERROR(VALUE(SUBSTITUTE(TRIM(Input!I1518&amp;""),"%","")),0)&gt;0,IFERROR(VALUE(SUBSTITUTE(TRIM(Input!I1518&amp;""),"%","")),0)&lt;1),1,100))</f>
        <v/>
      </c>
    </row>
    <row r="1519" spans="1:8">
      <c r="A1519" t="str">
        <f>IF(TRIM(Input!B1519&amp;"")="","",UPPER(TRIM(Input!B1519&amp;"")))</f>
        <v/>
      </c>
      <c r="B1519" t="str">
        <f>IF(A1519="","",IFERROR(VALUE(RIGHT(TRIM(Input!D1519&amp;""),1)),0))</f>
        <v/>
      </c>
      <c r="C1519" t="str">
        <f t="shared" si="23"/>
        <v/>
      </c>
      <c r="D1519" t="str">
        <f>IF(A1519="","",IFERROR(VALUE(SUBSTITUTE(TRIM(Input!E1519&amp;""),"%","")),0)/IF(AND(IFERROR(VALUE(SUBSTITUTE(TRIM(Input!E1519&amp;""),"%","")),0)&gt;0,IFERROR(VALUE(SUBSTITUTE(TRIM(Input!E1519&amp;""),"%","")),0)&lt;1),1,100))</f>
        <v/>
      </c>
      <c r="E1519" t="str">
        <f>IF(A1519="","",IFERROR(VALUE(SUBSTITUTE(TRIM(Input!F1519&amp;""),"%","")),0)/IF(AND(IFERROR(VALUE(SUBSTITUTE(TRIM(Input!F1519&amp;""),"%","")),0)&gt;0,IFERROR(VALUE(SUBSTITUTE(TRIM(Input!F1519&amp;""),"%","")),0)&lt;1),1,100))</f>
        <v/>
      </c>
      <c r="F1519" t="str">
        <f>IF(A1519="","",IFERROR(VALUE(SUBSTITUTE(TRIM(Input!G1519&amp;""),"%","")),0)/IF(AND(IFERROR(VALUE(SUBSTITUTE(TRIM(Input!G1519&amp;""),"%","")),0)&gt;0,IFERROR(VALUE(SUBSTITUTE(TRIM(Input!G1519&amp;""),"%","")),0)&lt;1),1,100))</f>
        <v/>
      </c>
      <c r="G1519" t="str">
        <f>IF(A1519="","",IFERROR(VALUE(SUBSTITUTE(TRIM(Input!H1519&amp;""),"%","")),0)/IF(AND(IFERROR(VALUE(SUBSTITUTE(TRIM(Input!H1519&amp;""),"%","")),0)&gt;0,IFERROR(VALUE(SUBSTITUTE(TRIM(Input!H1519&amp;""),"%","")),0)&lt;1),1,100))</f>
        <v/>
      </c>
      <c r="H1519" t="str">
        <f>IF(A1519="","",IFERROR(VALUE(SUBSTITUTE(TRIM(Input!I1519&amp;""),"%","")),0)/IF(AND(IFERROR(VALUE(SUBSTITUTE(TRIM(Input!I1519&amp;""),"%","")),0)&gt;0,IFERROR(VALUE(SUBSTITUTE(TRIM(Input!I1519&amp;""),"%","")),0)&lt;1),1,100))</f>
        <v/>
      </c>
    </row>
    <row r="1520" spans="1:8">
      <c r="A1520" t="str">
        <f>IF(TRIM(Input!B1520&amp;"")="","",UPPER(TRIM(Input!B1520&amp;"")))</f>
        <v/>
      </c>
      <c r="B1520" t="str">
        <f>IF(A1520="","",IFERROR(VALUE(RIGHT(TRIM(Input!D1520&amp;""),1)),0))</f>
        <v/>
      </c>
      <c r="C1520" t="str">
        <f t="shared" si="23"/>
        <v/>
      </c>
      <c r="D1520" t="str">
        <f>IF(A1520="","",IFERROR(VALUE(SUBSTITUTE(TRIM(Input!E1520&amp;""),"%","")),0)/IF(AND(IFERROR(VALUE(SUBSTITUTE(TRIM(Input!E1520&amp;""),"%","")),0)&gt;0,IFERROR(VALUE(SUBSTITUTE(TRIM(Input!E1520&amp;""),"%","")),0)&lt;1),1,100))</f>
        <v/>
      </c>
      <c r="E1520" t="str">
        <f>IF(A1520="","",IFERROR(VALUE(SUBSTITUTE(TRIM(Input!F1520&amp;""),"%","")),0)/IF(AND(IFERROR(VALUE(SUBSTITUTE(TRIM(Input!F1520&amp;""),"%","")),0)&gt;0,IFERROR(VALUE(SUBSTITUTE(TRIM(Input!F1520&amp;""),"%","")),0)&lt;1),1,100))</f>
        <v/>
      </c>
      <c r="F1520" t="str">
        <f>IF(A1520="","",IFERROR(VALUE(SUBSTITUTE(TRIM(Input!G1520&amp;""),"%","")),0)/IF(AND(IFERROR(VALUE(SUBSTITUTE(TRIM(Input!G1520&amp;""),"%","")),0)&gt;0,IFERROR(VALUE(SUBSTITUTE(TRIM(Input!G1520&amp;""),"%","")),0)&lt;1),1,100))</f>
        <v/>
      </c>
      <c r="G1520" t="str">
        <f>IF(A1520="","",IFERROR(VALUE(SUBSTITUTE(TRIM(Input!H1520&amp;""),"%","")),0)/IF(AND(IFERROR(VALUE(SUBSTITUTE(TRIM(Input!H1520&amp;""),"%","")),0)&gt;0,IFERROR(VALUE(SUBSTITUTE(TRIM(Input!H1520&amp;""),"%","")),0)&lt;1),1,100))</f>
        <v/>
      </c>
      <c r="H1520" t="str">
        <f>IF(A1520="","",IFERROR(VALUE(SUBSTITUTE(TRIM(Input!I1520&amp;""),"%","")),0)/IF(AND(IFERROR(VALUE(SUBSTITUTE(TRIM(Input!I1520&amp;""),"%","")),0)&gt;0,IFERROR(VALUE(SUBSTITUTE(TRIM(Input!I1520&amp;""),"%","")),0)&lt;1),1,100))</f>
        <v/>
      </c>
    </row>
    <row r="1521" spans="1:8">
      <c r="A1521" t="str">
        <f>IF(TRIM(Input!B1521&amp;"")="","",UPPER(TRIM(Input!B1521&amp;"")))</f>
        <v/>
      </c>
      <c r="B1521" t="str">
        <f>IF(A1521="","",IFERROR(VALUE(RIGHT(TRIM(Input!D1521&amp;""),1)),0))</f>
        <v/>
      </c>
      <c r="C1521" t="str">
        <f t="shared" si="23"/>
        <v/>
      </c>
      <c r="D1521" t="str">
        <f>IF(A1521="","",IFERROR(VALUE(SUBSTITUTE(TRIM(Input!E1521&amp;""),"%","")),0)/IF(AND(IFERROR(VALUE(SUBSTITUTE(TRIM(Input!E1521&amp;""),"%","")),0)&gt;0,IFERROR(VALUE(SUBSTITUTE(TRIM(Input!E1521&amp;""),"%","")),0)&lt;1),1,100))</f>
        <v/>
      </c>
      <c r="E1521" t="str">
        <f>IF(A1521="","",IFERROR(VALUE(SUBSTITUTE(TRIM(Input!F1521&amp;""),"%","")),0)/IF(AND(IFERROR(VALUE(SUBSTITUTE(TRIM(Input!F1521&amp;""),"%","")),0)&gt;0,IFERROR(VALUE(SUBSTITUTE(TRIM(Input!F1521&amp;""),"%","")),0)&lt;1),1,100))</f>
        <v/>
      </c>
      <c r="F1521" t="str">
        <f>IF(A1521="","",IFERROR(VALUE(SUBSTITUTE(TRIM(Input!G1521&amp;""),"%","")),0)/IF(AND(IFERROR(VALUE(SUBSTITUTE(TRIM(Input!G1521&amp;""),"%","")),0)&gt;0,IFERROR(VALUE(SUBSTITUTE(TRIM(Input!G1521&amp;""),"%","")),0)&lt;1),1,100))</f>
        <v/>
      </c>
      <c r="G1521" t="str">
        <f>IF(A1521="","",IFERROR(VALUE(SUBSTITUTE(TRIM(Input!H1521&amp;""),"%","")),0)/IF(AND(IFERROR(VALUE(SUBSTITUTE(TRIM(Input!H1521&amp;""),"%","")),0)&gt;0,IFERROR(VALUE(SUBSTITUTE(TRIM(Input!H1521&amp;""),"%","")),0)&lt;1),1,100))</f>
        <v/>
      </c>
      <c r="H1521" t="str">
        <f>IF(A1521="","",IFERROR(VALUE(SUBSTITUTE(TRIM(Input!I1521&amp;""),"%","")),0)/IF(AND(IFERROR(VALUE(SUBSTITUTE(TRIM(Input!I1521&amp;""),"%","")),0)&gt;0,IFERROR(VALUE(SUBSTITUTE(TRIM(Input!I1521&amp;""),"%","")),0)&lt;1),1,100))</f>
        <v/>
      </c>
    </row>
    <row r="1522" spans="1:8">
      <c r="A1522" t="str">
        <f>IF(TRIM(Input!B1522&amp;"")="","",UPPER(TRIM(Input!B1522&amp;"")))</f>
        <v/>
      </c>
      <c r="B1522" t="str">
        <f>IF(A1522="","",IFERROR(VALUE(RIGHT(TRIM(Input!D1522&amp;""),1)),0))</f>
        <v/>
      </c>
      <c r="C1522" t="str">
        <f t="shared" si="23"/>
        <v/>
      </c>
      <c r="D1522" t="str">
        <f>IF(A1522="","",IFERROR(VALUE(SUBSTITUTE(TRIM(Input!E1522&amp;""),"%","")),0)/IF(AND(IFERROR(VALUE(SUBSTITUTE(TRIM(Input!E1522&amp;""),"%","")),0)&gt;0,IFERROR(VALUE(SUBSTITUTE(TRIM(Input!E1522&amp;""),"%","")),0)&lt;1),1,100))</f>
        <v/>
      </c>
      <c r="E1522" t="str">
        <f>IF(A1522="","",IFERROR(VALUE(SUBSTITUTE(TRIM(Input!F1522&amp;""),"%","")),0)/IF(AND(IFERROR(VALUE(SUBSTITUTE(TRIM(Input!F1522&amp;""),"%","")),0)&gt;0,IFERROR(VALUE(SUBSTITUTE(TRIM(Input!F1522&amp;""),"%","")),0)&lt;1),1,100))</f>
        <v/>
      </c>
      <c r="F1522" t="str">
        <f>IF(A1522="","",IFERROR(VALUE(SUBSTITUTE(TRIM(Input!G1522&amp;""),"%","")),0)/IF(AND(IFERROR(VALUE(SUBSTITUTE(TRIM(Input!G1522&amp;""),"%","")),0)&gt;0,IFERROR(VALUE(SUBSTITUTE(TRIM(Input!G1522&amp;""),"%","")),0)&lt;1),1,100))</f>
        <v/>
      </c>
      <c r="G1522" t="str">
        <f>IF(A1522="","",IFERROR(VALUE(SUBSTITUTE(TRIM(Input!H1522&amp;""),"%","")),0)/IF(AND(IFERROR(VALUE(SUBSTITUTE(TRIM(Input!H1522&amp;""),"%","")),0)&gt;0,IFERROR(VALUE(SUBSTITUTE(TRIM(Input!H1522&amp;""),"%","")),0)&lt;1),1,100))</f>
        <v/>
      </c>
      <c r="H1522" t="str">
        <f>IF(A1522="","",IFERROR(VALUE(SUBSTITUTE(TRIM(Input!I1522&amp;""),"%","")),0)/IF(AND(IFERROR(VALUE(SUBSTITUTE(TRIM(Input!I1522&amp;""),"%","")),0)&gt;0,IFERROR(VALUE(SUBSTITUTE(TRIM(Input!I1522&amp;""),"%","")),0)&lt;1),1,100))</f>
        <v/>
      </c>
    </row>
    <row r="1523" spans="1:8">
      <c r="A1523" t="str">
        <f>IF(TRIM(Input!B1523&amp;"")="","",UPPER(TRIM(Input!B1523&amp;"")))</f>
        <v/>
      </c>
      <c r="B1523" t="str">
        <f>IF(A1523="","",IFERROR(VALUE(RIGHT(TRIM(Input!D1523&amp;""),1)),0))</f>
        <v/>
      </c>
      <c r="C1523" t="str">
        <f t="shared" si="23"/>
        <v/>
      </c>
      <c r="D1523" t="str">
        <f>IF(A1523="","",IFERROR(VALUE(SUBSTITUTE(TRIM(Input!E1523&amp;""),"%","")),0)/IF(AND(IFERROR(VALUE(SUBSTITUTE(TRIM(Input!E1523&amp;""),"%","")),0)&gt;0,IFERROR(VALUE(SUBSTITUTE(TRIM(Input!E1523&amp;""),"%","")),0)&lt;1),1,100))</f>
        <v/>
      </c>
      <c r="E1523" t="str">
        <f>IF(A1523="","",IFERROR(VALUE(SUBSTITUTE(TRIM(Input!F1523&amp;""),"%","")),0)/IF(AND(IFERROR(VALUE(SUBSTITUTE(TRIM(Input!F1523&amp;""),"%","")),0)&gt;0,IFERROR(VALUE(SUBSTITUTE(TRIM(Input!F1523&amp;""),"%","")),0)&lt;1),1,100))</f>
        <v/>
      </c>
      <c r="F1523" t="str">
        <f>IF(A1523="","",IFERROR(VALUE(SUBSTITUTE(TRIM(Input!G1523&amp;""),"%","")),0)/IF(AND(IFERROR(VALUE(SUBSTITUTE(TRIM(Input!G1523&amp;""),"%","")),0)&gt;0,IFERROR(VALUE(SUBSTITUTE(TRIM(Input!G1523&amp;""),"%","")),0)&lt;1),1,100))</f>
        <v/>
      </c>
      <c r="G1523" t="str">
        <f>IF(A1523="","",IFERROR(VALUE(SUBSTITUTE(TRIM(Input!H1523&amp;""),"%","")),0)/IF(AND(IFERROR(VALUE(SUBSTITUTE(TRIM(Input!H1523&amp;""),"%","")),0)&gt;0,IFERROR(VALUE(SUBSTITUTE(TRIM(Input!H1523&amp;""),"%","")),0)&lt;1),1,100))</f>
        <v/>
      </c>
      <c r="H1523" t="str">
        <f>IF(A1523="","",IFERROR(VALUE(SUBSTITUTE(TRIM(Input!I1523&amp;""),"%","")),0)/IF(AND(IFERROR(VALUE(SUBSTITUTE(TRIM(Input!I1523&amp;""),"%","")),0)&gt;0,IFERROR(VALUE(SUBSTITUTE(TRIM(Input!I1523&amp;""),"%","")),0)&lt;1),1,100))</f>
        <v/>
      </c>
    </row>
    <row r="1524" spans="1:8">
      <c r="A1524" t="str">
        <f>IF(TRIM(Input!B1524&amp;"")="","",UPPER(TRIM(Input!B1524&amp;"")))</f>
        <v/>
      </c>
      <c r="B1524" t="str">
        <f>IF(A1524="","",IFERROR(VALUE(RIGHT(TRIM(Input!D1524&amp;""),1)),0))</f>
        <v/>
      </c>
      <c r="C1524" t="str">
        <f t="shared" si="23"/>
        <v/>
      </c>
      <c r="D1524" t="str">
        <f>IF(A1524="","",IFERROR(VALUE(SUBSTITUTE(TRIM(Input!E1524&amp;""),"%","")),0)/IF(AND(IFERROR(VALUE(SUBSTITUTE(TRIM(Input!E1524&amp;""),"%","")),0)&gt;0,IFERROR(VALUE(SUBSTITUTE(TRIM(Input!E1524&amp;""),"%","")),0)&lt;1),1,100))</f>
        <v/>
      </c>
      <c r="E1524" t="str">
        <f>IF(A1524="","",IFERROR(VALUE(SUBSTITUTE(TRIM(Input!F1524&amp;""),"%","")),0)/IF(AND(IFERROR(VALUE(SUBSTITUTE(TRIM(Input!F1524&amp;""),"%","")),0)&gt;0,IFERROR(VALUE(SUBSTITUTE(TRIM(Input!F1524&amp;""),"%","")),0)&lt;1),1,100))</f>
        <v/>
      </c>
      <c r="F1524" t="str">
        <f>IF(A1524="","",IFERROR(VALUE(SUBSTITUTE(TRIM(Input!G1524&amp;""),"%","")),0)/IF(AND(IFERROR(VALUE(SUBSTITUTE(TRIM(Input!G1524&amp;""),"%","")),0)&gt;0,IFERROR(VALUE(SUBSTITUTE(TRIM(Input!G1524&amp;""),"%","")),0)&lt;1),1,100))</f>
        <v/>
      </c>
      <c r="G1524" t="str">
        <f>IF(A1524="","",IFERROR(VALUE(SUBSTITUTE(TRIM(Input!H1524&amp;""),"%","")),0)/IF(AND(IFERROR(VALUE(SUBSTITUTE(TRIM(Input!H1524&amp;""),"%","")),0)&gt;0,IFERROR(VALUE(SUBSTITUTE(TRIM(Input!H1524&amp;""),"%","")),0)&lt;1),1,100))</f>
        <v/>
      </c>
      <c r="H1524" t="str">
        <f>IF(A1524="","",IFERROR(VALUE(SUBSTITUTE(TRIM(Input!I1524&amp;""),"%","")),0)/IF(AND(IFERROR(VALUE(SUBSTITUTE(TRIM(Input!I1524&amp;""),"%","")),0)&gt;0,IFERROR(VALUE(SUBSTITUTE(TRIM(Input!I1524&amp;""),"%","")),0)&lt;1),1,100))</f>
        <v/>
      </c>
    </row>
    <row r="1525" spans="1:8">
      <c r="A1525" t="str">
        <f>IF(TRIM(Input!B1525&amp;"")="","",UPPER(TRIM(Input!B1525&amp;"")))</f>
        <v/>
      </c>
      <c r="B1525" t="str">
        <f>IF(A1525="","",IFERROR(VALUE(RIGHT(TRIM(Input!D1525&amp;""),1)),0))</f>
        <v/>
      </c>
      <c r="C1525" t="str">
        <f t="shared" si="23"/>
        <v/>
      </c>
      <c r="D1525" t="str">
        <f>IF(A1525="","",IFERROR(VALUE(SUBSTITUTE(TRIM(Input!E1525&amp;""),"%","")),0)/IF(AND(IFERROR(VALUE(SUBSTITUTE(TRIM(Input!E1525&amp;""),"%","")),0)&gt;0,IFERROR(VALUE(SUBSTITUTE(TRIM(Input!E1525&amp;""),"%","")),0)&lt;1),1,100))</f>
        <v/>
      </c>
      <c r="E1525" t="str">
        <f>IF(A1525="","",IFERROR(VALUE(SUBSTITUTE(TRIM(Input!F1525&amp;""),"%","")),0)/IF(AND(IFERROR(VALUE(SUBSTITUTE(TRIM(Input!F1525&amp;""),"%","")),0)&gt;0,IFERROR(VALUE(SUBSTITUTE(TRIM(Input!F1525&amp;""),"%","")),0)&lt;1),1,100))</f>
        <v/>
      </c>
      <c r="F1525" t="str">
        <f>IF(A1525="","",IFERROR(VALUE(SUBSTITUTE(TRIM(Input!G1525&amp;""),"%","")),0)/IF(AND(IFERROR(VALUE(SUBSTITUTE(TRIM(Input!G1525&amp;""),"%","")),0)&gt;0,IFERROR(VALUE(SUBSTITUTE(TRIM(Input!G1525&amp;""),"%","")),0)&lt;1),1,100))</f>
        <v/>
      </c>
      <c r="G1525" t="str">
        <f>IF(A1525="","",IFERROR(VALUE(SUBSTITUTE(TRIM(Input!H1525&amp;""),"%","")),0)/IF(AND(IFERROR(VALUE(SUBSTITUTE(TRIM(Input!H1525&amp;""),"%","")),0)&gt;0,IFERROR(VALUE(SUBSTITUTE(TRIM(Input!H1525&amp;""),"%","")),0)&lt;1),1,100))</f>
        <v/>
      </c>
      <c r="H1525" t="str">
        <f>IF(A1525="","",IFERROR(VALUE(SUBSTITUTE(TRIM(Input!I1525&amp;""),"%","")),0)/IF(AND(IFERROR(VALUE(SUBSTITUTE(TRIM(Input!I1525&amp;""),"%","")),0)&gt;0,IFERROR(VALUE(SUBSTITUTE(TRIM(Input!I1525&amp;""),"%","")),0)&lt;1),1,100))</f>
        <v/>
      </c>
    </row>
    <row r="1526" spans="1:8">
      <c r="A1526" t="str">
        <f>IF(TRIM(Input!B1526&amp;"")="","",UPPER(TRIM(Input!B1526&amp;"")))</f>
        <v/>
      </c>
      <c r="B1526" t="str">
        <f>IF(A1526="","",IFERROR(VALUE(RIGHT(TRIM(Input!D1526&amp;""),1)),0))</f>
        <v/>
      </c>
      <c r="C1526" t="str">
        <f t="shared" si="23"/>
        <v/>
      </c>
      <c r="D1526" t="str">
        <f>IF(A1526="","",IFERROR(VALUE(SUBSTITUTE(TRIM(Input!E1526&amp;""),"%","")),0)/IF(AND(IFERROR(VALUE(SUBSTITUTE(TRIM(Input!E1526&amp;""),"%","")),0)&gt;0,IFERROR(VALUE(SUBSTITUTE(TRIM(Input!E1526&amp;""),"%","")),0)&lt;1),1,100))</f>
        <v/>
      </c>
      <c r="E1526" t="str">
        <f>IF(A1526="","",IFERROR(VALUE(SUBSTITUTE(TRIM(Input!F1526&amp;""),"%","")),0)/IF(AND(IFERROR(VALUE(SUBSTITUTE(TRIM(Input!F1526&amp;""),"%","")),0)&gt;0,IFERROR(VALUE(SUBSTITUTE(TRIM(Input!F1526&amp;""),"%","")),0)&lt;1),1,100))</f>
        <v/>
      </c>
      <c r="F1526" t="str">
        <f>IF(A1526="","",IFERROR(VALUE(SUBSTITUTE(TRIM(Input!G1526&amp;""),"%","")),0)/IF(AND(IFERROR(VALUE(SUBSTITUTE(TRIM(Input!G1526&amp;""),"%","")),0)&gt;0,IFERROR(VALUE(SUBSTITUTE(TRIM(Input!G1526&amp;""),"%","")),0)&lt;1),1,100))</f>
        <v/>
      </c>
      <c r="G1526" t="str">
        <f>IF(A1526="","",IFERROR(VALUE(SUBSTITUTE(TRIM(Input!H1526&amp;""),"%","")),0)/IF(AND(IFERROR(VALUE(SUBSTITUTE(TRIM(Input!H1526&amp;""),"%","")),0)&gt;0,IFERROR(VALUE(SUBSTITUTE(TRIM(Input!H1526&amp;""),"%","")),0)&lt;1),1,100))</f>
        <v/>
      </c>
      <c r="H1526" t="str">
        <f>IF(A1526="","",IFERROR(VALUE(SUBSTITUTE(TRIM(Input!I1526&amp;""),"%","")),0)/IF(AND(IFERROR(VALUE(SUBSTITUTE(TRIM(Input!I1526&amp;""),"%","")),0)&gt;0,IFERROR(VALUE(SUBSTITUTE(TRIM(Input!I1526&amp;""),"%","")),0)&lt;1),1,100))</f>
        <v/>
      </c>
    </row>
    <row r="1527" spans="1:8">
      <c r="A1527" t="str">
        <f>IF(TRIM(Input!B1527&amp;"")="","",UPPER(TRIM(Input!B1527&amp;"")))</f>
        <v/>
      </c>
      <c r="B1527" t="str">
        <f>IF(A1527="","",IFERROR(VALUE(RIGHT(TRIM(Input!D1527&amp;""),1)),0))</f>
        <v/>
      </c>
      <c r="C1527" t="str">
        <f t="shared" si="23"/>
        <v/>
      </c>
      <c r="D1527" t="str">
        <f>IF(A1527="","",IFERROR(VALUE(SUBSTITUTE(TRIM(Input!E1527&amp;""),"%","")),0)/IF(AND(IFERROR(VALUE(SUBSTITUTE(TRIM(Input!E1527&amp;""),"%","")),0)&gt;0,IFERROR(VALUE(SUBSTITUTE(TRIM(Input!E1527&amp;""),"%","")),0)&lt;1),1,100))</f>
        <v/>
      </c>
      <c r="E1527" t="str">
        <f>IF(A1527="","",IFERROR(VALUE(SUBSTITUTE(TRIM(Input!F1527&amp;""),"%","")),0)/IF(AND(IFERROR(VALUE(SUBSTITUTE(TRIM(Input!F1527&amp;""),"%","")),0)&gt;0,IFERROR(VALUE(SUBSTITUTE(TRIM(Input!F1527&amp;""),"%","")),0)&lt;1),1,100))</f>
        <v/>
      </c>
      <c r="F1527" t="str">
        <f>IF(A1527="","",IFERROR(VALUE(SUBSTITUTE(TRIM(Input!G1527&amp;""),"%","")),0)/IF(AND(IFERROR(VALUE(SUBSTITUTE(TRIM(Input!G1527&amp;""),"%","")),0)&gt;0,IFERROR(VALUE(SUBSTITUTE(TRIM(Input!G1527&amp;""),"%","")),0)&lt;1),1,100))</f>
        <v/>
      </c>
      <c r="G1527" t="str">
        <f>IF(A1527="","",IFERROR(VALUE(SUBSTITUTE(TRIM(Input!H1527&amp;""),"%","")),0)/IF(AND(IFERROR(VALUE(SUBSTITUTE(TRIM(Input!H1527&amp;""),"%","")),0)&gt;0,IFERROR(VALUE(SUBSTITUTE(TRIM(Input!H1527&amp;""),"%","")),0)&lt;1),1,100))</f>
        <v/>
      </c>
      <c r="H1527" t="str">
        <f>IF(A1527="","",IFERROR(VALUE(SUBSTITUTE(TRIM(Input!I1527&amp;""),"%","")),0)/IF(AND(IFERROR(VALUE(SUBSTITUTE(TRIM(Input!I1527&amp;""),"%","")),0)&gt;0,IFERROR(VALUE(SUBSTITUTE(TRIM(Input!I1527&amp;""),"%","")),0)&lt;1),1,100))</f>
        <v/>
      </c>
    </row>
    <row r="1528" spans="1:8">
      <c r="A1528" t="str">
        <f>IF(TRIM(Input!B1528&amp;"")="","",UPPER(TRIM(Input!B1528&amp;"")))</f>
        <v/>
      </c>
      <c r="B1528" t="str">
        <f>IF(A1528="","",IFERROR(VALUE(RIGHT(TRIM(Input!D1528&amp;""),1)),0))</f>
        <v/>
      </c>
      <c r="C1528" t="str">
        <f t="shared" si="23"/>
        <v/>
      </c>
      <c r="D1528" t="str">
        <f>IF(A1528="","",IFERROR(VALUE(SUBSTITUTE(TRIM(Input!E1528&amp;""),"%","")),0)/IF(AND(IFERROR(VALUE(SUBSTITUTE(TRIM(Input!E1528&amp;""),"%","")),0)&gt;0,IFERROR(VALUE(SUBSTITUTE(TRIM(Input!E1528&amp;""),"%","")),0)&lt;1),1,100))</f>
        <v/>
      </c>
      <c r="E1528" t="str">
        <f>IF(A1528="","",IFERROR(VALUE(SUBSTITUTE(TRIM(Input!F1528&amp;""),"%","")),0)/IF(AND(IFERROR(VALUE(SUBSTITUTE(TRIM(Input!F1528&amp;""),"%","")),0)&gt;0,IFERROR(VALUE(SUBSTITUTE(TRIM(Input!F1528&amp;""),"%","")),0)&lt;1),1,100))</f>
        <v/>
      </c>
      <c r="F1528" t="str">
        <f>IF(A1528="","",IFERROR(VALUE(SUBSTITUTE(TRIM(Input!G1528&amp;""),"%","")),0)/IF(AND(IFERROR(VALUE(SUBSTITUTE(TRIM(Input!G1528&amp;""),"%","")),0)&gt;0,IFERROR(VALUE(SUBSTITUTE(TRIM(Input!G1528&amp;""),"%","")),0)&lt;1),1,100))</f>
        <v/>
      </c>
      <c r="G1528" t="str">
        <f>IF(A1528="","",IFERROR(VALUE(SUBSTITUTE(TRIM(Input!H1528&amp;""),"%","")),0)/IF(AND(IFERROR(VALUE(SUBSTITUTE(TRIM(Input!H1528&amp;""),"%","")),0)&gt;0,IFERROR(VALUE(SUBSTITUTE(TRIM(Input!H1528&amp;""),"%","")),0)&lt;1),1,100))</f>
        <v/>
      </c>
      <c r="H1528" t="str">
        <f>IF(A1528="","",IFERROR(VALUE(SUBSTITUTE(TRIM(Input!I1528&amp;""),"%","")),0)/IF(AND(IFERROR(VALUE(SUBSTITUTE(TRIM(Input!I1528&amp;""),"%","")),0)&gt;0,IFERROR(VALUE(SUBSTITUTE(TRIM(Input!I1528&amp;""),"%","")),0)&lt;1),1,100))</f>
        <v/>
      </c>
    </row>
    <row r="1529" spans="1:8">
      <c r="A1529" t="str">
        <f>IF(TRIM(Input!B1529&amp;"")="","",UPPER(TRIM(Input!B1529&amp;"")))</f>
        <v/>
      </c>
      <c r="B1529" t="str">
        <f>IF(A1529="","",IFERROR(VALUE(RIGHT(TRIM(Input!D1529&amp;""),1)),0))</f>
        <v/>
      </c>
      <c r="C1529" t="str">
        <f t="shared" si="23"/>
        <v/>
      </c>
      <c r="D1529" t="str">
        <f>IF(A1529="","",IFERROR(VALUE(SUBSTITUTE(TRIM(Input!E1529&amp;""),"%","")),0)/IF(AND(IFERROR(VALUE(SUBSTITUTE(TRIM(Input!E1529&amp;""),"%","")),0)&gt;0,IFERROR(VALUE(SUBSTITUTE(TRIM(Input!E1529&amp;""),"%","")),0)&lt;1),1,100))</f>
        <v/>
      </c>
      <c r="E1529" t="str">
        <f>IF(A1529="","",IFERROR(VALUE(SUBSTITUTE(TRIM(Input!F1529&amp;""),"%","")),0)/IF(AND(IFERROR(VALUE(SUBSTITUTE(TRIM(Input!F1529&amp;""),"%","")),0)&gt;0,IFERROR(VALUE(SUBSTITUTE(TRIM(Input!F1529&amp;""),"%","")),0)&lt;1),1,100))</f>
        <v/>
      </c>
      <c r="F1529" t="str">
        <f>IF(A1529="","",IFERROR(VALUE(SUBSTITUTE(TRIM(Input!G1529&amp;""),"%","")),0)/IF(AND(IFERROR(VALUE(SUBSTITUTE(TRIM(Input!G1529&amp;""),"%","")),0)&gt;0,IFERROR(VALUE(SUBSTITUTE(TRIM(Input!G1529&amp;""),"%","")),0)&lt;1),1,100))</f>
        <v/>
      </c>
      <c r="G1529" t="str">
        <f>IF(A1529="","",IFERROR(VALUE(SUBSTITUTE(TRIM(Input!H1529&amp;""),"%","")),0)/IF(AND(IFERROR(VALUE(SUBSTITUTE(TRIM(Input!H1529&amp;""),"%","")),0)&gt;0,IFERROR(VALUE(SUBSTITUTE(TRIM(Input!H1529&amp;""),"%","")),0)&lt;1),1,100))</f>
        <v/>
      </c>
      <c r="H1529" t="str">
        <f>IF(A1529="","",IFERROR(VALUE(SUBSTITUTE(TRIM(Input!I1529&amp;""),"%","")),0)/IF(AND(IFERROR(VALUE(SUBSTITUTE(TRIM(Input!I1529&amp;""),"%","")),0)&gt;0,IFERROR(VALUE(SUBSTITUTE(TRIM(Input!I1529&amp;""),"%","")),0)&lt;1),1,100))</f>
        <v/>
      </c>
    </row>
    <row r="1530" spans="1:8">
      <c r="A1530" t="str">
        <f>IF(TRIM(Input!B1530&amp;"")="","",UPPER(TRIM(Input!B1530&amp;"")))</f>
        <v/>
      </c>
      <c r="B1530" t="str">
        <f>IF(A1530="","",IFERROR(VALUE(RIGHT(TRIM(Input!D1530&amp;""),1)),0))</f>
        <v/>
      </c>
      <c r="C1530" t="str">
        <f t="shared" si="23"/>
        <v/>
      </c>
      <c r="D1530" t="str">
        <f>IF(A1530="","",IFERROR(VALUE(SUBSTITUTE(TRIM(Input!E1530&amp;""),"%","")),0)/IF(AND(IFERROR(VALUE(SUBSTITUTE(TRIM(Input!E1530&amp;""),"%","")),0)&gt;0,IFERROR(VALUE(SUBSTITUTE(TRIM(Input!E1530&amp;""),"%","")),0)&lt;1),1,100))</f>
        <v/>
      </c>
      <c r="E1530" t="str">
        <f>IF(A1530="","",IFERROR(VALUE(SUBSTITUTE(TRIM(Input!F1530&amp;""),"%","")),0)/IF(AND(IFERROR(VALUE(SUBSTITUTE(TRIM(Input!F1530&amp;""),"%","")),0)&gt;0,IFERROR(VALUE(SUBSTITUTE(TRIM(Input!F1530&amp;""),"%","")),0)&lt;1),1,100))</f>
        <v/>
      </c>
      <c r="F1530" t="str">
        <f>IF(A1530="","",IFERROR(VALUE(SUBSTITUTE(TRIM(Input!G1530&amp;""),"%","")),0)/IF(AND(IFERROR(VALUE(SUBSTITUTE(TRIM(Input!G1530&amp;""),"%","")),0)&gt;0,IFERROR(VALUE(SUBSTITUTE(TRIM(Input!G1530&amp;""),"%","")),0)&lt;1),1,100))</f>
        <v/>
      </c>
      <c r="G1530" t="str">
        <f>IF(A1530="","",IFERROR(VALUE(SUBSTITUTE(TRIM(Input!H1530&amp;""),"%","")),0)/IF(AND(IFERROR(VALUE(SUBSTITUTE(TRIM(Input!H1530&amp;""),"%","")),0)&gt;0,IFERROR(VALUE(SUBSTITUTE(TRIM(Input!H1530&amp;""),"%","")),0)&lt;1),1,100))</f>
        <v/>
      </c>
      <c r="H1530" t="str">
        <f>IF(A1530="","",IFERROR(VALUE(SUBSTITUTE(TRIM(Input!I1530&amp;""),"%","")),0)/IF(AND(IFERROR(VALUE(SUBSTITUTE(TRIM(Input!I1530&amp;""),"%","")),0)&gt;0,IFERROR(VALUE(SUBSTITUTE(TRIM(Input!I1530&amp;""),"%","")),0)&lt;1),1,100))</f>
        <v/>
      </c>
    </row>
    <row r="1531" spans="1:8">
      <c r="A1531" t="str">
        <f>IF(TRIM(Input!B1531&amp;"")="","",UPPER(TRIM(Input!B1531&amp;"")))</f>
        <v/>
      </c>
      <c r="B1531" t="str">
        <f>IF(A1531="","",IFERROR(VALUE(RIGHT(TRIM(Input!D1531&amp;""),1)),0))</f>
        <v/>
      </c>
      <c r="C1531" t="str">
        <f t="shared" si="23"/>
        <v/>
      </c>
      <c r="D1531" t="str">
        <f>IF(A1531="","",IFERROR(VALUE(SUBSTITUTE(TRIM(Input!E1531&amp;""),"%","")),0)/IF(AND(IFERROR(VALUE(SUBSTITUTE(TRIM(Input!E1531&amp;""),"%","")),0)&gt;0,IFERROR(VALUE(SUBSTITUTE(TRIM(Input!E1531&amp;""),"%","")),0)&lt;1),1,100))</f>
        <v/>
      </c>
      <c r="E1531" t="str">
        <f>IF(A1531="","",IFERROR(VALUE(SUBSTITUTE(TRIM(Input!F1531&amp;""),"%","")),0)/IF(AND(IFERROR(VALUE(SUBSTITUTE(TRIM(Input!F1531&amp;""),"%","")),0)&gt;0,IFERROR(VALUE(SUBSTITUTE(TRIM(Input!F1531&amp;""),"%","")),0)&lt;1),1,100))</f>
        <v/>
      </c>
      <c r="F1531" t="str">
        <f>IF(A1531="","",IFERROR(VALUE(SUBSTITUTE(TRIM(Input!G1531&amp;""),"%","")),0)/IF(AND(IFERROR(VALUE(SUBSTITUTE(TRIM(Input!G1531&amp;""),"%","")),0)&gt;0,IFERROR(VALUE(SUBSTITUTE(TRIM(Input!G1531&amp;""),"%","")),0)&lt;1),1,100))</f>
        <v/>
      </c>
      <c r="G1531" t="str">
        <f>IF(A1531="","",IFERROR(VALUE(SUBSTITUTE(TRIM(Input!H1531&amp;""),"%","")),0)/IF(AND(IFERROR(VALUE(SUBSTITUTE(TRIM(Input!H1531&amp;""),"%","")),0)&gt;0,IFERROR(VALUE(SUBSTITUTE(TRIM(Input!H1531&amp;""),"%","")),0)&lt;1),1,100))</f>
        <v/>
      </c>
      <c r="H1531" t="str">
        <f>IF(A1531="","",IFERROR(VALUE(SUBSTITUTE(TRIM(Input!I1531&amp;""),"%","")),0)/IF(AND(IFERROR(VALUE(SUBSTITUTE(TRIM(Input!I1531&amp;""),"%","")),0)&gt;0,IFERROR(VALUE(SUBSTITUTE(TRIM(Input!I1531&amp;""),"%","")),0)&lt;1),1,100))</f>
        <v/>
      </c>
    </row>
    <row r="1532" spans="1:8">
      <c r="A1532" t="str">
        <f>IF(TRIM(Input!B1532&amp;"")="","",UPPER(TRIM(Input!B1532&amp;"")))</f>
        <v/>
      </c>
      <c r="B1532" t="str">
        <f>IF(A1532="","",IFERROR(VALUE(RIGHT(TRIM(Input!D1532&amp;""),1)),0))</f>
        <v/>
      </c>
      <c r="C1532" t="str">
        <f t="shared" si="23"/>
        <v/>
      </c>
      <c r="D1532" t="str">
        <f>IF(A1532="","",IFERROR(VALUE(SUBSTITUTE(TRIM(Input!E1532&amp;""),"%","")),0)/IF(AND(IFERROR(VALUE(SUBSTITUTE(TRIM(Input!E1532&amp;""),"%","")),0)&gt;0,IFERROR(VALUE(SUBSTITUTE(TRIM(Input!E1532&amp;""),"%","")),0)&lt;1),1,100))</f>
        <v/>
      </c>
      <c r="E1532" t="str">
        <f>IF(A1532="","",IFERROR(VALUE(SUBSTITUTE(TRIM(Input!F1532&amp;""),"%","")),0)/IF(AND(IFERROR(VALUE(SUBSTITUTE(TRIM(Input!F1532&amp;""),"%","")),0)&gt;0,IFERROR(VALUE(SUBSTITUTE(TRIM(Input!F1532&amp;""),"%","")),0)&lt;1),1,100))</f>
        <v/>
      </c>
      <c r="F1532" t="str">
        <f>IF(A1532="","",IFERROR(VALUE(SUBSTITUTE(TRIM(Input!G1532&amp;""),"%","")),0)/IF(AND(IFERROR(VALUE(SUBSTITUTE(TRIM(Input!G1532&amp;""),"%","")),0)&gt;0,IFERROR(VALUE(SUBSTITUTE(TRIM(Input!G1532&amp;""),"%","")),0)&lt;1),1,100))</f>
        <v/>
      </c>
      <c r="G1532" t="str">
        <f>IF(A1532="","",IFERROR(VALUE(SUBSTITUTE(TRIM(Input!H1532&amp;""),"%","")),0)/IF(AND(IFERROR(VALUE(SUBSTITUTE(TRIM(Input!H1532&amp;""),"%","")),0)&gt;0,IFERROR(VALUE(SUBSTITUTE(TRIM(Input!H1532&amp;""),"%","")),0)&lt;1),1,100))</f>
        <v/>
      </c>
      <c r="H1532" t="str">
        <f>IF(A1532="","",IFERROR(VALUE(SUBSTITUTE(TRIM(Input!I1532&amp;""),"%","")),0)/IF(AND(IFERROR(VALUE(SUBSTITUTE(TRIM(Input!I1532&amp;""),"%","")),0)&gt;0,IFERROR(VALUE(SUBSTITUTE(TRIM(Input!I1532&amp;""),"%","")),0)&lt;1),1,100))</f>
        <v/>
      </c>
    </row>
    <row r="1533" spans="1:8">
      <c r="A1533" t="str">
        <f>IF(TRIM(Input!B1533&amp;"")="","",UPPER(TRIM(Input!B1533&amp;"")))</f>
        <v/>
      </c>
      <c r="B1533" t="str">
        <f>IF(A1533="","",IFERROR(VALUE(RIGHT(TRIM(Input!D1533&amp;""),1)),0))</f>
        <v/>
      </c>
      <c r="C1533" t="str">
        <f t="shared" si="23"/>
        <v/>
      </c>
      <c r="D1533" t="str">
        <f>IF(A1533="","",IFERROR(VALUE(SUBSTITUTE(TRIM(Input!E1533&amp;""),"%","")),0)/IF(AND(IFERROR(VALUE(SUBSTITUTE(TRIM(Input!E1533&amp;""),"%","")),0)&gt;0,IFERROR(VALUE(SUBSTITUTE(TRIM(Input!E1533&amp;""),"%","")),0)&lt;1),1,100))</f>
        <v/>
      </c>
      <c r="E1533" t="str">
        <f>IF(A1533="","",IFERROR(VALUE(SUBSTITUTE(TRIM(Input!F1533&amp;""),"%","")),0)/IF(AND(IFERROR(VALUE(SUBSTITUTE(TRIM(Input!F1533&amp;""),"%","")),0)&gt;0,IFERROR(VALUE(SUBSTITUTE(TRIM(Input!F1533&amp;""),"%","")),0)&lt;1),1,100))</f>
        <v/>
      </c>
      <c r="F1533" t="str">
        <f>IF(A1533="","",IFERROR(VALUE(SUBSTITUTE(TRIM(Input!G1533&amp;""),"%","")),0)/IF(AND(IFERROR(VALUE(SUBSTITUTE(TRIM(Input!G1533&amp;""),"%","")),0)&gt;0,IFERROR(VALUE(SUBSTITUTE(TRIM(Input!G1533&amp;""),"%","")),0)&lt;1),1,100))</f>
        <v/>
      </c>
      <c r="G1533" t="str">
        <f>IF(A1533="","",IFERROR(VALUE(SUBSTITUTE(TRIM(Input!H1533&amp;""),"%","")),0)/IF(AND(IFERROR(VALUE(SUBSTITUTE(TRIM(Input!H1533&amp;""),"%","")),0)&gt;0,IFERROR(VALUE(SUBSTITUTE(TRIM(Input!H1533&amp;""),"%","")),0)&lt;1),1,100))</f>
        <v/>
      </c>
      <c r="H1533" t="str">
        <f>IF(A1533="","",IFERROR(VALUE(SUBSTITUTE(TRIM(Input!I1533&amp;""),"%","")),0)/IF(AND(IFERROR(VALUE(SUBSTITUTE(TRIM(Input!I1533&amp;""),"%","")),0)&gt;0,IFERROR(VALUE(SUBSTITUTE(TRIM(Input!I1533&amp;""),"%","")),0)&lt;1),1,100))</f>
        <v/>
      </c>
    </row>
    <row r="1534" spans="1:8">
      <c r="A1534" t="str">
        <f>IF(TRIM(Input!B1534&amp;"")="","",UPPER(TRIM(Input!B1534&amp;"")))</f>
        <v/>
      </c>
      <c r="B1534" t="str">
        <f>IF(A1534="","",IFERROR(VALUE(RIGHT(TRIM(Input!D1534&amp;""),1)),0))</f>
        <v/>
      </c>
      <c r="C1534" t="str">
        <f t="shared" si="23"/>
        <v/>
      </c>
      <c r="D1534" t="str">
        <f>IF(A1534="","",IFERROR(VALUE(SUBSTITUTE(TRIM(Input!E1534&amp;""),"%","")),0)/IF(AND(IFERROR(VALUE(SUBSTITUTE(TRIM(Input!E1534&amp;""),"%","")),0)&gt;0,IFERROR(VALUE(SUBSTITUTE(TRIM(Input!E1534&amp;""),"%","")),0)&lt;1),1,100))</f>
        <v/>
      </c>
      <c r="E1534" t="str">
        <f>IF(A1534="","",IFERROR(VALUE(SUBSTITUTE(TRIM(Input!F1534&amp;""),"%","")),0)/IF(AND(IFERROR(VALUE(SUBSTITUTE(TRIM(Input!F1534&amp;""),"%","")),0)&gt;0,IFERROR(VALUE(SUBSTITUTE(TRIM(Input!F1534&amp;""),"%","")),0)&lt;1),1,100))</f>
        <v/>
      </c>
      <c r="F1534" t="str">
        <f>IF(A1534="","",IFERROR(VALUE(SUBSTITUTE(TRIM(Input!G1534&amp;""),"%","")),0)/IF(AND(IFERROR(VALUE(SUBSTITUTE(TRIM(Input!G1534&amp;""),"%","")),0)&gt;0,IFERROR(VALUE(SUBSTITUTE(TRIM(Input!G1534&amp;""),"%","")),0)&lt;1),1,100))</f>
        <v/>
      </c>
      <c r="G1534" t="str">
        <f>IF(A1534="","",IFERROR(VALUE(SUBSTITUTE(TRIM(Input!H1534&amp;""),"%","")),0)/IF(AND(IFERROR(VALUE(SUBSTITUTE(TRIM(Input!H1534&amp;""),"%","")),0)&gt;0,IFERROR(VALUE(SUBSTITUTE(TRIM(Input!H1534&amp;""),"%","")),0)&lt;1),1,100))</f>
        <v/>
      </c>
      <c r="H1534" t="str">
        <f>IF(A1534="","",IFERROR(VALUE(SUBSTITUTE(TRIM(Input!I1534&amp;""),"%","")),0)/IF(AND(IFERROR(VALUE(SUBSTITUTE(TRIM(Input!I1534&amp;""),"%","")),0)&gt;0,IFERROR(VALUE(SUBSTITUTE(TRIM(Input!I1534&amp;""),"%","")),0)&lt;1),1,100))</f>
        <v/>
      </c>
    </row>
    <row r="1535" spans="1:8">
      <c r="A1535" t="str">
        <f>IF(TRIM(Input!B1535&amp;"")="","",UPPER(TRIM(Input!B1535&amp;"")))</f>
        <v/>
      </c>
      <c r="B1535" t="str">
        <f>IF(A1535="","",IFERROR(VALUE(RIGHT(TRIM(Input!D1535&amp;""),1)),0))</f>
        <v/>
      </c>
      <c r="C1535" t="str">
        <f t="shared" si="23"/>
        <v/>
      </c>
      <c r="D1535" t="str">
        <f>IF(A1535="","",IFERROR(VALUE(SUBSTITUTE(TRIM(Input!E1535&amp;""),"%","")),0)/IF(AND(IFERROR(VALUE(SUBSTITUTE(TRIM(Input!E1535&amp;""),"%","")),0)&gt;0,IFERROR(VALUE(SUBSTITUTE(TRIM(Input!E1535&amp;""),"%","")),0)&lt;1),1,100))</f>
        <v/>
      </c>
      <c r="E1535" t="str">
        <f>IF(A1535="","",IFERROR(VALUE(SUBSTITUTE(TRIM(Input!F1535&amp;""),"%","")),0)/IF(AND(IFERROR(VALUE(SUBSTITUTE(TRIM(Input!F1535&amp;""),"%","")),0)&gt;0,IFERROR(VALUE(SUBSTITUTE(TRIM(Input!F1535&amp;""),"%","")),0)&lt;1),1,100))</f>
        <v/>
      </c>
      <c r="F1535" t="str">
        <f>IF(A1535="","",IFERROR(VALUE(SUBSTITUTE(TRIM(Input!G1535&amp;""),"%","")),0)/IF(AND(IFERROR(VALUE(SUBSTITUTE(TRIM(Input!G1535&amp;""),"%","")),0)&gt;0,IFERROR(VALUE(SUBSTITUTE(TRIM(Input!G1535&amp;""),"%","")),0)&lt;1),1,100))</f>
        <v/>
      </c>
      <c r="G1535" t="str">
        <f>IF(A1535="","",IFERROR(VALUE(SUBSTITUTE(TRIM(Input!H1535&amp;""),"%","")),0)/IF(AND(IFERROR(VALUE(SUBSTITUTE(TRIM(Input!H1535&amp;""),"%","")),0)&gt;0,IFERROR(VALUE(SUBSTITUTE(TRIM(Input!H1535&amp;""),"%","")),0)&lt;1),1,100))</f>
        <v/>
      </c>
      <c r="H1535" t="str">
        <f>IF(A1535="","",IFERROR(VALUE(SUBSTITUTE(TRIM(Input!I1535&amp;""),"%","")),0)/IF(AND(IFERROR(VALUE(SUBSTITUTE(TRIM(Input!I1535&amp;""),"%","")),0)&gt;0,IFERROR(VALUE(SUBSTITUTE(TRIM(Input!I1535&amp;""),"%","")),0)&lt;1),1,100))</f>
        <v/>
      </c>
    </row>
    <row r="1536" spans="1:8">
      <c r="A1536" t="str">
        <f>IF(TRIM(Input!B1536&amp;"")="","",UPPER(TRIM(Input!B1536&amp;"")))</f>
        <v/>
      </c>
      <c r="B1536" t="str">
        <f>IF(A1536="","",IFERROR(VALUE(RIGHT(TRIM(Input!D1536&amp;""),1)),0))</f>
        <v/>
      </c>
      <c r="C1536" t="str">
        <f t="shared" si="23"/>
        <v/>
      </c>
      <c r="D1536" t="str">
        <f>IF(A1536="","",IFERROR(VALUE(SUBSTITUTE(TRIM(Input!E1536&amp;""),"%","")),0)/IF(AND(IFERROR(VALUE(SUBSTITUTE(TRIM(Input!E1536&amp;""),"%","")),0)&gt;0,IFERROR(VALUE(SUBSTITUTE(TRIM(Input!E1536&amp;""),"%","")),0)&lt;1),1,100))</f>
        <v/>
      </c>
      <c r="E1536" t="str">
        <f>IF(A1536="","",IFERROR(VALUE(SUBSTITUTE(TRIM(Input!F1536&amp;""),"%","")),0)/IF(AND(IFERROR(VALUE(SUBSTITUTE(TRIM(Input!F1536&amp;""),"%","")),0)&gt;0,IFERROR(VALUE(SUBSTITUTE(TRIM(Input!F1536&amp;""),"%","")),0)&lt;1),1,100))</f>
        <v/>
      </c>
      <c r="F1536" t="str">
        <f>IF(A1536="","",IFERROR(VALUE(SUBSTITUTE(TRIM(Input!G1536&amp;""),"%","")),0)/IF(AND(IFERROR(VALUE(SUBSTITUTE(TRIM(Input!G1536&amp;""),"%","")),0)&gt;0,IFERROR(VALUE(SUBSTITUTE(TRIM(Input!G1536&amp;""),"%","")),0)&lt;1),1,100))</f>
        <v/>
      </c>
      <c r="G1536" t="str">
        <f>IF(A1536="","",IFERROR(VALUE(SUBSTITUTE(TRIM(Input!H1536&amp;""),"%","")),0)/IF(AND(IFERROR(VALUE(SUBSTITUTE(TRIM(Input!H1536&amp;""),"%","")),0)&gt;0,IFERROR(VALUE(SUBSTITUTE(TRIM(Input!H1536&amp;""),"%","")),0)&lt;1),1,100))</f>
        <v/>
      </c>
      <c r="H1536" t="str">
        <f>IF(A1536="","",IFERROR(VALUE(SUBSTITUTE(TRIM(Input!I1536&amp;""),"%","")),0)/IF(AND(IFERROR(VALUE(SUBSTITUTE(TRIM(Input!I1536&amp;""),"%","")),0)&gt;0,IFERROR(VALUE(SUBSTITUTE(TRIM(Input!I1536&amp;""),"%","")),0)&lt;1),1,100))</f>
        <v/>
      </c>
    </row>
    <row r="1537" spans="1:8">
      <c r="A1537" t="str">
        <f>IF(TRIM(Input!B1537&amp;"")="","",UPPER(TRIM(Input!B1537&amp;"")))</f>
        <v/>
      </c>
      <c r="B1537" t="str">
        <f>IF(A1537="","",IFERROR(VALUE(RIGHT(TRIM(Input!D1537&amp;""),1)),0))</f>
        <v/>
      </c>
      <c r="C1537" t="str">
        <f t="shared" si="23"/>
        <v/>
      </c>
      <c r="D1537" t="str">
        <f>IF(A1537="","",IFERROR(VALUE(SUBSTITUTE(TRIM(Input!E1537&amp;""),"%","")),0)/IF(AND(IFERROR(VALUE(SUBSTITUTE(TRIM(Input!E1537&amp;""),"%","")),0)&gt;0,IFERROR(VALUE(SUBSTITUTE(TRIM(Input!E1537&amp;""),"%","")),0)&lt;1),1,100))</f>
        <v/>
      </c>
      <c r="E1537" t="str">
        <f>IF(A1537="","",IFERROR(VALUE(SUBSTITUTE(TRIM(Input!F1537&amp;""),"%","")),0)/IF(AND(IFERROR(VALUE(SUBSTITUTE(TRIM(Input!F1537&amp;""),"%","")),0)&gt;0,IFERROR(VALUE(SUBSTITUTE(TRIM(Input!F1537&amp;""),"%","")),0)&lt;1),1,100))</f>
        <v/>
      </c>
      <c r="F1537" t="str">
        <f>IF(A1537="","",IFERROR(VALUE(SUBSTITUTE(TRIM(Input!G1537&amp;""),"%","")),0)/IF(AND(IFERROR(VALUE(SUBSTITUTE(TRIM(Input!G1537&amp;""),"%","")),0)&gt;0,IFERROR(VALUE(SUBSTITUTE(TRIM(Input!G1537&amp;""),"%","")),0)&lt;1),1,100))</f>
        <v/>
      </c>
      <c r="G1537" t="str">
        <f>IF(A1537="","",IFERROR(VALUE(SUBSTITUTE(TRIM(Input!H1537&amp;""),"%","")),0)/IF(AND(IFERROR(VALUE(SUBSTITUTE(TRIM(Input!H1537&amp;""),"%","")),0)&gt;0,IFERROR(VALUE(SUBSTITUTE(TRIM(Input!H1537&amp;""),"%","")),0)&lt;1),1,100))</f>
        <v/>
      </c>
      <c r="H1537" t="str">
        <f>IF(A1537="","",IFERROR(VALUE(SUBSTITUTE(TRIM(Input!I1537&amp;""),"%","")),0)/IF(AND(IFERROR(VALUE(SUBSTITUTE(TRIM(Input!I1537&amp;""),"%","")),0)&gt;0,IFERROR(VALUE(SUBSTITUTE(TRIM(Input!I1537&amp;""),"%","")),0)&lt;1),1,100))</f>
        <v/>
      </c>
    </row>
    <row r="1538" spans="1:8">
      <c r="A1538" t="str">
        <f>IF(TRIM(Input!B1538&amp;"")="","",UPPER(TRIM(Input!B1538&amp;"")))</f>
        <v/>
      </c>
      <c r="B1538" t="str">
        <f>IF(A1538="","",IFERROR(VALUE(RIGHT(TRIM(Input!D1538&amp;""),1)),0))</f>
        <v/>
      </c>
      <c r="C1538" t="str">
        <f t="shared" ref="C1538:C1601" si="24">IF(A1538="","",A1538&amp;"|"&amp;B1538)</f>
        <v/>
      </c>
      <c r="D1538" t="str">
        <f>IF(A1538="","",IFERROR(VALUE(SUBSTITUTE(TRIM(Input!E1538&amp;""),"%","")),0)/IF(AND(IFERROR(VALUE(SUBSTITUTE(TRIM(Input!E1538&amp;""),"%","")),0)&gt;0,IFERROR(VALUE(SUBSTITUTE(TRIM(Input!E1538&amp;""),"%","")),0)&lt;1),1,100))</f>
        <v/>
      </c>
      <c r="E1538" t="str">
        <f>IF(A1538="","",IFERROR(VALUE(SUBSTITUTE(TRIM(Input!F1538&amp;""),"%","")),0)/IF(AND(IFERROR(VALUE(SUBSTITUTE(TRIM(Input!F1538&amp;""),"%","")),0)&gt;0,IFERROR(VALUE(SUBSTITUTE(TRIM(Input!F1538&amp;""),"%","")),0)&lt;1),1,100))</f>
        <v/>
      </c>
      <c r="F1538" t="str">
        <f>IF(A1538="","",IFERROR(VALUE(SUBSTITUTE(TRIM(Input!G1538&amp;""),"%","")),0)/IF(AND(IFERROR(VALUE(SUBSTITUTE(TRIM(Input!G1538&amp;""),"%","")),0)&gt;0,IFERROR(VALUE(SUBSTITUTE(TRIM(Input!G1538&amp;""),"%","")),0)&lt;1),1,100))</f>
        <v/>
      </c>
      <c r="G1538" t="str">
        <f>IF(A1538="","",IFERROR(VALUE(SUBSTITUTE(TRIM(Input!H1538&amp;""),"%","")),0)/IF(AND(IFERROR(VALUE(SUBSTITUTE(TRIM(Input!H1538&amp;""),"%","")),0)&gt;0,IFERROR(VALUE(SUBSTITUTE(TRIM(Input!H1538&amp;""),"%","")),0)&lt;1),1,100))</f>
        <v/>
      </c>
      <c r="H1538" t="str">
        <f>IF(A1538="","",IFERROR(VALUE(SUBSTITUTE(TRIM(Input!I1538&amp;""),"%","")),0)/IF(AND(IFERROR(VALUE(SUBSTITUTE(TRIM(Input!I1538&amp;""),"%","")),0)&gt;0,IFERROR(VALUE(SUBSTITUTE(TRIM(Input!I1538&amp;""),"%","")),0)&lt;1),1,100))</f>
        <v/>
      </c>
    </row>
    <row r="1539" spans="1:8">
      <c r="A1539" t="str">
        <f>IF(TRIM(Input!B1539&amp;"")="","",UPPER(TRIM(Input!B1539&amp;"")))</f>
        <v/>
      </c>
      <c r="B1539" t="str">
        <f>IF(A1539="","",IFERROR(VALUE(RIGHT(TRIM(Input!D1539&amp;""),1)),0))</f>
        <v/>
      </c>
      <c r="C1539" t="str">
        <f t="shared" si="24"/>
        <v/>
      </c>
      <c r="D1539" t="str">
        <f>IF(A1539="","",IFERROR(VALUE(SUBSTITUTE(TRIM(Input!E1539&amp;""),"%","")),0)/IF(AND(IFERROR(VALUE(SUBSTITUTE(TRIM(Input!E1539&amp;""),"%","")),0)&gt;0,IFERROR(VALUE(SUBSTITUTE(TRIM(Input!E1539&amp;""),"%","")),0)&lt;1),1,100))</f>
        <v/>
      </c>
      <c r="E1539" t="str">
        <f>IF(A1539="","",IFERROR(VALUE(SUBSTITUTE(TRIM(Input!F1539&amp;""),"%","")),0)/IF(AND(IFERROR(VALUE(SUBSTITUTE(TRIM(Input!F1539&amp;""),"%","")),0)&gt;0,IFERROR(VALUE(SUBSTITUTE(TRIM(Input!F1539&amp;""),"%","")),0)&lt;1),1,100))</f>
        <v/>
      </c>
      <c r="F1539" t="str">
        <f>IF(A1539="","",IFERROR(VALUE(SUBSTITUTE(TRIM(Input!G1539&amp;""),"%","")),0)/IF(AND(IFERROR(VALUE(SUBSTITUTE(TRIM(Input!G1539&amp;""),"%","")),0)&gt;0,IFERROR(VALUE(SUBSTITUTE(TRIM(Input!G1539&amp;""),"%","")),0)&lt;1),1,100))</f>
        <v/>
      </c>
      <c r="G1539" t="str">
        <f>IF(A1539="","",IFERROR(VALUE(SUBSTITUTE(TRIM(Input!H1539&amp;""),"%","")),0)/IF(AND(IFERROR(VALUE(SUBSTITUTE(TRIM(Input!H1539&amp;""),"%","")),0)&gt;0,IFERROR(VALUE(SUBSTITUTE(TRIM(Input!H1539&amp;""),"%","")),0)&lt;1),1,100))</f>
        <v/>
      </c>
      <c r="H1539" t="str">
        <f>IF(A1539="","",IFERROR(VALUE(SUBSTITUTE(TRIM(Input!I1539&amp;""),"%","")),0)/IF(AND(IFERROR(VALUE(SUBSTITUTE(TRIM(Input!I1539&amp;""),"%","")),0)&gt;0,IFERROR(VALUE(SUBSTITUTE(TRIM(Input!I1539&amp;""),"%","")),0)&lt;1),1,100))</f>
        <v/>
      </c>
    </row>
    <row r="1540" spans="1:8">
      <c r="A1540" t="str">
        <f>IF(TRIM(Input!B1540&amp;"")="","",UPPER(TRIM(Input!B1540&amp;"")))</f>
        <v/>
      </c>
      <c r="B1540" t="str">
        <f>IF(A1540="","",IFERROR(VALUE(RIGHT(TRIM(Input!D1540&amp;""),1)),0))</f>
        <v/>
      </c>
      <c r="C1540" t="str">
        <f t="shared" si="24"/>
        <v/>
      </c>
      <c r="D1540" t="str">
        <f>IF(A1540="","",IFERROR(VALUE(SUBSTITUTE(TRIM(Input!E1540&amp;""),"%","")),0)/IF(AND(IFERROR(VALUE(SUBSTITUTE(TRIM(Input!E1540&amp;""),"%","")),0)&gt;0,IFERROR(VALUE(SUBSTITUTE(TRIM(Input!E1540&amp;""),"%","")),0)&lt;1),1,100))</f>
        <v/>
      </c>
      <c r="E1540" t="str">
        <f>IF(A1540="","",IFERROR(VALUE(SUBSTITUTE(TRIM(Input!F1540&amp;""),"%","")),0)/IF(AND(IFERROR(VALUE(SUBSTITUTE(TRIM(Input!F1540&amp;""),"%","")),0)&gt;0,IFERROR(VALUE(SUBSTITUTE(TRIM(Input!F1540&amp;""),"%","")),0)&lt;1),1,100))</f>
        <v/>
      </c>
      <c r="F1540" t="str">
        <f>IF(A1540="","",IFERROR(VALUE(SUBSTITUTE(TRIM(Input!G1540&amp;""),"%","")),0)/IF(AND(IFERROR(VALUE(SUBSTITUTE(TRIM(Input!G1540&amp;""),"%","")),0)&gt;0,IFERROR(VALUE(SUBSTITUTE(TRIM(Input!G1540&amp;""),"%","")),0)&lt;1),1,100))</f>
        <v/>
      </c>
      <c r="G1540" t="str">
        <f>IF(A1540="","",IFERROR(VALUE(SUBSTITUTE(TRIM(Input!H1540&amp;""),"%","")),0)/IF(AND(IFERROR(VALUE(SUBSTITUTE(TRIM(Input!H1540&amp;""),"%","")),0)&gt;0,IFERROR(VALUE(SUBSTITUTE(TRIM(Input!H1540&amp;""),"%","")),0)&lt;1),1,100))</f>
        <v/>
      </c>
      <c r="H1540" t="str">
        <f>IF(A1540="","",IFERROR(VALUE(SUBSTITUTE(TRIM(Input!I1540&amp;""),"%","")),0)/IF(AND(IFERROR(VALUE(SUBSTITUTE(TRIM(Input!I1540&amp;""),"%","")),0)&gt;0,IFERROR(VALUE(SUBSTITUTE(TRIM(Input!I1540&amp;""),"%","")),0)&lt;1),1,100))</f>
        <v/>
      </c>
    </row>
    <row r="1541" spans="1:8">
      <c r="A1541" t="str">
        <f>IF(TRIM(Input!B1541&amp;"")="","",UPPER(TRIM(Input!B1541&amp;"")))</f>
        <v/>
      </c>
      <c r="B1541" t="str">
        <f>IF(A1541="","",IFERROR(VALUE(RIGHT(TRIM(Input!D1541&amp;""),1)),0))</f>
        <v/>
      </c>
      <c r="C1541" t="str">
        <f t="shared" si="24"/>
        <v/>
      </c>
      <c r="D1541" t="str">
        <f>IF(A1541="","",IFERROR(VALUE(SUBSTITUTE(TRIM(Input!E1541&amp;""),"%","")),0)/IF(AND(IFERROR(VALUE(SUBSTITUTE(TRIM(Input!E1541&amp;""),"%","")),0)&gt;0,IFERROR(VALUE(SUBSTITUTE(TRIM(Input!E1541&amp;""),"%","")),0)&lt;1),1,100))</f>
        <v/>
      </c>
      <c r="E1541" t="str">
        <f>IF(A1541="","",IFERROR(VALUE(SUBSTITUTE(TRIM(Input!F1541&amp;""),"%","")),0)/IF(AND(IFERROR(VALUE(SUBSTITUTE(TRIM(Input!F1541&amp;""),"%","")),0)&gt;0,IFERROR(VALUE(SUBSTITUTE(TRIM(Input!F1541&amp;""),"%","")),0)&lt;1),1,100))</f>
        <v/>
      </c>
      <c r="F1541" t="str">
        <f>IF(A1541="","",IFERROR(VALUE(SUBSTITUTE(TRIM(Input!G1541&amp;""),"%","")),0)/IF(AND(IFERROR(VALUE(SUBSTITUTE(TRIM(Input!G1541&amp;""),"%","")),0)&gt;0,IFERROR(VALUE(SUBSTITUTE(TRIM(Input!G1541&amp;""),"%","")),0)&lt;1),1,100))</f>
        <v/>
      </c>
      <c r="G1541" t="str">
        <f>IF(A1541="","",IFERROR(VALUE(SUBSTITUTE(TRIM(Input!H1541&amp;""),"%","")),0)/IF(AND(IFERROR(VALUE(SUBSTITUTE(TRIM(Input!H1541&amp;""),"%","")),0)&gt;0,IFERROR(VALUE(SUBSTITUTE(TRIM(Input!H1541&amp;""),"%","")),0)&lt;1),1,100))</f>
        <v/>
      </c>
      <c r="H1541" t="str">
        <f>IF(A1541="","",IFERROR(VALUE(SUBSTITUTE(TRIM(Input!I1541&amp;""),"%","")),0)/IF(AND(IFERROR(VALUE(SUBSTITUTE(TRIM(Input!I1541&amp;""),"%","")),0)&gt;0,IFERROR(VALUE(SUBSTITUTE(TRIM(Input!I1541&amp;""),"%","")),0)&lt;1),1,100))</f>
        <v/>
      </c>
    </row>
    <row r="1542" spans="1:8">
      <c r="A1542" t="str">
        <f>IF(TRIM(Input!B1542&amp;"")="","",UPPER(TRIM(Input!B1542&amp;"")))</f>
        <v/>
      </c>
      <c r="B1542" t="str">
        <f>IF(A1542="","",IFERROR(VALUE(RIGHT(TRIM(Input!D1542&amp;""),1)),0))</f>
        <v/>
      </c>
      <c r="C1542" t="str">
        <f t="shared" si="24"/>
        <v/>
      </c>
      <c r="D1542" t="str">
        <f>IF(A1542="","",IFERROR(VALUE(SUBSTITUTE(TRIM(Input!E1542&amp;""),"%","")),0)/IF(AND(IFERROR(VALUE(SUBSTITUTE(TRIM(Input!E1542&amp;""),"%","")),0)&gt;0,IFERROR(VALUE(SUBSTITUTE(TRIM(Input!E1542&amp;""),"%","")),0)&lt;1),1,100))</f>
        <v/>
      </c>
      <c r="E1542" t="str">
        <f>IF(A1542="","",IFERROR(VALUE(SUBSTITUTE(TRIM(Input!F1542&amp;""),"%","")),0)/IF(AND(IFERROR(VALUE(SUBSTITUTE(TRIM(Input!F1542&amp;""),"%","")),0)&gt;0,IFERROR(VALUE(SUBSTITUTE(TRIM(Input!F1542&amp;""),"%","")),0)&lt;1),1,100))</f>
        <v/>
      </c>
      <c r="F1542" t="str">
        <f>IF(A1542="","",IFERROR(VALUE(SUBSTITUTE(TRIM(Input!G1542&amp;""),"%","")),0)/IF(AND(IFERROR(VALUE(SUBSTITUTE(TRIM(Input!G1542&amp;""),"%","")),0)&gt;0,IFERROR(VALUE(SUBSTITUTE(TRIM(Input!G1542&amp;""),"%","")),0)&lt;1),1,100))</f>
        <v/>
      </c>
      <c r="G1542" t="str">
        <f>IF(A1542="","",IFERROR(VALUE(SUBSTITUTE(TRIM(Input!H1542&amp;""),"%","")),0)/IF(AND(IFERROR(VALUE(SUBSTITUTE(TRIM(Input!H1542&amp;""),"%","")),0)&gt;0,IFERROR(VALUE(SUBSTITUTE(TRIM(Input!H1542&amp;""),"%","")),0)&lt;1),1,100))</f>
        <v/>
      </c>
      <c r="H1542" t="str">
        <f>IF(A1542="","",IFERROR(VALUE(SUBSTITUTE(TRIM(Input!I1542&amp;""),"%","")),0)/IF(AND(IFERROR(VALUE(SUBSTITUTE(TRIM(Input!I1542&amp;""),"%","")),0)&gt;0,IFERROR(VALUE(SUBSTITUTE(TRIM(Input!I1542&amp;""),"%","")),0)&lt;1),1,100))</f>
        <v/>
      </c>
    </row>
    <row r="1543" spans="1:8">
      <c r="A1543" t="str">
        <f>IF(TRIM(Input!B1543&amp;"")="","",UPPER(TRIM(Input!B1543&amp;"")))</f>
        <v/>
      </c>
      <c r="B1543" t="str">
        <f>IF(A1543="","",IFERROR(VALUE(RIGHT(TRIM(Input!D1543&amp;""),1)),0))</f>
        <v/>
      </c>
      <c r="C1543" t="str">
        <f t="shared" si="24"/>
        <v/>
      </c>
      <c r="D1543" t="str">
        <f>IF(A1543="","",IFERROR(VALUE(SUBSTITUTE(TRIM(Input!E1543&amp;""),"%","")),0)/IF(AND(IFERROR(VALUE(SUBSTITUTE(TRIM(Input!E1543&amp;""),"%","")),0)&gt;0,IFERROR(VALUE(SUBSTITUTE(TRIM(Input!E1543&amp;""),"%","")),0)&lt;1),1,100))</f>
        <v/>
      </c>
      <c r="E1543" t="str">
        <f>IF(A1543="","",IFERROR(VALUE(SUBSTITUTE(TRIM(Input!F1543&amp;""),"%","")),0)/IF(AND(IFERROR(VALUE(SUBSTITUTE(TRIM(Input!F1543&amp;""),"%","")),0)&gt;0,IFERROR(VALUE(SUBSTITUTE(TRIM(Input!F1543&amp;""),"%","")),0)&lt;1),1,100))</f>
        <v/>
      </c>
      <c r="F1543" t="str">
        <f>IF(A1543="","",IFERROR(VALUE(SUBSTITUTE(TRIM(Input!G1543&amp;""),"%","")),0)/IF(AND(IFERROR(VALUE(SUBSTITUTE(TRIM(Input!G1543&amp;""),"%","")),0)&gt;0,IFERROR(VALUE(SUBSTITUTE(TRIM(Input!G1543&amp;""),"%","")),0)&lt;1),1,100))</f>
        <v/>
      </c>
      <c r="G1543" t="str">
        <f>IF(A1543="","",IFERROR(VALUE(SUBSTITUTE(TRIM(Input!H1543&amp;""),"%","")),0)/IF(AND(IFERROR(VALUE(SUBSTITUTE(TRIM(Input!H1543&amp;""),"%","")),0)&gt;0,IFERROR(VALUE(SUBSTITUTE(TRIM(Input!H1543&amp;""),"%","")),0)&lt;1),1,100))</f>
        <v/>
      </c>
      <c r="H1543" t="str">
        <f>IF(A1543="","",IFERROR(VALUE(SUBSTITUTE(TRIM(Input!I1543&amp;""),"%","")),0)/IF(AND(IFERROR(VALUE(SUBSTITUTE(TRIM(Input!I1543&amp;""),"%","")),0)&gt;0,IFERROR(VALUE(SUBSTITUTE(TRIM(Input!I1543&amp;""),"%","")),0)&lt;1),1,100))</f>
        <v/>
      </c>
    </row>
    <row r="1544" spans="1:8">
      <c r="A1544" t="str">
        <f>IF(TRIM(Input!B1544&amp;"")="","",UPPER(TRIM(Input!B1544&amp;"")))</f>
        <v/>
      </c>
      <c r="B1544" t="str">
        <f>IF(A1544="","",IFERROR(VALUE(RIGHT(TRIM(Input!D1544&amp;""),1)),0))</f>
        <v/>
      </c>
      <c r="C1544" t="str">
        <f t="shared" si="24"/>
        <v/>
      </c>
      <c r="D1544" t="str">
        <f>IF(A1544="","",IFERROR(VALUE(SUBSTITUTE(TRIM(Input!E1544&amp;""),"%","")),0)/IF(AND(IFERROR(VALUE(SUBSTITUTE(TRIM(Input!E1544&amp;""),"%","")),0)&gt;0,IFERROR(VALUE(SUBSTITUTE(TRIM(Input!E1544&amp;""),"%","")),0)&lt;1),1,100))</f>
        <v/>
      </c>
      <c r="E1544" t="str">
        <f>IF(A1544="","",IFERROR(VALUE(SUBSTITUTE(TRIM(Input!F1544&amp;""),"%","")),0)/IF(AND(IFERROR(VALUE(SUBSTITUTE(TRIM(Input!F1544&amp;""),"%","")),0)&gt;0,IFERROR(VALUE(SUBSTITUTE(TRIM(Input!F1544&amp;""),"%","")),0)&lt;1),1,100))</f>
        <v/>
      </c>
      <c r="F1544" t="str">
        <f>IF(A1544="","",IFERROR(VALUE(SUBSTITUTE(TRIM(Input!G1544&amp;""),"%","")),0)/IF(AND(IFERROR(VALUE(SUBSTITUTE(TRIM(Input!G1544&amp;""),"%","")),0)&gt;0,IFERROR(VALUE(SUBSTITUTE(TRIM(Input!G1544&amp;""),"%","")),0)&lt;1),1,100))</f>
        <v/>
      </c>
      <c r="G1544" t="str">
        <f>IF(A1544="","",IFERROR(VALUE(SUBSTITUTE(TRIM(Input!H1544&amp;""),"%","")),0)/IF(AND(IFERROR(VALUE(SUBSTITUTE(TRIM(Input!H1544&amp;""),"%","")),0)&gt;0,IFERROR(VALUE(SUBSTITUTE(TRIM(Input!H1544&amp;""),"%","")),0)&lt;1),1,100))</f>
        <v/>
      </c>
      <c r="H1544" t="str">
        <f>IF(A1544="","",IFERROR(VALUE(SUBSTITUTE(TRIM(Input!I1544&amp;""),"%","")),0)/IF(AND(IFERROR(VALUE(SUBSTITUTE(TRIM(Input!I1544&amp;""),"%","")),0)&gt;0,IFERROR(VALUE(SUBSTITUTE(TRIM(Input!I1544&amp;""),"%","")),0)&lt;1),1,100))</f>
        <v/>
      </c>
    </row>
    <row r="1545" spans="1:8">
      <c r="A1545" t="str">
        <f>IF(TRIM(Input!B1545&amp;"")="","",UPPER(TRIM(Input!B1545&amp;"")))</f>
        <v/>
      </c>
      <c r="B1545" t="str">
        <f>IF(A1545="","",IFERROR(VALUE(RIGHT(TRIM(Input!D1545&amp;""),1)),0))</f>
        <v/>
      </c>
      <c r="C1545" t="str">
        <f t="shared" si="24"/>
        <v/>
      </c>
      <c r="D1545" t="str">
        <f>IF(A1545="","",IFERROR(VALUE(SUBSTITUTE(TRIM(Input!E1545&amp;""),"%","")),0)/IF(AND(IFERROR(VALUE(SUBSTITUTE(TRIM(Input!E1545&amp;""),"%","")),0)&gt;0,IFERROR(VALUE(SUBSTITUTE(TRIM(Input!E1545&amp;""),"%","")),0)&lt;1),1,100))</f>
        <v/>
      </c>
      <c r="E1545" t="str">
        <f>IF(A1545="","",IFERROR(VALUE(SUBSTITUTE(TRIM(Input!F1545&amp;""),"%","")),0)/IF(AND(IFERROR(VALUE(SUBSTITUTE(TRIM(Input!F1545&amp;""),"%","")),0)&gt;0,IFERROR(VALUE(SUBSTITUTE(TRIM(Input!F1545&amp;""),"%","")),0)&lt;1),1,100))</f>
        <v/>
      </c>
      <c r="F1545" t="str">
        <f>IF(A1545="","",IFERROR(VALUE(SUBSTITUTE(TRIM(Input!G1545&amp;""),"%","")),0)/IF(AND(IFERROR(VALUE(SUBSTITUTE(TRIM(Input!G1545&amp;""),"%","")),0)&gt;0,IFERROR(VALUE(SUBSTITUTE(TRIM(Input!G1545&amp;""),"%","")),0)&lt;1),1,100))</f>
        <v/>
      </c>
      <c r="G1545" t="str">
        <f>IF(A1545="","",IFERROR(VALUE(SUBSTITUTE(TRIM(Input!H1545&amp;""),"%","")),0)/IF(AND(IFERROR(VALUE(SUBSTITUTE(TRIM(Input!H1545&amp;""),"%","")),0)&gt;0,IFERROR(VALUE(SUBSTITUTE(TRIM(Input!H1545&amp;""),"%","")),0)&lt;1),1,100))</f>
        <v/>
      </c>
      <c r="H1545" t="str">
        <f>IF(A1545="","",IFERROR(VALUE(SUBSTITUTE(TRIM(Input!I1545&amp;""),"%","")),0)/IF(AND(IFERROR(VALUE(SUBSTITUTE(TRIM(Input!I1545&amp;""),"%","")),0)&gt;0,IFERROR(VALUE(SUBSTITUTE(TRIM(Input!I1545&amp;""),"%","")),0)&lt;1),1,100))</f>
        <v/>
      </c>
    </row>
    <row r="1546" spans="1:8">
      <c r="A1546" t="str">
        <f>IF(TRIM(Input!B1546&amp;"")="","",UPPER(TRIM(Input!B1546&amp;"")))</f>
        <v/>
      </c>
      <c r="B1546" t="str">
        <f>IF(A1546="","",IFERROR(VALUE(RIGHT(TRIM(Input!D1546&amp;""),1)),0))</f>
        <v/>
      </c>
      <c r="C1546" t="str">
        <f t="shared" si="24"/>
        <v/>
      </c>
      <c r="D1546" t="str">
        <f>IF(A1546="","",IFERROR(VALUE(SUBSTITUTE(TRIM(Input!E1546&amp;""),"%","")),0)/IF(AND(IFERROR(VALUE(SUBSTITUTE(TRIM(Input!E1546&amp;""),"%","")),0)&gt;0,IFERROR(VALUE(SUBSTITUTE(TRIM(Input!E1546&amp;""),"%","")),0)&lt;1),1,100))</f>
        <v/>
      </c>
      <c r="E1546" t="str">
        <f>IF(A1546="","",IFERROR(VALUE(SUBSTITUTE(TRIM(Input!F1546&amp;""),"%","")),0)/IF(AND(IFERROR(VALUE(SUBSTITUTE(TRIM(Input!F1546&amp;""),"%","")),0)&gt;0,IFERROR(VALUE(SUBSTITUTE(TRIM(Input!F1546&amp;""),"%","")),0)&lt;1),1,100))</f>
        <v/>
      </c>
      <c r="F1546" t="str">
        <f>IF(A1546="","",IFERROR(VALUE(SUBSTITUTE(TRIM(Input!G1546&amp;""),"%","")),0)/IF(AND(IFERROR(VALUE(SUBSTITUTE(TRIM(Input!G1546&amp;""),"%","")),0)&gt;0,IFERROR(VALUE(SUBSTITUTE(TRIM(Input!G1546&amp;""),"%","")),0)&lt;1),1,100))</f>
        <v/>
      </c>
      <c r="G1546" t="str">
        <f>IF(A1546="","",IFERROR(VALUE(SUBSTITUTE(TRIM(Input!H1546&amp;""),"%","")),0)/IF(AND(IFERROR(VALUE(SUBSTITUTE(TRIM(Input!H1546&amp;""),"%","")),0)&gt;0,IFERROR(VALUE(SUBSTITUTE(TRIM(Input!H1546&amp;""),"%","")),0)&lt;1),1,100))</f>
        <v/>
      </c>
      <c r="H1546" t="str">
        <f>IF(A1546="","",IFERROR(VALUE(SUBSTITUTE(TRIM(Input!I1546&amp;""),"%","")),0)/IF(AND(IFERROR(VALUE(SUBSTITUTE(TRIM(Input!I1546&amp;""),"%","")),0)&gt;0,IFERROR(VALUE(SUBSTITUTE(TRIM(Input!I1546&amp;""),"%","")),0)&lt;1),1,100))</f>
        <v/>
      </c>
    </row>
    <row r="1547" spans="1:8">
      <c r="A1547" t="str">
        <f>IF(TRIM(Input!B1547&amp;"")="","",UPPER(TRIM(Input!B1547&amp;"")))</f>
        <v/>
      </c>
      <c r="B1547" t="str">
        <f>IF(A1547="","",IFERROR(VALUE(RIGHT(TRIM(Input!D1547&amp;""),1)),0))</f>
        <v/>
      </c>
      <c r="C1547" t="str">
        <f t="shared" si="24"/>
        <v/>
      </c>
      <c r="D1547" t="str">
        <f>IF(A1547="","",IFERROR(VALUE(SUBSTITUTE(TRIM(Input!E1547&amp;""),"%","")),0)/IF(AND(IFERROR(VALUE(SUBSTITUTE(TRIM(Input!E1547&amp;""),"%","")),0)&gt;0,IFERROR(VALUE(SUBSTITUTE(TRIM(Input!E1547&amp;""),"%","")),0)&lt;1),1,100))</f>
        <v/>
      </c>
      <c r="E1547" t="str">
        <f>IF(A1547="","",IFERROR(VALUE(SUBSTITUTE(TRIM(Input!F1547&amp;""),"%","")),0)/IF(AND(IFERROR(VALUE(SUBSTITUTE(TRIM(Input!F1547&amp;""),"%","")),0)&gt;0,IFERROR(VALUE(SUBSTITUTE(TRIM(Input!F1547&amp;""),"%","")),0)&lt;1),1,100))</f>
        <v/>
      </c>
      <c r="F1547" t="str">
        <f>IF(A1547="","",IFERROR(VALUE(SUBSTITUTE(TRIM(Input!G1547&amp;""),"%","")),0)/IF(AND(IFERROR(VALUE(SUBSTITUTE(TRIM(Input!G1547&amp;""),"%","")),0)&gt;0,IFERROR(VALUE(SUBSTITUTE(TRIM(Input!G1547&amp;""),"%","")),0)&lt;1),1,100))</f>
        <v/>
      </c>
      <c r="G1547" t="str">
        <f>IF(A1547="","",IFERROR(VALUE(SUBSTITUTE(TRIM(Input!H1547&amp;""),"%","")),0)/IF(AND(IFERROR(VALUE(SUBSTITUTE(TRIM(Input!H1547&amp;""),"%","")),0)&gt;0,IFERROR(VALUE(SUBSTITUTE(TRIM(Input!H1547&amp;""),"%","")),0)&lt;1),1,100))</f>
        <v/>
      </c>
      <c r="H1547" t="str">
        <f>IF(A1547="","",IFERROR(VALUE(SUBSTITUTE(TRIM(Input!I1547&amp;""),"%","")),0)/IF(AND(IFERROR(VALUE(SUBSTITUTE(TRIM(Input!I1547&amp;""),"%","")),0)&gt;0,IFERROR(VALUE(SUBSTITUTE(TRIM(Input!I1547&amp;""),"%","")),0)&lt;1),1,100))</f>
        <v/>
      </c>
    </row>
    <row r="1548" spans="1:8">
      <c r="A1548" t="str">
        <f>IF(TRIM(Input!B1548&amp;"")="","",UPPER(TRIM(Input!B1548&amp;"")))</f>
        <v/>
      </c>
      <c r="B1548" t="str">
        <f>IF(A1548="","",IFERROR(VALUE(RIGHT(TRIM(Input!D1548&amp;""),1)),0))</f>
        <v/>
      </c>
      <c r="C1548" t="str">
        <f t="shared" si="24"/>
        <v/>
      </c>
      <c r="D1548" t="str">
        <f>IF(A1548="","",IFERROR(VALUE(SUBSTITUTE(TRIM(Input!E1548&amp;""),"%","")),0)/IF(AND(IFERROR(VALUE(SUBSTITUTE(TRIM(Input!E1548&amp;""),"%","")),0)&gt;0,IFERROR(VALUE(SUBSTITUTE(TRIM(Input!E1548&amp;""),"%","")),0)&lt;1),1,100))</f>
        <v/>
      </c>
      <c r="E1548" t="str">
        <f>IF(A1548="","",IFERROR(VALUE(SUBSTITUTE(TRIM(Input!F1548&amp;""),"%","")),0)/IF(AND(IFERROR(VALUE(SUBSTITUTE(TRIM(Input!F1548&amp;""),"%","")),0)&gt;0,IFERROR(VALUE(SUBSTITUTE(TRIM(Input!F1548&amp;""),"%","")),0)&lt;1),1,100))</f>
        <v/>
      </c>
      <c r="F1548" t="str">
        <f>IF(A1548="","",IFERROR(VALUE(SUBSTITUTE(TRIM(Input!G1548&amp;""),"%","")),0)/IF(AND(IFERROR(VALUE(SUBSTITUTE(TRIM(Input!G1548&amp;""),"%","")),0)&gt;0,IFERROR(VALUE(SUBSTITUTE(TRIM(Input!G1548&amp;""),"%","")),0)&lt;1),1,100))</f>
        <v/>
      </c>
      <c r="G1548" t="str">
        <f>IF(A1548="","",IFERROR(VALUE(SUBSTITUTE(TRIM(Input!H1548&amp;""),"%","")),0)/IF(AND(IFERROR(VALUE(SUBSTITUTE(TRIM(Input!H1548&amp;""),"%","")),0)&gt;0,IFERROR(VALUE(SUBSTITUTE(TRIM(Input!H1548&amp;""),"%","")),0)&lt;1),1,100))</f>
        <v/>
      </c>
      <c r="H1548" t="str">
        <f>IF(A1548="","",IFERROR(VALUE(SUBSTITUTE(TRIM(Input!I1548&amp;""),"%","")),0)/IF(AND(IFERROR(VALUE(SUBSTITUTE(TRIM(Input!I1548&amp;""),"%","")),0)&gt;0,IFERROR(VALUE(SUBSTITUTE(TRIM(Input!I1548&amp;""),"%","")),0)&lt;1),1,100))</f>
        <v/>
      </c>
    </row>
    <row r="1549" spans="1:8">
      <c r="A1549" t="str">
        <f>IF(TRIM(Input!B1549&amp;"")="","",UPPER(TRIM(Input!B1549&amp;"")))</f>
        <v/>
      </c>
      <c r="B1549" t="str">
        <f>IF(A1549="","",IFERROR(VALUE(RIGHT(TRIM(Input!D1549&amp;""),1)),0))</f>
        <v/>
      </c>
      <c r="C1549" t="str">
        <f t="shared" si="24"/>
        <v/>
      </c>
      <c r="D1549" t="str">
        <f>IF(A1549="","",IFERROR(VALUE(SUBSTITUTE(TRIM(Input!E1549&amp;""),"%","")),0)/IF(AND(IFERROR(VALUE(SUBSTITUTE(TRIM(Input!E1549&amp;""),"%","")),0)&gt;0,IFERROR(VALUE(SUBSTITUTE(TRIM(Input!E1549&amp;""),"%","")),0)&lt;1),1,100))</f>
        <v/>
      </c>
      <c r="E1549" t="str">
        <f>IF(A1549="","",IFERROR(VALUE(SUBSTITUTE(TRIM(Input!F1549&amp;""),"%","")),0)/IF(AND(IFERROR(VALUE(SUBSTITUTE(TRIM(Input!F1549&amp;""),"%","")),0)&gt;0,IFERROR(VALUE(SUBSTITUTE(TRIM(Input!F1549&amp;""),"%","")),0)&lt;1),1,100))</f>
        <v/>
      </c>
      <c r="F1549" t="str">
        <f>IF(A1549="","",IFERROR(VALUE(SUBSTITUTE(TRIM(Input!G1549&amp;""),"%","")),0)/IF(AND(IFERROR(VALUE(SUBSTITUTE(TRIM(Input!G1549&amp;""),"%","")),0)&gt;0,IFERROR(VALUE(SUBSTITUTE(TRIM(Input!G1549&amp;""),"%","")),0)&lt;1),1,100))</f>
        <v/>
      </c>
      <c r="G1549" t="str">
        <f>IF(A1549="","",IFERROR(VALUE(SUBSTITUTE(TRIM(Input!H1549&amp;""),"%","")),0)/IF(AND(IFERROR(VALUE(SUBSTITUTE(TRIM(Input!H1549&amp;""),"%","")),0)&gt;0,IFERROR(VALUE(SUBSTITUTE(TRIM(Input!H1549&amp;""),"%","")),0)&lt;1),1,100))</f>
        <v/>
      </c>
      <c r="H1549" t="str">
        <f>IF(A1549="","",IFERROR(VALUE(SUBSTITUTE(TRIM(Input!I1549&amp;""),"%","")),0)/IF(AND(IFERROR(VALUE(SUBSTITUTE(TRIM(Input!I1549&amp;""),"%","")),0)&gt;0,IFERROR(VALUE(SUBSTITUTE(TRIM(Input!I1549&amp;""),"%","")),0)&lt;1),1,100))</f>
        <v/>
      </c>
    </row>
    <row r="1550" spans="1:8">
      <c r="A1550" t="str">
        <f>IF(TRIM(Input!B1550&amp;"")="","",UPPER(TRIM(Input!B1550&amp;"")))</f>
        <v/>
      </c>
      <c r="B1550" t="str">
        <f>IF(A1550="","",IFERROR(VALUE(RIGHT(TRIM(Input!D1550&amp;""),1)),0))</f>
        <v/>
      </c>
      <c r="C1550" t="str">
        <f t="shared" si="24"/>
        <v/>
      </c>
      <c r="D1550" t="str">
        <f>IF(A1550="","",IFERROR(VALUE(SUBSTITUTE(TRIM(Input!E1550&amp;""),"%","")),0)/IF(AND(IFERROR(VALUE(SUBSTITUTE(TRIM(Input!E1550&amp;""),"%","")),0)&gt;0,IFERROR(VALUE(SUBSTITUTE(TRIM(Input!E1550&amp;""),"%","")),0)&lt;1),1,100))</f>
        <v/>
      </c>
      <c r="E1550" t="str">
        <f>IF(A1550="","",IFERROR(VALUE(SUBSTITUTE(TRIM(Input!F1550&amp;""),"%","")),0)/IF(AND(IFERROR(VALUE(SUBSTITUTE(TRIM(Input!F1550&amp;""),"%","")),0)&gt;0,IFERROR(VALUE(SUBSTITUTE(TRIM(Input!F1550&amp;""),"%","")),0)&lt;1),1,100))</f>
        <v/>
      </c>
      <c r="F1550" t="str">
        <f>IF(A1550="","",IFERROR(VALUE(SUBSTITUTE(TRIM(Input!G1550&amp;""),"%","")),0)/IF(AND(IFERROR(VALUE(SUBSTITUTE(TRIM(Input!G1550&amp;""),"%","")),0)&gt;0,IFERROR(VALUE(SUBSTITUTE(TRIM(Input!G1550&amp;""),"%","")),0)&lt;1),1,100))</f>
        <v/>
      </c>
      <c r="G1550" t="str">
        <f>IF(A1550="","",IFERROR(VALUE(SUBSTITUTE(TRIM(Input!H1550&amp;""),"%","")),0)/IF(AND(IFERROR(VALUE(SUBSTITUTE(TRIM(Input!H1550&amp;""),"%","")),0)&gt;0,IFERROR(VALUE(SUBSTITUTE(TRIM(Input!H1550&amp;""),"%","")),0)&lt;1),1,100))</f>
        <v/>
      </c>
      <c r="H1550" t="str">
        <f>IF(A1550="","",IFERROR(VALUE(SUBSTITUTE(TRIM(Input!I1550&amp;""),"%","")),0)/IF(AND(IFERROR(VALUE(SUBSTITUTE(TRIM(Input!I1550&amp;""),"%","")),0)&gt;0,IFERROR(VALUE(SUBSTITUTE(TRIM(Input!I1550&amp;""),"%","")),0)&lt;1),1,100))</f>
        <v/>
      </c>
    </row>
    <row r="1551" spans="1:8">
      <c r="A1551" t="str">
        <f>IF(TRIM(Input!B1551&amp;"")="","",UPPER(TRIM(Input!B1551&amp;"")))</f>
        <v/>
      </c>
      <c r="B1551" t="str">
        <f>IF(A1551="","",IFERROR(VALUE(RIGHT(TRIM(Input!D1551&amp;""),1)),0))</f>
        <v/>
      </c>
      <c r="C1551" t="str">
        <f t="shared" si="24"/>
        <v/>
      </c>
      <c r="D1551" t="str">
        <f>IF(A1551="","",IFERROR(VALUE(SUBSTITUTE(TRIM(Input!E1551&amp;""),"%","")),0)/IF(AND(IFERROR(VALUE(SUBSTITUTE(TRIM(Input!E1551&amp;""),"%","")),0)&gt;0,IFERROR(VALUE(SUBSTITUTE(TRIM(Input!E1551&amp;""),"%","")),0)&lt;1),1,100))</f>
        <v/>
      </c>
      <c r="E1551" t="str">
        <f>IF(A1551="","",IFERROR(VALUE(SUBSTITUTE(TRIM(Input!F1551&amp;""),"%","")),0)/IF(AND(IFERROR(VALUE(SUBSTITUTE(TRIM(Input!F1551&amp;""),"%","")),0)&gt;0,IFERROR(VALUE(SUBSTITUTE(TRIM(Input!F1551&amp;""),"%","")),0)&lt;1),1,100))</f>
        <v/>
      </c>
      <c r="F1551" t="str">
        <f>IF(A1551="","",IFERROR(VALUE(SUBSTITUTE(TRIM(Input!G1551&amp;""),"%","")),0)/IF(AND(IFERROR(VALUE(SUBSTITUTE(TRIM(Input!G1551&amp;""),"%","")),0)&gt;0,IFERROR(VALUE(SUBSTITUTE(TRIM(Input!G1551&amp;""),"%","")),0)&lt;1),1,100))</f>
        <v/>
      </c>
      <c r="G1551" t="str">
        <f>IF(A1551="","",IFERROR(VALUE(SUBSTITUTE(TRIM(Input!H1551&amp;""),"%","")),0)/IF(AND(IFERROR(VALUE(SUBSTITUTE(TRIM(Input!H1551&amp;""),"%","")),0)&gt;0,IFERROR(VALUE(SUBSTITUTE(TRIM(Input!H1551&amp;""),"%","")),0)&lt;1),1,100))</f>
        <v/>
      </c>
      <c r="H1551" t="str">
        <f>IF(A1551="","",IFERROR(VALUE(SUBSTITUTE(TRIM(Input!I1551&amp;""),"%","")),0)/IF(AND(IFERROR(VALUE(SUBSTITUTE(TRIM(Input!I1551&amp;""),"%","")),0)&gt;0,IFERROR(VALUE(SUBSTITUTE(TRIM(Input!I1551&amp;""),"%","")),0)&lt;1),1,100))</f>
        <v/>
      </c>
    </row>
    <row r="1552" spans="1:8">
      <c r="A1552" t="str">
        <f>IF(TRIM(Input!B1552&amp;"")="","",UPPER(TRIM(Input!B1552&amp;"")))</f>
        <v/>
      </c>
      <c r="B1552" t="str">
        <f>IF(A1552="","",IFERROR(VALUE(RIGHT(TRIM(Input!D1552&amp;""),1)),0))</f>
        <v/>
      </c>
      <c r="C1552" t="str">
        <f t="shared" si="24"/>
        <v/>
      </c>
      <c r="D1552" t="str">
        <f>IF(A1552="","",IFERROR(VALUE(SUBSTITUTE(TRIM(Input!E1552&amp;""),"%","")),0)/IF(AND(IFERROR(VALUE(SUBSTITUTE(TRIM(Input!E1552&amp;""),"%","")),0)&gt;0,IFERROR(VALUE(SUBSTITUTE(TRIM(Input!E1552&amp;""),"%","")),0)&lt;1),1,100))</f>
        <v/>
      </c>
      <c r="E1552" t="str">
        <f>IF(A1552="","",IFERROR(VALUE(SUBSTITUTE(TRIM(Input!F1552&amp;""),"%","")),0)/IF(AND(IFERROR(VALUE(SUBSTITUTE(TRIM(Input!F1552&amp;""),"%","")),0)&gt;0,IFERROR(VALUE(SUBSTITUTE(TRIM(Input!F1552&amp;""),"%","")),0)&lt;1),1,100))</f>
        <v/>
      </c>
      <c r="F1552" t="str">
        <f>IF(A1552="","",IFERROR(VALUE(SUBSTITUTE(TRIM(Input!G1552&amp;""),"%","")),0)/IF(AND(IFERROR(VALUE(SUBSTITUTE(TRIM(Input!G1552&amp;""),"%","")),0)&gt;0,IFERROR(VALUE(SUBSTITUTE(TRIM(Input!G1552&amp;""),"%","")),0)&lt;1),1,100))</f>
        <v/>
      </c>
      <c r="G1552" t="str">
        <f>IF(A1552="","",IFERROR(VALUE(SUBSTITUTE(TRIM(Input!H1552&amp;""),"%","")),0)/IF(AND(IFERROR(VALUE(SUBSTITUTE(TRIM(Input!H1552&amp;""),"%","")),0)&gt;0,IFERROR(VALUE(SUBSTITUTE(TRIM(Input!H1552&amp;""),"%","")),0)&lt;1),1,100))</f>
        <v/>
      </c>
      <c r="H1552" t="str">
        <f>IF(A1552="","",IFERROR(VALUE(SUBSTITUTE(TRIM(Input!I1552&amp;""),"%","")),0)/IF(AND(IFERROR(VALUE(SUBSTITUTE(TRIM(Input!I1552&amp;""),"%","")),0)&gt;0,IFERROR(VALUE(SUBSTITUTE(TRIM(Input!I1552&amp;""),"%","")),0)&lt;1),1,100))</f>
        <v/>
      </c>
    </row>
    <row r="1553" spans="1:8">
      <c r="A1553" t="str">
        <f>IF(TRIM(Input!B1553&amp;"")="","",UPPER(TRIM(Input!B1553&amp;"")))</f>
        <v/>
      </c>
      <c r="B1553" t="str">
        <f>IF(A1553="","",IFERROR(VALUE(RIGHT(TRIM(Input!D1553&amp;""),1)),0))</f>
        <v/>
      </c>
      <c r="C1553" t="str">
        <f t="shared" si="24"/>
        <v/>
      </c>
      <c r="D1553" t="str">
        <f>IF(A1553="","",IFERROR(VALUE(SUBSTITUTE(TRIM(Input!E1553&amp;""),"%","")),0)/IF(AND(IFERROR(VALUE(SUBSTITUTE(TRIM(Input!E1553&amp;""),"%","")),0)&gt;0,IFERROR(VALUE(SUBSTITUTE(TRIM(Input!E1553&amp;""),"%","")),0)&lt;1),1,100))</f>
        <v/>
      </c>
      <c r="E1553" t="str">
        <f>IF(A1553="","",IFERROR(VALUE(SUBSTITUTE(TRIM(Input!F1553&amp;""),"%","")),0)/IF(AND(IFERROR(VALUE(SUBSTITUTE(TRIM(Input!F1553&amp;""),"%","")),0)&gt;0,IFERROR(VALUE(SUBSTITUTE(TRIM(Input!F1553&amp;""),"%","")),0)&lt;1),1,100))</f>
        <v/>
      </c>
      <c r="F1553" t="str">
        <f>IF(A1553="","",IFERROR(VALUE(SUBSTITUTE(TRIM(Input!G1553&amp;""),"%","")),0)/IF(AND(IFERROR(VALUE(SUBSTITUTE(TRIM(Input!G1553&amp;""),"%","")),0)&gt;0,IFERROR(VALUE(SUBSTITUTE(TRIM(Input!G1553&amp;""),"%","")),0)&lt;1),1,100))</f>
        <v/>
      </c>
      <c r="G1553" t="str">
        <f>IF(A1553="","",IFERROR(VALUE(SUBSTITUTE(TRIM(Input!H1553&amp;""),"%","")),0)/IF(AND(IFERROR(VALUE(SUBSTITUTE(TRIM(Input!H1553&amp;""),"%","")),0)&gt;0,IFERROR(VALUE(SUBSTITUTE(TRIM(Input!H1553&amp;""),"%","")),0)&lt;1),1,100))</f>
        <v/>
      </c>
      <c r="H1553" t="str">
        <f>IF(A1553="","",IFERROR(VALUE(SUBSTITUTE(TRIM(Input!I1553&amp;""),"%","")),0)/IF(AND(IFERROR(VALUE(SUBSTITUTE(TRIM(Input!I1553&amp;""),"%","")),0)&gt;0,IFERROR(VALUE(SUBSTITUTE(TRIM(Input!I1553&amp;""),"%","")),0)&lt;1),1,100))</f>
        <v/>
      </c>
    </row>
    <row r="1554" spans="1:8">
      <c r="A1554" t="str">
        <f>IF(TRIM(Input!B1554&amp;"")="","",UPPER(TRIM(Input!B1554&amp;"")))</f>
        <v/>
      </c>
      <c r="B1554" t="str">
        <f>IF(A1554="","",IFERROR(VALUE(RIGHT(TRIM(Input!D1554&amp;""),1)),0))</f>
        <v/>
      </c>
      <c r="C1554" t="str">
        <f t="shared" si="24"/>
        <v/>
      </c>
      <c r="D1554" t="str">
        <f>IF(A1554="","",IFERROR(VALUE(SUBSTITUTE(TRIM(Input!E1554&amp;""),"%","")),0)/IF(AND(IFERROR(VALUE(SUBSTITUTE(TRIM(Input!E1554&amp;""),"%","")),0)&gt;0,IFERROR(VALUE(SUBSTITUTE(TRIM(Input!E1554&amp;""),"%","")),0)&lt;1),1,100))</f>
        <v/>
      </c>
      <c r="E1554" t="str">
        <f>IF(A1554="","",IFERROR(VALUE(SUBSTITUTE(TRIM(Input!F1554&amp;""),"%","")),0)/IF(AND(IFERROR(VALUE(SUBSTITUTE(TRIM(Input!F1554&amp;""),"%","")),0)&gt;0,IFERROR(VALUE(SUBSTITUTE(TRIM(Input!F1554&amp;""),"%","")),0)&lt;1),1,100))</f>
        <v/>
      </c>
      <c r="F1554" t="str">
        <f>IF(A1554="","",IFERROR(VALUE(SUBSTITUTE(TRIM(Input!G1554&amp;""),"%","")),0)/IF(AND(IFERROR(VALUE(SUBSTITUTE(TRIM(Input!G1554&amp;""),"%","")),0)&gt;0,IFERROR(VALUE(SUBSTITUTE(TRIM(Input!G1554&amp;""),"%","")),0)&lt;1),1,100))</f>
        <v/>
      </c>
      <c r="G1554" t="str">
        <f>IF(A1554="","",IFERROR(VALUE(SUBSTITUTE(TRIM(Input!H1554&amp;""),"%","")),0)/IF(AND(IFERROR(VALUE(SUBSTITUTE(TRIM(Input!H1554&amp;""),"%","")),0)&gt;0,IFERROR(VALUE(SUBSTITUTE(TRIM(Input!H1554&amp;""),"%","")),0)&lt;1),1,100))</f>
        <v/>
      </c>
      <c r="H1554" t="str">
        <f>IF(A1554="","",IFERROR(VALUE(SUBSTITUTE(TRIM(Input!I1554&amp;""),"%","")),0)/IF(AND(IFERROR(VALUE(SUBSTITUTE(TRIM(Input!I1554&amp;""),"%","")),0)&gt;0,IFERROR(VALUE(SUBSTITUTE(TRIM(Input!I1554&amp;""),"%","")),0)&lt;1),1,100))</f>
        <v/>
      </c>
    </row>
    <row r="1555" spans="1:8">
      <c r="A1555" t="str">
        <f>IF(TRIM(Input!B1555&amp;"")="","",UPPER(TRIM(Input!B1555&amp;"")))</f>
        <v/>
      </c>
      <c r="B1555" t="str">
        <f>IF(A1555="","",IFERROR(VALUE(RIGHT(TRIM(Input!D1555&amp;""),1)),0))</f>
        <v/>
      </c>
      <c r="C1555" t="str">
        <f t="shared" si="24"/>
        <v/>
      </c>
      <c r="D1555" t="str">
        <f>IF(A1555="","",IFERROR(VALUE(SUBSTITUTE(TRIM(Input!E1555&amp;""),"%","")),0)/IF(AND(IFERROR(VALUE(SUBSTITUTE(TRIM(Input!E1555&amp;""),"%","")),0)&gt;0,IFERROR(VALUE(SUBSTITUTE(TRIM(Input!E1555&amp;""),"%","")),0)&lt;1),1,100))</f>
        <v/>
      </c>
      <c r="E1555" t="str">
        <f>IF(A1555="","",IFERROR(VALUE(SUBSTITUTE(TRIM(Input!F1555&amp;""),"%","")),0)/IF(AND(IFERROR(VALUE(SUBSTITUTE(TRIM(Input!F1555&amp;""),"%","")),0)&gt;0,IFERROR(VALUE(SUBSTITUTE(TRIM(Input!F1555&amp;""),"%","")),0)&lt;1),1,100))</f>
        <v/>
      </c>
      <c r="F1555" t="str">
        <f>IF(A1555="","",IFERROR(VALUE(SUBSTITUTE(TRIM(Input!G1555&amp;""),"%","")),0)/IF(AND(IFERROR(VALUE(SUBSTITUTE(TRIM(Input!G1555&amp;""),"%","")),0)&gt;0,IFERROR(VALUE(SUBSTITUTE(TRIM(Input!G1555&amp;""),"%","")),0)&lt;1),1,100))</f>
        <v/>
      </c>
      <c r="G1555" t="str">
        <f>IF(A1555="","",IFERROR(VALUE(SUBSTITUTE(TRIM(Input!H1555&amp;""),"%","")),0)/IF(AND(IFERROR(VALUE(SUBSTITUTE(TRIM(Input!H1555&amp;""),"%","")),0)&gt;0,IFERROR(VALUE(SUBSTITUTE(TRIM(Input!H1555&amp;""),"%","")),0)&lt;1),1,100))</f>
        <v/>
      </c>
      <c r="H1555" t="str">
        <f>IF(A1555="","",IFERROR(VALUE(SUBSTITUTE(TRIM(Input!I1555&amp;""),"%","")),0)/IF(AND(IFERROR(VALUE(SUBSTITUTE(TRIM(Input!I1555&amp;""),"%","")),0)&gt;0,IFERROR(VALUE(SUBSTITUTE(TRIM(Input!I1555&amp;""),"%","")),0)&lt;1),1,100))</f>
        <v/>
      </c>
    </row>
    <row r="1556" spans="1:8">
      <c r="A1556" t="str">
        <f>IF(TRIM(Input!B1556&amp;"")="","",UPPER(TRIM(Input!B1556&amp;"")))</f>
        <v/>
      </c>
      <c r="B1556" t="str">
        <f>IF(A1556="","",IFERROR(VALUE(RIGHT(TRIM(Input!D1556&amp;""),1)),0))</f>
        <v/>
      </c>
      <c r="C1556" t="str">
        <f t="shared" si="24"/>
        <v/>
      </c>
      <c r="D1556" t="str">
        <f>IF(A1556="","",IFERROR(VALUE(SUBSTITUTE(TRIM(Input!E1556&amp;""),"%","")),0)/IF(AND(IFERROR(VALUE(SUBSTITUTE(TRIM(Input!E1556&amp;""),"%","")),0)&gt;0,IFERROR(VALUE(SUBSTITUTE(TRIM(Input!E1556&amp;""),"%","")),0)&lt;1),1,100))</f>
        <v/>
      </c>
      <c r="E1556" t="str">
        <f>IF(A1556="","",IFERROR(VALUE(SUBSTITUTE(TRIM(Input!F1556&amp;""),"%","")),0)/IF(AND(IFERROR(VALUE(SUBSTITUTE(TRIM(Input!F1556&amp;""),"%","")),0)&gt;0,IFERROR(VALUE(SUBSTITUTE(TRIM(Input!F1556&amp;""),"%","")),0)&lt;1),1,100))</f>
        <v/>
      </c>
      <c r="F1556" t="str">
        <f>IF(A1556="","",IFERROR(VALUE(SUBSTITUTE(TRIM(Input!G1556&amp;""),"%","")),0)/IF(AND(IFERROR(VALUE(SUBSTITUTE(TRIM(Input!G1556&amp;""),"%","")),0)&gt;0,IFERROR(VALUE(SUBSTITUTE(TRIM(Input!G1556&amp;""),"%","")),0)&lt;1),1,100))</f>
        <v/>
      </c>
      <c r="G1556" t="str">
        <f>IF(A1556="","",IFERROR(VALUE(SUBSTITUTE(TRIM(Input!H1556&amp;""),"%","")),0)/IF(AND(IFERROR(VALUE(SUBSTITUTE(TRIM(Input!H1556&amp;""),"%","")),0)&gt;0,IFERROR(VALUE(SUBSTITUTE(TRIM(Input!H1556&amp;""),"%","")),0)&lt;1),1,100))</f>
        <v/>
      </c>
      <c r="H1556" t="str">
        <f>IF(A1556="","",IFERROR(VALUE(SUBSTITUTE(TRIM(Input!I1556&amp;""),"%","")),0)/IF(AND(IFERROR(VALUE(SUBSTITUTE(TRIM(Input!I1556&amp;""),"%","")),0)&gt;0,IFERROR(VALUE(SUBSTITUTE(TRIM(Input!I1556&amp;""),"%","")),0)&lt;1),1,100))</f>
        <v/>
      </c>
    </row>
    <row r="1557" spans="1:8">
      <c r="A1557" t="str">
        <f>IF(TRIM(Input!B1557&amp;"")="","",UPPER(TRIM(Input!B1557&amp;"")))</f>
        <v/>
      </c>
      <c r="B1557" t="str">
        <f>IF(A1557="","",IFERROR(VALUE(RIGHT(TRIM(Input!D1557&amp;""),1)),0))</f>
        <v/>
      </c>
      <c r="C1557" t="str">
        <f t="shared" si="24"/>
        <v/>
      </c>
      <c r="D1557" t="str">
        <f>IF(A1557="","",IFERROR(VALUE(SUBSTITUTE(TRIM(Input!E1557&amp;""),"%","")),0)/IF(AND(IFERROR(VALUE(SUBSTITUTE(TRIM(Input!E1557&amp;""),"%","")),0)&gt;0,IFERROR(VALUE(SUBSTITUTE(TRIM(Input!E1557&amp;""),"%","")),0)&lt;1),1,100))</f>
        <v/>
      </c>
      <c r="E1557" t="str">
        <f>IF(A1557="","",IFERROR(VALUE(SUBSTITUTE(TRIM(Input!F1557&amp;""),"%","")),0)/IF(AND(IFERROR(VALUE(SUBSTITUTE(TRIM(Input!F1557&amp;""),"%","")),0)&gt;0,IFERROR(VALUE(SUBSTITUTE(TRIM(Input!F1557&amp;""),"%","")),0)&lt;1),1,100))</f>
        <v/>
      </c>
      <c r="F1557" t="str">
        <f>IF(A1557="","",IFERROR(VALUE(SUBSTITUTE(TRIM(Input!G1557&amp;""),"%","")),0)/IF(AND(IFERROR(VALUE(SUBSTITUTE(TRIM(Input!G1557&amp;""),"%","")),0)&gt;0,IFERROR(VALUE(SUBSTITUTE(TRIM(Input!G1557&amp;""),"%","")),0)&lt;1),1,100))</f>
        <v/>
      </c>
      <c r="G1557" t="str">
        <f>IF(A1557="","",IFERROR(VALUE(SUBSTITUTE(TRIM(Input!H1557&amp;""),"%","")),0)/IF(AND(IFERROR(VALUE(SUBSTITUTE(TRIM(Input!H1557&amp;""),"%","")),0)&gt;0,IFERROR(VALUE(SUBSTITUTE(TRIM(Input!H1557&amp;""),"%","")),0)&lt;1),1,100))</f>
        <v/>
      </c>
      <c r="H1557" t="str">
        <f>IF(A1557="","",IFERROR(VALUE(SUBSTITUTE(TRIM(Input!I1557&amp;""),"%","")),0)/IF(AND(IFERROR(VALUE(SUBSTITUTE(TRIM(Input!I1557&amp;""),"%","")),0)&gt;0,IFERROR(VALUE(SUBSTITUTE(TRIM(Input!I1557&amp;""),"%","")),0)&lt;1),1,100))</f>
        <v/>
      </c>
    </row>
    <row r="1558" spans="1:8">
      <c r="A1558" t="str">
        <f>IF(TRIM(Input!B1558&amp;"")="","",UPPER(TRIM(Input!B1558&amp;"")))</f>
        <v/>
      </c>
      <c r="B1558" t="str">
        <f>IF(A1558="","",IFERROR(VALUE(RIGHT(TRIM(Input!D1558&amp;""),1)),0))</f>
        <v/>
      </c>
      <c r="C1558" t="str">
        <f t="shared" si="24"/>
        <v/>
      </c>
      <c r="D1558" t="str">
        <f>IF(A1558="","",IFERROR(VALUE(SUBSTITUTE(TRIM(Input!E1558&amp;""),"%","")),0)/IF(AND(IFERROR(VALUE(SUBSTITUTE(TRIM(Input!E1558&amp;""),"%","")),0)&gt;0,IFERROR(VALUE(SUBSTITUTE(TRIM(Input!E1558&amp;""),"%","")),0)&lt;1),1,100))</f>
        <v/>
      </c>
      <c r="E1558" t="str">
        <f>IF(A1558="","",IFERROR(VALUE(SUBSTITUTE(TRIM(Input!F1558&amp;""),"%","")),0)/IF(AND(IFERROR(VALUE(SUBSTITUTE(TRIM(Input!F1558&amp;""),"%","")),0)&gt;0,IFERROR(VALUE(SUBSTITUTE(TRIM(Input!F1558&amp;""),"%","")),0)&lt;1),1,100))</f>
        <v/>
      </c>
      <c r="F1558" t="str">
        <f>IF(A1558="","",IFERROR(VALUE(SUBSTITUTE(TRIM(Input!G1558&amp;""),"%","")),0)/IF(AND(IFERROR(VALUE(SUBSTITUTE(TRIM(Input!G1558&amp;""),"%","")),0)&gt;0,IFERROR(VALUE(SUBSTITUTE(TRIM(Input!G1558&amp;""),"%","")),0)&lt;1),1,100))</f>
        <v/>
      </c>
      <c r="G1558" t="str">
        <f>IF(A1558="","",IFERROR(VALUE(SUBSTITUTE(TRIM(Input!H1558&amp;""),"%","")),0)/IF(AND(IFERROR(VALUE(SUBSTITUTE(TRIM(Input!H1558&amp;""),"%","")),0)&gt;0,IFERROR(VALUE(SUBSTITUTE(TRIM(Input!H1558&amp;""),"%","")),0)&lt;1),1,100))</f>
        <v/>
      </c>
      <c r="H1558" t="str">
        <f>IF(A1558="","",IFERROR(VALUE(SUBSTITUTE(TRIM(Input!I1558&amp;""),"%","")),0)/IF(AND(IFERROR(VALUE(SUBSTITUTE(TRIM(Input!I1558&amp;""),"%","")),0)&gt;0,IFERROR(VALUE(SUBSTITUTE(TRIM(Input!I1558&amp;""),"%","")),0)&lt;1),1,100))</f>
        <v/>
      </c>
    </row>
    <row r="1559" spans="1:8">
      <c r="A1559" t="str">
        <f>IF(TRIM(Input!B1559&amp;"")="","",UPPER(TRIM(Input!B1559&amp;"")))</f>
        <v/>
      </c>
      <c r="B1559" t="str">
        <f>IF(A1559="","",IFERROR(VALUE(RIGHT(TRIM(Input!D1559&amp;""),1)),0))</f>
        <v/>
      </c>
      <c r="C1559" t="str">
        <f t="shared" si="24"/>
        <v/>
      </c>
      <c r="D1559" t="str">
        <f>IF(A1559="","",IFERROR(VALUE(SUBSTITUTE(TRIM(Input!E1559&amp;""),"%","")),0)/IF(AND(IFERROR(VALUE(SUBSTITUTE(TRIM(Input!E1559&amp;""),"%","")),0)&gt;0,IFERROR(VALUE(SUBSTITUTE(TRIM(Input!E1559&amp;""),"%","")),0)&lt;1),1,100))</f>
        <v/>
      </c>
      <c r="E1559" t="str">
        <f>IF(A1559="","",IFERROR(VALUE(SUBSTITUTE(TRIM(Input!F1559&amp;""),"%","")),0)/IF(AND(IFERROR(VALUE(SUBSTITUTE(TRIM(Input!F1559&amp;""),"%","")),0)&gt;0,IFERROR(VALUE(SUBSTITUTE(TRIM(Input!F1559&amp;""),"%","")),0)&lt;1),1,100))</f>
        <v/>
      </c>
      <c r="F1559" t="str">
        <f>IF(A1559="","",IFERROR(VALUE(SUBSTITUTE(TRIM(Input!G1559&amp;""),"%","")),0)/IF(AND(IFERROR(VALUE(SUBSTITUTE(TRIM(Input!G1559&amp;""),"%","")),0)&gt;0,IFERROR(VALUE(SUBSTITUTE(TRIM(Input!G1559&amp;""),"%","")),0)&lt;1),1,100))</f>
        <v/>
      </c>
      <c r="G1559" t="str">
        <f>IF(A1559="","",IFERROR(VALUE(SUBSTITUTE(TRIM(Input!H1559&amp;""),"%","")),0)/IF(AND(IFERROR(VALUE(SUBSTITUTE(TRIM(Input!H1559&amp;""),"%","")),0)&gt;0,IFERROR(VALUE(SUBSTITUTE(TRIM(Input!H1559&amp;""),"%","")),0)&lt;1),1,100))</f>
        <v/>
      </c>
      <c r="H1559" t="str">
        <f>IF(A1559="","",IFERROR(VALUE(SUBSTITUTE(TRIM(Input!I1559&amp;""),"%","")),0)/IF(AND(IFERROR(VALUE(SUBSTITUTE(TRIM(Input!I1559&amp;""),"%","")),0)&gt;0,IFERROR(VALUE(SUBSTITUTE(TRIM(Input!I1559&amp;""),"%","")),0)&lt;1),1,100))</f>
        <v/>
      </c>
    </row>
    <row r="1560" spans="1:8">
      <c r="A1560" t="str">
        <f>IF(TRIM(Input!B1560&amp;"")="","",UPPER(TRIM(Input!B1560&amp;"")))</f>
        <v/>
      </c>
      <c r="B1560" t="str">
        <f>IF(A1560="","",IFERROR(VALUE(RIGHT(TRIM(Input!D1560&amp;""),1)),0))</f>
        <v/>
      </c>
      <c r="C1560" t="str">
        <f t="shared" si="24"/>
        <v/>
      </c>
      <c r="D1560" t="str">
        <f>IF(A1560="","",IFERROR(VALUE(SUBSTITUTE(TRIM(Input!E1560&amp;""),"%","")),0)/IF(AND(IFERROR(VALUE(SUBSTITUTE(TRIM(Input!E1560&amp;""),"%","")),0)&gt;0,IFERROR(VALUE(SUBSTITUTE(TRIM(Input!E1560&amp;""),"%","")),0)&lt;1),1,100))</f>
        <v/>
      </c>
      <c r="E1560" t="str">
        <f>IF(A1560="","",IFERROR(VALUE(SUBSTITUTE(TRIM(Input!F1560&amp;""),"%","")),0)/IF(AND(IFERROR(VALUE(SUBSTITUTE(TRIM(Input!F1560&amp;""),"%","")),0)&gt;0,IFERROR(VALUE(SUBSTITUTE(TRIM(Input!F1560&amp;""),"%","")),0)&lt;1),1,100))</f>
        <v/>
      </c>
      <c r="F1560" t="str">
        <f>IF(A1560="","",IFERROR(VALUE(SUBSTITUTE(TRIM(Input!G1560&amp;""),"%","")),0)/IF(AND(IFERROR(VALUE(SUBSTITUTE(TRIM(Input!G1560&amp;""),"%","")),0)&gt;0,IFERROR(VALUE(SUBSTITUTE(TRIM(Input!G1560&amp;""),"%","")),0)&lt;1),1,100))</f>
        <v/>
      </c>
      <c r="G1560" t="str">
        <f>IF(A1560="","",IFERROR(VALUE(SUBSTITUTE(TRIM(Input!H1560&amp;""),"%","")),0)/IF(AND(IFERROR(VALUE(SUBSTITUTE(TRIM(Input!H1560&amp;""),"%","")),0)&gt;0,IFERROR(VALUE(SUBSTITUTE(TRIM(Input!H1560&amp;""),"%","")),0)&lt;1),1,100))</f>
        <v/>
      </c>
      <c r="H1560" t="str">
        <f>IF(A1560="","",IFERROR(VALUE(SUBSTITUTE(TRIM(Input!I1560&amp;""),"%","")),0)/IF(AND(IFERROR(VALUE(SUBSTITUTE(TRIM(Input!I1560&amp;""),"%","")),0)&gt;0,IFERROR(VALUE(SUBSTITUTE(TRIM(Input!I1560&amp;""),"%","")),0)&lt;1),1,100))</f>
        <v/>
      </c>
    </row>
    <row r="1561" spans="1:8">
      <c r="A1561" t="str">
        <f>IF(TRIM(Input!B1561&amp;"")="","",UPPER(TRIM(Input!B1561&amp;"")))</f>
        <v/>
      </c>
      <c r="B1561" t="str">
        <f>IF(A1561="","",IFERROR(VALUE(RIGHT(TRIM(Input!D1561&amp;""),1)),0))</f>
        <v/>
      </c>
      <c r="C1561" t="str">
        <f t="shared" si="24"/>
        <v/>
      </c>
      <c r="D1561" t="str">
        <f>IF(A1561="","",IFERROR(VALUE(SUBSTITUTE(TRIM(Input!E1561&amp;""),"%","")),0)/IF(AND(IFERROR(VALUE(SUBSTITUTE(TRIM(Input!E1561&amp;""),"%","")),0)&gt;0,IFERROR(VALUE(SUBSTITUTE(TRIM(Input!E1561&amp;""),"%","")),0)&lt;1),1,100))</f>
        <v/>
      </c>
      <c r="E1561" t="str">
        <f>IF(A1561="","",IFERROR(VALUE(SUBSTITUTE(TRIM(Input!F1561&amp;""),"%","")),0)/IF(AND(IFERROR(VALUE(SUBSTITUTE(TRIM(Input!F1561&amp;""),"%","")),0)&gt;0,IFERROR(VALUE(SUBSTITUTE(TRIM(Input!F1561&amp;""),"%","")),0)&lt;1),1,100))</f>
        <v/>
      </c>
      <c r="F1561" t="str">
        <f>IF(A1561="","",IFERROR(VALUE(SUBSTITUTE(TRIM(Input!G1561&amp;""),"%","")),0)/IF(AND(IFERROR(VALUE(SUBSTITUTE(TRIM(Input!G1561&amp;""),"%","")),0)&gt;0,IFERROR(VALUE(SUBSTITUTE(TRIM(Input!G1561&amp;""),"%","")),0)&lt;1),1,100))</f>
        <v/>
      </c>
      <c r="G1561" t="str">
        <f>IF(A1561="","",IFERROR(VALUE(SUBSTITUTE(TRIM(Input!H1561&amp;""),"%","")),0)/IF(AND(IFERROR(VALUE(SUBSTITUTE(TRIM(Input!H1561&amp;""),"%","")),0)&gt;0,IFERROR(VALUE(SUBSTITUTE(TRIM(Input!H1561&amp;""),"%","")),0)&lt;1),1,100))</f>
        <v/>
      </c>
      <c r="H1561" t="str">
        <f>IF(A1561="","",IFERROR(VALUE(SUBSTITUTE(TRIM(Input!I1561&amp;""),"%","")),0)/IF(AND(IFERROR(VALUE(SUBSTITUTE(TRIM(Input!I1561&amp;""),"%","")),0)&gt;0,IFERROR(VALUE(SUBSTITUTE(TRIM(Input!I1561&amp;""),"%","")),0)&lt;1),1,100))</f>
        <v/>
      </c>
    </row>
    <row r="1562" spans="1:8">
      <c r="A1562" t="str">
        <f>IF(TRIM(Input!B1562&amp;"")="","",UPPER(TRIM(Input!B1562&amp;"")))</f>
        <v/>
      </c>
      <c r="B1562" t="str">
        <f>IF(A1562="","",IFERROR(VALUE(RIGHT(TRIM(Input!D1562&amp;""),1)),0))</f>
        <v/>
      </c>
      <c r="C1562" t="str">
        <f t="shared" si="24"/>
        <v/>
      </c>
      <c r="D1562" t="str">
        <f>IF(A1562="","",IFERROR(VALUE(SUBSTITUTE(TRIM(Input!E1562&amp;""),"%","")),0)/IF(AND(IFERROR(VALUE(SUBSTITUTE(TRIM(Input!E1562&amp;""),"%","")),0)&gt;0,IFERROR(VALUE(SUBSTITUTE(TRIM(Input!E1562&amp;""),"%","")),0)&lt;1),1,100))</f>
        <v/>
      </c>
      <c r="E1562" t="str">
        <f>IF(A1562="","",IFERROR(VALUE(SUBSTITUTE(TRIM(Input!F1562&amp;""),"%","")),0)/IF(AND(IFERROR(VALUE(SUBSTITUTE(TRIM(Input!F1562&amp;""),"%","")),0)&gt;0,IFERROR(VALUE(SUBSTITUTE(TRIM(Input!F1562&amp;""),"%","")),0)&lt;1),1,100))</f>
        <v/>
      </c>
      <c r="F1562" t="str">
        <f>IF(A1562="","",IFERROR(VALUE(SUBSTITUTE(TRIM(Input!G1562&amp;""),"%","")),0)/IF(AND(IFERROR(VALUE(SUBSTITUTE(TRIM(Input!G1562&amp;""),"%","")),0)&gt;0,IFERROR(VALUE(SUBSTITUTE(TRIM(Input!G1562&amp;""),"%","")),0)&lt;1),1,100))</f>
        <v/>
      </c>
      <c r="G1562" t="str">
        <f>IF(A1562="","",IFERROR(VALUE(SUBSTITUTE(TRIM(Input!H1562&amp;""),"%","")),0)/IF(AND(IFERROR(VALUE(SUBSTITUTE(TRIM(Input!H1562&amp;""),"%","")),0)&gt;0,IFERROR(VALUE(SUBSTITUTE(TRIM(Input!H1562&amp;""),"%","")),0)&lt;1),1,100))</f>
        <v/>
      </c>
      <c r="H1562" t="str">
        <f>IF(A1562="","",IFERROR(VALUE(SUBSTITUTE(TRIM(Input!I1562&amp;""),"%","")),0)/IF(AND(IFERROR(VALUE(SUBSTITUTE(TRIM(Input!I1562&amp;""),"%","")),0)&gt;0,IFERROR(VALUE(SUBSTITUTE(TRIM(Input!I1562&amp;""),"%","")),0)&lt;1),1,100))</f>
        <v/>
      </c>
    </row>
    <row r="1563" spans="1:8">
      <c r="A1563" t="str">
        <f>IF(TRIM(Input!B1563&amp;"")="","",UPPER(TRIM(Input!B1563&amp;"")))</f>
        <v/>
      </c>
      <c r="B1563" t="str">
        <f>IF(A1563="","",IFERROR(VALUE(RIGHT(TRIM(Input!D1563&amp;""),1)),0))</f>
        <v/>
      </c>
      <c r="C1563" t="str">
        <f t="shared" si="24"/>
        <v/>
      </c>
      <c r="D1563" t="str">
        <f>IF(A1563="","",IFERROR(VALUE(SUBSTITUTE(TRIM(Input!E1563&amp;""),"%","")),0)/IF(AND(IFERROR(VALUE(SUBSTITUTE(TRIM(Input!E1563&amp;""),"%","")),0)&gt;0,IFERROR(VALUE(SUBSTITUTE(TRIM(Input!E1563&amp;""),"%","")),0)&lt;1),1,100))</f>
        <v/>
      </c>
      <c r="E1563" t="str">
        <f>IF(A1563="","",IFERROR(VALUE(SUBSTITUTE(TRIM(Input!F1563&amp;""),"%","")),0)/IF(AND(IFERROR(VALUE(SUBSTITUTE(TRIM(Input!F1563&amp;""),"%","")),0)&gt;0,IFERROR(VALUE(SUBSTITUTE(TRIM(Input!F1563&amp;""),"%","")),0)&lt;1),1,100))</f>
        <v/>
      </c>
      <c r="F1563" t="str">
        <f>IF(A1563="","",IFERROR(VALUE(SUBSTITUTE(TRIM(Input!G1563&amp;""),"%","")),0)/IF(AND(IFERROR(VALUE(SUBSTITUTE(TRIM(Input!G1563&amp;""),"%","")),0)&gt;0,IFERROR(VALUE(SUBSTITUTE(TRIM(Input!G1563&amp;""),"%","")),0)&lt;1),1,100))</f>
        <v/>
      </c>
      <c r="G1563" t="str">
        <f>IF(A1563="","",IFERROR(VALUE(SUBSTITUTE(TRIM(Input!H1563&amp;""),"%","")),0)/IF(AND(IFERROR(VALUE(SUBSTITUTE(TRIM(Input!H1563&amp;""),"%","")),0)&gt;0,IFERROR(VALUE(SUBSTITUTE(TRIM(Input!H1563&amp;""),"%","")),0)&lt;1),1,100))</f>
        <v/>
      </c>
      <c r="H1563" t="str">
        <f>IF(A1563="","",IFERROR(VALUE(SUBSTITUTE(TRIM(Input!I1563&amp;""),"%","")),0)/IF(AND(IFERROR(VALUE(SUBSTITUTE(TRIM(Input!I1563&amp;""),"%","")),0)&gt;0,IFERROR(VALUE(SUBSTITUTE(TRIM(Input!I1563&amp;""),"%","")),0)&lt;1),1,100))</f>
        <v/>
      </c>
    </row>
    <row r="1564" spans="1:8">
      <c r="A1564" t="str">
        <f>IF(TRIM(Input!B1564&amp;"")="","",UPPER(TRIM(Input!B1564&amp;"")))</f>
        <v/>
      </c>
      <c r="B1564" t="str">
        <f>IF(A1564="","",IFERROR(VALUE(RIGHT(TRIM(Input!D1564&amp;""),1)),0))</f>
        <v/>
      </c>
      <c r="C1564" t="str">
        <f t="shared" si="24"/>
        <v/>
      </c>
      <c r="D1564" t="str">
        <f>IF(A1564="","",IFERROR(VALUE(SUBSTITUTE(TRIM(Input!E1564&amp;""),"%","")),0)/IF(AND(IFERROR(VALUE(SUBSTITUTE(TRIM(Input!E1564&amp;""),"%","")),0)&gt;0,IFERROR(VALUE(SUBSTITUTE(TRIM(Input!E1564&amp;""),"%","")),0)&lt;1),1,100))</f>
        <v/>
      </c>
      <c r="E1564" t="str">
        <f>IF(A1564="","",IFERROR(VALUE(SUBSTITUTE(TRIM(Input!F1564&amp;""),"%","")),0)/IF(AND(IFERROR(VALUE(SUBSTITUTE(TRIM(Input!F1564&amp;""),"%","")),0)&gt;0,IFERROR(VALUE(SUBSTITUTE(TRIM(Input!F1564&amp;""),"%","")),0)&lt;1),1,100))</f>
        <v/>
      </c>
      <c r="F1564" t="str">
        <f>IF(A1564="","",IFERROR(VALUE(SUBSTITUTE(TRIM(Input!G1564&amp;""),"%","")),0)/IF(AND(IFERROR(VALUE(SUBSTITUTE(TRIM(Input!G1564&amp;""),"%","")),0)&gt;0,IFERROR(VALUE(SUBSTITUTE(TRIM(Input!G1564&amp;""),"%","")),0)&lt;1),1,100))</f>
        <v/>
      </c>
      <c r="G1564" t="str">
        <f>IF(A1564="","",IFERROR(VALUE(SUBSTITUTE(TRIM(Input!H1564&amp;""),"%","")),0)/IF(AND(IFERROR(VALUE(SUBSTITUTE(TRIM(Input!H1564&amp;""),"%","")),0)&gt;0,IFERROR(VALUE(SUBSTITUTE(TRIM(Input!H1564&amp;""),"%","")),0)&lt;1),1,100))</f>
        <v/>
      </c>
      <c r="H1564" t="str">
        <f>IF(A1564="","",IFERROR(VALUE(SUBSTITUTE(TRIM(Input!I1564&amp;""),"%","")),0)/IF(AND(IFERROR(VALUE(SUBSTITUTE(TRIM(Input!I1564&amp;""),"%","")),0)&gt;0,IFERROR(VALUE(SUBSTITUTE(TRIM(Input!I1564&amp;""),"%","")),0)&lt;1),1,100))</f>
        <v/>
      </c>
    </row>
    <row r="1565" spans="1:8">
      <c r="A1565" t="str">
        <f>IF(TRIM(Input!B1565&amp;"")="","",UPPER(TRIM(Input!B1565&amp;"")))</f>
        <v/>
      </c>
      <c r="B1565" t="str">
        <f>IF(A1565="","",IFERROR(VALUE(RIGHT(TRIM(Input!D1565&amp;""),1)),0))</f>
        <v/>
      </c>
      <c r="C1565" t="str">
        <f t="shared" si="24"/>
        <v/>
      </c>
      <c r="D1565" t="str">
        <f>IF(A1565="","",IFERROR(VALUE(SUBSTITUTE(TRIM(Input!E1565&amp;""),"%","")),0)/IF(AND(IFERROR(VALUE(SUBSTITUTE(TRIM(Input!E1565&amp;""),"%","")),0)&gt;0,IFERROR(VALUE(SUBSTITUTE(TRIM(Input!E1565&amp;""),"%","")),0)&lt;1),1,100))</f>
        <v/>
      </c>
      <c r="E1565" t="str">
        <f>IF(A1565="","",IFERROR(VALUE(SUBSTITUTE(TRIM(Input!F1565&amp;""),"%","")),0)/IF(AND(IFERROR(VALUE(SUBSTITUTE(TRIM(Input!F1565&amp;""),"%","")),0)&gt;0,IFERROR(VALUE(SUBSTITUTE(TRIM(Input!F1565&amp;""),"%","")),0)&lt;1),1,100))</f>
        <v/>
      </c>
      <c r="F1565" t="str">
        <f>IF(A1565="","",IFERROR(VALUE(SUBSTITUTE(TRIM(Input!G1565&amp;""),"%","")),0)/IF(AND(IFERROR(VALUE(SUBSTITUTE(TRIM(Input!G1565&amp;""),"%","")),0)&gt;0,IFERROR(VALUE(SUBSTITUTE(TRIM(Input!G1565&amp;""),"%","")),0)&lt;1),1,100))</f>
        <v/>
      </c>
      <c r="G1565" t="str">
        <f>IF(A1565="","",IFERROR(VALUE(SUBSTITUTE(TRIM(Input!H1565&amp;""),"%","")),0)/IF(AND(IFERROR(VALUE(SUBSTITUTE(TRIM(Input!H1565&amp;""),"%","")),0)&gt;0,IFERROR(VALUE(SUBSTITUTE(TRIM(Input!H1565&amp;""),"%","")),0)&lt;1),1,100))</f>
        <v/>
      </c>
      <c r="H1565" t="str">
        <f>IF(A1565="","",IFERROR(VALUE(SUBSTITUTE(TRIM(Input!I1565&amp;""),"%","")),0)/IF(AND(IFERROR(VALUE(SUBSTITUTE(TRIM(Input!I1565&amp;""),"%","")),0)&gt;0,IFERROR(VALUE(SUBSTITUTE(TRIM(Input!I1565&amp;""),"%","")),0)&lt;1),1,100))</f>
        <v/>
      </c>
    </row>
    <row r="1566" spans="1:8">
      <c r="A1566" t="str">
        <f>IF(TRIM(Input!B1566&amp;"")="","",UPPER(TRIM(Input!B1566&amp;"")))</f>
        <v/>
      </c>
      <c r="B1566" t="str">
        <f>IF(A1566="","",IFERROR(VALUE(RIGHT(TRIM(Input!D1566&amp;""),1)),0))</f>
        <v/>
      </c>
      <c r="C1566" t="str">
        <f t="shared" si="24"/>
        <v/>
      </c>
      <c r="D1566" t="str">
        <f>IF(A1566="","",IFERROR(VALUE(SUBSTITUTE(TRIM(Input!E1566&amp;""),"%","")),0)/IF(AND(IFERROR(VALUE(SUBSTITUTE(TRIM(Input!E1566&amp;""),"%","")),0)&gt;0,IFERROR(VALUE(SUBSTITUTE(TRIM(Input!E1566&amp;""),"%","")),0)&lt;1),1,100))</f>
        <v/>
      </c>
      <c r="E1566" t="str">
        <f>IF(A1566="","",IFERROR(VALUE(SUBSTITUTE(TRIM(Input!F1566&amp;""),"%","")),0)/IF(AND(IFERROR(VALUE(SUBSTITUTE(TRIM(Input!F1566&amp;""),"%","")),0)&gt;0,IFERROR(VALUE(SUBSTITUTE(TRIM(Input!F1566&amp;""),"%","")),0)&lt;1),1,100))</f>
        <v/>
      </c>
      <c r="F1566" t="str">
        <f>IF(A1566="","",IFERROR(VALUE(SUBSTITUTE(TRIM(Input!G1566&amp;""),"%","")),0)/IF(AND(IFERROR(VALUE(SUBSTITUTE(TRIM(Input!G1566&amp;""),"%","")),0)&gt;0,IFERROR(VALUE(SUBSTITUTE(TRIM(Input!G1566&amp;""),"%","")),0)&lt;1),1,100))</f>
        <v/>
      </c>
      <c r="G1566" t="str">
        <f>IF(A1566="","",IFERROR(VALUE(SUBSTITUTE(TRIM(Input!H1566&amp;""),"%","")),0)/IF(AND(IFERROR(VALUE(SUBSTITUTE(TRIM(Input!H1566&amp;""),"%","")),0)&gt;0,IFERROR(VALUE(SUBSTITUTE(TRIM(Input!H1566&amp;""),"%","")),0)&lt;1),1,100))</f>
        <v/>
      </c>
      <c r="H1566" t="str">
        <f>IF(A1566="","",IFERROR(VALUE(SUBSTITUTE(TRIM(Input!I1566&amp;""),"%","")),0)/IF(AND(IFERROR(VALUE(SUBSTITUTE(TRIM(Input!I1566&amp;""),"%","")),0)&gt;0,IFERROR(VALUE(SUBSTITUTE(TRIM(Input!I1566&amp;""),"%","")),0)&lt;1),1,100))</f>
        <v/>
      </c>
    </row>
    <row r="1567" spans="1:8">
      <c r="A1567" t="str">
        <f>IF(TRIM(Input!B1567&amp;"")="","",UPPER(TRIM(Input!B1567&amp;"")))</f>
        <v/>
      </c>
      <c r="B1567" t="str">
        <f>IF(A1567="","",IFERROR(VALUE(RIGHT(TRIM(Input!D1567&amp;""),1)),0))</f>
        <v/>
      </c>
      <c r="C1567" t="str">
        <f t="shared" si="24"/>
        <v/>
      </c>
      <c r="D1567" t="str">
        <f>IF(A1567="","",IFERROR(VALUE(SUBSTITUTE(TRIM(Input!E1567&amp;""),"%","")),0)/IF(AND(IFERROR(VALUE(SUBSTITUTE(TRIM(Input!E1567&amp;""),"%","")),0)&gt;0,IFERROR(VALUE(SUBSTITUTE(TRIM(Input!E1567&amp;""),"%","")),0)&lt;1),1,100))</f>
        <v/>
      </c>
      <c r="E1567" t="str">
        <f>IF(A1567="","",IFERROR(VALUE(SUBSTITUTE(TRIM(Input!F1567&amp;""),"%","")),0)/IF(AND(IFERROR(VALUE(SUBSTITUTE(TRIM(Input!F1567&amp;""),"%","")),0)&gt;0,IFERROR(VALUE(SUBSTITUTE(TRIM(Input!F1567&amp;""),"%","")),0)&lt;1),1,100))</f>
        <v/>
      </c>
      <c r="F1567" t="str">
        <f>IF(A1567="","",IFERROR(VALUE(SUBSTITUTE(TRIM(Input!G1567&amp;""),"%","")),0)/IF(AND(IFERROR(VALUE(SUBSTITUTE(TRIM(Input!G1567&amp;""),"%","")),0)&gt;0,IFERROR(VALUE(SUBSTITUTE(TRIM(Input!G1567&amp;""),"%","")),0)&lt;1),1,100))</f>
        <v/>
      </c>
      <c r="G1567" t="str">
        <f>IF(A1567="","",IFERROR(VALUE(SUBSTITUTE(TRIM(Input!H1567&amp;""),"%","")),0)/IF(AND(IFERROR(VALUE(SUBSTITUTE(TRIM(Input!H1567&amp;""),"%","")),0)&gt;0,IFERROR(VALUE(SUBSTITUTE(TRIM(Input!H1567&amp;""),"%","")),0)&lt;1),1,100))</f>
        <v/>
      </c>
      <c r="H1567" t="str">
        <f>IF(A1567="","",IFERROR(VALUE(SUBSTITUTE(TRIM(Input!I1567&amp;""),"%","")),0)/IF(AND(IFERROR(VALUE(SUBSTITUTE(TRIM(Input!I1567&amp;""),"%","")),0)&gt;0,IFERROR(VALUE(SUBSTITUTE(TRIM(Input!I1567&amp;""),"%","")),0)&lt;1),1,100))</f>
        <v/>
      </c>
    </row>
    <row r="1568" spans="1:8">
      <c r="A1568" t="str">
        <f>IF(TRIM(Input!B1568&amp;"")="","",UPPER(TRIM(Input!B1568&amp;"")))</f>
        <v/>
      </c>
      <c r="B1568" t="str">
        <f>IF(A1568="","",IFERROR(VALUE(RIGHT(TRIM(Input!D1568&amp;""),1)),0))</f>
        <v/>
      </c>
      <c r="C1568" t="str">
        <f t="shared" si="24"/>
        <v/>
      </c>
      <c r="D1568" t="str">
        <f>IF(A1568="","",IFERROR(VALUE(SUBSTITUTE(TRIM(Input!E1568&amp;""),"%","")),0)/IF(AND(IFERROR(VALUE(SUBSTITUTE(TRIM(Input!E1568&amp;""),"%","")),0)&gt;0,IFERROR(VALUE(SUBSTITUTE(TRIM(Input!E1568&amp;""),"%","")),0)&lt;1),1,100))</f>
        <v/>
      </c>
      <c r="E1568" t="str">
        <f>IF(A1568="","",IFERROR(VALUE(SUBSTITUTE(TRIM(Input!F1568&amp;""),"%","")),0)/IF(AND(IFERROR(VALUE(SUBSTITUTE(TRIM(Input!F1568&amp;""),"%","")),0)&gt;0,IFERROR(VALUE(SUBSTITUTE(TRIM(Input!F1568&amp;""),"%","")),0)&lt;1),1,100))</f>
        <v/>
      </c>
      <c r="F1568" t="str">
        <f>IF(A1568="","",IFERROR(VALUE(SUBSTITUTE(TRIM(Input!G1568&amp;""),"%","")),0)/IF(AND(IFERROR(VALUE(SUBSTITUTE(TRIM(Input!G1568&amp;""),"%","")),0)&gt;0,IFERROR(VALUE(SUBSTITUTE(TRIM(Input!G1568&amp;""),"%","")),0)&lt;1),1,100))</f>
        <v/>
      </c>
      <c r="G1568" t="str">
        <f>IF(A1568="","",IFERROR(VALUE(SUBSTITUTE(TRIM(Input!H1568&amp;""),"%","")),0)/IF(AND(IFERROR(VALUE(SUBSTITUTE(TRIM(Input!H1568&amp;""),"%","")),0)&gt;0,IFERROR(VALUE(SUBSTITUTE(TRIM(Input!H1568&amp;""),"%","")),0)&lt;1),1,100))</f>
        <v/>
      </c>
      <c r="H1568" t="str">
        <f>IF(A1568="","",IFERROR(VALUE(SUBSTITUTE(TRIM(Input!I1568&amp;""),"%","")),0)/IF(AND(IFERROR(VALUE(SUBSTITUTE(TRIM(Input!I1568&amp;""),"%","")),0)&gt;0,IFERROR(VALUE(SUBSTITUTE(TRIM(Input!I1568&amp;""),"%","")),0)&lt;1),1,100))</f>
        <v/>
      </c>
    </row>
    <row r="1569" spans="1:8">
      <c r="A1569" t="str">
        <f>IF(TRIM(Input!B1569&amp;"")="","",UPPER(TRIM(Input!B1569&amp;"")))</f>
        <v/>
      </c>
      <c r="B1569" t="str">
        <f>IF(A1569="","",IFERROR(VALUE(RIGHT(TRIM(Input!D1569&amp;""),1)),0))</f>
        <v/>
      </c>
      <c r="C1569" t="str">
        <f t="shared" si="24"/>
        <v/>
      </c>
      <c r="D1569" t="str">
        <f>IF(A1569="","",IFERROR(VALUE(SUBSTITUTE(TRIM(Input!E1569&amp;""),"%","")),0)/IF(AND(IFERROR(VALUE(SUBSTITUTE(TRIM(Input!E1569&amp;""),"%","")),0)&gt;0,IFERROR(VALUE(SUBSTITUTE(TRIM(Input!E1569&amp;""),"%","")),0)&lt;1),1,100))</f>
        <v/>
      </c>
      <c r="E1569" t="str">
        <f>IF(A1569="","",IFERROR(VALUE(SUBSTITUTE(TRIM(Input!F1569&amp;""),"%","")),0)/IF(AND(IFERROR(VALUE(SUBSTITUTE(TRIM(Input!F1569&amp;""),"%","")),0)&gt;0,IFERROR(VALUE(SUBSTITUTE(TRIM(Input!F1569&amp;""),"%","")),0)&lt;1),1,100))</f>
        <v/>
      </c>
      <c r="F1569" t="str">
        <f>IF(A1569="","",IFERROR(VALUE(SUBSTITUTE(TRIM(Input!G1569&amp;""),"%","")),0)/IF(AND(IFERROR(VALUE(SUBSTITUTE(TRIM(Input!G1569&amp;""),"%","")),0)&gt;0,IFERROR(VALUE(SUBSTITUTE(TRIM(Input!G1569&amp;""),"%","")),0)&lt;1),1,100))</f>
        <v/>
      </c>
      <c r="G1569" t="str">
        <f>IF(A1569="","",IFERROR(VALUE(SUBSTITUTE(TRIM(Input!H1569&amp;""),"%","")),0)/IF(AND(IFERROR(VALUE(SUBSTITUTE(TRIM(Input!H1569&amp;""),"%","")),0)&gt;0,IFERROR(VALUE(SUBSTITUTE(TRIM(Input!H1569&amp;""),"%","")),0)&lt;1),1,100))</f>
        <v/>
      </c>
      <c r="H1569" t="str">
        <f>IF(A1569="","",IFERROR(VALUE(SUBSTITUTE(TRIM(Input!I1569&amp;""),"%","")),0)/IF(AND(IFERROR(VALUE(SUBSTITUTE(TRIM(Input!I1569&amp;""),"%","")),0)&gt;0,IFERROR(VALUE(SUBSTITUTE(TRIM(Input!I1569&amp;""),"%","")),0)&lt;1),1,100))</f>
        <v/>
      </c>
    </row>
    <row r="1570" spans="1:8">
      <c r="A1570" t="str">
        <f>IF(TRIM(Input!B1570&amp;"")="","",UPPER(TRIM(Input!B1570&amp;"")))</f>
        <v/>
      </c>
      <c r="B1570" t="str">
        <f>IF(A1570="","",IFERROR(VALUE(RIGHT(TRIM(Input!D1570&amp;""),1)),0))</f>
        <v/>
      </c>
      <c r="C1570" t="str">
        <f t="shared" si="24"/>
        <v/>
      </c>
      <c r="D1570" t="str">
        <f>IF(A1570="","",IFERROR(VALUE(SUBSTITUTE(TRIM(Input!E1570&amp;""),"%","")),0)/IF(AND(IFERROR(VALUE(SUBSTITUTE(TRIM(Input!E1570&amp;""),"%","")),0)&gt;0,IFERROR(VALUE(SUBSTITUTE(TRIM(Input!E1570&amp;""),"%","")),0)&lt;1),1,100))</f>
        <v/>
      </c>
      <c r="E1570" t="str">
        <f>IF(A1570="","",IFERROR(VALUE(SUBSTITUTE(TRIM(Input!F1570&amp;""),"%","")),0)/IF(AND(IFERROR(VALUE(SUBSTITUTE(TRIM(Input!F1570&amp;""),"%","")),0)&gt;0,IFERROR(VALUE(SUBSTITUTE(TRIM(Input!F1570&amp;""),"%","")),0)&lt;1),1,100))</f>
        <v/>
      </c>
      <c r="F1570" t="str">
        <f>IF(A1570="","",IFERROR(VALUE(SUBSTITUTE(TRIM(Input!G1570&amp;""),"%","")),0)/IF(AND(IFERROR(VALUE(SUBSTITUTE(TRIM(Input!G1570&amp;""),"%","")),0)&gt;0,IFERROR(VALUE(SUBSTITUTE(TRIM(Input!G1570&amp;""),"%","")),0)&lt;1),1,100))</f>
        <v/>
      </c>
      <c r="G1570" t="str">
        <f>IF(A1570="","",IFERROR(VALUE(SUBSTITUTE(TRIM(Input!H1570&amp;""),"%","")),0)/IF(AND(IFERROR(VALUE(SUBSTITUTE(TRIM(Input!H1570&amp;""),"%","")),0)&gt;0,IFERROR(VALUE(SUBSTITUTE(TRIM(Input!H1570&amp;""),"%","")),0)&lt;1),1,100))</f>
        <v/>
      </c>
      <c r="H1570" t="str">
        <f>IF(A1570="","",IFERROR(VALUE(SUBSTITUTE(TRIM(Input!I1570&amp;""),"%","")),0)/IF(AND(IFERROR(VALUE(SUBSTITUTE(TRIM(Input!I1570&amp;""),"%","")),0)&gt;0,IFERROR(VALUE(SUBSTITUTE(TRIM(Input!I1570&amp;""),"%","")),0)&lt;1),1,100))</f>
        <v/>
      </c>
    </row>
    <row r="1571" spans="1:8">
      <c r="A1571" t="str">
        <f>IF(TRIM(Input!B1571&amp;"")="","",UPPER(TRIM(Input!B1571&amp;"")))</f>
        <v/>
      </c>
      <c r="B1571" t="str">
        <f>IF(A1571="","",IFERROR(VALUE(RIGHT(TRIM(Input!D1571&amp;""),1)),0))</f>
        <v/>
      </c>
      <c r="C1571" t="str">
        <f t="shared" si="24"/>
        <v/>
      </c>
      <c r="D1571" t="str">
        <f>IF(A1571="","",IFERROR(VALUE(SUBSTITUTE(TRIM(Input!E1571&amp;""),"%","")),0)/IF(AND(IFERROR(VALUE(SUBSTITUTE(TRIM(Input!E1571&amp;""),"%","")),0)&gt;0,IFERROR(VALUE(SUBSTITUTE(TRIM(Input!E1571&amp;""),"%","")),0)&lt;1),1,100))</f>
        <v/>
      </c>
      <c r="E1571" t="str">
        <f>IF(A1571="","",IFERROR(VALUE(SUBSTITUTE(TRIM(Input!F1571&amp;""),"%","")),0)/IF(AND(IFERROR(VALUE(SUBSTITUTE(TRIM(Input!F1571&amp;""),"%","")),0)&gt;0,IFERROR(VALUE(SUBSTITUTE(TRIM(Input!F1571&amp;""),"%","")),0)&lt;1),1,100))</f>
        <v/>
      </c>
      <c r="F1571" t="str">
        <f>IF(A1571="","",IFERROR(VALUE(SUBSTITUTE(TRIM(Input!G1571&amp;""),"%","")),0)/IF(AND(IFERROR(VALUE(SUBSTITUTE(TRIM(Input!G1571&amp;""),"%","")),0)&gt;0,IFERROR(VALUE(SUBSTITUTE(TRIM(Input!G1571&amp;""),"%","")),0)&lt;1),1,100))</f>
        <v/>
      </c>
      <c r="G1571" t="str">
        <f>IF(A1571="","",IFERROR(VALUE(SUBSTITUTE(TRIM(Input!H1571&amp;""),"%","")),0)/IF(AND(IFERROR(VALUE(SUBSTITUTE(TRIM(Input!H1571&amp;""),"%","")),0)&gt;0,IFERROR(VALUE(SUBSTITUTE(TRIM(Input!H1571&amp;""),"%","")),0)&lt;1),1,100))</f>
        <v/>
      </c>
      <c r="H1571" t="str">
        <f>IF(A1571="","",IFERROR(VALUE(SUBSTITUTE(TRIM(Input!I1571&amp;""),"%","")),0)/IF(AND(IFERROR(VALUE(SUBSTITUTE(TRIM(Input!I1571&amp;""),"%","")),0)&gt;0,IFERROR(VALUE(SUBSTITUTE(TRIM(Input!I1571&amp;""),"%","")),0)&lt;1),1,100))</f>
        <v/>
      </c>
    </row>
    <row r="1572" spans="1:8">
      <c r="A1572" t="str">
        <f>IF(TRIM(Input!B1572&amp;"")="","",UPPER(TRIM(Input!B1572&amp;"")))</f>
        <v/>
      </c>
      <c r="B1572" t="str">
        <f>IF(A1572="","",IFERROR(VALUE(RIGHT(TRIM(Input!D1572&amp;""),1)),0))</f>
        <v/>
      </c>
      <c r="C1572" t="str">
        <f t="shared" si="24"/>
        <v/>
      </c>
      <c r="D1572" t="str">
        <f>IF(A1572="","",IFERROR(VALUE(SUBSTITUTE(TRIM(Input!E1572&amp;""),"%","")),0)/IF(AND(IFERROR(VALUE(SUBSTITUTE(TRIM(Input!E1572&amp;""),"%","")),0)&gt;0,IFERROR(VALUE(SUBSTITUTE(TRIM(Input!E1572&amp;""),"%","")),0)&lt;1),1,100))</f>
        <v/>
      </c>
      <c r="E1572" t="str">
        <f>IF(A1572="","",IFERROR(VALUE(SUBSTITUTE(TRIM(Input!F1572&amp;""),"%","")),0)/IF(AND(IFERROR(VALUE(SUBSTITUTE(TRIM(Input!F1572&amp;""),"%","")),0)&gt;0,IFERROR(VALUE(SUBSTITUTE(TRIM(Input!F1572&amp;""),"%","")),0)&lt;1),1,100))</f>
        <v/>
      </c>
      <c r="F1572" t="str">
        <f>IF(A1572="","",IFERROR(VALUE(SUBSTITUTE(TRIM(Input!G1572&amp;""),"%","")),0)/IF(AND(IFERROR(VALUE(SUBSTITUTE(TRIM(Input!G1572&amp;""),"%","")),0)&gt;0,IFERROR(VALUE(SUBSTITUTE(TRIM(Input!G1572&amp;""),"%","")),0)&lt;1),1,100))</f>
        <v/>
      </c>
      <c r="G1572" t="str">
        <f>IF(A1572="","",IFERROR(VALUE(SUBSTITUTE(TRIM(Input!H1572&amp;""),"%","")),0)/IF(AND(IFERROR(VALUE(SUBSTITUTE(TRIM(Input!H1572&amp;""),"%","")),0)&gt;0,IFERROR(VALUE(SUBSTITUTE(TRIM(Input!H1572&amp;""),"%","")),0)&lt;1),1,100))</f>
        <v/>
      </c>
      <c r="H1572" t="str">
        <f>IF(A1572="","",IFERROR(VALUE(SUBSTITUTE(TRIM(Input!I1572&amp;""),"%","")),0)/IF(AND(IFERROR(VALUE(SUBSTITUTE(TRIM(Input!I1572&amp;""),"%","")),0)&gt;0,IFERROR(VALUE(SUBSTITUTE(TRIM(Input!I1572&amp;""),"%","")),0)&lt;1),1,100))</f>
        <v/>
      </c>
    </row>
    <row r="1573" spans="1:8">
      <c r="A1573" t="str">
        <f>IF(TRIM(Input!B1573&amp;"")="","",UPPER(TRIM(Input!B1573&amp;"")))</f>
        <v/>
      </c>
      <c r="B1573" t="str">
        <f>IF(A1573="","",IFERROR(VALUE(RIGHT(TRIM(Input!D1573&amp;""),1)),0))</f>
        <v/>
      </c>
      <c r="C1573" t="str">
        <f t="shared" si="24"/>
        <v/>
      </c>
      <c r="D1573" t="str">
        <f>IF(A1573="","",IFERROR(VALUE(SUBSTITUTE(TRIM(Input!E1573&amp;""),"%","")),0)/IF(AND(IFERROR(VALUE(SUBSTITUTE(TRIM(Input!E1573&amp;""),"%","")),0)&gt;0,IFERROR(VALUE(SUBSTITUTE(TRIM(Input!E1573&amp;""),"%","")),0)&lt;1),1,100))</f>
        <v/>
      </c>
      <c r="E1573" t="str">
        <f>IF(A1573="","",IFERROR(VALUE(SUBSTITUTE(TRIM(Input!F1573&amp;""),"%","")),0)/IF(AND(IFERROR(VALUE(SUBSTITUTE(TRIM(Input!F1573&amp;""),"%","")),0)&gt;0,IFERROR(VALUE(SUBSTITUTE(TRIM(Input!F1573&amp;""),"%","")),0)&lt;1),1,100))</f>
        <v/>
      </c>
      <c r="F1573" t="str">
        <f>IF(A1573="","",IFERROR(VALUE(SUBSTITUTE(TRIM(Input!G1573&amp;""),"%","")),0)/IF(AND(IFERROR(VALUE(SUBSTITUTE(TRIM(Input!G1573&amp;""),"%","")),0)&gt;0,IFERROR(VALUE(SUBSTITUTE(TRIM(Input!G1573&amp;""),"%","")),0)&lt;1),1,100))</f>
        <v/>
      </c>
      <c r="G1573" t="str">
        <f>IF(A1573="","",IFERROR(VALUE(SUBSTITUTE(TRIM(Input!H1573&amp;""),"%","")),0)/IF(AND(IFERROR(VALUE(SUBSTITUTE(TRIM(Input!H1573&amp;""),"%","")),0)&gt;0,IFERROR(VALUE(SUBSTITUTE(TRIM(Input!H1573&amp;""),"%","")),0)&lt;1),1,100))</f>
        <v/>
      </c>
      <c r="H1573" t="str">
        <f>IF(A1573="","",IFERROR(VALUE(SUBSTITUTE(TRIM(Input!I1573&amp;""),"%","")),0)/IF(AND(IFERROR(VALUE(SUBSTITUTE(TRIM(Input!I1573&amp;""),"%","")),0)&gt;0,IFERROR(VALUE(SUBSTITUTE(TRIM(Input!I1573&amp;""),"%","")),0)&lt;1),1,100))</f>
        <v/>
      </c>
    </row>
    <row r="1574" spans="1:8">
      <c r="A1574" t="str">
        <f>IF(TRIM(Input!B1574&amp;"")="","",UPPER(TRIM(Input!B1574&amp;"")))</f>
        <v/>
      </c>
      <c r="B1574" t="str">
        <f>IF(A1574="","",IFERROR(VALUE(RIGHT(TRIM(Input!D1574&amp;""),1)),0))</f>
        <v/>
      </c>
      <c r="C1574" t="str">
        <f t="shared" si="24"/>
        <v/>
      </c>
      <c r="D1574" t="str">
        <f>IF(A1574="","",IFERROR(VALUE(SUBSTITUTE(TRIM(Input!E1574&amp;""),"%","")),0)/IF(AND(IFERROR(VALUE(SUBSTITUTE(TRIM(Input!E1574&amp;""),"%","")),0)&gt;0,IFERROR(VALUE(SUBSTITUTE(TRIM(Input!E1574&amp;""),"%","")),0)&lt;1),1,100))</f>
        <v/>
      </c>
      <c r="E1574" t="str">
        <f>IF(A1574="","",IFERROR(VALUE(SUBSTITUTE(TRIM(Input!F1574&amp;""),"%","")),0)/IF(AND(IFERROR(VALUE(SUBSTITUTE(TRIM(Input!F1574&amp;""),"%","")),0)&gt;0,IFERROR(VALUE(SUBSTITUTE(TRIM(Input!F1574&amp;""),"%","")),0)&lt;1),1,100))</f>
        <v/>
      </c>
      <c r="F1574" t="str">
        <f>IF(A1574="","",IFERROR(VALUE(SUBSTITUTE(TRIM(Input!G1574&amp;""),"%","")),0)/IF(AND(IFERROR(VALUE(SUBSTITUTE(TRIM(Input!G1574&amp;""),"%","")),0)&gt;0,IFERROR(VALUE(SUBSTITUTE(TRIM(Input!G1574&amp;""),"%","")),0)&lt;1),1,100))</f>
        <v/>
      </c>
      <c r="G1574" t="str">
        <f>IF(A1574="","",IFERROR(VALUE(SUBSTITUTE(TRIM(Input!H1574&amp;""),"%","")),0)/IF(AND(IFERROR(VALUE(SUBSTITUTE(TRIM(Input!H1574&amp;""),"%","")),0)&gt;0,IFERROR(VALUE(SUBSTITUTE(TRIM(Input!H1574&amp;""),"%","")),0)&lt;1),1,100))</f>
        <v/>
      </c>
      <c r="H1574" t="str">
        <f>IF(A1574="","",IFERROR(VALUE(SUBSTITUTE(TRIM(Input!I1574&amp;""),"%","")),0)/IF(AND(IFERROR(VALUE(SUBSTITUTE(TRIM(Input!I1574&amp;""),"%","")),0)&gt;0,IFERROR(VALUE(SUBSTITUTE(TRIM(Input!I1574&amp;""),"%","")),0)&lt;1),1,100))</f>
        <v/>
      </c>
    </row>
    <row r="1575" spans="1:8">
      <c r="A1575" t="str">
        <f>IF(TRIM(Input!B1575&amp;"")="","",UPPER(TRIM(Input!B1575&amp;"")))</f>
        <v/>
      </c>
      <c r="B1575" t="str">
        <f>IF(A1575="","",IFERROR(VALUE(RIGHT(TRIM(Input!D1575&amp;""),1)),0))</f>
        <v/>
      </c>
      <c r="C1575" t="str">
        <f t="shared" si="24"/>
        <v/>
      </c>
      <c r="D1575" t="str">
        <f>IF(A1575="","",IFERROR(VALUE(SUBSTITUTE(TRIM(Input!E1575&amp;""),"%","")),0)/IF(AND(IFERROR(VALUE(SUBSTITUTE(TRIM(Input!E1575&amp;""),"%","")),0)&gt;0,IFERROR(VALUE(SUBSTITUTE(TRIM(Input!E1575&amp;""),"%","")),0)&lt;1),1,100))</f>
        <v/>
      </c>
      <c r="E1575" t="str">
        <f>IF(A1575="","",IFERROR(VALUE(SUBSTITUTE(TRIM(Input!F1575&amp;""),"%","")),0)/IF(AND(IFERROR(VALUE(SUBSTITUTE(TRIM(Input!F1575&amp;""),"%","")),0)&gt;0,IFERROR(VALUE(SUBSTITUTE(TRIM(Input!F1575&amp;""),"%","")),0)&lt;1),1,100))</f>
        <v/>
      </c>
      <c r="F1575" t="str">
        <f>IF(A1575="","",IFERROR(VALUE(SUBSTITUTE(TRIM(Input!G1575&amp;""),"%","")),0)/IF(AND(IFERROR(VALUE(SUBSTITUTE(TRIM(Input!G1575&amp;""),"%","")),0)&gt;0,IFERROR(VALUE(SUBSTITUTE(TRIM(Input!G1575&amp;""),"%","")),0)&lt;1),1,100))</f>
        <v/>
      </c>
      <c r="G1575" t="str">
        <f>IF(A1575="","",IFERROR(VALUE(SUBSTITUTE(TRIM(Input!H1575&amp;""),"%","")),0)/IF(AND(IFERROR(VALUE(SUBSTITUTE(TRIM(Input!H1575&amp;""),"%","")),0)&gt;0,IFERROR(VALUE(SUBSTITUTE(TRIM(Input!H1575&amp;""),"%","")),0)&lt;1),1,100))</f>
        <v/>
      </c>
      <c r="H1575" t="str">
        <f>IF(A1575="","",IFERROR(VALUE(SUBSTITUTE(TRIM(Input!I1575&amp;""),"%","")),0)/IF(AND(IFERROR(VALUE(SUBSTITUTE(TRIM(Input!I1575&amp;""),"%","")),0)&gt;0,IFERROR(VALUE(SUBSTITUTE(TRIM(Input!I1575&amp;""),"%","")),0)&lt;1),1,100))</f>
        <v/>
      </c>
    </row>
    <row r="1576" spans="1:8">
      <c r="A1576" t="str">
        <f>IF(TRIM(Input!B1576&amp;"")="","",UPPER(TRIM(Input!B1576&amp;"")))</f>
        <v/>
      </c>
      <c r="B1576" t="str">
        <f>IF(A1576="","",IFERROR(VALUE(RIGHT(TRIM(Input!D1576&amp;""),1)),0))</f>
        <v/>
      </c>
      <c r="C1576" t="str">
        <f t="shared" si="24"/>
        <v/>
      </c>
      <c r="D1576" t="str">
        <f>IF(A1576="","",IFERROR(VALUE(SUBSTITUTE(TRIM(Input!E1576&amp;""),"%","")),0)/IF(AND(IFERROR(VALUE(SUBSTITUTE(TRIM(Input!E1576&amp;""),"%","")),0)&gt;0,IFERROR(VALUE(SUBSTITUTE(TRIM(Input!E1576&amp;""),"%","")),0)&lt;1),1,100))</f>
        <v/>
      </c>
      <c r="E1576" t="str">
        <f>IF(A1576="","",IFERROR(VALUE(SUBSTITUTE(TRIM(Input!F1576&amp;""),"%","")),0)/IF(AND(IFERROR(VALUE(SUBSTITUTE(TRIM(Input!F1576&amp;""),"%","")),0)&gt;0,IFERROR(VALUE(SUBSTITUTE(TRIM(Input!F1576&amp;""),"%","")),0)&lt;1),1,100))</f>
        <v/>
      </c>
      <c r="F1576" t="str">
        <f>IF(A1576="","",IFERROR(VALUE(SUBSTITUTE(TRIM(Input!G1576&amp;""),"%","")),0)/IF(AND(IFERROR(VALUE(SUBSTITUTE(TRIM(Input!G1576&amp;""),"%","")),0)&gt;0,IFERROR(VALUE(SUBSTITUTE(TRIM(Input!G1576&amp;""),"%","")),0)&lt;1),1,100))</f>
        <v/>
      </c>
      <c r="G1576" t="str">
        <f>IF(A1576="","",IFERROR(VALUE(SUBSTITUTE(TRIM(Input!H1576&amp;""),"%","")),0)/IF(AND(IFERROR(VALUE(SUBSTITUTE(TRIM(Input!H1576&amp;""),"%","")),0)&gt;0,IFERROR(VALUE(SUBSTITUTE(TRIM(Input!H1576&amp;""),"%","")),0)&lt;1),1,100))</f>
        <v/>
      </c>
      <c r="H1576" t="str">
        <f>IF(A1576="","",IFERROR(VALUE(SUBSTITUTE(TRIM(Input!I1576&amp;""),"%","")),0)/IF(AND(IFERROR(VALUE(SUBSTITUTE(TRIM(Input!I1576&amp;""),"%","")),0)&gt;0,IFERROR(VALUE(SUBSTITUTE(TRIM(Input!I1576&amp;""),"%","")),0)&lt;1),1,100))</f>
        <v/>
      </c>
    </row>
    <row r="1577" spans="1:8">
      <c r="A1577" t="str">
        <f>IF(TRIM(Input!B1577&amp;"")="","",UPPER(TRIM(Input!B1577&amp;"")))</f>
        <v/>
      </c>
      <c r="B1577" t="str">
        <f>IF(A1577="","",IFERROR(VALUE(RIGHT(TRIM(Input!D1577&amp;""),1)),0))</f>
        <v/>
      </c>
      <c r="C1577" t="str">
        <f t="shared" si="24"/>
        <v/>
      </c>
      <c r="D1577" t="str">
        <f>IF(A1577="","",IFERROR(VALUE(SUBSTITUTE(TRIM(Input!E1577&amp;""),"%","")),0)/IF(AND(IFERROR(VALUE(SUBSTITUTE(TRIM(Input!E1577&amp;""),"%","")),0)&gt;0,IFERROR(VALUE(SUBSTITUTE(TRIM(Input!E1577&amp;""),"%","")),0)&lt;1),1,100))</f>
        <v/>
      </c>
      <c r="E1577" t="str">
        <f>IF(A1577="","",IFERROR(VALUE(SUBSTITUTE(TRIM(Input!F1577&amp;""),"%","")),0)/IF(AND(IFERROR(VALUE(SUBSTITUTE(TRIM(Input!F1577&amp;""),"%","")),0)&gt;0,IFERROR(VALUE(SUBSTITUTE(TRIM(Input!F1577&amp;""),"%","")),0)&lt;1),1,100))</f>
        <v/>
      </c>
      <c r="F1577" t="str">
        <f>IF(A1577="","",IFERROR(VALUE(SUBSTITUTE(TRIM(Input!G1577&amp;""),"%","")),0)/IF(AND(IFERROR(VALUE(SUBSTITUTE(TRIM(Input!G1577&amp;""),"%","")),0)&gt;0,IFERROR(VALUE(SUBSTITUTE(TRIM(Input!G1577&amp;""),"%","")),0)&lt;1),1,100))</f>
        <v/>
      </c>
      <c r="G1577" t="str">
        <f>IF(A1577="","",IFERROR(VALUE(SUBSTITUTE(TRIM(Input!H1577&amp;""),"%","")),0)/IF(AND(IFERROR(VALUE(SUBSTITUTE(TRIM(Input!H1577&amp;""),"%","")),0)&gt;0,IFERROR(VALUE(SUBSTITUTE(TRIM(Input!H1577&amp;""),"%","")),0)&lt;1),1,100))</f>
        <v/>
      </c>
      <c r="H1577" t="str">
        <f>IF(A1577="","",IFERROR(VALUE(SUBSTITUTE(TRIM(Input!I1577&amp;""),"%","")),0)/IF(AND(IFERROR(VALUE(SUBSTITUTE(TRIM(Input!I1577&amp;""),"%","")),0)&gt;0,IFERROR(VALUE(SUBSTITUTE(TRIM(Input!I1577&amp;""),"%","")),0)&lt;1),1,100))</f>
        <v/>
      </c>
    </row>
    <row r="1578" spans="1:8">
      <c r="A1578" t="str">
        <f>IF(TRIM(Input!B1578&amp;"")="","",UPPER(TRIM(Input!B1578&amp;"")))</f>
        <v/>
      </c>
      <c r="B1578" t="str">
        <f>IF(A1578="","",IFERROR(VALUE(RIGHT(TRIM(Input!D1578&amp;""),1)),0))</f>
        <v/>
      </c>
      <c r="C1578" t="str">
        <f t="shared" si="24"/>
        <v/>
      </c>
      <c r="D1578" t="str">
        <f>IF(A1578="","",IFERROR(VALUE(SUBSTITUTE(TRIM(Input!E1578&amp;""),"%","")),0)/IF(AND(IFERROR(VALUE(SUBSTITUTE(TRIM(Input!E1578&amp;""),"%","")),0)&gt;0,IFERROR(VALUE(SUBSTITUTE(TRIM(Input!E1578&amp;""),"%","")),0)&lt;1),1,100))</f>
        <v/>
      </c>
      <c r="E1578" t="str">
        <f>IF(A1578="","",IFERROR(VALUE(SUBSTITUTE(TRIM(Input!F1578&amp;""),"%","")),0)/IF(AND(IFERROR(VALUE(SUBSTITUTE(TRIM(Input!F1578&amp;""),"%","")),0)&gt;0,IFERROR(VALUE(SUBSTITUTE(TRIM(Input!F1578&amp;""),"%","")),0)&lt;1),1,100))</f>
        <v/>
      </c>
      <c r="F1578" t="str">
        <f>IF(A1578="","",IFERROR(VALUE(SUBSTITUTE(TRIM(Input!G1578&amp;""),"%","")),0)/IF(AND(IFERROR(VALUE(SUBSTITUTE(TRIM(Input!G1578&amp;""),"%","")),0)&gt;0,IFERROR(VALUE(SUBSTITUTE(TRIM(Input!G1578&amp;""),"%","")),0)&lt;1),1,100))</f>
        <v/>
      </c>
      <c r="G1578" t="str">
        <f>IF(A1578="","",IFERROR(VALUE(SUBSTITUTE(TRIM(Input!H1578&amp;""),"%","")),0)/IF(AND(IFERROR(VALUE(SUBSTITUTE(TRIM(Input!H1578&amp;""),"%","")),0)&gt;0,IFERROR(VALUE(SUBSTITUTE(TRIM(Input!H1578&amp;""),"%","")),0)&lt;1),1,100))</f>
        <v/>
      </c>
      <c r="H1578" t="str">
        <f>IF(A1578="","",IFERROR(VALUE(SUBSTITUTE(TRIM(Input!I1578&amp;""),"%","")),0)/IF(AND(IFERROR(VALUE(SUBSTITUTE(TRIM(Input!I1578&amp;""),"%","")),0)&gt;0,IFERROR(VALUE(SUBSTITUTE(TRIM(Input!I1578&amp;""),"%","")),0)&lt;1),1,100))</f>
        <v/>
      </c>
    </row>
    <row r="1579" spans="1:8">
      <c r="A1579" t="str">
        <f>IF(TRIM(Input!B1579&amp;"")="","",UPPER(TRIM(Input!B1579&amp;"")))</f>
        <v/>
      </c>
      <c r="B1579" t="str">
        <f>IF(A1579="","",IFERROR(VALUE(RIGHT(TRIM(Input!D1579&amp;""),1)),0))</f>
        <v/>
      </c>
      <c r="C1579" t="str">
        <f t="shared" si="24"/>
        <v/>
      </c>
      <c r="D1579" t="str">
        <f>IF(A1579="","",IFERROR(VALUE(SUBSTITUTE(TRIM(Input!E1579&amp;""),"%","")),0)/IF(AND(IFERROR(VALUE(SUBSTITUTE(TRIM(Input!E1579&amp;""),"%","")),0)&gt;0,IFERROR(VALUE(SUBSTITUTE(TRIM(Input!E1579&amp;""),"%","")),0)&lt;1),1,100))</f>
        <v/>
      </c>
      <c r="E1579" t="str">
        <f>IF(A1579="","",IFERROR(VALUE(SUBSTITUTE(TRIM(Input!F1579&amp;""),"%","")),0)/IF(AND(IFERROR(VALUE(SUBSTITUTE(TRIM(Input!F1579&amp;""),"%","")),0)&gt;0,IFERROR(VALUE(SUBSTITUTE(TRIM(Input!F1579&amp;""),"%","")),0)&lt;1),1,100))</f>
        <v/>
      </c>
      <c r="F1579" t="str">
        <f>IF(A1579="","",IFERROR(VALUE(SUBSTITUTE(TRIM(Input!G1579&amp;""),"%","")),0)/IF(AND(IFERROR(VALUE(SUBSTITUTE(TRIM(Input!G1579&amp;""),"%","")),0)&gt;0,IFERROR(VALUE(SUBSTITUTE(TRIM(Input!G1579&amp;""),"%","")),0)&lt;1),1,100))</f>
        <v/>
      </c>
      <c r="G1579" t="str">
        <f>IF(A1579="","",IFERROR(VALUE(SUBSTITUTE(TRIM(Input!H1579&amp;""),"%","")),0)/IF(AND(IFERROR(VALUE(SUBSTITUTE(TRIM(Input!H1579&amp;""),"%","")),0)&gt;0,IFERROR(VALUE(SUBSTITUTE(TRIM(Input!H1579&amp;""),"%","")),0)&lt;1),1,100))</f>
        <v/>
      </c>
      <c r="H1579" t="str">
        <f>IF(A1579="","",IFERROR(VALUE(SUBSTITUTE(TRIM(Input!I1579&amp;""),"%","")),0)/IF(AND(IFERROR(VALUE(SUBSTITUTE(TRIM(Input!I1579&amp;""),"%","")),0)&gt;0,IFERROR(VALUE(SUBSTITUTE(TRIM(Input!I1579&amp;""),"%","")),0)&lt;1),1,100))</f>
        <v/>
      </c>
    </row>
    <row r="1580" spans="1:8">
      <c r="A1580" t="str">
        <f>IF(TRIM(Input!B1580&amp;"")="","",UPPER(TRIM(Input!B1580&amp;"")))</f>
        <v/>
      </c>
      <c r="B1580" t="str">
        <f>IF(A1580="","",IFERROR(VALUE(RIGHT(TRIM(Input!D1580&amp;""),1)),0))</f>
        <v/>
      </c>
      <c r="C1580" t="str">
        <f t="shared" si="24"/>
        <v/>
      </c>
      <c r="D1580" t="str">
        <f>IF(A1580="","",IFERROR(VALUE(SUBSTITUTE(TRIM(Input!E1580&amp;""),"%","")),0)/IF(AND(IFERROR(VALUE(SUBSTITUTE(TRIM(Input!E1580&amp;""),"%","")),0)&gt;0,IFERROR(VALUE(SUBSTITUTE(TRIM(Input!E1580&amp;""),"%","")),0)&lt;1),1,100))</f>
        <v/>
      </c>
      <c r="E1580" t="str">
        <f>IF(A1580="","",IFERROR(VALUE(SUBSTITUTE(TRIM(Input!F1580&amp;""),"%","")),0)/IF(AND(IFERROR(VALUE(SUBSTITUTE(TRIM(Input!F1580&amp;""),"%","")),0)&gt;0,IFERROR(VALUE(SUBSTITUTE(TRIM(Input!F1580&amp;""),"%","")),0)&lt;1),1,100))</f>
        <v/>
      </c>
      <c r="F1580" t="str">
        <f>IF(A1580="","",IFERROR(VALUE(SUBSTITUTE(TRIM(Input!G1580&amp;""),"%","")),0)/IF(AND(IFERROR(VALUE(SUBSTITUTE(TRIM(Input!G1580&amp;""),"%","")),0)&gt;0,IFERROR(VALUE(SUBSTITUTE(TRIM(Input!G1580&amp;""),"%","")),0)&lt;1),1,100))</f>
        <v/>
      </c>
      <c r="G1580" t="str">
        <f>IF(A1580="","",IFERROR(VALUE(SUBSTITUTE(TRIM(Input!H1580&amp;""),"%","")),0)/IF(AND(IFERROR(VALUE(SUBSTITUTE(TRIM(Input!H1580&amp;""),"%","")),0)&gt;0,IFERROR(VALUE(SUBSTITUTE(TRIM(Input!H1580&amp;""),"%","")),0)&lt;1),1,100))</f>
        <v/>
      </c>
      <c r="H1580" t="str">
        <f>IF(A1580="","",IFERROR(VALUE(SUBSTITUTE(TRIM(Input!I1580&amp;""),"%","")),0)/IF(AND(IFERROR(VALUE(SUBSTITUTE(TRIM(Input!I1580&amp;""),"%","")),0)&gt;0,IFERROR(VALUE(SUBSTITUTE(TRIM(Input!I1580&amp;""),"%","")),0)&lt;1),1,100))</f>
        <v/>
      </c>
    </row>
    <row r="1581" spans="1:8">
      <c r="A1581" t="str">
        <f>IF(TRIM(Input!B1581&amp;"")="","",UPPER(TRIM(Input!B1581&amp;"")))</f>
        <v/>
      </c>
      <c r="B1581" t="str">
        <f>IF(A1581="","",IFERROR(VALUE(RIGHT(TRIM(Input!D1581&amp;""),1)),0))</f>
        <v/>
      </c>
      <c r="C1581" t="str">
        <f t="shared" si="24"/>
        <v/>
      </c>
      <c r="D1581" t="str">
        <f>IF(A1581="","",IFERROR(VALUE(SUBSTITUTE(TRIM(Input!E1581&amp;""),"%","")),0)/IF(AND(IFERROR(VALUE(SUBSTITUTE(TRIM(Input!E1581&amp;""),"%","")),0)&gt;0,IFERROR(VALUE(SUBSTITUTE(TRIM(Input!E1581&amp;""),"%","")),0)&lt;1),1,100))</f>
        <v/>
      </c>
      <c r="E1581" t="str">
        <f>IF(A1581="","",IFERROR(VALUE(SUBSTITUTE(TRIM(Input!F1581&amp;""),"%","")),0)/IF(AND(IFERROR(VALUE(SUBSTITUTE(TRIM(Input!F1581&amp;""),"%","")),0)&gt;0,IFERROR(VALUE(SUBSTITUTE(TRIM(Input!F1581&amp;""),"%","")),0)&lt;1),1,100))</f>
        <v/>
      </c>
      <c r="F1581" t="str">
        <f>IF(A1581="","",IFERROR(VALUE(SUBSTITUTE(TRIM(Input!G1581&amp;""),"%","")),0)/IF(AND(IFERROR(VALUE(SUBSTITUTE(TRIM(Input!G1581&amp;""),"%","")),0)&gt;0,IFERROR(VALUE(SUBSTITUTE(TRIM(Input!G1581&amp;""),"%","")),0)&lt;1),1,100))</f>
        <v/>
      </c>
      <c r="G1581" t="str">
        <f>IF(A1581="","",IFERROR(VALUE(SUBSTITUTE(TRIM(Input!H1581&amp;""),"%","")),0)/IF(AND(IFERROR(VALUE(SUBSTITUTE(TRIM(Input!H1581&amp;""),"%","")),0)&gt;0,IFERROR(VALUE(SUBSTITUTE(TRIM(Input!H1581&amp;""),"%","")),0)&lt;1),1,100))</f>
        <v/>
      </c>
      <c r="H1581" t="str">
        <f>IF(A1581="","",IFERROR(VALUE(SUBSTITUTE(TRIM(Input!I1581&amp;""),"%","")),0)/IF(AND(IFERROR(VALUE(SUBSTITUTE(TRIM(Input!I1581&amp;""),"%","")),0)&gt;0,IFERROR(VALUE(SUBSTITUTE(TRIM(Input!I1581&amp;""),"%","")),0)&lt;1),1,100))</f>
        <v/>
      </c>
    </row>
    <row r="1582" spans="1:8">
      <c r="A1582" t="str">
        <f>IF(TRIM(Input!B1582&amp;"")="","",UPPER(TRIM(Input!B1582&amp;"")))</f>
        <v/>
      </c>
      <c r="B1582" t="str">
        <f>IF(A1582="","",IFERROR(VALUE(RIGHT(TRIM(Input!D1582&amp;""),1)),0))</f>
        <v/>
      </c>
      <c r="C1582" t="str">
        <f t="shared" si="24"/>
        <v/>
      </c>
      <c r="D1582" t="str">
        <f>IF(A1582="","",IFERROR(VALUE(SUBSTITUTE(TRIM(Input!E1582&amp;""),"%","")),0)/IF(AND(IFERROR(VALUE(SUBSTITUTE(TRIM(Input!E1582&amp;""),"%","")),0)&gt;0,IFERROR(VALUE(SUBSTITUTE(TRIM(Input!E1582&amp;""),"%","")),0)&lt;1),1,100))</f>
        <v/>
      </c>
      <c r="E1582" t="str">
        <f>IF(A1582="","",IFERROR(VALUE(SUBSTITUTE(TRIM(Input!F1582&amp;""),"%","")),0)/IF(AND(IFERROR(VALUE(SUBSTITUTE(TRIM(Input!F1582&amp;""),"%","")),0)&gt;0,IFERROR(VALUE(SUBSTITUTE(TRIM(Input!F1582&amp;""),"%","")),0)&lt;1),1,100))</f>
        <v/>
      </c>
      <c r="F1582" t="str">
        <f>IF(A1582="","",IFERROR(VALUE(SUBSTITUTE(TRIM(Input!G1582&amp;""),"%","")),0)/IF(AND(IFERROR(VALUE(SUBSTITUTE(TRIM(Input!G1582&amp;""),"%","")),0)&gt;0,IFERROR(VALUE(SUBSTITUTE(TRIM(Input!G1582&amp;""),"%","")),0)&lt;1),1,100))</f>
        <v/>
      </c>
      <c r="G1582" t="str">
        <f>IF(A1582="","",IFERROR(VALUE(SUBSTITUTE(TRIM(Input!H1582&amp;""),"%","")),0)/IF(AND(IFERROR(VALUE(SUBSTITUTE(TRIM(Input!H1582&amp;""),"%","")),0)&gt;0,IFERROR(VALUE(SUBSTITUTE(TRIM(Input!H1582&amp;""),"%","")),0)&lt;1),1,100))</f>
        <v/>
      </c>
      <c r="H1582" t="str">
        <f>IF(A1582="","",IFERROR(VALUE(SUBSTITUTE(TRIM(Input!I1582&amp;""),"%","")),0)/IF(AND(IFERROR(VALUE(SUBSTITUTE(TRIM(Input!I1582&amp;""),"%","")),0)&gt;0,IFERROR(VALUE(SUBSTITUTE(TRIM(Input!I1582&amp;""),"%","")),0)&lt;1),1,100))</f>
        <v/>
      </c>
    </row>
    <row r="1583" spans="1:8">
      <c r="A1583" t="str">
        <f>IF(TRIM(Input!B1583&amp;"")="","",UPPER(TRIM(Input!B1583&amp;"")))</f>
        <v/>
      </c>
      <c r="B1583" t="str">
        <f>IF(A1583="","",IFERROR(VALUE(RIGHT(TRIM(Input!D1583&amp;""),1)),0))</f>
        <v/>
      </c>
      <c r="C1583" t="str">
        <f t="shared" si="24"/>
        <v/>
      </c>
      <c r="D1583" t="str">
        <f>IF(A1583="","",IFERROR(VALUE(SUBSTITUTE(TRIM(Input!E1583&amp;""),"%","")),0)/IF(AND(IFERROR(VALUE(SUBSTITUTE(TRIM(Input!E1583&amp;""),"%","")),0)&gt;0,IFERROR(VALUE(SUBSTITUTE(TRIM(Input!E1583&amp;""),"%","")),0)&lt;1),1,100))</f>
        <v/>
      </c>
      <c r="E1583" t="str">
        <f>IF(A1583="","",IFERROR(VALUE(SUBSTITUTE(TRIM(Input!F1583&amp;""),"%","")),0)/IF(AND(IFERROR(VALUE(SUBSTITUTE(TRIM(Input!F1583&amp;""),"%","")),0)&gt;0,IFERROR(VALUE(SUBSTITUTE(TRIM(Input!F1583&amp;""),"%","")),0)&lt;1),1,100))</f>
        <v/>
      </c>
      <c r="F1583" t="str">
        <f>IF(A1583="","",IFERROR(VALUE(SUBSTITUTE(TRIM(Input!G1583&amp;""),"%","")),0)/IF(AND(IFERROR(VALUE(SUBSTITUTE(TRIM(Input!G1583&amp;""),"%","")),0)&gt;0,IFERROR(VALUE(SUBSTITUTE(TRIM(Input!G1583&amp;""),"%","")),0)&lt;1),1,100))</f>
        <v/>
      </c>
      <c r="G1583" t="str">
        <f>IF(A1583="","",IFERROR(VALUE(SUBSTITUTE(TRIM(Input!H1583&amp;""),"%","")),0)/IF(AND(IFERROR(VALUE(SUBSTITUTE(TRIM(Input!H1583&amp;""),"%","")),0)&gt;0,IFERROR(VALUE(SUBSTITUTE(TRIM(Input!H1583&amp;""),"%","")),0)&lt;1),1,100))</f>
        <v/>
      </c>
      <c r="H1583" t="str">
        <f>IF(A1583="","",IFERROR(VALUE(SUBSTITUTE(TRIM(Input!I1583&amp;""),"%","")),0)/IF(AND(IFERROR(VALUE(SUBSTITUTE(TRIM(Input!I1583&amp;""),"%","")),0)&gt;0,IFERROR(VALUE(SUBSTITUTE(TRIM(Input!I1583&amp;""),"%","")),0)&lt;1),1,100))</f>
        <v/>
      </c>
    </row>
    <row r="1584" spans="1:8">
      <c r="A1584" t="str">
        <f>IF(TRIM(Input!B1584&amp;"")="","",UPPER(TRIM(Input!B1584&amp;"")))</f>
        <v/>
      </c>
      <c r="B1584" t="str">
        <f>IF(A1584="","",IFERROR(VALUE(RIGHT(TRIM(Input!D1584&amp;""),1)),0))</f>
        <v/>
      </c>
      <c r="C1584" t="str">
        <f t="shared" si="24"/>
        <v/>
      </c>
      <c r="D1584" t="str">
        <f>IF(A1584="","",IFERROR(VALUE(SUBSTITUTE(TRIM(Input!E1584&amp;""),"%","")),0)/IF(AND(IFERROR(VALUE(SUBSTITUTE(TRIM(Input!E1584&amp;""),"%","")),0)&gt;0,IFERROR(VALUE(SUBSTITUTE(TRIM(Input!E1584&amp;""),"%","")),0)&lt;1),1,100))</f>
        <v/>
      </c>
      <c r="E1584" t="str">
        <f>IF(A1584="","",IFERROR(VALUE(SUBSTITUTE(TRIM(Input!F1584&amp;""),"%","")),0)/IF(AND(IFERROR(VALUE(SUBSTITUTE(TRIM(Input!F1584&amp;""),"%","")),0)&gt;0,IFERROR(VALUE(SUBSTITUTE(TRIM(Input!F1584&amp;""),"%","")),0)&lt;1),1,100))</f>
        <v/>
      </c>
      <c r="F1584" t="str">
        <f>IF(A1584="","",IFERROR(VALUE(SUBSTITUTE(TRIM(Input!G1584&amp;""),"%","")),0)/IF(AND(IFERROR(VALUE(SUBSTITUTE(TRIM(Input!G1584&amp;""),"%","")),0)&gt;0,IFERROR(VALUE(SUBSTITUTE(TRIM(Input!G1584&amp;""),"%","")),0)&lt;1),1,100))</f>
        <v/>
      </c>
      <c r="G1584" t="str">
        <f>IF(A1584="","",IFERROR(VALUE(SUBSTITUTE(TRIM(Input!H1584&amp;""),"%","")),0)/IF(AND(IFERROR(VALUE(SUBSTITUTE(TRIM(Input!H1584&amp;""),"%","")),0)&gt;0,IFERROR(VALUE(SUBSTITUTE(TRIM(Input!H1584&amp;""),"%","")),0)&lt;1),1,100))</f>
        <v/>
      </c>
      <c r="H1584" t="str">
        <f>IF(A1584="","",IFERROR(VALUE(SUBSTITUTE(TRIM(Input!I1584&amp;""),"%","")),0)/IF(AND(IFERROR(VALUE(SUBSTITUTE(TRIM(Input!I1584&amp;""),"%","")),0)&gt;0,IFERROR(VALUE(SUBSTITUTE(TRIM(Input!I1584&amp;""),"%","")),0)&lt;1),1,100))</f>
        <v/>
      </c>
    </row>
    <row r="1585" spans="1:8">
      <c r="A1585" t="str">
        <f>IF(TRIM(Input!B1585&amp;"")="","",UPPER(TRIM(Input!B1585&amp;"")))</f>
        <v/>
      </c>
      <c r="B1585" t="str">
        <f>IF(A1585="","",IFERROR(VALUE(RIGHT(TRIM(Input!D1585&amp;""),1)),0))</f>
        <v/>
      </c>
      <c r="C1585" t="str">
        <f t="shared" si="24"/>
        <v/>
      </c>
      <c r="D1585" t="str">
        <f>IF(A1585="","",IFERROR(VALUE(SUBSTITUTE(TRIM(Input!E1585&amp;""),"%","")),0)/IF(AND(IFERROR(VALUE(SUBSTITUTE(TRIM(Input!E1585&amp;""),"%","")),0)&gt;0,IFERROR(VALUE(SUBSTITUTE(TRIM(Input!E1585&amp;""),"%","")),0)&lt;1),1,100))</f>
        <v/>
      </c>
      <c r="E1585" t="str">
        <f>IF(A1585="","",IFERROR(VALUE(SUBSTITUTE(TRIM(Input!F1585&amp;""),"%","")),0)/IF(AND(IFERROR(VALUE(SUBSTITUTE(TRIM(Input!F1585&amp;""),"%","")),0)&gt;0,IFERROR(VALUE(SUBSTITUTE(TRIM(Input!F1585&amp;""),"%","")),0)&lt;1),1,100))</f>
        <v/>
      </c>
      <c r="F1585" t="str">
        <f>IF(A1585="","",IFERROR(VALUE(SUBSTITUTE(TRIM(Input!G1585&amp;""),"%","")),0)/IF(AND(IFERROR(VALUE(SUBSTITUTE(TRIM(Input!G1585&amp;""),"%","")),0)&gt;0,IFERROR(VALUE(SUBSTITUTE(TRIM(Input!G1585&amp;""),"%","")),0)&lt;1),1,100))</f>
        <v/>
      </c>
      <c r="G1585" t="str">
        <f>IF(A1585="","",IFERROR(VALUE(SUBSTITUTE(TRIM(Input!H1585&amp;""),"%","")),0)/IF(AND(IFERROR(VALUE(SUBSTITUTE(TRIM(Input!H1585&amp;""),"%","")),0)&gt;0,IFERROR(VALUE(SUBSTITUTE(TRIM(Input!H1585&amp;""),"%","")),0)&lt;1),1,100))</f>
        <v/>
      </c>
      <c r="H1585" t="str">
        <f>IF(A1585="","",IFERROR(VALUE(SUBSTITUTE(TRIM(Input!I1585&amp;""),"%","")),0)/IF(AND(IFERROR(VALUE(SUBSTITUTE(TRIM(Input!I1585&amp;""),"%","")),0)&gt;0,IFERROR(VALUE(SUBSTITUTE(TRIM(Input!I1585&amp;""),"%","")),0)&lt;1),1,100))</f>
        <v/>
      </c>
    </row>
    <row r="1586" spans="1:8">
      <c r="A1586" t="str">
        <f>IF(TRIM(Input!B1586&amp;"")="","",UPPER(TRIM(Input!B1586&amp;"")))</f>
        <v/>
      </c>
      <c r="B1586" t="str">
        <f>IF(A1586="","",IFERROR(VALUE(RIGHT(TRIM(Input!D1586&amp;""),1)),0))</f>
        <v/>
      </c>
      <c r="C1586" t="str">
        <f t="shared" si="24"/>
        <v/>
      </c>
      <c r="D1586" t="str">
        <f>IF(A1586="","",IFERROR(VALUE(SUBSTITUTE(TRIM(Input!E1586&amp;""),"%","")),0)/IF(AND(IFERROR(VALUE(SUBSTITUTE(TRIM(Input!E1586&amp;""),"%","")),0)&gt;0,IFERROR(VALUE(SUBSTITUTE(TRIM(Input!E1586&amp;""),"%","")),0)&lt;1),1,100))</f>
        <v/>
      </c>
      <c r="E1586" t="str">
        <f>IF(A1586="","",IFERROR(VALUE(SUBSTITUTE(TRIM(Input!F1586&amp;""),"%","")),0)/IF(AND(IFERROR(VALUE(SUBSTITUTE(TRIM(Input!F1586&amp;""),"%","")),0)&gt;0,IFERROR(VALUE(SUBSTITUTE(TRIM(Input!F1586&amp;""),"%","")),0)&lt;1),1,100))</f>
        <v/>
      </c>
      <c r="F1586" t="str">
        <f>IF(A1586="","",IFERROR(VALUE(SUBSTITUTE(TRIM(Input!G1586&amp;""),"%","")),0)/IF(AND(IFERROR(VALUE(SUBSTITUTE(TRIM(Input!G1586&amp;""),"%","")),0)&gt;0,IFERROR(VALUE(SUBSTITUTE(TRIM(Input!G1586&amp;""),"%","")),0)&lt;1),1,100))</f>
        <v/>
      </c>
      <c r="G1586" t="str">
        <f>IF(A1586="","",IFERROR(VALUE(SUBSTITUTE(TRIM(Input!H1586&amp;""),"%","")),0)/IF(AND(IFERROR(VALUE(SUBSTITUTE(TRIM(Input!H1586&amp;""),"%","")),0)&gt;0,IFERROR(VALUE(SUBSTITUTE(TRIM(Input!H1586&amp;""),"%","")),0)&lt;1),1,100))</f>
        <v/>
      </c>
      <c r="H1586" t="str">
        <f>IF(A1586="","",IFERROR(VALUE(SUBSTITUTE(TRIM(Input!I1586&amp;""),"%","")),0)/IF(AND(IFERROR(VALUE(SUBSTITUTE(TRIM(Input!I1586&amp;""),"%","")),0)&gt;0,IFERROR(VALUE(SUBSTITUTE(TRIM(Input!I1586&amp;""),"%","")),0)&lt;1),1,100))</f>
        <v/>
      </c>
    </row>
    <row r="1587" spans="1:8">
      <c r="A1587" t="str">
        <f>IF(TRIM(Input!B1587&amp;"")="","",UPPER(TRIM(Input!B1587&amp;"")))</f>
        <v/>
      </c>
      <c r="B1587" t="str">
        <f>IF(A1587="","",IFERROR(VALUE(RIGHT(TRIM(Input!D1587&amp;""),1)),0))</f>
        <v/>
      </c>
      <c r="C1587" t="str">
        <f t="shared" si="24"/>
        <v/>
      </c>
      <c r="D1587" t="str">
        <f>IF(A1587="","",IFERROR(VALUE(SUBSTITUTE(TRIM(Input!E1587&amp;""),"%","")),0)/IF(AND(IFERROR(VALUE(SUBSTITUTE(TRIM(Input!E1587&amp;""),"%","")),0)&gt;0,IFERROR(VALUE(SUBSTITUTE(TRIM(Input!E1587&amp;""),"%","")),0)&lt;1),1,100))</f>
        <v/>
      </c>
      <c r="E1587" t="str">
        <f>IF(A1587="","",IFERROR(VALUE(SUBSTITUTE(TRIM(Input!F1587&amp;""),"%","")),0)/IF(AND(IFERROR(VALUE(SUBSTITUTE(TRIM(Input!F1587&amp;""),"%","")),0)&gt;0,IFERROR(VALUE(SUBSTITUTE(TRIM(Input!F1587&amp;""),"%","")),0)&lt;1),1,100))</f>
        <v/>
      </c>
      <c r="F1587" t="str">
        <f>IF(A1587="","",IFERROR(VALUE(SUBSTITUTE(TRIM(Input!G1587&amp;""),"%","")),0)/IF(AND(IFERROR(VALUE(SUBSTITUTE(TRIM(Input!G1587&amp;""),"%","")),0)&gt;0,IFERROR(VALUE(SUBSTITUTE(TRIM(Input!G1587&amp;""),"%","")),0)&lt;1),1,100))</f>
        <v/>
      </c>
      <c r="G1587" t="str">
        <f>IF(A1587="","",IFERROR(VALUE(SUBSTITUTE(TRIM(Input!H1587&amp;""),"%","")),0)/IF(AND(IFERROR(VALUE(SUBSTITUTE(TRIM(Input!H1587&amp;""),"%","")),0)&gt;0,IFERROR(VALUE(SUBSTITUTE(TRIM(Input!H1587&amp;""),"%","")),0)&lt;1),1,100))</f>
        <v/>
      </c>
      <c r="H1587" t="str">
        <f>IF(A1587="","",IFERROR(VALUE(SUBSTITUTE(TRIM(Input!I1587&amp;""),"%","")),0)/IF(AND(IFERROR(VALUE(SUBSTITUTE(TRIM(Input!I1587&amp;""),"%","")),0)&gt;0,IFERROR(VALUE(SUBSTITUTE(TRIM(Input!I1587&amp;""),"%","")),0)&lt;1),1,100))</f>
        <v/>
      </c>
    </row>
    <row r="1588" spans="1:8">
      <c r="A1588" t="str">
        <f>IF(TRIM(Input!B1588&amp;"")="","",UPPER(TRIM(Input!B1588&amp;"")))</f>
        <v/>
      </c>
      <c r="B1588" t="str">
        <f>IF(A1588="","",IFERROR(VALUE(RIGHT(TRIM(Input!D1588&amp;""),1)),0))</f>
        <v/>
      </c>
      <c r="C1588" t="str">
        <f t="shared" si="24"/>
        <v/>
      </c>
      <c r="D1588" t="str">
        <f>IF(A1588="","",IFERROR(VALUE(SUBSTITUTE(TRIM(Input!E1588&amp;""),"%","")),0)/IF(AND(IFERROR(VALUE(SUBSTITUTE(TRIM(Input!E1588&amp;""),"%","")),0)&gt;0,IFERROR(VALUE(SUBSTITUTE(TRIM(Input!E1588&amp;""),"%","")),0)&lt;1),1,100))</f>
        <v/>
      </c>
      <c r="E1588" t="str">
        <f>IF(A1588="","",IFERROR(VALUE(SUBSTITUTE(TRIM(Input!F1588&amp;""),"%","")),0)/IF(AND(IFERROR(VALUE(SUBSTITUTE(TRIM(Input!F1588&amp;""),"%","")),0)&gt;0,IFERROR(VALUE(SUBSTITUTE(TRIM(Input!F1588&amp;""),"%","")),0)&lt;1),1,100))</f>
        <v/>
      </c>
      <c r="F1588" t="str">
        <f>IF(A1588="","",IFERROR(VALUE(SUBSTITUTE(TRIM(Input!G1588&amp;""),"%","")),0)/IF(AND(IFERROR(VALUE(SUBSTITUTE(TRIM(Input!G1588&amp;""),"%","")),0)&gt;0,IFERROR(VALUE(SUBSTITUTE(TRIM(Input!G1588&amp;""),"%","")),0)&lt;1),1,100))</f>
        <v/>
      </c>
      <c r="G1588" t="str">
        <f>IF(A1588="","",IFERROR(VALUE(SUBSTITUTE(TRIM(Input!H1588&amp;""),"%","")),0)/IF(AND(IFERROR(VALUE(SUBSTITUTE(TRIM(Input!H1588&amp;""),"%","")),0)&gt;0,IFERROR(VALUE(SUBSTITUTE(TRIM(Input!H1588&amp;""),"%","")),0)&lt;1),1,100))</f>
        <v/>
      </c>
      <c r="H1588" t="str">
        <f>IF(A1588="","",IFERROR(VALUE(SUBSTITUTE(TRIM(Input!I1588&amp;""),"%","")),0)/IF(AND(IFERROR(VALUE(SUBSTITUTE(TRIM(Input!I1588&amp;""),"%","")),0)&gt;0,IFERROR(VALUE(SUBSTITUTE(TRIM(Input!I1588&amp;""),"%","")),0)&lt;1),1,100))</f>
        <v/>
      </c>
    </row>
    <row r="1589" spans="1:8">
      <c r="A1589" t="str">
        <f>IF(TRIM(Input!B1589&amp;"")="","",UPPER(TRIM(Input!B1589&amp;"")))</f>
        <v/>
      </c>
      <c r="B1589" t="str">
        <f>IF(A1589="","",IFERROR(VALUE(RIGHT(TRIM(Input!D1589&amp;""),1)),0))</f>
        <v/>
      </c>
      <c r="C1589" t="str">
        <f t="shared" si="24"/>
        <v/>
      </c>
      <c r="D1589" t="str">
        <f>IF(A1589="","",IFERROR(VALUE(SUBSTITUTE(TRIM(Input!E1589&amp;""),"%","")),0)/IF(AND(IFERROR(VALUE(SUBSTITUTE(TRIM(Input!E1589&amp;""),"%","")),0)&gt;0,IFERROR(VALUE(SUBSTITUTE(TRIM(Input!E1589&amp;""),"%","")),0)&lt;1),1,100))</f>
        <v/>
      </c>
      <c r="E1589" t="str">
        <f>IF(A1589="","",IFERROR(VALUE(SUBSTITUTE(TRIM(Input!F1589&amp;""),"%","")),0)/IF(AND(IFERROR(VALUE(SUBSTITUTE(TRIM(Input!F1589&amp;""),"%","")),0)&gt;0,IFERROR(VALUE(SUBSTITUTE(TRIM(Input!F1589&amp;""),"%","")),0)&lt;1),1,100))</f>
        <v/>
      </c>
      <c r="F1589" t="str">
        <f>IF(A1589="","",IFERROR(VALUE(SUBSTITUTE(TRIM(Input!G1589&amp;""),"%","")),0)/IF(AND(IFERROR(VALUE(SUBSTITUTE(TRIM(Input!G1589&amp;""),"%","")),0)&gt;0,IFERROR(VALUE(SUBSTITUTE(TRIM(Input!G1589&amp;""),"%","")),0)&lt;1),1,100))</f>
        <v/>
      </c>
      <c r="G1589" t="str">
        <f>IF(A1589="","",IFERROR(VALUE(SUBSTITUTE(TRIM(Input!H1589&amp;""),"%","")),0)/IF(AND(IFERROR(VALUE(SUBSTITUTE(TRIM(Input!H1589&amp;""),"%","")),0)&gt;0,IFERROR(VALUE(SUBSTITUTE(TRIM(Input!H1589&amp;""),"%","")),0)&lt;1),1,100))</f>
        <v/>
      </c>
      <c r="H1589" t="str">
        <f>IF(A1589="","",IFERROR(VALUE(SUBSTITUTE(TRIM(Input!I1589&amp;""),"%","")),0)/IF(AND(IFERROR(VALUE(SUBSTITUTE(TRIM(Input!I1589&amp;""),"%","")),0)&gt;0,IFERROR(VALUE(SUBSTITUTE(TRIM(Input!I1589&amp;""),"%","")),0)&lt;1),1,100))</f>
        <v/>
      </c>
    </row>
    <row r="1590" spans="1:8">
      <c r="A1590" t="str">
        <f>IF(TRIM(Input!B1590&amp;"")="","",UPPER(TRIM(Input!B1590&amp;"")))</f>
        <v/>
      </c>
      <c r="B1590" t="str">
        <f>IF(A1590="","",IFERROR(VALUE(RIGHT(TRIM(Input!D1590&amp;""),1)),0))</f>
        <v/>
      </c>
      <c r="C1590" t="str">
        <f t="shared" si="24"/>
        <v/>
      </c>
      <c r="D1590" t="str">
        <f>IF(A1590="","",IFERROR(VALUE(SUBSTITUTE(TRIM(Input!E1590&amp;""),"%","")),0)/IF(AND(IFERROR(VALUE(SUBSTITUTE(TRIM(Input!E1590&amp;""),"%","")),0)&gt;0,IFERROR(VALUE(SUBSTITUTE(TRIM(Input!E1590&amp;""),"%","")),0)&lt;1),1,100))</f>
        <v/>
      </c>
      <c r="E1590" t="str">
        <f>IF(A1590="","",IFERROR(VALUE(SUBSTITUTE(TRIM(Input!F1590&amp;""),"%","")),0)/IF(AND(IFERROR(VALUE(SUBSTITUTE(TRIM(Input!F1590&amp;""),"%","")),0)&gt;0,IFERROR(VALUE(SUBSTITUTE(TRIM(Input!F1590&amp;""),"%","")),0)&lt;1),1,100))</f>
        <v/>
      </c>
      <c r="F1590" t="str">
        <f>IF(A1590="","",IFERROR(VALUE(SUBSTITUTE(TRIM(Input!G1590&amp;""),"%","")),0)/IF(AND(IFERROR(VALUE(SUBSTITUTE(TRIM(Input!G1590&amp;""),"%","")),0)&gt;0,IFERROR(VALUE(SUBSTITUTE(TRIM(Input!G1590&amp;""),"%","")),0)&lt;1),1,100))</f>
        <v/>
      </c>
      <c r="G1590" t="str">
        <f>IF(A1590="","",IFERROR(VALUE(SUBSTITUTE(TRIM(Input!H1590&amp;""),"%","")),0)/IF(AND(IFERROR(VALUE(SUBSTITUTE(TRIM(Input!H1590&amp;""),"%","")),0)&gt;0,IFERROR(VALUE(SUBSTITUTE(TRIM(Input!H1590&amp;""),"%","")),0)&lt;1),1,100))</f>
        <v/>
      </c>
      <c r="H1590" t="str">
        <f>IF(A1590="","",IFERROR(VALUE(SUBSTITUTE(TRIM(Input!I1590&amp;""),"%","")),0)/IF(AND(IFERROR(VALUE(SUBSTITUTE(TRIM(Input!I1590&amp;""),"%","")),0)&gt;0,IFERROR(VALUE(SUBSTITUTE(TRIM(Input!I1590&amp;""),"%","")),0)&lt;1),1,100))</f>
        <v/>
      </c>
    </row>
    <row r="1591" spans="1:8">
      <c r="A1591" t="str">
        <f>IF(TRIM(Input!B1591&amp;"")="","",UPPER(TRIM(Input!B1591&amp;"")))</f>
        <v/>
      </c>
      <c r="B1591" t="str">
        <f>IF(A1591="","",IFERROR(VALUE(RIGHT(TRIM(Input!D1591&amp;""),1)),0))</f>
        <v/>
      </c>
      <c r="C1591" t="str">
        <f t="shared" si="24"/>
        <v/>
      </c>
      <c r="D1591" t="str">
        <f>IF(A1591="","",IFERROR(VALUE(SUBSTITUTE(TRIM(Input!E1591&amp;""),"%","")),0)/IF(AND(IFERROR(VALUE(SUBSTITUTE(TRIM(Input!E1591&amp;""),"%","")),0)&gt;0,IFERROR(VALUE(SUBSTITUTE(TRIM(Input!E1591&amp;""),"%","")),0)&lt;1),1,100))</f>
        <v/>
      </c>
      <c r="E1591" t="str">
        <f>IF(A1591="","",IFERROR(VALUE(SUBSTITUTE(TRIM(Input!F1591&amp;""),"%","")),0)/IF(AND(IFERROR(VALUE(SUBSTITUTE(TRIM(Input!F1591&amp;""),"%","")),0)&gt;0,IFERROR(VALUE(SUBSTITUTE(TRIM(Input!F1591&amp;""),"%","")),0)&lt;1),1,100))</f>
        <v/>
      </c>
      <c r="F1591" t="str">
        <f>IF(A1591="","",IFERROR(VALUE(SUBSTITUTE(TRIM(Input!G1591&amp;""),"%","")),0)/IF(AND(IFERROR(VALUE(SUBSTITUTE(TRIM(Input!G1591&amp;""),"%","")),0)&gt;0,IFERROR(VALUE(SUBSTITUTE(TRIM(Input!G1591&amp;""),"%","")),0)&lt;1),1,100))</f>
        <v/>
      </c>
      <c r="G1591" t="str">
        <f>IF(A1591="","",IFERROR(VALUE(SUBSTITUTE(TRIM(Input!H1591&amp;""),"%","")),0)/IF(AND(IFERROR(VALUE(SUBSTITUTE(TRIM(Input!H1591&amp;""),"%","")),0)&gt;0,IFERROR(VALUE(SUBSTITUTE(TRIM(Input!H1591&amp;""),"%","")),0)&lt;1),1,100))</f>
        <v/>
      </c>
      <c r="H1591" t="str">
        <f>IF(A1591="","",IFERROR(VALUE(SUBSTITUTE(TRIM(Input!I1591&amp;""),"%","")),0)/IF(AND(IFERROR(VALUE(SUBSTITUTE(TRIM(Input!I1591&amp;""),"%","")),0)&gt;0,IFERROR(VALUE(SUBSTITUTE(TRIM(Input!I1591&amp;""),"%","")),0)&lt;1),1,100))</f>
        <v/>
      </c>
    </row>
    <row r="1592" spans="1:8">
      <c r="A1592" t="str">
        <f>IF(TRIM(Input!B1592&amp;"")="","",UPPER(TRIM(Input!B1592&amp;"")))</f>
        <v/>
      </c>
      <c r="B1592" t="str">
        <f>IF(A1592="","",IFERROR(VALUE(RIGHT(TRIM(Input!D1592&amp;""),1)),0))</f>
        <v/>
      </c>
      <c r="C1592" t="str">
        <f t="shared" si="24"/>
        <v/>
      </c>
      <c r="D1592" t="str">
        <f>IF(A1592="","",IFERROR(VALUE(SUBSTITUTE(TRIM(Input!E1592&amp;""),"%","")),0)/IF(AND(IFERROR(VALUE(SUBSTITUTE(TRIM(Input!E1592&amp;""),"%","")),0)&gt;0,IFERROR(VALUE(SUBSTITUTE(TRIM(Input!E1592&amp;""),"%","")),0)&lt;1),1,100))</f>
        <v/>
      </c>
      <c r="E1592" t="str">
        <f>IF(A1592="","",IFERROR(VALUE(SUBSTITUTE(TRIM(Input!F1592&amp;""),"%","")),0)/IF(AND(IFERROR(VALUE(SUBSTITUTE(TRIM(Input!F1592&amp;""),"%","")),0)&gt;0,IFERROR(VALUE(SUBSTITUTE(TRIM(Input!F1592&amp;""),"%","")),0)&lt;1),1,100))</f>
        <v/>
      </c>
      <c r="F1592" t="str">
        <f>IF(A1592="","",IFERROR(VALUE(SUBSTITUTE(TRIM(Input!G1592&amp;""),"%","")),0)/IF(AND(IFERROR(VALUE(SUBSTITUTE(TRIM(Input!G1592&amp;""),"%","")),0)&gt;0,IFERROR(VALUE(SUBSTITUTE(TRIM(Input!G1592&amp;""),"%","")),0)&lt;1),1,100))</f>
        <v/>
      </c>
      <c r="G1592" t="str">
        <f>IF(A1592="","",IFERROR(VALUE(SUBSTITUTE(TRIM(Input!H1592&amp;""),"%","")),0)/IF(AND(IFERROR(VALUE(SUBSTITUTE(TRIM(Input!H1592&amp;""),"%","")),0)&gt;0,IFERROR(VALUE(SUBSTITUTE(TRIM(Input!H1592&amp;""),"%","")),0)&lt;1),1,100))</f>
        <v/>
      </c>
      <c r="H1592" t="str">
        <f>IF(A1592="","",IFERROR(VALUE(SUBSTITUTE(TRIM(Input!I1592&amp;""),"%","")),0)/IF(AND(IFERROR(VALUE(SUBSTITUTE(TRIM(Input!I1592&amp;""),"%","")),0)&gt;0,IFERROR(VALUE(SUBSTITUTE(TRIM(Input!I1592&amp;""),"%","")),0)&lt;1),1,100))</f>
        <v/>
      </c>
    </row>
    <row r="1593" spans="1:8">
      <c r="A1593" t="str">
        <f>IF(TRIM(Input!B1593&amp;"")="","",UPPER(TRIM(Input!B1593&amp;"")))</f>
        <v/>
      </c>
      <c r="B1593" t="str">
        <f>IF(A1593="","",IFERROR(VALUE(RIGHT(TRIM(Input!D1593&amp;""),1)),0))</f>
        <v/>
      </c>
      <c r="C1593" t="str">
        <f t="shared" si="24"/>
        <v/>
      </c>
      <c r="D1593" t="str">
        <f>IF(A1593="","",IFERROR(VALUE(SUBSTITUTE(TRIM(Input!E1593&amp;""),"%","")),0)/IF(AND(IFERROR(VALUE(SUBSTITUTE(TRIM(Input!E1593&amp;""),"%","")),0)&gt;0,IFERROR(VALUE(SUBSTITUTE(TRIM(Input!E1593&amp;""),"%","")),0)&lt;1),1,100))</f>
        <v/>
      </c>
      <c r="E1593" t="str">
        <f>IF(A1593="","",IFERROR(VALUE(SUBSTITUTE(TRIM(Input!F1593&amp;""),"%","")),0)/IF(AND(IFERROR(VALUE(SUBSTITUTE(TRIM(Input!F1593&amp;""),"%","")),0)&gt;0,IFERROR(VALUE(SUBSTITUTE(TRIM(Input!F1593&amp;""),"%","")),0)&lt;1),1,100))</f>
        <v/>
      </c>
      <c r="F1593" t="str">
        <f>IF(A1593="","",IFERROR(VALUE(SUBSTITUTE(TRIM(Input!G1593&amp;""),"%","")),0)/IF(AND(IFERROR(VALUE(SUBSTITUTE(TRIM(Input!G1593&amp;""),"%","")),0)&gt;0,IFERROR(VALUE(SUBSTITUTE(TRIM(Input!G1593&amp;""),"%","")),0)&lt;1),1,100))</f>
        <v/>
      </c>
      <c r="G1593" t="str">
        <f>IF(A1593="","",IFERROR(VALUE(SUBSTITUTE(TRIM(Input!H1593&amp;""),"%","")),0)/IF(AND(IFERROR(VALUE(SUBSTITUTE(TRIM(Input!H1593&amp;""),"%","")),0)&gt;0,IFERROR(VALUE(SUBSTITUTE(TRIM(Input!H1593&amp;""),"%","")),0)&lt;1),1,100))</f>
        <v/>
      </c>
      <c r="H1593" t="str">
        <f>IF(A1593="","",IFERROR(VALUE(SUBSTITUTE(TRIM(Input!I1593&amp;""),"%","")),0)/IF(AND(IFERROR(VALUE(SUBSTITUTE(TRIM(Input!I1593&amp;""),"%","")),0)&gt;0,IFERROR(VALUE(SUBSTITUTE(TRIM(Input!I1593&amp;""),"%","")),0)&lt;1),1,100))</f>
        <v/>
      </c>
    </row>
    <row r="1594" spans="1:8">
      <c r="A1594" t="str">
        <f>IF(TRIM(Input!B1594&amp;"")="","",UPPER(TRIM(Input!B1594&amp;"")))</f>
        <v/>
      </c>
      <c r="B1594" t="str">
        <f>IF(A1594="","",IFERROR(VALUE(RIGHT(TRIM(Input!D1594&amp;""),1)),0))</f>
        <v/>
      </c>
      <c r="C1594" t="str">
        <f t="shared" si="24"/>
        <v/>
      </c>
      <c r="D1594" t="str">
        <f>IF(A1594="","",IFERROR(VALUE(SUBSTITUTE(TRIM(Input!E1594&amp;""),"%","")),0)/IF(AND(IFERROR(VALUE(SUBSTITUTE(TRIM(Input!E1594&amp;""),"%","")),0)&gt;0,IFERROR(VALUE(SUBSTITUTE(TRIM(Input!E1594&amp;""),"%","")),0)&lt;1),1,100))</f>
        <v/>
      </c>
      <c r="E1594" t="str">
        <f>IF(A1594="","",IFERROR(VALUE(SUBSTITUTE(TRIM(Input!F1594&amp;""),"%","")),0)/IF(AND(IFERROR(VALUE(SUBSTITUTE(TRIM(Input!F1594&amp;""),"%","")),0)&gt;0,IFERROR(VALUE(SUBSTITUTE(TRIM(Input!F1594&amp;""),"%","")),0)&lt;1),1,100))</f>
        <v/>
      </c>
      <c r="F1594" t="str">
        <f>IF(A1594="","",IFERROR(VALUE(SUBSTITUTE(TRIM(Input!G1594&amp;""),"%","")),0)/IF(AND(IFERROR(VALUE(SUBSTITUTE(TRIM(Input!G1594&amp;""),"%","")),0)&gt;0,IFERROR(VALUE(SUBSTITUTE(TRIM(Input!G1594&amp;""),"%","")),0)&lt;1),1,100))</f>
        <v/>
      </c>
      <c r="G1594" t="str">
        <f>IF(A1594="","",IFERROR(VALUE(SUBSTITUTE(TRIM(Input!H1594&amp;""),"%","")),0)/IF(AND(IFERROR(VALUE(SUBSTITUTE(TRIM(Input!H1594&amp;""),"%","")),0)&gt;0,IFERROR(VALUE(SUBSTITUTE(TRIM(Input!H1594&amp;""),"%","")),0)&lt;1),1,100))</f>
        <v/>
      </c>
      <c r="H1594" t="str">
        <f>IF(A1594="","",IFERROR(VALUE(SUBSTITUTE(TRIM(Input!I1594&amp;""),"%","")),0)/IF(AND(IFERROR(VALUE(SUBSTITUTE(TRIM(Input!I1594&amp;""),"%","")),0)&gt;0,IFERROR(VALUE(SUBSTITUTE(TRIM(Input!I1594&amp;""),"%","")),0)&lt;1),1,100))</f>
        <v/>
      </c>
    </row>
    <row r="1595" spans="1:8">
      <c r="A1595" t="str">
        <f>IF(TRIM(Input!B1595&amp;"")="","",UPPER(TRIM(Input!B1595&amp;"")))</f>
        <v/>
      </c>
      <c r="B1595" t="str">
        <f>IF(A1595="","",IFERROR(VALUE(RIGHT(TRIM(Input!D1595&amp;""),1)),0))</f>
        <v/>
      </c>
      <c r="C1595" t="str">
        <f t="shared" si="24"/>
        <v/>
      </c>
      <c r="D1595" t="str">
        <f>IF(A1595="","",IFERROR(VALUE(SUBSTITUTE(TRIM(Input!E1595&amp;""),"%","")),0)/IF(AND(IFERROR(VALUE(SUBSTITUTE(TRIM(Input!E1595&amp;""),"%","")),0)&gt;0,IFERROR(VALUE(SUBSTITUTE(TRIM(Input!E1595&amp;""),"%","")),0)&lt;1),1,100))</f>
        <v/>
      </c>
      <c r="E1595" t="str">
        <f>IF(A1595="","",IFERROR(VALUE(SUBSTITUTE(TRIM(Input!F1595&amp;""),"%","")),0)/IF(AND(IFERROR(VALUE(SUBSTITUTE(TRIM(Input!F1595&amp;""),"%","")),0)&gt;0,IFERROR(VALUE(SUBSTITUTE(TRIM(Input!F1595&amp;""),"%","")),0)&lt;1),1,100))</f>
        <v/>
      </c>
      <c r="F1595" t="str">
        <f>IF(A1595="","",IFERROR(VALUE(SUBSTITUTE(TRIM(Input!G1595&amp;""),"%","")),0)/IF(AND(IFERROR(VALUE(SUBSTITUTE(TRIM(Input!G1595&amp;""),"%","")),0)&gt;0,IFERROR(VALUE(SUBSTITUTE(TRIM(Input!G1595&amp;""),"%","")),0)&lt;1),1,100))</f>
        <v/>
      </c>
      <c r="G1595" t="str">
        <f>IF(A1595="","",IFERROR(VALUE(SUBSTITUTE(TRIM(Input!H1595&amp;""),"%","")),0)/IF(AND(IFERROR(VALUE(SUBSTITUTE(TRIM(Input!H1595&amp;""),"%","")),0)&gt;0,IFERROR(VALUE(SUBSTITUTE(TRIM(Input!H1595&amp;""),"%","")),0)&lt;1),1,100))</f>
        <v/>
      </c>
      <c r="H1595" t="str">
        <f>IF(A1595="","",IFERROR(VALUE(SUBSTITUTE(TRIM(Input!I1595&amp;""),"%","")),0)/IF(AND(IFERROR(VALUE(SUBSTITUTE(TRIM(Input!I1595&amp;""),"%","")),0)&gt;0,IFERROR(VALUE(SUBSTITUTE(TRIM(Input!I1595&amp;""),"%","")),0)&lt;1),1,100))</f>
        <v/>
      </c>
    </row>
    <row r="1596" spans="1:8">
      <c r="A1596" t="str">
        <f>IF(TRIM(Input!B1596&amp;"")="","",UPPER(TRIM(Input!B1596&amp;"")))</f>
        <v/>
      </c>
      <c r="B1596" t="str">
        <f>IF(A1596="","",IFERROR(VALUE(RIGHT(TRIM(Input!D1596&amp;""),1)),0))</f>
        <v/>
      </c>
      <c r="C1596" t="str">
        <f t="shared" si="24"/>
        <v/>
      </c>
      <c r="D1596" t="str">
        <f>IF(A1596="","",IFERROR(VALUE(SUBSTITUTE(TRIM(Input!E1596&amp;""),"%","")),0)/IF(AND(IFERROR(VALUE(SUBSTITUTE(TRIM(Input!E1596&amp;""),"%","")),0)&gt;0,IFERROR(VALUE(SUBSTITUTE(TRIM(Input!E1596&amp;""),"%","")),0)&lt;1),1,100))</f>
        <v/>
      </c>
      <c r="E1596" t="str">
        <f>IF(A1596="","",IFERROR(VALUE(SUBSTITUTE(TRIM(Input!F1596&amp;""),"%","")),0)/IF(AND(IFERROR(VALUE(SUBSTITUTE(TRIM(Input!F1596&amp;""),"%","")),0)&gt;0,IFERROR(VALUE(SUBSTITUTE(TRIM(Input!F1596&amp;""),"%","")),0)&lt;1),1,100))</f>
        <v/>
      </c>
      <c r="F1596" t="str">
        <f>IF(A1596="","",IFERROR(VALUE(SUBSTITUTE(TRIM(Input!G1596&amp;""),"%","")),0)/IF(AND(IFERROR(VALUE(SUBSTITUTE(TRIM(Input!G1596&amp;""),"%","")),0)&gt;0,IFERROR(VALUE(SUBSTITUTE(TRIM(Input!G1596&amp;""),"%","")),0)&lt;1),1,100))</f>
        <v/>
      </c>
      <c r="G1596" t="str">
        <f>IF(A1596="","",IFERROR(VALUE(SUBSTITUTE(TRIM(Input!H1596&amp;""),"%","")),0)/IF(AND(IFERROR(VALUE(SUBSTITUTE(TRIM(Input!H1596&amp;""),"%","")),0)&gt;0,IFERROR(VALUE(SUBSTITUTE(TRIM(Input!H1596&amp;""),"%","")),0)&lt;1),1,100))</f>
        <v/>
      </c>
      <c r="H1596" t="str">
        <f>IF(A1596="","",IFERROR(VALUE(SUBSTITUTE(TRIM(Input!I1596&amp;""),"%","")),0)/IF(AND(IFERROR(VALUE(SUBSTITUTE(TRIM(Input!I1596&amp;""),"%","")),0)&gt;0,IFERROR(VALUE(SUBSTITUTE(TRIM(Input!I1596&amp;""),"%","")),0)&lt;1),1,100))</f>
        <v/>
      </c>
    </row>
    <row r="1597" spans="1:8">
      <c r="A1597" t="str">
        <f>IF(TRIM(Input!B1597&amp;"")="","",UPPER(TRIM(Input!B1597&amp;"")))</f>
        <v/>
      </c>
      <c r="B1597" t="str">
        <f>IF(A1597="","",IFERROR(VALUE(RIGHT(TRIM(Input!D1597&amp;""),1)),0))</f>
        <v/>
      </c>
      <c r="C1597" t="str">
        <f t="shared" si="24"/>
        <v/>
      </c>
      <c r="D1597" t="str">
        <f>IF(A1597="","",IFERROR(VALUE(SUBSTITUTE(TRIM(Input!E1597&amp;""),"%","")),0)/IF(AND(IFERROR(VALUE(SUBSTITUTE(TRIM(Input!E1597&amp;""),"%","")),0)&gt;0,IFERROR(VALUE(SUBSTITUTE(TRIM(Input!E1597&amp;""),"%","")),0)&lt;1),1,100))</f>
        <v/>
      </c>
      <c r="E1597" t="str">
        <f>IF(A1597="","",IFERROR(VALUE(SUBSTITUTE(TRIM(Input!F1597&amp;""),"%","")),0)/IF(AND(IFERROR(VALUE(SUBSTITUTE(TRIM(Input!F1597&amp;""),"%","")),0)&gt;0,IFERROR(VALUE(SUBSTITUTE(TRIM(Input!F1597&amp;""),"%","")),0)&lt;1),1,100))</f>
        <v/>
      </c>
      <c r="F1597" t="str">
        <f>IF(A1597="","",IFERROR(VALUE(SUBSTITUTE(TRIM(Input!G1597&amp;""),"%","")),0)/IF(AND(IFERROR(VALUE(SUBSTITUTE(TRIM(Input!G1597&amp;""),"%","")),0)&gt;0,IFERROR(VALUE(SUBSTITUTE(TRIM(Input!G1597&amp;""),"%","")),0)&lt;1),1,100))</f>
        <v/>
      </c>
      <c r="G1597" t="str">
        <f>IF(A1597="","",IFERROR(VALUE(SUBSTITUTE(TRIM(Input!H1597&amp;""),"%","")),0)/IF(AND(IFERROR(VALUE(SUBSTITUTE(TRIM(Input!H1597&amp;""),"%","")),0)&gt;0,IFERROR(VALUE(SUBSTITUTE(TRIM(Input!H1597&amp;""),"%","")),0)&lt;1),1,100))</f>
        <v/>
      </c>
      <c r="H1597" t="str">
        <f>IF(A1597="","",IFERROR(VALUE(SUBSTITUTE(TRIM(Input!I1597&amp;""),"%","")),0)/IF(AND(IFERROR(VALUE(SUBSTITUTE(TRIM(Input!I1597&amp;""),"%","")),0)&gt;0,IFERROR(VALUE(SUBSTITUTE(TRIM(Input!I1597&amp;""),"%","")),0)&lt;1),1,100))</f>
        <v/>
      </c>
    </row>
    <row r="1598" spans="1:8">
      <c r="A1598" t="str">
        <f>IF(TRIM(Input!B1598&amp;"")="","",UPPER(TRIM(Input!B1598&amp;"")))</f>
        <v/>
      </c>
      <c r="B1598" t="str">
        <f>IF(A1598="","",IFERROR(VALUE(RIGHT(TRIM(Input!D1598&amp;""),1)),0))</f>
        <v/>
      </c>
      <c r="C1598" t="str">
        <f t="shared" si="24"/>
        <v/>
      </c>
      <c r="D1598" t="str">
        <f>IF(A1598="","",IFERROR(VALUE(SUBSTITUTE(TRIM(Input!E1598&amp;""),"%","")),0)/IF(AND(IFERROR(VALUE(SUBSTITUTE(TRIM(Input!E1598&amp;""),"%","")),0)&gt;0,IFERROR(VALUE(SUBSTITUTE(TRIM(Input!E1598&amp;""),"%","")),0)&lt;1),1,100))</f>
        <v/>
      </c>
      <c r="E1598" t="str">
        <f>IF(A1598="","",IFERROR(VALUE(SUBSTITUTE(TRIM(Input!F1598&amp;""),"%","")),0)/IF(AND(IFERROR(VALUE(SUBSTITUTE(TRIM(Input!F1598&amp;""),"%","")),0)&gt;0,IFERROR(VALUE(SUBSTITUTE(TRIM(Input!F1598&amp;""),"%","")),0)&lt;1),1,100))</f>
        <v/>
      </c>
      <c r="F1598" t="str">
        <f>IF(A1598="","",IFERROR(VALUE(SUBSTITUTE(TRIM(Input!G1598&amp;""),"%","")),0)/IF(AND(IFERROR(VALUE(SUBSTITUTE(TRIM(Input!G1598&amp;""),"%","")),0)&gt;0,IFERROR(VALUE(SUBSTITUTE(TRIM(Input!G1598&amp;""),"%","")),0)&lt;1),1,100))</f>
        <v/>
      </c>
      <c r="G1598" t="str">
        <f>IF(A1598="","",IFERROR(VALUE(SUBSTITUTE(TRIM(Input!H1598&amp;""),"%","")),0)/IF(AND(IFERROR(VALUE(SUBSTITUTE(TRIM(Input!H1598&amp;""),"%","")),0)&gt;0,IFERROR(VALUE(SUBSTITUTE(TRIM(Input!H1598&amp;""),"%","")),0)&lt;1),1,100))</f>
        <v/>
      </c>
      <c r="H1598" t="str">
        <f>IF(A1598="","",IFERROR(VALUE(SUBSTITUTE(TRIM(Input!I1598&amp;""),"%","")),0)/IF(AND(IFERROR(VALUE(SUBSTITUTE(TRIM(Input!I1598&amp;""),"%","")),0)&gt;0,IFERROR(VALUE(SUBSTITUTE(TRIM(Input!I1598&amp;""),"%","")),0)&lt;1),1,100))</f>
        <v/>
      </c>
    </row>
    <row r="1599" spans="1:8">
      <c r="A1599" t="str">
        <f>IF(TRIM(Input!B1599&amp;"")="","",UPPER(TRIM(Input!B1599&amp;"")))</f>
        <v/>
      </c>
      <c r="B1599" t="str">
        <f>IF(A1599="","",IFERROR(VALUE(RIGHT(TRIM(Input!D1599&amp;""),1)),0))</f>
        <v/>
      </c>
      <c r="C1599" t="str">
        <f t="shared" si="24"/>
        <v/>
      </c>
      <c r="D1599" t="str">
        <f>IF(A1599="","",IFERROR(VALUE(SUBSTITUTE(TRIM(Input!E1599&amp;""),"%","")),0)/IF(AND(IFERROR(VALUE(SUBSTITUTE(TRIM(Input!E1599&amp;""),"%","")),0)&gt;0,IFERROR(VALUE(SUBSTITUTE(TRIM(Input!E1599&amp;""),"%","")),0)&lt;1),1,100))</f>
        <v/>
      </c>
      <c r="E1599" t="str">
        <f>IF(A1599="","",IFERROR(VALUE(SUBSTITUTE(TRIM(Input!F1599&amp;""),"%","")),0)/IF(AND(IFERROR(VALUE(SUBSTITUTE(TRIM(Input!F1599&amp;""),"%","")),0)&gt;0,IFERROR(VALUE(SUBSTITUTE(TRIM(Input!F1599&amp;""),"%","")),0)&lt;1),1,100))</f>
        <v/>
      </c>
      <c r="F1599" t="str">
        <f>IF(A1599="","",IFERROR(VALUE(SUBSTITUTE(TRIM(Input!G1599&amp;""),"%","")),0)/IF(AND(IFERROR(VALUE(SUBSTITUTE(TRIM(Input!G1599&amp;""),"%","")),0)&gt;0,IFERROR(VALUE(SUBSTITUTE(TRIM(Input!G1599&amp;""),"%","")),0)&lt;1),1,100))</f>
        <v/>
      </c>
      <c r="G1599" t="str">
        <f>IF(A1599="","",IFERROR(VALUE(SUBSTITUTE(TRIM(Input!H1599&amp;""),"%","")),0)/IF(AND(IFERROR(VALUE(SUBSTITUTE(TRIM(Input!H1599&amp;""),"%","")),0)&gt;0,IFERROR(VALUE(SUBSTITUTE(TRIM(Input!H1599&amp;""),"%","")),0)&lt;1),1,100))</f>
        <v/>
      </c>
      <c r="H1599" t="str">
        <f>IF(A1599="","",IFERROR(VALUE(SUBSTITUTE(TRIM(Input!I1599&amp;""),"%","")),0)/IF(AND(IFERROR(VALUE(SUBSTITUTE(TRIM(Input!I1599&amp;""),"%","")),0)&gt;0,IFERROR(VALUE(SUBSTITUTE(TRIM(Input!I1599&amp;""),"%","")),0)&lt;1),1,100))</f>
        <v/>
      </c>
    </row>
    <row r="1600" spans="1:8">
      <c r="A1600" t="str">
        <f>IF(TRIM(Input!B1600&amp;"")="","",UPPER(TRIM(Input!B1600&amp;"")))</f>
        <v/>
      </c>
      <c r="B1600" t="str">
        <f>IF(A1600="","",IFERROR(VALUE(RIGHT(TRIM(Input!D1600&amp;""),1)),0))</f>
        <v/>
      </c>
      <c r="C1600" t="str">
        <f t="shared" si="24"/>
        <v/>
      </c>
      <c r="D1600" t="str">
        <f>IF(A1600="","",IFERROR(VALUE(SUBSTITUTE(TRIM(Input!E1600&amp;""),"%","")),0)/IF(AND(IFERROR(VALUE(SUBSTITUTE(TRIM(Input!E1600&amp;""),"%","")),0)&gt;0,IFERROR(VALUE(SUBSTITUTE(TRIM(Input!E1600&amp;""),"%","")),0)&lt;1),1,100))</f>
        <v/>
      </c>
      <c r="E1600" t="str">
        <f>IF(A1600="","",IFERROR(VALUE(SUBSTITUTE(TRIM(Input!F1600&amp;""),"%","")),0)/IF(AND(IFERROR(VALUE(SUBSTITUTE(TRIM(Input!F1600&amp;""),"%","")),0)&gt;0,IFERROR(VALUE(SUBSTITUTE(TRIM(Input!F1600&amp;""),"%","")),0)&lt;1),1,100))</f>
        <v/>
      </c>
      <c r="F1600" t="str">
        <f>IF(A1600="","",IFERROR(VALUE(SUBSTITUTE(TRIM(Input!G1600&amp;""),"%","")),0)/IF(AND(IFERROR(VALUE(SUBSTITUTE(TRIM(Input!G1600&amp;""),"%","")),0)&gt;0,IFERROR(VALUE(SUBSTITUTE(TRIM(Input!G1600&amp;""),"%","")),0)&lt;1),1,100))</f>
        <v/>
      </c>
      <c r="G1600" t="str">
        <f>IF(A1600="","",IFERROR(VALUE(SUBSTITUTE(TRIM(Input!H1600&amp;""),"%","")),0)/IF(AND(IFERROR(VALUE(SUBSTITUTE(TRIM(Input!H1600&amp;""),"%","")),0)&gt;0,IFERROR(VALUE(SUBSTITUTE(TRIM(Input!H1600&amp;""),"%","")),0)&lt;1),1,100))</f>
        <v/>
      </c>
      <c r="H1600" t="str">
        <f>IF(A1600="","",IFERROR(VALUE(SUBSTITUTE(TRIM(Input!I1600&amp;""),"%","")),0)/IF(AND(IFERROR(VALUE(SUBSTITUTE(TRIM(Input!I1600&amp;""),"%","")),0)&gt;0,IFERROR(VALUE(SUBSTITUTE(TRIM(Input!I1600&amp;""),"%","")),0)&lt;1),1,100))</f>
        <v/>
      </c>
    </row>
    <row r="1601" spans="1:8">
      <c r="A1601" t="str">
        <f>IF(TRIM(Input!B1601&amp;"")="","",UPPER(TRIM(Input!B1601&amp;"")))</f>
        <v/>
      </c>
      <c r="B1601" t="str">
        <f>IF(A1601="","",IFERROR(VALUE(RIGHT(TRIM(Input!D1601&amp;""),1)),0))</f>
        <v/>
      </c>
      <c r="C1601" t="str">
        <f t="shared" si="24"/>
        <v/>
      </c>
      <c r="D1601" t="str">
        <f>IF(A1601="","",IFERROR(VALUE(SUBSTITUTE(TRIM(Input!E1601&amp;""),"%","")),0)/IF(AND(IFERROR(VALUE(SUBSTITUTE(TRIM(Input!E1601&amp;""),"%","")),0)&gt;0,IFERROR(VALUE(SUBSTITUTE(TRIM(Input!E1601&amp;""),"%","")),0)&lt;1),1,100))</f>
        <v/>
      </c>
      <c r="E1601" t="str">
        <f>IF(A1601="","",IFERROR(VALUE(SUBSTITUTE(TRIM(Input!F1601&amp;""),"%","")),0)/IF(AND(IFERROR(VALUE(SUBSTITUTE(TRIM(Input!F1601&amp;""),"%","")),0)&gt;0,IFERROR(VALUE(SUBSTITUTE(TRIM(Input!F1601&amp;""),"%","")),0)&lt;1),1,100))</f>
        <v/>
      </c>
      <c r="F1601" t="str">
        <f>IF(A1601="","",IFERROR(VALUE(SUBSTITUTE(TRIM(Input!G1601&amp;""),"%","")),0)/IF(AND(IFERROR(VALUE(SUBSTITUTE(TRIM(Input!G1601&amp;""),"%","")),0)&gt;0,IFERROR(VALUE(SUBSTITUTE(TRIM(Input!G1601&amp;""),"%","")),0)&lt;1),1,100))</f>
        <v/>
      </c>
      <c r="G1601" t="str">
        <f>IF(A1601="","",IFERROR(VALUE(SUBSTITUTE(TRIM(Input!H1601&amp;""),"%","")),0)/IF(AND(IFERROR(VALUE(SUBSTITUTE(TRIM(Input!H1601&amp;""),"%","")),0)&gt;0,IFERROR(VALUE(SUBSTITUTE(TRIM(Input!H1601&amp;""),"%","")),0)&lt;1),1,100))</f>
        <v/>
      </c>
      <c r="H1601" t="str">
        <f>IF(A1601="","",IFERROR(VALUE(SUBSTITUTE(TRIM(Input!I1601&amp;""),"%","")),0)/IF(AND(IFERROR(VALUE(SUBSTITUTE(TRIM(Input!I1601&amp;""),"%","")),0)&gt;0,IFERROR(VALUE(SUBSTITUTE(TRIM(Input!I1601&amp;""),"%","")),0)&lt;1),1,100))</f>
        <v/>
      </c>
    </row>
    <row r="1602" spans="1:8">
      <c r="A1602" t="str">
        <f>IF(TRIM(Input!B1602&amp;"")="","",UPPER(TRIM(Input!B1602&amp;"")))</f>
        <v/>
      </c>
      <c r="B1602" t="str">
        <f>IF(A1602="","",IFERROR(VALUE(RIGHT(TRIM(Input!D1602&amp;""),1)),0))</f>
        <v/>
      </c>
      <c r="C1602" t="str">
        <f t="shared" ref="C1602:C1665" si="25">IF(A1602="","",A1602&amp;"|"&amp;B1602)</f>
        <v/>
      </c>
      <c r="D1602" t="str">
        <f>IF(A1602="","",IFERROR(VALUE(SUBSTITUTE(TRIM(Input!E1602&amp;""),"%","")),0)/IF(AND(IFERROR(VALUE(SUBSTITUTE(TRIM(Input!E1602&amp;""),"%","")),0)&gt;0,IFERROR(VALUE(SUBSTITUTE(TRIM(Input!E1602&amp;""),"%","")),0)&lt;1),1,100))</f>
        <v/>
      </c>
      <c r="E1602" t="str">
        <f>IF(A1602="","",IFERROR(VALUE(SUBSTITUTE(TRIM(Input!F1602&amp;""),"%","")),0)/IF(AND(IFERROR(VALUE(SUBSTITUTE(TRIM(Input!F1602&amp;""),"%","")),0)&gt;0,IFERROR(VALUE(SUBSTITUTE(TRIM(Input!F1602&amp;""),"%","")),0)&lt;1),1,100))</f>
        <v/>
      </c>
      <c r="F1602" t="str">
        <f>IF(A1602="","",IFERROR(VALUE(SUBSTITUTE(TRIM(Input!G1602&amp;""),"%","")),0)/IF(AND(IFERROR(VALUE(SUBSTITUTE(TRIM(Input!G1602&amp;""),"%","")),0)&gt;0,IFERROR(VALUE(SUBSTITUTE(TRIM(Input!G1602&amp;""),"%","")),0)&lt;1),1,100))</f>
        <v/>
      </c>
      <c r="G1602" t="str">
        <f>IF(A1602="","",IFERROR(VALUE(SUBSTITUTE(TRIM(Input!H1602&amp;""),"%","")),0)/IF(AND(IFERROR(VALUE(SUBSTITUTE(TRIM(Input!H1602&amp;""),"%","")),0)&gt;0,IFERROR(VALUE(SUBSTITUTE(TRIM(Input!H1602&amp;""),"%","")),0)&lt;1),1,100))</f>
        <v/>
      </c>
      <c r="H1602" t="str">
        <f>IF(A1602="","",IFERROR(VALUE(SUBSTITUTE(TRIM(Input!I1602&amp;""),"%","")),0)/IF(AND(IFERROR(VALUE(SUBSTITUTE(TRIM(Input!I1602&amp;""),"%","")),0)&gt;0,IFERROR(VALUE(SUBSTITUTE(TRIM(Input!I1602&amp;""),"%","")),0)&lt;1),1,100))</f>
        <v/>
      </c>
    </row>
    <row r="1603" spans="1:8">
      <c r="A1603" t="str">
        <f>IF(TRIM(Input!B1603&amp;"")="","",UPPER(TRIM(Input!B1603&amp;"")))</f>
        <v/>
      </c>
      <c r="B1603" t="str">
        <f>IF(A1603="","",IFERROR(VALUE(RIGHT(TRIM(Input!D1603&amp;""),1)),0))</f>
        <v/>
      </c>
      <c r="C1603" t="str">
        <f t="shared" si="25"/>
        <v/>
      </c>
      <c r="D1603" t="str">
        <f>IF(A1603="","",IFERROR(VALUE(SUBSTITUTE(TRIM(Input!E1603&amp;""),"%","")),0)/IF(AND(IFERROR(VALUE(SUBSTITUTE(TRIM(Input!E1603&amp;""),"%","")),0)&gt;0,IFERROR(VALUE(SUBSTITUTE(TRIM(Input!E1603&amp;""),"%","")),0)&lt;1),1,100))</f>
        <v/>
      </c>
      <c r="E1603" t="str">
        <f>IF(A1603="","",IFERROR(VALUE(SUBSTITUTE(TRIM(Input!F1603&amp;""),"%","")),0)/IF(AND(IFERROR(VALUE(SUBSTITUTE(TRIM(Input!F1603&amp;""),"%","")),0)&gt;0,IFERROR(VALUE(SUBSTITUTE(TRIM(Input!F1603&amp;""),"%","")),0)&lt;1),1,100))</f>
        <v/>
      </c>
      <c r="F1603" t="str">
        <f>IF(A1603="","",IFERROR(VALUE(SUBSTITUTE(TRIM(Input!G1603&amp;""),"%","")),0)/IF(AND(IFERROR(VALUE(SUBSTITUTE(TRIM(Input!G1603&amp;""),"%","")),0)&gt;0,IFERROR(VALUE(SUBSTITUTE(TRIM(Input!G1603&amp;""),"%","")),0)&lt;1),1,100))</f>
        <v/>
      </c>
      <c r="G1603" t="str">
        <f>IF(A1603="","",IFERROR(VALUE(SUBSTITUTE(TRIM(Input!H1603&amp;""),"%","")),0)/IF(AND(IFERROR(VALUE(SUBSTITUTE(TRIM(Input!H1603&amp;""),"%","")),0)&gt;0,IFERROR(VALUE(SUBSTITUTE(TRIM(Input!H1603&amp;""),"%","")),0)&lt;1),1,100))</f>
        <v/>
      </c>
      <c r="H1603" t="str">
        <f>IF(A1603="","",IFERROR(VALUE(SUBSTITUTE(TRIM(Input!I1603&amp;""),"%","")),0)/IF(AND(IFERROR(VALUE(SUBSTITUTE(TRIM(Input!I1603&amp;""),"%","")),0)&gt;0,IFERROR(VALUE(SUBSTITUTE(TRIM(Input!I1603&amp;""),"%","")),0)&lt;1),1,100))</f>
        <v/>
      </c>
    </row>
    <row r="1604" spans="1:8">
      <c r="A1604" t="str">
        <f>IF(TRIM(Input!B1604&amp;"")="","",UPPER(TRIM(Input!B1604&amp;"")))</f>
        <v/>
      </c>
      <c r="B1604" t="str">
        <f>IF(A1604="","",IFERROR(VALUE(RIGHT(TRIM(Input!D1604&amp;""),1)),0))</f>
        <v/>
      </c>
      <c r="C1604" t="str">
        <f t="shared" si="25"/>
        <v/>
      </c>
      <c r="D1604" t="str">
        <f>IF(A1604="","",IFERROR(VALUE(SUBSTITUTE(TRIM(Input!E1604&amp;""),"%","")),0)/IF(AND(IFERROR(VALUE(SUBSTITUTE(TRIM(Input!E1604&amp;""),"%","")),0)&gt;0,IFERROR(VALUE(SUBSTITUTE(TRIM(Input!E1604&amp;""),"%","")),0)&lt;1),1,100))</f>
        <v/>
      </c>
      <c r="E1604" t="str">
        <f>IF(A1604="","",IFERROR(VALUE(SUBSTITUTE(TRIM(Input!F1604&amp;""),"%","")),0)/IF(AND(IFERROR(VALUE(SUBSTITUTE(TRIM(Input!F1604&amp;""),"%","")),0)&gt;0,IFERROR(VALUE(SUBSTITUTE(TRIM(Input!F1604&amp;""),"%","")),0)&lt;1),1,100))</f>
        <v/>
      </c>
      <c r="F1604" t="str">
        <f>IF(A1604="","",IFERROR(VALUE(SUBSTITUTE(TRIM(Input!G1604&amp;""),"%","")),0)/IF(AND(IFERROR(VALUE(SUBSTITUTE(TRIM(Input!G1604&amp;""),"%","")),0)&gt;0,IFERROR(VALUE(SUBSTITUTE(TRIM(Input!G1604&amp;""),"%","")),0)&lt;1),1,100))</f>
        <v/>
      </c>
      <c r="G1604" t="str">
        <f>IF(A1604="","",IFERROR(VALUE(SUBSTITUTE(TRIM(Input!H1604&amp;""),"%","")),0)/IF(AND(IFERROR(VALUE(SUBSTITUTE(TRIM(Input!H1604&amp;""),"%","")),0)&gt;0,IFERROR(VALUE(SUBSTITUTE(TRIM(Input!H1604&amp;""),"%","")),0)&lt;1),1,100))</f>
        <v/>
      </c>
      <c r="H1604" t="str">
        <f>IF(A1604="","",IFERROR(VALUE(SUBSTITUTE(TRIM(Input!I1604&amp;""),"%","")),0)/IF(AND(IFERROR(VALUE(SUBSTITUTE(TRIM(Input!I1604&amp;""),"%","")),0)&gt;0,IFERROR(VALUE(SUBSTITUTE(TRIM(Input!I1604&amp;""),"%","")),0)&lt;1),1,100))</f>
        <v/>
      </c>
    </row>
    <row r="1605" spans="1:8">
      <c r="A1605" t="str">
        <f>IF(TRIM(Input!B1605&amp;"")="","",UPPER(TRIM(Input!B1605&amp;"")))</f>
        <v/>
      </c>
      <c r="B1605" t="str">
        <f>IF(A1605="","",IFERROR(VALUE(RIGHT(TRIM(Input!D1605&amp;""),1)),0))</f>
        <v/>
      </c>
      <c r="C1605" t="str">
        <f t="shared" si="25"/>
        <v/>
      </c>
      <c r="D1605" t="str">
        <f>IF(A1605="","",IFERROR(VALUE(SUBSTITUTE(TRIM(Input!E1605&amp;""),"%","")),0)/IF(AND(IFERROR(VALUE(SUBSTITUTE(TRIM(Input!E1605&amp;""),"%","")),0)&gt;0,IFERROR(VALUE(SUBSTITUTE(TRIM(Input!E1605&amp;""),"%","")),0)&lt;1),1,100))</f>
        <v/>
      </c>
      <c r="E1605" t="str">
        <f>IF(A1605="","",IFERROR(VALUE(SUBSTITUTE(TRIM(Input!F1605&amp;""),"%","")),0)/IF(AND(IFERROR(VALUE(SUBSTITUTE(TRIM(Input!F1605&amp;""),"%","")),0)&gt;0,IFERROR(VALUE(SUBSTITUTE(TRIM(Input!F1605&amp;""),"%","")),0)&lt;1),1,100))</f>
        <v/>
      </c>
      <c r="F1605" t="str">
        <f>IF(A1605="","",IFERROR(VALUE(SUBSTITUTE(TRIM(Input!G1605&amp;""),"%","")),0)/IF(AND(IFERROR(VALUE(SUBSTITUTE(TRIM(Input!G1605&amp;""),"%","")),0)&gt;0,IFERROR(VALUE(SUBSTITUTE(TRIM(Input!G1605&amp;""),"%","")),0)&lt;1),1,100))</f>
        <v/>
      </c>
      <c r="G1605" t="str">
        <f>IF(A1605="","",IFERROR(VALUE(SUBSTITUTE(TRIM(Input!H1605&amp;""),"%","")),0)/IF(AND(IFERROR(VALUE(SUBSTITUTE(TRIM(Input!H1605&amp;""),"%","")),0)&gt;0,IFERROR(VALUE(SUBSTITUTE(TRIM(Input!H1605&amp;""),"%","")),0)&lt;1),1,100))</f>
        <v/>
      </c>
      <c r="H1605" t="str">
        <f>IF(A1605="","",IFERROR(VALUE(SUBSTITUTE(TRIM(Input!I1605&amp;""),"%","")),0)/IF(AND(IFERROR(VALUE(SUBSTITUTE(TRIM(Input!I1605&amp;""),"%","")),0)&gt;0,IFERROR(VALUE(SUBSTITUTE(TRIM(Input!I1605&amp;""),"%","")),0)&lt;1),1,100))</f>
        <v/>
      </c>
    </row>
    <row r="1606" spans="1:8">
      <c r="A1606" t="str">
        <f>IF(TRIM(Input!B1606&amp;"")="","",UPPER(TRIM(Input!B1606&amp;"")))</f>
        <v/>
      </c>
      <c r="B1606" t="str">
        <f>IF(A1606="","",IFERROR(VALUE(RIGHT(TRIM(Input!D1606&amp;""),1)),0))</f>
        <v/>
      </c>
      <c r="C1606" t="str">
        <f t="shared" si="25"/>
        <v/>
      </c>
      <c r="D1606" t="str">
        <f>IF(A1606="","",IFERROR(VALUE(SUBSTITUTE(TRIM(Input!E1606&amp;""),"%","")),0)/IF(AND(IFERROR(VALUE(SUBSTITUTE(TRIM(Input!E1606&amp;""),"%","")),0)&gt;0,IFERROR(VALUE(SUBSTITUTE(TRIM(Input!E1606&amp;""),"%","")),0)&lt;1),1,100))</f>
        <v/>
      </c>
      <c r="E1606" t="str">
        <f>IF(A1606="","",IFERROR(VALUE(SUBSTITUTE(TRIM(Input!F1606&amp;""),"%","")),0)/IF(AND(IFERROR(VALUE(SUBSTITUTE(TRIM(Input!F1606&amp;""),"%","")),0)&gt;0,IFERROR(VALUE(SUBSTITUTE(TRIM(Input!F1606&amp;""),"%","")),0)&lt;1),1,100))</f>
        <v/>
      </c>
      <c r="F1606" t="str">
        <f>IF(A1606="","",IFERROR(VALUE(SUBSTITUTE(TRIM(Input!G1606&amp;""),"%","")),0)/IF(AND(IFERROR(VALUE(SUBSTITUTE(TRIM(Input!G1606&amp;""),"%","")),0)&gt;0,IFERROR(VALUE(SUBSTITUTE(TRIM(Input!G1606&amp;""),"%","")),0)&lt;1),1,100))</f>
        <v/>
      </c>
      <c r="G1606" t="str">
        <f>IF(A1606="","",IFERROR(VALUE(SUBSTITUTE(TRIM(Input!H1606&amp;""),"%","")),0)/IF(AND(IFERROR(VALUE(SUBSTITUTE(TRIM(Input!H1606&amp;""),"%","")),0)&gt;0,IFERROR(VALUE(SUBSTITUTE(TRIM(Input!H1606&amp;""),"%","")),0)&lt;1),1,100))</f>
        <v/>
      </c>
      <c r="H1606" t="str">
        <f>IF(A1606="","",IFERROR(VALUE(SUBSTITUTE(TRIM(Input!I1606&amp;""),"%","")),0)/IF(AND(IFERROR(VALUE(SUBSTITUTE(TRIM(Input!I1606&amp;""),"%","")),0)&gt;0,IFERROR(VALUE(SUBSTITUTE(TRIM(Input!I1606&amp;""),"%","")),0)&lt;1),1,100))</f>
        <v/>
      </c>
    </row>
    <row r="1607" spans="1:8">
      <c r="A1607" t="str">
        <f>IF(TRIM(Input!B1607&amp;"")="","",UPPER(TRIM(Input!B1607&amp;"")))</f>
        <v/>
      </c>
      <c r="B1607" t="str">
        <f>IF(A1607="","",IFERROR(VALUE(RIGHT(TRIM(Input!D1607&amp;""),1)),0))</f>
        <v/>
      </c>
      <c r="C1607" t="str">
        <f t="shared" si="25"/>
        <v/>
      </c>
      <c r="D1607" t="str">
        <f>IF(A1607="","",IFERROR(VALUE(SUBSTITUTE(TRIM(Input!E1607&amp;""),"%","")),0)/IF(AND(IFERROR(VALUE(SUBSTITUTE(TRIM(Input!E1607&amp;""),"%","")),0)&gt;0,IFERROR(VALUE(SUBSTITUTE(TRIM(Input!E1607&amp;""),"%","")),0)&lt;1),1,100))</f>
        <v/>
      </c>
      <c r="E1607" t="str">
        <f>IF(A1607="","",IFERROR(VALUE(SUBSTITUTE(TRIM(Input!F1607&amp;""),"%","")),0)/IF(AND(IFERROR(VALUE(SUBSTITUTE(TRIM(Input!F1607&amp;""),"%","")),0)&gt;0,IFERROR(VALUE(SUBSTITUTE(TRIM(Input!F1607&amp;""),"%","")),0)&lt;1),1,100))</f>
        <v/>
      </c>
      <c r="F1607" t="str">
        <f>IF(A1607="","",IFERROR(VALUE(SUBSTITUTE(TRIM(Input!G1607&amp;""),"%","")),0)/IF(AND(IFERROR(VALUE(SUBSTITUTE(TRIM(Input!G1607&amp;""),"%","")),0)&gt;0,IFERROR(VALUE(SUBSTITUTE(TRIM(Input!G1607&amp;""),"%","")),0)&lt;1),1,100))</f>
        <v/>
      </c>
      <c r="G1607" t="str">
        <f>IF(A1607="","",IFERROR(VALUE(SUBSTITUTE(TRIM(Input!H1607&amp;""),"%","")),0)/IF(AND(IFERROR(VALUE(SUBSTITUTE(TRIM(Input!H1607&amp;""),"%","")),0)&gt;0,IFERROR(VALUE(SUBSTITUTE(TRIM(Input!H1607&amp;""),"%","")),0)&lt;1),1,100))</f>
        <v/>
      </c>
      <c r="H1607" t="str">
        <f>IF(A1607="","",IFERROR(VALUE(SUBSTITUTE(TRIM(Input!I1607&amp;""),"%","")),0)/IF(AND(IFERROR(VALUE(SUBSTITUTE(TRIM(Input!I1607&amp;""),"%","")),0)&gt;0,IFERROR(VALUE(SUBSTITUTE(TRIM(Input!I1607&amp;""),"%","")),0)&lt;1),1,100))</f>
        <v/>
      </c>
    </row>
    <row r="1608" spans="1:8">
      <c r="A1608" t="str">
        <f>IF(TRIM(Input!B1608&amp;"")="","",UPPER(TRIM(Input!B1608&amp;"")))</f>
        <v/>
      </c>
      <c r="B1608" t="str">
        <f>IF(A1608="","",IFERROR(VALUE(RIGHT(TRIM(Input!D1608&amp;""),1)),0))</f>
        <v/>
      </c>
      <c r="C1608" t="str">
        <f t="shared" si="25"/>
        <v/>
      </c>
      <c r="D1608" t="str">
        <f>IF(A1608="","",IFERROR(VALUE(SUBSTITUTE(TRIM(Input!E1608&amp;""),"%","")),0)/IF(AND(IFERROR(VALUE(SUBSTITUTE(TRIM(Input!E1608&amp;""),"%","")),0)&gt;0,IFERROR(VALUE(SUBSTITUTE(TRIM(Input!E1608&amp;""),"%","")),0)&lt;1),1,100))</f>
        <v/>
      </c>
      <c r="E1608" t="str">
        <f>IF(A1608="","",IFERROR(VALUE(SUBSTITUTE(TRIM(Input!F1608&amp;""),"%","")),0)/IF(AND(IFERROR(VALUE(SUBSTITUTE(TRIM(Input!F1608&amp;""),"%","")),0)&gt;0,IFERROR(VALUE(SUBSTITUTE(TRIM(Input!F1608&amp;""),"%","")),0)&lt;1),1,100))</f>
        <v/>
      </c>
      <c r="F1608" t="str">
        <f>IF(A1608="","",IFERROR(VALUE(SUBSTITUTE(TRIM(Input!G1608&amp;""),"%","")),0)/IF(AND(IFERROR(VALUE(SUBSTITUTE(TRIM(Input!G1608&amp;""),"%","")),0)&gt;0,IFERROR(VALUE(SUBSTITUTE(TRIM(Input!G1608&amp;""),"%","")),0)&lt;1),1,100))</f>
        <v/>
      </c>
      <c r="G1608" t="str">
        <f>IF(A1608="","",IFERROR(VALUE(SUBSTITUTE(TRIM(Input!H1608&amp;""),"%","")),0)/IF(AND(IFERROR(VALUE(SUBSTITUTE(TRIM(Input!H1608&amp;""),"%","")),0)&gt;0,IFERROR(VALUE(SUBSTITUTE(TRIM(Input!H1608&amp;""),"%","")),0)&lt;1),1,100))</f>
        <v/>
      </c>
      <c r="H1608" t="str">
        <f>IF(A1608="","",IFERROR(VALUE(SUBSTITUTE(TRIM(Input!I1608&amp;""),"%","")),0)/IF(AND(IFERROR(VALUE(SUBSTITUTE(TRIM(Input!I1608&amp;""),"%","")),0)&gt;0,IFERROR(VALUE(SUBSTITUTE(TRIM(Input!I1608&amp;""),"%","")),0)&lt;1),1,100))</f>
        <v/>
      </c>
    </row>
    <row r="1609" spans="1:8">
      <c r="A1609" t="str">
        <f>IF(TRIM(Input!B1609&amp;"")="","",UPPER(TRIM(Input!B1609&amp;"")))</f>
        <v/>
      </c>
      <c r="B1609" t="str">
        <f>IF(A1609="","",IFERROR(VALUE(RIGHT(TRIM(Input!D1609&amp;""),1)),0))</f>
        <v/>
      </c>
      <c r="C1609" t="str">
        <f t="shared" si="25"/>
        <v/>
      </c>
      <c r="D1609" t="str">
        <f>IF(A1609="","",IFERROR(VALUE(SUBSTITUTE(TRIM(Input!E1609&amp;""),"%","")),0)/IF(AND(IFERROR(VALUE(SUBSTITUTE(TRIM(Input!E1609&amp;""),"%","")),0)&gt;0,IFERROR(VALUE(SUBSTITUTE(TRIM(Input!E1609&amp;""),"%","")),0)&lt;1),1,100))</f>
        <v/>
      </c>
      <c r="E1609" t="str">
        <f>IF(A1609="","",IFERROR(VALUE(SUBSTITUTE(TRIM(Input!F1609&amp;""),"%","")),0)/IF(AND(IFERROR(VALUE(SUBSTITUTE(TRIM(Input!F1609&amp;""),"%","")),0)&gt;0,IFERROR(VALUE(SUBSTITUTE(TRIM(Input!F1609&amp;""),"%","")),0)&lt;1),1,100))</f>
        <v/>
      </c>
      <c r="F1609" t="str">
        <f>IF(A1609="","",IFERROR(VALUE(SUBSTITUTE(TRIM(Input!G1609&amp;""),"%","")),0)/IF(AND(IFERROR(VALUE(SUBSTITUTE(TRIM(Input!G1609&amp;""),"%","")),0)&gt;0,IFERROR(VALUE(SUBSTITUTE(TRIM(Input!G1609&amp;""),"%","")),0)&lt;1),1,100))</f>
        <v/>
      </c>
      <c r="G1609" t="str">
        <f>IF(A1609="","",IFERROR(VALUE(SUBSTITUTE(TRIM(Input!H1609&amp;""),"%","")),0)/IF(AND(IFERROR(VALUE(SUBSTITUTE(TRIM(Input!H1609&amp;""),"%","")),0)&gt;0,IFERROR(VALUE(SUBSTITUTE(TRIM(Input!H1609&amp;""),"%","")),0)&lt;1),1,100))</f>
        <v/>
      </c>
      <c r="H1609" t="str">
        <f>IF(A1609="","",IFERROR(VALUE(SUBSTITUTE(TRIM(Input!I1609&amp;""),"%","")),0)/IF(AND(IFERROR(VALUE(SUBSTITUTE(TRIM(Input!I1609&amp;""),"%","")),0)&gt;0,IFERROR(VALUE(SUBSTITUTE(TRIM(Input!I1609&amp;""),"%","")),0)&lt;1),1,100))</f>
        <v/>
      </c>
    </row>
    <row r="1610" spans="1:8">
      <c r="A1610" t="str">
        <f>IF(TRIM(Input!B1610&amp;"")="","",UPPER(TRIM(Input!B1610&amp;"")))</f>
        <v/>
      </c>
      <c r="B1610" t="str">
        <f>IF(A1610="","",IFERROR(VALUE(RIGHT(TRIM(Input!D1610&amp;""),1)),0))</f>
        <v/>
      </c>
      <c r="C1610" t="str">
        <f t="shared" si="25"/>
        <v/>
      </c>
      <c r="D1610" t="str">
        <f>IF(A1610="","",IFERROR(VALUE(SUBSTITUTE(TRIM(Input!E1610&amp;""),"%","")),0)/IF(AND(IFERROR(VALUE(SUBSTITUTE(TRIM(Input!E1610&amp;""),"%","")),0)&gt;0,IFERROR(VALUE(SUBSTITUTE(TRIM(Input!E1610&amp;""),"%","")),0)&lt;1),1,100))</f>
        <v/>
      </c>
      <c r="E1610" t="str">
        <f>IF(A1610="","",IFERROR(VALUE(SUBSTITUTE(TRIM(Input!F1610&amp;""),"%","")),0)/IF(AND(IFERROR(VALUE(SUBSTITUTE(TRIM(Input!F1610&amp;""),"%","")),0)&gt;0,IFERROR(VALUE(SUBSTITUTE(TRIM(Input!F1610&amp;""),"%","")),0)&lt;1),1,100))</f>
        <v/>
      </c>
      <c r="F1610" t="str">
        <f>IF(A1610="","",IFERROR(VALUE(SUBSTITUTE(TRIM(Input!G1610&amp;""),"%","")),0)/IF(AND(IFERROR(VALUE(SUBSTITUTE(TRIM(Input!G1610&amp;""),"%","")),0)&gt;0,IFERROR(VALUE(SUBSTITUTE(TRIM(Input!G1610&amp;""),"%","")),0)&lt;1),1,100))</f>
        <v/>
      </c>
      <c r="G1610" t="str">
        <f>IF(A1610="","",IFERROR(VALUE(SUBSTITUTE(TRIM(Input!H1610&amp;""),"%","")),0)/IF(AND(IFERROR(VALUE(SUBSTITUTE(TRIM(Input!H1610&amp;""),"%","")),0)&gt;0,IFERROR(VALUE(SUBSTITUTE(TRIM(Input!H1610&amp;""),"%","")),0)&lt;1),1,100))</f>
        <v/>
      </c>
      <c r="H1610" t="str">
        <f>IF(A1610="","",IFERROR(VALUE(SUBSTITUTE(TRIM(Input!I1610&amp;""),"%","")),0)/IF(AND(IFERROR(VALUE(SUBSTITUTE(TRIM(Input!I1610&amp;""),"%","")),0)&gt;0,IFERROR(VALUE(SUBSTITUTE(TRIM(Input!I1610&amp;""),"%","")),0)&lt;1),1,100))</f>
        <v/>
      </c>
    </row>
    <row r="1611" spans="1:8">
      <c r="A1611" t="str">
        <f>IF(TRIM(Input!B1611&amp;"")="","",UPPER(TRIM(Input!B1611&amp;"")))</f>
        <v/>
      </c>
      <c r="B1611" t="str">
        <f>IF(A1611="","",IFERROR(VALUE(RIGHT(TRIM(Input!D1611&amp;""),1)),0))</f>
        <v/>
      </c>
      <c r="C1611" t="str">
        <f t="shared" si="25"/>
        <v/>
      </c>
      <c r="D1611" t="str">
        <f>IF(A1611="","",IFERROR(VALUE(SUBSTITUTE(TRIM(Input!E1611&amp;""),"%","")),0)/IF(AND(IFERROR(VALUE(SUBSTITUTE(TRIM(Input!E1611&amp;""),"%","")),0)&gt;0,IFERROR(VALUE(SUBSTITUTE(TRIM(Input!E1611&amp;""),"%","")),0)&lt;1),1,100))</f>
        <v/>
      </c>
      <c r="E1611" t="str">
        <f>IF(A1611="","",IFERROR(VALUE(SUBSTITUTE(TRIM(Input!F1611&amp;""),"%","")),0)/IF(AND(IFERROR(VALUE(SUBSTITUTE(TRIM(Input!F1611&amp;""),"%","")),0)&gt;0,IFERROR(VALUE(SUBSTITUTE(TRIM(Input!F1611&amp;""),"%","")),0)&lt;1),1,100))</f>
        <v/>
      </c>
      <c r="F1611" t="str">
        <f>IF(A1611="","",IFERROR(VALUE(SUBSTITUTE(TRIM(Input!G1611&amp;""),"%","")),0)/IF(AND(IFERROR(VALUE(SUBSTITUTE(TRIM(Input!G1611&amp;""),"%","")),0)&gt;0,IFERROR(VALUE(SUBSTITUTE(TRIM(Input!G1611&amp;""),"%","")),0)&lt;1),1,100))</f>
        <v/>
      </c>
      <c r="G1611" t="str">
        <f>IF(A1611="","",IFERROR(VALUE(SUBSTITUTE(TRIM(Input!H1611&amp;""),"%","")),0)/IF(AND(IFERROR(VALUE(SUBSTITUTE(TRIM(Input!H1611&amp;""),"%","")),0)&gt;0,IFERROR(VALUE(SUBSTITUTE(TRIM(Input!H1611&amp;""),"%","")),0)&lt;1),1,100))</f>
        <v/>
      </c>
      <c r="H1611" t="str">
        <f>IF(A1611="","",IFERROR(VALUE(SUBSTITUTE(TRIM(Input!I1611&amp;""),"%","")),0)/IF(AND(IFERROR(VALUE(SUBSTITUTE(TRIM(Input!I1611&amp;""),"%","")),0)&gt;0,IFERROR(VALUE(SUBSTITUTE(TRIM(Input!I1611&amp;""),"%","")),0)&lt;1),1,100))</f>
        <v/>
      </c>
    </row>
    <row r="1612" spans="1:8">
      <c r="A1612" t="str">
        <f>IF(TRIM(Input!B1612&amp;"")="","",UPPER(TRIM(Input!B1612&amp;"")))</f>
        <v/>
      </c>
      <c r="B1612" t="str">
        <f>IF(A1612="","",IFERROR(VALUE(RIGHT(TRIM(Input!D1612&amp;""),1)),0))</f>
        <v/>
      </c>
      <c r="C1612" t="str">
        <f t="shared" si="25"/>
        <v/>
      </c>
      <c r="D1612" t="str">
        <f>IF(A1612="","",IFERROR(VALUE(SUBSTITUTE(TRIM(Input!E1612&amp;""),"%","")),0)/IF(AND(IFERROR(VALUE(SUBSTITUTE(TRIM(Input!E1612&amp;""),"%","")),0)&gt;0,IFERROR(VALUE(SUBSTITUTE(TRIM(Input!E1612&amp;""),"%","")),0)&lt;1),1,100))</f>
        <v/>
      </c>
      <c r="E1612" t="str">
        <f>IF(A1612="","",IFERROR(VALUE(SUBSTITUTE(TRIM(Input!F1612&amp;""),"%","")),0)/IF(AND(IFERROR(VALUE(SUBSTITUTE(TRIM(Input!F1612&amp;""),"%","")),0)&gt;0,IFERROR(VALUE(SUBSTITUTE(TRIM(Input!F1612&amp;""),"%","")),0)&lt;1),1,100))</f>
        <v/>
      </c>
      <c r="F1612" t="str">
        <f>IF(A1612="","",IFERROR(VALUE(SUBSTITUTE(TRIM(Input!G1612&amp;""),"%","")),0)/IF(AND(IFERROR(VALUE(SUBSTITUTE(TRIM(Input!G1612&amp;""),"%","")),0)&gt;0,IFERROR(VALUE(SUBSTITUTE(TRIM(Input!G1612&amp;""),"%","")),0)&lt;1),1,100))</f>
        <v/>
      </c>
      <c r="G1612" t="str">
        <f>IF(A1612="","",IFERROR(VALUE(SUBSTITUTE(TRIM(Input!H1612&amp;""),"%","")),0)/IF(AND(IFERROR(VALUE(SUBSTITUTE(TRIM(Input!H1612&amp;""),"%","")),0)&gt;0,IFERROR(VALUE(SUBSTITUTE(TRIM(Input!H1612&amp;""),"%","")),0)&lt;1),1,100))</f>
        <v/>
      </c>
      <c r="H1612" t="str">
        <f>IF(A1612="","",IFERROR(VALUE(SUBSTITUTE(TRIM(Input!I1612&amp;""),"%","")),0)/IF(AND(IFERROR(VALUE(SUBSTITUTE(TRIM(Input!I1612&amp;""),"%","")),0)&gt;0,IFERROR(VALUE(SUBSTITUTE(TRIM(Input!I1612&amp;""),"%","")),0)&lt;1),1,100))</f>
        <v/>
      </c>
    </row>
    <row r="1613" spans="1:8">
      <c r="A1613" t="str">
        <f>IF(TRIM(Input!B1613&amp;"")="","",UPPER(TRIM(Input!B1613&amp;"")))</f>
        <v/>
      </c>
      <c r="B1613" t="str">
        <f>IF(A1613="","",IFERROR(VALUE(RIGHT(TRIM(Input!D1613&amp;""),1)),0))</f>
        <v/>
      </c>
      <c r="C1613" t="str">
        <f t="shared" si="25"/>
        <v/>
      </c>
      <c r="D1613" t="str">
        <f>IF(A1613="","",IFERROR(VALUE(SUBSTITUTE(TRIM(Input!E1613&amp;""),"%","")),0)/IF(AND(IFERROR(VALUE(SUBSTITUTE(TRIM(Input!E1613&amp;""),"%","")),0)&gt;0,IFERROR(VALUE(SUBSTITUTE(TRIM(Input!E1613&amp;""),"%","")),0)&lt;1),1,100))</f>
        <v/>
      </c>
      <c r="E1613" t="str">
        <f>IF(A1613="","",IFERROR(VALUE(SUBSTITUTE(TRIM(Input!F1613&amp;""),"%","")),0)/IF(AND(IFERROR(VALUE(SUBSTITUTE(TRIM(Input!F1613&amp;""),"%","")),0)&gt;0,IFERROR(VALUE(SUBSTITUTE(TRIM(Input!F1613&amp;""),"%","")),0)&lt;1),1,100))</f>
        <v/>
      </c>
      <c r="F1613" t="str">
        <f>IF(A1613="","",IFERROR(VALUE(SUBSTITUTE(TRIM(Input!G1613&amp;""),"%","")),0)/IF(AND(IFERROR(VALUE(SUBSTITUTE(TRIM(Input!G1613&amp;""),"%","")),0)&gt;0,IFERROR(VALUE(SUBSTITUTE(TRIM(Input!G1613&amp;""),"%","")),0)&lt;1),1,100))</f>
        <v/>
      </c>
      <c r="G1613" t="str">
        <f>IF(A1613="","",IFERROR(VALUE(SUBSTITUTE(TRIM(Input!H1613&amp;""),"%","")),0)/IF(AND(IFERROR(VALUE(SUBSTITUTE(TRIM(Input!H1613&amp;""),"%","")),0)&gt;0,IFERROR(VALUE(SUBSTITUTE(TRIM(Input!H1613&amp;""),"%","")),0)&lt;1),1,100))</f>
        <v/>
      </c>
      <c r="H1613" t="str">
        <f>IF(A1613="","",IFERROR(VALUE(SUBSTITUTE(TRIM(Input!I1613&amp;""),"%","")),0)/IF(AND(IFERROR(VALUE(SUBSTITUTE(TRIM(Input!I1613&amp;""),"%","")),0)&gt;0,IFERROR(VALUE(SUBSTITUTE(TRIM(Input!I1613&amp;""),"%","")),0)&lt;1),1,100))</f>
        <v/>
      </c>
    </row>
    <row r="1614" spans="1:8">
      <c r="A1614" t="str">
        <f>IF(TRIM(Input!B1614&amp;"")="","",UPPER(TRIM(Input!B1614&amp;"")))</f>
        <v/>
      </c>
      <c r="B1614" t="str">
        <f>IF(A1614="","",IFERROR(VALUE(RIGHT(TRIM(Input!D1614&amp;""),1)),0))</f>
        <v/>
      </c>
      <c r="C1614" t="str">
        <f t="shared" si="25"/>
        <v/>
      </c>
      <c r="D1614" t="str">
        <f>IF(A1614="","",IFERROR(VALUE(SUBSTITUTE(TRIM(Input!E1614&amp;""),"%","")),0)/IF(AND(IFERROR(VALUE(SUBSTITUTE(TRIM(Input!E1614&amp;""),"%","")),0)&gt;0,IFERROR(VALUE(SUBSTITUTE(TRIM(Input!E1614&amp;""),"%","")),0)&lt;1),1,100))</f>
        <v/>
      </c>
      <c r="E1614" t="str">
        <f>IF(A1614="","",IFERROR(VALUE(SUBSTITUTE(TRIM(Input!F1614&amp;""),"%","")),0)/IF(AND(IFERROR(VALUE(SUBSTITUTE(TRIM(Input!F1614&amp;""),"%","")),0)&gt;0,IFERROR(VALUE(SUBSTITUTE(TRIM(Input!F1614&amp;""),"%","")),0)&lt;1),1,100))</f>
        <v/>
      </c>
      <c r="F1614" t="str">
        <f>IF(A1614="","",IFERROR(VALUE(SUBSTITUTE(TRIM(Input!G1614&amp;""),"%","")),0)/IF(AND(IFERROR(VALUE(SUBSTITUTE(TRIM(Input!G1614&amp;""),"%","")),0)&gt;0,IFERROR(VALUE(SUBSTITUTE(TRIM(Input!G1614&amp;""),"%","")),0)&lt;1),1,100))</f>
        <v/>
      </c>
      <c r="G1614" t="str">
        <f>IF(A1614="","",IFERROR(VALUE(SUBSTITUTE(TRIM(Input!H1614&amp;""),"%","")),0)/IF(AND(IFERROR(VALUE(SUBSTITUTE(TRIM(Input!H1614&amp;""),"%","")),0)&gt;0,IFERROR(VALUE(SUBSTITUTE(TRIM(Input!H1614&amp;""),"%","")),0)&lt;1),1,100))</f>
        <v/>
      </c>
      <c r="H1614" t="str">
        <f>IF(A1614="","",IFERROR(VALUE(SUBSTITUTE(TRIM(Input!I1614&amp;""),"%","")),0)/IF(AND(IFERROR(VALUE(SUBSTITUTE(TRIM(Input!I1614&amp;""),"%","")),0)&gt;0,IFERROR(VALUE(SUBSTITUTE(TRIM(Input!I1614&amp;""),"%","")),0)&lt;1),1,100))</f>
        <v/>
      </c>
    </row>
    <row r="1615" spans="1:8">
      <c r="A1615" t="str">
        <f>IF(TRIM(Input!B1615&amp;"")="","",UPPER(TRIM(Input!B1615&amp;"")))</f>
        <v/>
      </c>
      <c r="B1615" t="str">
        <f>IF(A1615="","",IFERROR(VALUE(RIGHT(TRIM(Input!D1615&amp;""),1)),0))</f>
        <v/>
      </c>
      <c r="C1615" t="str">
        <f t="shared" si="25"/>
        <v/>
      </c>
      <c r="D1615" t="str">
        <f>IF(A1615="","",IFERROR(VALUE(SUBSTITUTE(TRIM(Input!E1615&amp;""),"%","")),0)/IF(AND(IFERROR(VALUE(SUBSTITUTE(TRIM(Input!E1615&amp;""),"%","")),0)&gt;0,IFERROR(VALUE(SUBSTITUTE(TRIM(Input!E1615&amp;""),"%","")),0)&lt;1),1,100))</f>
        <v/>
      </c>
      <c r="E1615" t="str">
        <f>IF(A1615="","",IFERROR(VALUE(SUBSTITUTE(TRIM(Input!F1615&amp;""),"%","")),0)/IF(AND(IFERROR(VALUE(SUBSTITUTE(TRIM(Input!F1615&amp;""),"%","")),0)&gt;0,IFERROR(VALUE(SUBSTITUTE(TRIM(Input!F1615&amp;""),"%","")),0)&lt;1),1,100))</f>
        <v/>
      </c>
      <c r="F1615" t="str">
        <f>IF(A1615="","",IFERROR(VALUE(SUBSTITUTE(TRIM(Input!G1615&amp;""),"%","")),0)/IF(AND(IFERROR(VALUE(SUBSTITUTE(TRIM(Input!G1615&amp;""),"%","")),0)&gt;0,IFERROR(VALUE(SUBSTITUTE(TRIM(Input!G1615&amp;""),"%","")),0)&lt;1),1,100))</f>
        <v/>
      </c>
      <c r="G1615" t="str">
        <f>IF(A1615="","",IFERROR(VALUE(SUBSTITUTE(TRIM(Input!H1615&amp;""),"%","")),0)/IF(AND(IFERROR(VALUE(SUBSTITUTE(TRIM(Input!H1615&amp;""),"%","")),0)&gt;0,IFERROR(VALUE(SUBSTITUTE(TRIM(Input!H1615&amp;""),"%","")),0)&lt;1),1,100))</f>
        <v/>
      </c>
      <c r="H1615" t="str">
        <f>IF(A1615="","",IFERROR(VALUE(SUBSTITUTE(TRIM(Input!I1615&amp;""),"%","")),0)/IF(AND(IFERROR(VALUE(SUBSTITUTE(TRIM(Input!I1615&amp;""),"%","")),0)&gt;0,IFERROR(VALUE(SUBSTITUTE(TRIM(Input!I1615&amp;""),"%","")),0)&lt;1),1,100))</f>
        <v/>
      </c>
    </row>
    <row r="1616" spans="1:8">
      <c r="A1616" t="str">
        <f>IF(TRIM(Input!B1616&amp;"")="","",UPPER(TRIM(Input!B1616&amp;"")))</f>
        <v/>
      </c>
      <c r="B1616" t="str">
        <f>IF(A1616="","",IFERROR(VALUE(RIGHT(TRIM(Input!D1616&amp;""),1)),0))</f>
        <v/>
      </c>
      <c r="C1616" t="str">
        <f t="shared" si="25"/>
        <v/>
      </c>
      <c r="D1616" t="str">
        <f>IF(A1616="","",IFERROR(VALUE(SUBSTITUTE(TRIM(Input!E1616&amp;""),"%","")),0)/IF(AND(IFERROR(VALUE(SUBSTITUTE(TRIM(Input!E1616&amp;""),"%","")),0)&gt;0,IFERROR(VALUE(SUBSTITUTE(TRIM(Input!E1616&amp;""),"%","")),0)&lt;1),1,100))</f>
        <v/>
      </c>
      <c r="E1616" t="str">
        <f>IF(A1616="","",IFERROR(VALUE(SUBSTITUTE(TRIM(Input!F1616&amp;""),"%","")),0)/IF(AND(IFERROR(VALUE(SUBSTITUTE(TRIM(Input!F1616&amp;""),"%","")),0)&gt;0,IFERROR(VALUE(SUBSTITUTE(TRIM(Input!F1616&amp;""),"%","")),0)&lt;1),1,100))</f>
        <v/>
      </c>
      <c r="F1616" t="str">
        <f>IF(A1616="","",IFERROR(VALUE(SUBSTITUTE(TRIM(Input!G1616&amp;""),"%","")),0)/IF(AND(IFERROR(VALUE(SUBSTITUTE(TRIM(Input!G1616&amp;""),"%","")),0)&gt;0,IFERROR(VALUE(SUBSTITUTE(TRIM(Input!G1616&amp;""),"%","")),0)&lt;1),1,100))</f>
        <v/>
      </c>
      <c r="G1616" t="str">
        <f>IF(A1616="","",IFERROR(VALUE(SUBSTITUTE(TRIM(Input!H1616&amp;""),"%","")),0)/IF(AND(IFERROR(VALUE(SUBSTITUTE(TRIM(Input!H1616&amp;""),"%","")),0)&gt;0,IFERROR(VALUE(SUBSTITUTE(TRIM(Input!H1616&amp;""),"%","")),0)&lt;1),1,100))</f>
        <v/>
      </c>
      <c r="H1616" t="str">
        <f>IF(A1616="","",IFERROR(VALUE(SUBSTITUTE(TRIM(Input!I1616&amp;""),"%","")),0)/IF(AND(IFERROR(VALUE(SUBSTITUTE(TRIM(Input!I1616&amp;""),"%","")),0)&gt;0,IFERROR(VALUE(SUBSTITUTE(TRIM(Input!I1616&amp;""),"%","")),0)&lt;1),1,100))</f>
        <v/>
      </c>
    </row>
    <row r="1617" spans="1:8">
      <c r="A1617" t="str">
        <f>IF(TRIM(Input!B1617&amp;"")="","",UPPER(TRIM(Input!B1617&amp;"")))</f>
        <v/>
      </c>
      <c r="B1617" t="str">
        <f>IF(A1617="","",IFERROR(VALUE(RIGHT(TRIM(Input!D1617&amp;""),1)),0))</f>
        <v/>
      </c>
      <c r="C1617" t="str">
        <f t="shared" si="25"/>
        <v/>
      </c>
      <c r="D1617" t="str">
        <f>IF(A1617="","",IFERROR(VALUE(SUBSTITUTE(TRIM(Input!E1617&amp;""),"%","")),0)/IF(AND(IFERROR(VALUE(SUBSTITUTE(TRIM(Input!E1617&amp;""),"%","")),0)&gt;0,IFERROR(VALUE(SUBSTITUTE(TRIM(Input!E1617&amp;""),"%","")),0)&lt;1),1,100))</f>
        <v/>
      </c>
      <c r="E1617" t="str">
        <f>IF(A1617="","",IFERROR(VALUE(SUBSTITUTE(TRIM(Input!F1617&amp;""),"%","")),0)/IF(AND(IFERROR(VALUE(SUBSTITUTE(TRIM(Input!F1617&amp;""),"%","")),0)&gt;0,IFERROR(VALUE(SUBSTITUTE(TRIM(Input!F1617&amp;""),"%","")),0)&lt;1),1,100))</f>
        <v/>
      </c>
      <c r="F1617" t="str">
        <f>IF(A1617="","",IFERROR(VALUE(SUBSTITUTE(TRIM(Input!G1617&amp;""),"%","")),0)/IF(AND(IFERROR(VALUE(SUBSTITUTE(TRIM(Input!G1617&amp;""),"%","")),0)&gt;0,IFERROR(VALUE(SUBSTITUTE(TRIM(Input!G1617&amp;""),"%","")),0)&lt;1),1,100))</f>
        <v/>
      </c>
      <c r="G1617" t="str">
        <f>IF(A1617="","",IFERROR(VALUE(SUBSTITUTE(TRIM(Input!H1617&amp;""),"%","")),0)/IF(AND(IFERROR(VALUE(SUBSTITUTE(TRIM(Input!H1617&amp;""),"%","")),0)&gt;0,IFERROR(VALUE(SUBSTITUTE(TRIM(Input!H1617&amp;""),"%","")),0)&lt;1),1,100))</f>
        <v/>
      </c>
      <c r="H1617" t="str">
        <f>IF(A1617="","",IFERROR(VALUE(SUBSTITUTE(TRIM(Input!I1617&amp;""),"%","")),0)/IF(AND(IFERROR(VALUE(SUBSTITUTE(TRIM(Input!I1617&amp;""),"%","")),0)&gt;0,IFERROR(VALUE(SUBSTITUTE(TRIM(Input!I1617&amp;""),"%","")),0)&lt;1),1,100))</f>
        <v/>
      </c>
    </row>
    <row r="1618" spans="1:8">
      <c r="A1618" t="str">
        <f>IF(TRIM(Input!B1618&amp;"")="","",UPPER(TRIM(Input!B1618&amp;"")))</f>
        <v/>
      </c>
      <c r="B1618" t="str">
        <f>IF(A1618="","",IFERROR(VALUE(RIGHT(TRIM(Input!D1618&amp;""),1)),0))</f>
        <v/>
      </c>
      <c r="C1618" t="str">
        <f t="shared" si="25"/>
        <v/>
      </c>
      <c r="D1618" t="str">
        <f>IF(A1618="","",IFERROR(VALUE(SUBSTITUTE(TRIM(Input!E1618&amp;""),"%","")),0)/IF(AND(IFERROR(VALUE(SUBSTITUTE(TRIM(Input!E1618&amp;""),"%","")),0)&gt;0,IFERROR(VALUE(SUBSTITUTE(TRIM(Input!E1618&amp;""),"%","")),0)&lt;1),1,100))</f>
        <v/>
      </c>
      <c r="E1618" t="str">
        <f>IF(A1618="","",IFERROR(VALUE(SUBSTITUTE(TRIM(Input!F1618&amp;""),"%","")),0)/IF(AND(IFERROR(VALUE(SUBSTITUTE(TRIM(Input!F1618&amp;""),"%","")),0)&gt;0,IFERROR(VALUE(SUBSTITUTE(TRIM(Input!F1618&amp;""),"%","")),0)&lt;1),1,100))</f>
        <v/>
      </c>
      <c r="F1618" t="str">
        <f>IF(A1618="","",IFERROR(VALUE(SUBSTITUTE(TRIM(Input!G1618&amp;""),"%","")),0)/IF(AND(IFERROR(VALUE(SUBSTITUTE(TRIM(Input!G1618&amp;""),"%","")),0)&gt;0,IFERROR(VALUE(SUBSTITUTE(TRIM(Input!G1618&amp;""),"%","")),0)&lt;1),1,100))</f>
        <v/>
      </c>
      <c r="G1618" t="str">
        <f>IF(A1618="","",IFERROR(VALUE(SUBSTITUTE(TRIM(Input!H1618&amp;""),"%","")),0)/IF(AND(IFERROR(VALUE(SUBSTITUTE(TRIM(Input!H1618&amp;""),"%","")),0)&gt;0,IFERROR(VALUE(SUBSTITUTE(TRIM(Input!H1618&amp;""),"%","")),0)&lt;1),1,100))</f>
        <v/>
      </c>
      <c r="H1618" t="str">
        <f>IF(A1618="","",IFERROR(VALUE(SUBSTITUTE(TRIM(Input!I1618&amp;""),"%","")),0)/IF(AND(IFERROR(VALUE(SUBSTITUTE(TRIM(Input!I1618&amp;""),"%","")),0)&gt;0,IFERROR(VALUE(SUBSTITUTE(TRIM(Input!I1618&amp;""),"%","")),0)&lt;1),1,100))</f>
        <v/>
      </c>
    </row>
    <row r="1619" spans="1:8">
      <c r="A1619" t="str">
        <f>IF(TRIM(Input!B1619&amp;"")="","",UPPER(TRIM(Input!B1619&amp;"")))</f>
        <v/>
      </c>
      <c r="B1619" t="str">
        <f>IF(A1619="","",IFERROR(VALUE(RIGHT(TRIM(Input!D1619&amp;""),1)),0))</f>
        <v/>
      </c>
      <c r="C1619" t="str">
        <f t="shared" si="25"/>
        <v/>
      </c>
      <c r="D1619" t="str">
        <f>IF(A1619="","",IFERROR(VALUE(SUBSTITUTE(TRIM(Input!E1619&amp;""),"%","")),0)/IF(AND(IFERROR(VALUE(SUBSTITUTE(TRIM(Input!E1619&amp;""),"%","")),0)&gt;0,IFERROR(VALUE(SUBSTITUTE(TRIM(Input!E1619&amp;""),"%","")),0)&lt;1),1,100))</f>
        <v/>
      </c>
      <c r="E1619" t="str">
        <f>IF(A1619="","",IFERROR(VALUE(SUBSTITUTE(TRIM(Input!F1619&amp;""),"%","")),0)/IF(AND(IFERROR(VALUE(SUBSTITUTE(TRIM(Input!F1619&amp;""),"%","")),0)&gt;0,IFERROR(VALUE(SUBSTITUTE(TRIM(Input!F1619&amp;""),"%","")),0)&lt;1),1,100))</f>
        <v/>
      </c>
      <c r="F1619" t="str">
        <f>IF(A1619="","",IFERROR(VALUE(SUBSTITUTE(TRIM(Input!G1619&amp;""),"%","")),0)/IF(AND(IFERROR(VALUE(SUBSTITUTE(TRIM(Input!G1619&amp;""),"%","")),0)&gt;0,IFERROR(VALUE(SUBSTITUTE(TRIM(Input!G1619&amp;""),"%","")),0)&lt;1),1,100))</f>
        <v/>
      </c>
      <c r="G1619" t="str">
        <f>IF(A1619="","",IFERROR(VALUE(SUBSTITUTE(TRIM(Input!H1619&amp;""),"%","")),0)/IF(AND(IFERROR(VALUE(SUBSTITUTE(TRIM(Input!H1619&amp;""),"%","")),0)&gt;0,IFERROR(VALUE(SUBSTITUTE(TRIM(Input!H1619&amp;""),"%","")),0)&lt;1),1,100))</f>
        <v/>
      </c>
      <c r="H1619" t="str">
        <f>IF(A1619="","",IFERROR(VALUE(SUBSTITUTE(TRIM(Input!I1619&amp;""),"%","")),0)/IF(AND(IFERROR(VALUE(SUBSTITUTE(TRIM(Input!I1619&amp;""),"%","")),0)&gt;0,IFERROR(VALUE(SUBSTITUTE(TRIM(Input!I1619&amp;""),"%","")),0)&lt;1),1,100))</f>
        <v/>
      </c>
    </row>
    <row r="1620" spans="1:8">
      <c r="A1620" t="str">
        <f>IF(TRIM(Input!B1620&amp;"")="","",UPPER(TRIM(Input!B1620&amp;"")))</f>
        <v/>
      </c>
      <c r="B1620" t="str">
        <f>IF(A1620="","",IFERROR(VALUE(RIGHT(TRIM(Input!D1620&amp;""),1)),0))</f>
        <v/>
      </c>
      <c r="C1620" t="str">
        <f t="shared" si="25"/>
        <v/>
      </c>
      <c r="D1620" t="str">
        <f>IF(A1620="","",IFERROR(VALUE(SUBSTITUTE(TRIM(Input!E1620&amp;""),"%","")),0)/IF(AND(IFERROR(VALUE(SUBSTITUTE(TRIM(Input!E1620&amp;""),"%","")),0)&gt;0,IFERROR(VALUE(SUBSTITUTE(TRIM(Input!E1620&amp;""),"%","")),0)&lt;1),1,100))</f>
        <v/>
      </c>
      <c r="E1620" t="str">
        <f>IF(A1620="","",IFERROR(VALUE(SUBSTITUTE(TRIM(Input!F1620&amp;""),"%","")),0)/IF(AND(IFERROR(VALUE(SUBSTITUTE(TRIM(Input!F1620&amp;""),"%","")),0)&gt;0,IFERROR(VALUE(SUBSTITUTE(TRIM(Input!F1620&amp;""),"%","")),0)&lt;1),1,100))</f>
        <v/>
      </c>
      <c r="F1620" t="str">
        <f>IF(A1620="","",IFERROR(VALUE(SUBSTITUTE(TRIM(Input!G1620&amp;""),"%","")),0)/IF(AND(IFERROR(VALUE(SUBSTITUTE(TRIM(Input!G1620&amp;""),"%","")),0)&gt;0,IFERROR(VALUE(SUBSTITUTE(TRIM(Input!G1620&amp;""),"%","")),0)&lt;1),1,100))</f>
        <v/>
      </c>
      <c r="G1620" t="str">
        <f>IF(A1620="","",IFERROR(VALUE(SUBSTITUTE(TRIM(Input!H1620&amp;""),"%","")),0)/IF(AND(IFERROR(VALUE(SUBSTITUTE(TRIM(Input!H1620&amp;""),"%","")),0)&gt;0,IFERROR(VALUE(SUBSTITUTE(TRIM(Input!H1620&amp;""),"%","")),0)&lt;1),1,100))</f>
        <v/>
      </c>
      <c r="H1620" t="str">
        <f>IF(A1620="","",IFERROR(VALUE(SUBSTITUTE(TRIM(Input!I1620&amp;""),"%","")),0)/IF(AND(IFERROR(VALUE(SUBSTITUTE(TRIM(Input!I1620&amp;""),"%","")),0)&gt;0,IFERROR(VALUE(SUBSTITUTE(TRIM(Input!I1620&amp;""),"%","")),0)&lt;1),1,100))</f>
        <v/>
      </c>
    </row>
    <row r="1621" spans="1:8">
      <c r="A1621" t="str">
        <f>IF(TRIM(Input!B1621&amp;"")="","",UPPER(TRIM(Input!B1621&amp;"")))</f>
        <v/>
      </c>
      <c r="B1621" t="str">
        <f>IF(A1621="","",IFERROR(VALUE(RIGHT(TRIM(Input!D1621&amp;""),1)),0))</f>
        <v/>
      </c>
      <c r="C1621" t="str">
        <f t="shared" si="25"/>
        <v/>
      </c>
      <c r="D1621" t="str">
        <f>IF(A1621="","",IFERROR(VALUE(SUBSTITUTE(TRIM(Input!E1621&amp;""),"%","")),0)/IF(AND(IFERROR(VALUE(SUBSTITUTE(TRIM(Input!E1621&amp;""),"%","")),0)&gt;0,IFERROR(VALUE(SUBSTITUTE(TRIM(Input!E1621&amp;""),"%","")),0)&lt;1),1,100))</f>
        <v/>
      </c>
      <c r="E1621" t="str">
        <f>IF(A1621="","",IFERROR(VALUE(SUBSTITUTE(TRIM(Input!F1621&amp;""),"%","")),0)/IF(AND(IFERROR(VALUE(SUBSTITUTE(TRIM(Input!F1621&amp;""),"%","")),0)&gt;0,IFERROR(VALUE(SUBSTITUTE(TRIM(Input!F1621&amp;""),"%","")),0)&lt;1),1,100))</f>
        <v/>
      </c>
      <c r="F1621" t="str">
        <f>IF(A1621="","",IFERROR(VALUE(SUBSTITUTE(TRIM(Input!G1621&amp;""),"%","")),0)/IF(AND(IFERROR(VALUE(SUBSTITUTE(TRIM(Input!G1621&amp;""),"%","")),0)&gt;0,IFERROR(VALUE(SUBSTITUTE(TRIM(Input!G1621&amp;""),"%","")),0)&lt;1),1,100))</f>
        <v/>
      </c>
      <c r="G1621" t="str">
        <f>IF(A1621="","",IFERROR(VALUE(SUBSTITUTE(TRIM(Input!H1621&amp;""),"%","")),0)/IF(AND(IFERROR(VALUE(SUBSTITUTE(TRIM(Input!H1621&amp;""),"%","")),0)&gt;0,IFERROR(VALUE(SUBSTITUTE(TRIM(Input!H1621&amp;""),"%","")),0)&lt;1),1,100))</f>
        <v/>
      </c>
      <c r="H1621" t="str">
        <f>IF(A1621="","",IFERROR(VALUE(SUBSTITUTE(TRIM(Input!I1621&amp;""),"%","")),0)/IF(AND(IFERROR(VALUE(SUBSTITUTE(TRIM(Input!I1621&amp;""),"%","")),0)&gt;0,IFERROR(VALUE(SUBSTITUTE(TRIM(Input!I1621&amp;""),"%","")),0)&lt;1),1,100))</f>
        <v/>
      </c>
    </row>
    <row r="1622" spans="1:8">
      <c r="A1622" t="str">
        <f>IF(TRIM(Input!B1622&amp;"")="","",UPPER(TRIM(Input!B1622&amp;"")))</f>
        <v/>
      </c>
      <c r="B1622" t="str">
        <f>IF(A1622="","",IFERROR(VALUE(RIGHT(TRIM(Input!D1622&amp;""),1)),0))</f>
        <v/>
      </c>
      <c r="C1622" t="str">
        <f t="shared" si="25"/>
        <v/>
      </c>
      <c r="D1622" t="str">
        <f>IF(A1622="","",IFERROR(VALUE(SUBSTITUTE(TRIM(Input!E1622&amp;""),"%","")),0)/IF(AND(IFERROR(VALUE(SUBSTITUTE(TRIM(Input!E1622&amp;""),"%","")),0)&gt;0,IFERROR(VALUE(SUBSTITUTE(TRIM(Input!E1622&amp;""),"%","")),0)&lt;1),1,100))</f>
        <v/>
      </c>
      <c r="E1622" t="str">
        <f>IF(A1622="","",IFERROR(VALUE(SUBSTITUTE(TRIM(Input!F1622&amp;""),"%","")),0)/IF(AND(IFERROR(VALUE(SUBSTITUTE(TRIM(Input!F1622&amp;""),"%","")),0)&gt;0,IFERROR(VALUE(SUBSTITUTE(TRIM(Input!F1622&amp;""),"%","")),0)&lt;1),1,100))</f>
        <v/>
      </c>
      <c r="F1622" t="str">
        <f>IF(A1622="","",IFERROR(VALUE(SUBSTITUTE(TRIM(Input!G1622&amp;""),"%","")),0)/IF(AND(IFERROR(VALUE(SUBSTITUTE(TRIM(Input!G1622&amp;""),"%","")),0)&gt;0,IFERROR(VALUE(SUBSTITUTE(TRIM(Input!G1622&amp;""),"%","")),0)&lt;1),1,100))</f>
        <v/>
      </c>
      <c r="G1622" t="str">
        <f>IF(A1622="","",IFERROR(VALUE(SUBSTITUTE(TRIM(Input!H1622&amp;""),"%","")),0)/IF(AND(IFERROR(VALUE(SUBSTITUTE(TRIM(Input!H1622&amp;""),"%","")),0)&gt;0,IFERROR(VALUE(SUBSTITUTE(TRIM(Input!H1622&amp;""),"%","")),0)&lt;1),1,100))</f>
        <v/>
      </c>
      <c r="H1622" t="str">
        <f>IF(A1622="","",IFERROR(VALUE(SUBSTITUTE(TRIM(Input!I1622&amp;""),"%","")),0)/IF(AND(IFERROR(VALUE(SUBSTITUTE(TRIM(Input!I1622&amp;""),"%","")),0)&gt;0,IFERROR(VALUE(SUBSTITUTE(TRIM(Input!I1622&amp;""),"%","")),0)&lt;1),1,100))</f>
        <v/>
      </c>
    </row>
    <row r="1623" spans="1:8">
      <c r="A1623" t="str">
        <f>IF(TRIM(Input!B1623&amp;"")="","",UPPER(TRIM(Input!B1623&amp;"")))</f>
        <v/>
      </c>
      <c r="B1623" t="str">
        <f>IF(A1623="","",IFERROR(VALUE(RIGHT(TRIM(Input!D1623&amp;""),1)),0))</f>
        <v/>
      </c>
      <c r="C1623" t="str">
        <f t="shared" si="25"/>
        <v/>
      </c>
      <c r="D1623" t="str">
        <f>IF(A1623="","",IFERROR(VALUE(SUBSTITUTE(TRIM(Input!E1623&amp;""),"%","")),0)/IF(AND(IFERROR(VALUE(SUBSTITUTE(TRIM(Input!E1623&amp;""),"%","")),0)&gt;0,IFERROR(VALUE(SUBSTITUTE(TRIM(Input!E1623&amp;""),"%","")),0)&lt;1),1,100))</f>
        <v/>
      </c>
      <c r="E1623" t="str">
        <f>IF(A1623="","",IFERROR(VALUE(SUBSTITUTE(TRIM(Input!F1623&amp;""),"%","")),0)/IF(AND(IFERROR(VALUE(SUBSTITUTE(TRIM(Input!F1623&amp;""),"%","")),0)&gt;0,IFERROR(VALUE(SUBSTITUTE(TRIM(Input!F1623&amp;""),"%","")),0)&lt;1),1,100))</f>
        <v/>
      </c>
      <c r="F1623" t="str">
        <f>IF(A1623="","",IFERROR(VALUE(SUBSTITUTE(TRIM(Input!G1623&amp;""),"%","")),0)/IF(AND(IFERROR(VALUE(SUBSTITUTE(TRIM(Input!G1623&amp;""),"%","")),0)&gt;0,IFERROR(VALUE(SUBSTITUTE(TRIM(Input!G1623&amp;""),"%","")),0)&lt;1),1,100))</f>
        <v/>
      </c>
      <c r="G1623" t="str">
        <f>IF(A1623="","",IFERROR(VALUE(SUBSTITUTE(TRIM(Input!H1623&amp;""),"%","")),0)/IF(AND(IFERROR(VALUE(SUBSTITUTE(TRIM(Input!H1623&amp;""),"%","")),0)&gt;0,IFERROR(VALUE(SUBSTITUTE(TRIM(Input!H1623&amp;""),"%","")),0)&lt;1),1,100))</f>
        <v/>
      </c>
      <c r="H1623" t="str">
        <f>IF(A1623="","",IFERROR(VALUE(SUBSTITUTE(TRIM(Input!I1623&amp;""),"%","")),0)/IF(AND(IFERROR(VALUE(SUBSTITUTE(TRIM(Input!I1623&amp;""),"%","")),0)&gt;0,IFERROR(VALUE(SUBSTITUTE(TRIM(Input!I1623&amp;""),"%","")),0)&lt;1),1,100))</f>
        <v/>
      </c>
    </row>
    <row r="1624" spans="1:8">
      <c r="A1624" t="str">
        <f>IF(TRIM(Input!B1624&amp;"")="","",UPPER(TRIM(Input!B1624&amp;"")))</f>
        <v/>
      </c>
      <c r="B1624" t="str">
        <f>IF(A1624="","",IFERROR(VALUE(RIGHT(TRIM(Input!D1624&amp;""),1)),0))</f>
        <v/>
      </c>
      <c r="C1624" t="str">
        <f t="shared" si="25"/>
        <v/>
      </c>
      <c r="D1624" t="str">
        <f>IF(A1624="","",IFERROR(VALUE(SUBSTITUTE(TRIM(Input!E1624&amp;""),"%","")),0)/IF(AND(IFERROR(VALUE(SUBSTITUTE(TRIM(Input!E1624&amp;""),"%","")),0)&gt;0,IFERROR(VALUE(SUBSTITUTE(TRIM(Input!E1624&amp;""),"%","")),0)&lt;1),1,100))</f>
        <v/>
      </c>
      <c r="E1624" t="str">
        <f>IF(A1624="","",IFERROR(VALUE(SUBSTITUTE(TRIM(Input!F1624&amp;""),"%","")),0)/IF(AND(IFERROR(VALUE(SUBSTITUTE(TRIM(Input!F1624&amp;""),"%","")),0)&gt;0,IFERROR(VALUE(SUBSTITUTE(TRIM(Input!F1624&amp;""),"%","")),0)&lt;1),1,100))</f>
        <v/>
      </c>
      <c r="F1624" t="str">
        <f>IF(A1624="","",IFERROR(VALUE(SUBSTITUTE(TRIM(Input!G1624&amp;""),"%","")),0)/IF(AND(IFERROR(VALUE(SUBSTITUTE(TRIM(Input!G1624&amp;""),"%","")),0)&gt;0,IFERROR(VALUE(SUBSTITUTE(TRIM(Input!G1624&amp;""),"%","")),0)&lt;1),1,100))</f>
        <v/>
      </c>
      <c r="G1624" t="str">
        <f>IF(A1624="","",IFERROR(VALUE(SUBSTITUTE(TRIM(Input!H1624&amp;""),"%","")),0)/IF(AND(IFERROR(VALUE(SUBSTITUTE(TRIM(Input!H1624&amp;""),"%","")),0)&gt;0,IFERROR(VALUE(SUBSTITUTE(TRIM(Input!H1624&amp;""),"%","")),0)&lt;1),1,100))</f>
        <v/>
      </c>
      <c r="H1624" t="str">
        <f>IF(A1624="","",IFERROR(VALUE(SUBSTITUTE(TRIM(Input!I1624&amp;""),"%","")),0)/IF(AND(IFERROR(VALUE(SUBSTITUTE(TRIM(Input!I1624&amp;""),"%","")),0)&gt;0,IFERROR(VALUE(SUBSTITUTE(TRIM(Input!I1624&amp;""),"%","")),0)&lt;1),1,100))</f>
        <v/>
      </c>
    </row>
    <row r="1625" spans="1:8">
      <c r="A1625" t="str">
        <f>IF(TRIM(Input!B1625&amp;"")="","",UPPER(TRIM(Input!B1625&amp;"")))</f>
        <v/>
      </c>
      <c r="B1625" t="str">
        <f>IF(A1625="","",IFERROR(VALUE(RIGHT(TRIM(Input!D1625&amp;""),1)),0))</f>
        <v/>
      </c>
      <c r="C1625" t="str">
        <f t="shared" si="25"/>
        <v/>
      </c>
      <c r="D1625" t="str">
        <f>IF(A1625="","",IFERROR(VALUE(SUBSTITUTE(TRIM(Input!E1625&amp;""),"%","")),0)/IF(AND(IFERROR(VALUE(SUBSTITUTE(TRIM(Input!E1625&amp;""),"%","")),0)&gt;0,IFERROR(VALUE(SUBSTITUTE(TRIM(Input!E1625&amp;""),"%","")),0)&lt;1),1,100))</f>
        <v/>
      </c>
      <c r="E1625" t="str">
        <f>IF(A1625="","",IFERROR(VALUE(SUBSTITUTE(TRIM(Input!F1625&amp;""),"%","")),0)/IF(AND(IFERROR(VALUE(SUBSTITUTE(TRIM(Input!F1625&amp;""),"%","")),0)&gt;0,IFERROR(VALUE(SUBSTITUTE(TRIM(Input!F1625&amp;""),"%","")),0)&lt;1),1,100))</f>
        <v/>
      </c>
      <c r="F1625" t="str">
        <f>IF(A1625="","",IFERROR(VALUE(SUBSTITUTE(TRIM(Input!G1625&amp;""),"%","")),0)/IF(AND(IFERROR(VALUE(SUBSTITUTE(TRIM(Input!G1625&amp;""),"%","")),0)&gt;0,IFERROR(VALUE(SUBSTITUTE(TRIM(Input!G1625&amp;""),"%","")),0)&lt;1),1,100))</f>
        <v/>
      </c>
      <c r="G1625" t="str">
        <f>IF(A1625="","",IFERROR(VALUE(SUBSTITUTE(TRIM(Input!H1625&amp;""),"%","")),0)/IF(AND(IFERROR(VALUE(SUBSTITUTE(TRIM(Input!H1625&amp;""),"%","")),0)&gt;0,IFERROR(VALUE(SUBSTITUTE(TRIM(Input!H1625&amp;""),"%","")),0)&lt;1),1,100))</f>
        <v/>
      </c>
      <c r="H1625" t="str">
        <f>IF(A1625="","",IFERROR(VALUE(SUBSTITUTE(TRIM(Input!I1625&amp;""),"%","")),0)/IF(AND(IFERROR(VALUE(SUBSTITUTE(TRIM(Input!I1625&amp;""),"%","")),0)&gt;0,IFERROR(VALUE(SUBSTITUTE(TRIM(Input!I1625&amp;""),"%","")),0)&lt;1),1,100))</f>
        <v/>
      </c>
    </row>
    <row r="1626" spans="1:8">
      <c r="A1626" t="str">
        <f>IF(TRIM(Input!B1626&amp;"")="","",UPPER(TRIM(Input!B1626&amp;"")))</f>
        <v/>
      </c>
      <c r="B1626" t="str">
        <f>IF(A1626="","",IFERROR(VALUE(RIGHT(TRIM(Input!D1626&amp;""),1)),0))</f>
        <v/>
      </c>
      <c r="C1626" t="str">
        <f t="shared" si="25"/>
        <v/>
      </c>
      <c r="D1626" t="str">
        <f>IF(A1626="","",IFERROR(VALUE(SUBSTITUTE(TRIM(Input!E1626&amp;""),"%","")),0)/IF(AND(IFERROR(VALUE(SUBSTITUTE(TRIM(Input!E1626&amp;""),"%","")),0)&gt;0,IFERROR(VALUE(SUBSTITUTE(TRIM(Input!E1626&amp;""),"%","")),0)&lt;1),1,100))</f>
        <v/>
      </c>
      <c r="E1626" t="str">
        <f>IF(A1626="","",IFERROR(VALUE(SUBSTITUTE(TRIM(Input!F1626&amp;""),"%","")),0)/IF(AND(IFERROR(VALUE(SUBSTITUTE(TRIM(Input!F1626&amp;""),"%","")),0)&gt;0,IFERROR(VALUE(SUBSTITUTE(TRIM(Input!F1626&amp;""),"%","")),0)&lt;1),1,100))</f>
        <v/>
      </c>
      <c r="F1626" t="str">
        <f>IF(A1626="","",IFERROR(VALUE(SUBSTITUTE(TRIM(Input!G1626&amp;""),"%","")),0)/IF(AND(IFERROR(VALUE(SUBSTITUTE(TRIM(Input!G1626&amp;""),"%","")),0)&gt;0,IFERROR(VALUE(SUBSTITUTE(TRIM(Input!G1626&amp;""),"%","")),0)&lt;1),1,100))</f>
        <v/>
      </c>
      <c r="G1626" t="str">
        <f>IF(A1626="","",IFERROR(VALUE(SUBSTITUTE(TRIM(Input!H1626&amp;""),"%","")),0)/IF(AND(IFERROR(VALUE(SUBSTITUTE(TRIM(Input!H1626&amp;""),"%","")),0)&gt;0,IFERROR(VALUE(SUBSTITUTE(TRIM(Input!H1626&amp;""),"%","")),0)&lt;1),1,100))</f>
        <v/>
      </c>
      <c r="H1626" t="str">
        <f>IF(A1626="","",IFERROR(VALUE(SUBSTITUTE(TRIM(Input!I1626&amp;""),"%","")),0)/IF(AND(IFERROR(VALUE(SUBSTITUTE(TRIM(Input!I1626&amp;""),"%","")),0)&gt;0,IFERROR(VALUE(SUBSTITUTE(TRIM(Input!I1626&amp;""),"%","")),0)&lt;1),1,100))</f>
        <v/>
      </c>
    </row>
    <row r="1627" spans="1:8">
      <c r="A1627" t="str">
        <f>IF(TRIM(Input!B1627&amp;"")="","",UPPER(TRIM(Input!B1627&amp;"")))</f>
        <v/>
      </c>
      <c r="B1627" t="str">
        <f>IF(A1627="","",IFERROR(VALUE(RIGHT(TRIM(Input!D1627&amp;""),1)),0))</f>
        <v/>
      </c>
      <c r="C1627" t="str">
        <f t="shared" si="25"/>
        <v/>
      </c>
      <c r="D1627" t="str">
        <f>IF(A1627="","",IFERROR(VALUE(SUBSTITUTE(TRIM(Input!E1627&amp;""),"%","")),0)/IF(AND(IFERROR(VALUE(SUBSTITUTE(TRIM(Input!E1627&amp;""),"%","")),0)&gt;0,IFERROR(VALUE(SUBSTITUTE(TRIM(Input!E1627&amp;""),"%","")),0)&lt;1),1,100))</f>
        <v/>
      </c>
      <c r="E1627" t="str">
        <f>IF(A1627="","",IFERROR(VALUE(SUBSTITUTE(TRIM(Input!F1627&amp;""),"%","")),0)/IF(AND(IFERROR(VALUE(SUBSTITUTE(TRIM(Input!F1627&amp;""),"%","")),0)&gt;0,IFERROR(VALUE(SUBSTITUTE(TRIM(Input!F1627&amp;""),"%","")),0)&lt;1),1,100))</f>
        <v/>
      </c>
      <c r="F1627" t="str">
        <f>IF(A1627="","",IFERROR(VALUE(SUBSTITUTE(TRIM(Input!G1627&amp;""),"%","")),0)/IF(AND(IFERROR(VALUE(SUBSTITUTE(TRIM(Input!G1627&amp;""),"%","")),0)&gt;0,IFERROR(VALUE(SUBSTITUTE(TRIM(Input!G1627&amp;""),"%","")),0)&lt;1),1,100))</f>
        <v/>
      </c>
      <c r="G1627" t="str">
        <f>IF(A1627="","",IFERROR(VALUE(SUBSTITUTE(TRIM(Input!H1627&amp;""),"%","")),0)/IF(AND(IFERROR(VALUE(SUBSTITUTE(TRIM(Input!H1627&amp;""),"%","")),0)&gt;0,IFERROR(VALUE(SUBSTITUTE(TRIM(Input!H1627&amp;""),"%","")),0)&lt;1),1,100))</f>
        <v/>
      </c>
      <c r="H1627" t="str">
        <f>IF(A1627="","",IFERROR(VALUE(SUBSTITUTE(TRIM(Input!I1627&amp;""),"%","")),0)/IF(AND(IFERROR(VALUE(SUBSTITUTE(TRIM(Input!I1627&amp;""),"%","")),0)&gt;0,IFERROR(VALUE(SUBSTITUTE(TRIM(Input!I1627&amp;""),"%","")),0)&lt;1),1,100))</f>
        <v/>
      </c>
    </row>
    <row r="1628" spans="1:8">
      <c r="A1628" t="str">
        <f>IF(TRIM(Input!B1628&amp;"")="","",UPPER(TRIM(Input!B1628&amp;"")))</f>
        <v/>
      </c>
      <c r="B1628" t="str">
        <f>IF(A1628="","",IFERROR(VALUE(RIGHT(TRIM(Input!D1628&amp;""),1)),0))</f>
        <v/>
      </c>
      <c r="C1628" t="str">
        <f t="shared" si="25"/>
        <v/>
      </c>
      <c r="D1628" t="str">
        <f>IF(A1628="","",IFERROR(VALUE(SUBSTITUTE(TRIM(Input!E1628&amp;""),"%","")),0)/IF(AND(IFERROR(VALUE(SUBSTITUTE(TRIM(Input!E1628&amp;""),"%","")),0)&gt;0,IFERROR(VALUE(SUBSTITUTE(TRIM(Input!E1628&amp;""),"%","")),0)&lt;1),1,100))</f>
        <v/>
      </c>
      <c r="E1628" t="str">
        <f>IF(A1628="","",IFERROR(VALUE(SUBSTITUTE(TRIM(Input!F1628&amp;""),"%","")),0)/IF(AND(IFERROR(VALUE(SUBSTITUTE(TRIM(Input!F1628&amp;""),"%","")),0)&gt;0,IFERROR(VALUE(SUBSTITUTE(TRIM(Input!F1628&amp;""),"%","")),0)&lt;1),1,100))</f>
        <v/>
      </c>
      <c r="F1628" t="str">
        <f>IF(A1628="","",IFERROR(VALUE(SUBSTITUTE(TRIM(Input!G1628&amp;""),"%","")),0)/IF(AND(IFERROR(VALUE(SUBSTITUTE(TRIM(Input!G1628&amp;""),"%","")),0)&gt;0,IFERROR(VALUE(SUBSTITUTE(TRIM(Input!G1628&amp;""),"%","")),0)&lt;1),1,100))</f>
        <v/>
      </c>
      <c r="G1628" t="str">
        <f>IF(A1628="","",IFERROR(VALUE(SUBSTITUTE(TRIM(Input!H1628&amp;""),"%","")),0)/IF(AND(IFERROR(VALUE(SUBSTITUTE(TRIM(Input!H1628&amp;""),"%","")),0)&gt;0,IFERROR(VALUE(SUBSTITUTE(TRIM(Input!H1628&amp;""),"%","")),0)&lt;1),1,100))</f>
        <v/>
      </c>
      <c r="H1628" t="str">
        <f>IF(A1628="","",IFERROR(VALUE(SUBSTITUTE(TRIM(Input!I1628&amp;""),"%","")),0)/IF(AND(IFERROR(VALUE(SUBSTITUTE(TRIM(Input!I1628&amp;""),"%","")),0)&gt;0,IFERROR(VALUE(SUBSTITUTE(TRIM(Input!I1628&amp;""),"%","")),0)&lt;1),1,100))</f>
        <v/>
      </c>
    </row>
    <row r="1629" spans="1:8">
      <c r="A1629" t="str">
        <f>IF(TRIM(Input!B1629&amp;"")="","",UPPER(TRIM(Input!B1629&amp;"")))</f>
        <v/>
      </c>
      <c r="B1629" t="str">
        <f>IF(A1629="","",IFERROR(VALUE(RIGHT(TRIM(Input!D1629&amp;""),1)),0))</f>
        <v/>
      </c>
      <c r="C1629" t="str">
        <f t="shared" si="25"/>
        <v/>
      </c>
      <c r="D1629" t="str">
        <f>IF(A1629="","",IFERROR(VALUE(SUBSTITUTE(TRIM(Input!E1629&amp;""),"%","")),0)/IF(AND(IFERROR(VALUE(SUBSTITUTE(TRIM(Input!E1629&amp;""),"%","")),0)&gt;0,IFERROR(VALUE(SUBSTITUTE(TRIM(Input!E1629&amp;""),"%","")),0)&lt;1),1,100))</f>
        <v/>
      </c>
      <c r="E1629" t="str">
        <f>IF(A1629="","",IFERROR(VALUE(SUBSTITUTE(TRIM(Input!F1629&amp;""),"%","")),0)/IF(AND(IFERROR(VALUE(SUBSTITUTE(TRIM(Input!F1629&amp;""),"%","")),0)&gt;0,IFERROR(VALUE(SUBSTITUTE(TRIM(Input!F1629&amp;""),"%","")),0)&lt;1),1,100))</f>
        <v/>
      </c>
      <c r="F1629" t="str">
        <f>IF(A1629="","",IFERROR(VALUE(SUBSTITUTE(TRIM(Input!G1629&amp;""),"%","")),0)/IF(AND(IFERROR(VALUE(SUBSTITUTE(TRIM(Input!G1629&amp;""),"%","")),0)&gt;0,IFERROR(VALUE(SUBSTITUTE(TRIM(Input!G1629&amp;""),"%","")),0)&lt;1),1,100))</f>
        <v/>
      </c>
      <c r="G1629" t="str">
        <f>IF(A1629="","",IFERROR(VALUE(SUBSTITUTE(TRIM(Input!H1629&amp;""),"%","")),0)/IF(AND(IFERROR(VALUE(SUBSTITUTE(TRIM(Input!H1629&amp;""),"%","")),0)&gt;0,IFERROR(VALUE(SUBSTITUTE(TRIM(Input!H1629&amp;""),"%","")),0)&lt;1),1,100))</f>
        <v/>
      </c>
      <c r="H1629" t="str">
        <f>IF(A1629="","",IFERROR(VALUE(SUBSTITUTE(TRIM(Input!I1629&amp;""),"%","")),0)/IF(AND(IFERROR(VALUE(SUBSTITUTE(TRIM(Input!I1629&amp;""),"%","")),0)&gt;0,IFERROR(VALUE(SUBSTITUTE(TRIM(Input!I1629&amp;""),"%","")),0)&lt;1),1,100))</f>
        <v/>
      </c>
    </row>
    <row r="1630" spans="1:8">
      <c r="A1630" t="str">
        <f>IF(TRIM(Input!B1630&amp;"")="","",UPPER(TRIM(Input!B1630&amp;"")))</f>
        <v/>
      </c>
      <c r="B1630" t="str">
        <f>IF(A1630="","",IFERROR(VALUE(RIGHT(TRIM(Input!D1630&amp;""),1)),0))</f>
        <v/>
      </c>
      <c r="C1630" t="str">
        <f t="shared" si="25"/>
        <v/>
      </c>
      <c r="D1630" t="str">
        <f>IF(A1630="","",IFERROR(VALUE(SUBSTITUTE(TRIM(Input!E1630&amp;""),"%","")),0)/IF(AND(IFERROR(VALUE(SUBSTITUTE(TRIM(Input!E1630&amp;""),"%","")),0)&gt;0,IFERROR(VALUE(SUBSTITUTE(TRIM(Input!E1630&amp;""),"%","")),0)&lt;1),1,100))</f>
        <v/>
      </c>
      <c r="E1630" t="str">
        <f>IF(A1630="","",IFERROR(VALUE(SUBSTITUTE(TRIM(Input!F1630&amp;""),"%","")),0)/IF(AND(IFERROR(VALUE(SUBSTITUTE(TRIM(Input!F1630&amp;""),"%","")),0)&gt;0,IFERROR(VALUE(SUBSTITUTE(TRIM(Input!F1630&amp;""),"%","")),0)&lt;1),1,100))</f>
        <v/>
      </c>
      <c r="F1630" t="str">
        <f>IF(A1630="","",IFERROR(VALUE(SUBSTITUTE(TRIM(Input!G1630&amp;""),"%","")),0)/IF(AND(IFERROR(VALUE(SUBSTITUTE(TRIM(Input!G1630&amp;""),"%","")),0)&gt;0,IFERROR(VALUE(SUBSTITUTE(TRIM(Input!G1630&amp;""),"%","")),0)&lt;1),1,100))</f>
        <v/>
      </c>
      <c r="G1630" t="str">
        <f>IF(A1630="","",IFERROR(VALUE(SUBSTITUTE(TRIM(Input!H1630&amp;""),"%","")),0)/IF(AND(IFERROR(VALUE(SUBSTITUTE(TRIM(Input!H1630&amp;""),"%","")),0)&gt;0,IFERROR(VALUE(SUBSTITUTE(TRIM(Input!H1630&amp;""),"%","")),0)&lt;1),1,100))</f>
        <v/>
      </c>
      <c r="H1630" t="str">
        <f>IF(A1630="","",IFERROR(VALUE(SUBSTITUTE(TRIM(Input!I1630&amp;""),"%","")),0)/IF(AND(IFERROR(VALUE(SUBSTITUTE(TRIM(Input!I1630&amp;""),"%","")),0)&gt;0,IFERROR(VALUE(SUBSTITUTE(TRIM(Input!I1630&amp;""),"%","")),0)&lt;1),1,100))</f>
        <v/>
      </c>
    </row>
    <row r="1631" spans="1:8">
      <c r="A1631" t="str">
        <f>IF(TRIM(Input!B1631&amp;"")="","",UPPER(TRIM(Input!B1631&amp;"")))</f>
        <v/>
      </c>
      <c r="B1631" t="str">
        <f>IF(A1631="","",IFERROR(VALUE(RIGHT(TRIM(Input!D1631&amp;""),1)),0))</f>
        <v/>
      </c>
      <c r="C1631" t="str">
        <f t="shared" si="25"/>
        <v/>
      </c>
      <c r="D1631" t="str">
        <f>IF(A1631="","",IFERROR(VALUE(SUBSTITUTE(TRIM(Input!E1631&amp;""),"%","")),0)/IF(AND(IFERROR(VALUE(SUBSTITUTE(TRIM(Input!E1631&amp;""),"%","")),0)&gt;0,IFERROR(VALUE(SUBSTITUTE(TRIM(Input!E1631&amp;""),"%","")),0)&lt;1),1,100))</f>
        <v/>
      </c>
      <c r="E1631" t="str">
        <f>IF(A1631="","",IFERROR(VALUE(SUBSTITUTE(TRIM(Input!F1631&amp;""),"%","")),0)/IF(AND(IFERROR(VALUE(SUBSTITUTE(TRIM(Input!F1631&amp;""),"%","")),0)&gt;0,IFERROR(VALUE(SUBSTITUTE(TRIM(Input!F1631&amp;""),"%","")),0)&lt;1),1,100))</f>
        <v/>
      </c>
      <c r="F1631" t="str">
        <f>IF(A1631="","",IFERROR(VALUE(SUBSTITUTE(TRIM(Input!G1631&amp;""),"%","")),0)/IF(AND(IFERROR(VALUE(SUBSTITUTE(TRIM(Input!G1631&amp;""),"%","")),0)&gt;0,IFERROR(VALUE(SUBSTITUTE(TRIM(Input!G1631&amp;""),"%","")),0)&lt;1),1,100))</f>
        <v/>
      </c>
      <c r="G1631" t="str">
        <f>IF(A1631="","",IFERROR(VALUE(SUBSTITUTE(TRIM(Input!H1631&amp;""),"%","")),0)/IF(AND(IFERROR(VALUE(SUBSTITUTE(TRIM(Input!H1631&amp;""),"%","")),0)&gt;0,IFERROR(VALUE(SUBSTITUTE(TRIM(Input!H1631&amp;""),"%","")),0)&lt;1),1,100))</f>
        <v/>
      </c>
      <c r="H1631" t="str">
        <f>IF(A1631="","",IFERROR(VALUE(SUBSTITUTE(TRIM(Input!I1631&amp;""),"%","")),0)/IF(AND(IFERROR(VALUE(SUBSTITUTE(TRIM(Input!I1631&amp;""),"%","")),0)&gt;0,IFERROR(VALUE(SUBSTITUTE(TRIM(Input!I1631&amp;""),"%","")),0)&lt;1),1,100))</f>
        <v/>
      </c>
    </row>
    <row r="1632" spans="1:8">
      <c r="A1632" t="str">
        <f>IF(TRIM(Input!B1632&amp;"")="","",UPPER(TRIM(Input!B1632&amp;"")))</f>
        <v/>
      </c>
      <c r="B1632" t="str">
        <f>IF(A1632="","",IFERROR(VALUE(RIGHT(TRIM(Input!D1632&amp;""),1)),0))</f>
        <v/>
      </c>
      <c r="C1632" t="str">
        <f t="shared" si="25"/>
        <v/>
      </c>
      <c r="D1632" t="str">
        <f>IF(A1632="","",IFERROR(VALUE(SUBSTITUTE(TRIM(Input!E1632&amp;""),"%","")),0)/IF(AND(IFERROR(VALUE(SUBSTITUTE(TRIM(Input!E1632&amp;""),"%","")),0)&gt;0,IFERROR(VALUE(SUBSTITUTE(TRIM(Input!E1632&amp;""),"%","")),0)&lt;1),1,100))</f>
        <v/>
      </c>
      <c r="E1632" t="str">
        <f>IF(A1632="","",IFERROR(VALUE(SUBSTITUTE(TRIM(Input!F1632&amp;""),"%","")),0)/IF(AND(IFERROR(VALUE(SUBSTITUTE(TRIM(Input!F1632&amp;""),"%","")),0)&gt;0,IFERROR(VALUE(SUBSTITUTE(TRIM(Input!F1632&amp;""),"%","")),0)&lt;1),1,100))</f>
        <v/>
      </c>
      <c r="F1632" t="str">
        <f>IF(A1632="","",IFERROR(VALUE(SUBSTITUTE(TRIM(Input!G1632&amp;""),"%","")),0)/IF(AND(IFERROR(VALUE(SUBSTITUTE(TRIM(Input!G1632&amp;""),"%","")),0)&gt;0,IFERROR(VALUE(SUBSTITUTE(TRIM(Input!G1632&amp;""),"%","")),0)&lt;1),1,100))</f>
        <v/>
      </c>
      <c r="G1632" t="str">
        <f>IF(A1632="","",IFERROR(VALUE(SUBSTITUTE(TRIM(Input!H1632&amp;""),"%","")),0)/IF(AND(IFERROR(VALUE(SUBSTITUTE(TRIM(Input!H1632&amp;""),"%","")),0)&gt;0,IFERROR(VALUE(SUBSTITUTE(TRIM(Input!H1632&amp;""),"%","")),0)&lt;1),1,100))</f>
        <v/>
      </c>
      <c r="H1632" t="str">
        <f>IF(A1632="","",IFERROR(VALUE(SUBSTITUTE(TRIM(Input!I1632&amp;""),"%","")),0)/IF(AND(IFERROR(VALUE(SUBSTITUTE(TRIM(Input!I1632&amp;""),"%","")),0)&gt;0,IFERROR(VALUE(SUBSTITUTE(TRIM(Input!I1632&amp;""),"%","")),0)&lt;1),1,100))</f>
        <v/>
      </c>
    </row>
    <row r="1633" spans="1:8">
      <c r="A1633" t="str">
        <f>IF(TRIM(Input!B1633&amp;"")="","",UPPER(TRIM(Input!B1633&amp;"")))</f>
        <v/>
      </c>
      <c r="B1633" t="str">
        <f>IF(A1633="","",IFERROR(VALUE(RIGHT(TRIM(Input!D1633&amp;""),1)),0))</f>
        <v/>
      </c>
      <c r="C1633" t="str">
        <f t="shared" si="25"/>
        <v/>
      </c>
      <c r="D1633" t="str">
        <f>IF(A1633="","",IFERROR(VALUE(SUBSTITUTE(TRIM(Input!E1633&amp;""),"%","")),0)/IF(AND(IFERROR(VALUE(SUBSTITUTE(TRIM(Input!E1633&amp;""),"%","")),0)&gt;0,IFERROR(VALUE(SUBSTITUTE(TRIM(Input!E1633&amp;""),"%","")),0)&lt;1),1,100))</f>
        <v/>
      </c>
      <c r="E1633" t="str">
        <f>IF(A1633="","",IFERROR(VALUE(SUBSTITUTE(TRIM(Input!F1633&amp;""),"%","")),0)/IF(AND(IFERROR(VALUE(SUBSTITUTE(TRIM(Input!F1633&amp;""),"%","")),0)&gt;0,IFERROR(VALUE(SUBSTITUTE(TRIM(Input!F1633&amp;""),"%","")),0)&lt;1),1,100))</f>
        <v/>
      </c>
      <c r="F1633" t="str">
        <f>IF(A1633="","",IFERROR(VALUE(SUBSTITUTE(TRIM(Input!G1633&amp;""),"%","")),0)/IF(AND(IFERROR(VALUE(SUBSTITUTE(TRIM(Input!G1633&amp;""),"%","")),0)&gt;0,IFERROR(VALUE(SUBSTITUTE(TRIM(Input!G1633&amp;""),"%","")),0)&lt;1),1,100))</f>
        <v/>
      </c>
      <c r="G1633" t="str">
        <f>IF(A1633="","",IFERROR(VALUE(SUBSTITUTE(TRIM(Input!H1633&amp;""),"%","")),0)/IF(AND(IFERROR(VALUE(SUBSTITUTE(TRIM(Input!H1633&amp;""),"%","")),0)&gt;0,IFERROR(VALUE(SUBSTITUTE(TRIM(Input!H1633&amp;""),"%","")),0)&lt;1),1,100))</f>
        <v/>
      </c>
      <c r="H1633" t="str">
        <f>IF(A1633="","",IFERROR(VALUE(SUBSTITUTE(TRIM(Input!I1633&amp;""),"%","")),0)/IF(AND(IFERROR(VALUE(SUBSTITUTE(TRIM(Input!I1633&amp;""),"%","")),0)&gt;0,IFERROR(VALUE(SUBSTITUTE(TRIM(Input!I1633&amp;""),"%","")),0)&lt;1),1,100))</f>
        <v/>
      </c>
    </row>
    <row r="1634" spans="1:8">
      <c r="A1634" t="str">
        <f>IF(TRIM(Input!B1634&amp;"")="","",UPPER(TRIM(Input!B1634&amp;"")))</f>
        <v/>
      </c>
      <c r="B1634" t="str">
        <f>IF(A1634="","",IFERROR(VALUE(RIGHT(TRIM(Input!D1634&amp;""),1)),0))</f>
        <v/>
      </c>
      <c r="C1634" t="str">
        <f t="shared" si="25"/>
        <v/>
      </c>
      <c r="D1634" t="str">
        <f>IF(A1634="","",IFERROR(VALUE(SUBSTITUTE(TRIM(Input!E1634&amp;""),"%","")),0)/IF(AND(IFERROR(VALUE(SUBSTITUTE(TRIM(Input!E1634&amp;""),"%","")),0)&gt;0,IFERROR(VALUE(SUBSTITUTE(TRIM(Input!E1634&amp;""),"%","")),0)&lt;1),1,100))</f>
        <v/>
      </c>
      <c r="E1634" t="str">
        <f>IF(A1634="","",IFERROR(VALUE(SUBSTITUTE(TRIM(Input!F1634&amp;""),"%","")),0)/IF(AND(IFERROR(VALUE(SUBSTITUTE(TRIM(Input!F1634&amp;""),"%","")),0)&gt;0,IFERROR(VALUE(SUBSTITUTE(TRIM(Input!F1634&amp;""),"%","")),0)&lt;1),1,100))</f>
        <v/>
      </c>
      <c r="F1634" t="str">
        <f>IF(A1634="","",IFERROR(VALUE(SUBSTITUTE(TRIM(Input!G1634&amp;""),"%","")),0)/IF(AND(IFERROR(VALUE(SUBSTITUTE(TRIM(Input!G1634&amp;""),"%","")),0)&gt;0,IFERROR(VALUE(SUBSTITUTE(TRIM(Input!G1634&amp;""),"%","")),0)&lt;1),1,100))</f>
        <v/>
      </c>
      <c r="G1634" t="str">
        <f>IF(A1634="","",IFERROR(VALUE(SUBSTITUTE(TRIM(Input!H1634&amp;""),"%","")),0)/IF(AND(IFERROR(VALUE(SUBSTITUTE(TRIM(Input!H1634&amp;""),"%","")),0)&gt;0,IFERROR(VALUE(SUBSTITUTE(TRIM(Input!H1634&amp;""),"%","")),0)&lt;1),1,100))</f>
        <v/>
      </c>
      <c r="H1634" t="str">
        <f>IF(A1634="","",IFERROR(VALUE(SUBSTITUTE(TRIM(Input!I1634&amp;""),"%","")),0)/IF(AND(IFERROR(VALUE(SUBSTITUTE(TRIM(Input!I1634&amp;""),"%","")),0)&gt;0,IFERROR(VALUE(SUBSTITUTE(TRIM(Input!I1634&amp;""),"%","")),0)&lt;1),1,100))</f>
        <v/>
      </c>
    </row>
    <row r="1635" spans="1:8">
      <c r="A1635" t="str">
        <f>IF(TRIM(Input!B1635&amp;"")="","",UPPER(TRIM(Input!B1635&amp;"")))</f>
        <v/>
      </c>
      <c r="B1635" t="str">
        <f>IF(A1635="","",IFERROR(VALUE(RIGHT(TRIM(Input!D1635&amp;""),1)),0))</f>
        <v/>
      </c>
      <c r="C1635" t="str">
        <f t="shared" si="25"/>
        <v/>
      </c>
      <c r="D1635" t="str">
        <f>IF(A1635="","",IFERROR(VALUE(SUBSTITUTE(TRIM(Input!E1635&amp;""),"%","")),0)/IF(AND(IFERROR(VALUE(SUBSTITUTE(TRIM(Input!E1635&amp;""),"%","")),0)&gt;0,IFERROR(VALUE(SUBSTITUTE(TRIM(Input!E1635&amp;""),"%","")),0)&lt;1),1,100))</f>
        <v/>
      </c>
      <c r="E1635" t="str">
        <f>IF(A1635="","",IFERROR(VALUE(SUBSTITUTE(TRIM(Input!F1635&amp;""),"%","")),0)/IF(AND(IFERROR(VALUE(SUBSTITUTE(TRIM(Input!F1635&amp;""),"%","")),0)&gt;0,IFERROR(VALUE(SUBSTITUTE(TRIM(Input!F1635&amp;""),"%","")),0)&lt;1),1,100))</f>
        <v/>
      </c>
      <c r="F1635" t="str">
        <f>IF(A1635="","",IFERROR(VALUE(SUBSTITUTE(TRIM(Input!G1635&amp;""),"%","")),0)/IF(AND(IFERROR(VALUE(SUBSTITUTE(TRIM(Input!G1635&amp;""),"%","")),0)&gt;0,IFERROR(VALUE(SUBSTITUTE(TRIM(Input!G1635&amp;""),"%","")),0)&lt;1),1,100))</f>
        <v/>
      </c>
      <c r="G1635" t="str">
        <f>IF(A1635="","",IFERROR(VALUE(SUBSTITUTE(TRIM(Input!H1635&amp;""),"%","")),0)/IF(AND(IFERROR(VALUE(SUBSTITUTE(TRIM(Input!H1635&amp;""),"%","")),0)&gt;0,IFERROR(VALUE(SUBSTITUTE(TRIM(Input!H1635&amp;""),"%","")),0)&lt;1),1,100))</f>
        <v/>
      </c>
      <c r="H1635" t="str">
        <f>IF(A1635="","",IFERROR(VALUE(SUBSTITUTE(TRIM(Input!I1635&amp;""),"%","")),0)/IF(AND(IFERROR(VALUE(SUBSTITUTE(TRIM(Input!I1635&amp;""),"%","")),0)&gt;0,IFERROR(VALUE(SUBSTITUTE(TRIM(Input!I1635&amp;""),"%","")),0)&lt;1),1,100))</f>
        <v/>
      </c>
    </row>
    <row r="1636" spans="1:8">
      <c r="A1636" t="str">
        <f>IF(TRIM(Input!B1636&amp;"")="","",UPPER(TRIM(Input!B1636&amp;"")))</f>
        <v/>
      </c>
      <c r="B1636" t="str">
        <f>IF(A1636="","",IFERROR(VALUE(RIGHT(TRIM(Input!D1636&amp;""),1)),0))</f>
        <v/>
      </c>
      <c r="C1636" t="str">
        <f t="shared" si="25"/>
        <v/>
      </c>
      <c r="D1636" t="str">
        <f>IF(A1636="","",IFERROR(VALUE(SUBSTITUTE(TRIM(Input!E1636&amp;""),"%","")),0)/IF(AND(IFERROR(VALUE(SUBSTITUTE(TRIM(Input!E1636&amp;""),"%","")),0)&gt;0,IFERROR(VALUE(SUBSTITUTE(TRIM(Input!E1636&amp;""),"%","")),0)&lt;1),1,100))</f>
        <v/>
      </c>
      <c r="E1636" t="str">
        <f>IF(A1636="","",IFERROR(VALUE(SUBSTITUTE(TRIM(Input!F1636&amp;""),"%","")),0)/IF(AND(IFERROR(VALUE(SUBSTITUTE(TRIM(Input!F1636&amp;""),"%","")),0)&gt;0,IFERROR(VALUE(SUBSTITUTE(TRIM(Input!F1636&amp;""),"%","")),0)&lt;1),1,100))</f>
        <v/>
      </c>
      <c r="F1636" t="str">
        <f>IF(A1636="","",IFERROR(VALUE(SUBSTITUTE(TRIM(Input!G1636&amp;""),"%","")),0)/IF(AND(IFERROR(VALUE(SUBSTITUTE(TRIM(Input!G1636&amp;""),"%","")),0)&gt;0,IFERROR(VALUE(SUBSTITUTE(TRIM(Input!G1636&amp;""),"%","")),0)&lt;1),1,100))</f>
        <v/>
      </c>
      <c r="G1636" t="str">
        <f>IF(A1636="","",IFERROR(VALUE(SUBSTITUTE(TRIM(Input!H1636&amp;""),"%","")),0)/IF(AND(IFERROR(VALUE(SUBSTITUTE(TRIM(Input!H1636&amp;""),"%","")),0)&gt;0,IFERROR(VALUE(SUBSTITUTE(TRIM(Input!H1636&amp;""),"%","")),0)&lt;1),1,100))</f>
        <v/>
      </c>
      <c r="H1636" t="str">
        <f>IF(A1636="","",IFERROR(VALUE(SUBSTITUTE(TRIM(Input!I1636&amp;""),"%","")),0)/IF(AND(IFERROR(VALUE(SUBSTITUTE(TRIM(Input!I1636&amp;""),"%","")),0)&gt;0,IFERROR(VALUE(SUBSTITUTE(TRIM(Input!I1636&amp;""),"%","")),0)&lt;1),1,100))</f>
        <v/>
      </c>
    </row>
    <row r="1637" spans="1:8">
      <c r="A1637" t="str">
        <f>IF(TRIM(Input!B1637&amp;"")="","",UPPER(TRIM(Input!B1637&amp;"")))</f>
        <v/>
      </c>
      <c r="B1637" t="str">
        <f>IF(A1637="","",IFERROR(VALUE(RIGHT(TRIM(Input!D1637&amp;""),1)),0))</f>
        <v/>
      </c>
      <c r="C1637" t="str">
        <f t="shared" si="25"/>
        <v/>
      </c>
      <c r="D1637" t="str">
        <f>IF(A1637="","",IFERROR(VALUE(SUBSTITUTE(TRIM(Input!E1637&amp;""),"%","")),0)/IF(AND(IFERROR(VALUE(SUBSTITUTE(TRIM(Input!E1637&amp;""),"%","")),0)&gt;0,IFERROR(VALUE(SUBSTITUTE(TRIM(Input!E1637&amp;""),"%","")),0)&lt;1),1,100))</f>
        <v/>
      </c>
      <c r="E1637" t="str">
        <f>IF(A1637="","",IFERROR(VALUE(SUBSTITUTE(TRIM(Input!F1637&amp;""),"%","")),0)/IF(AND(IFERROR(VALUE(SUBSTITUTE(TRIM(Input!F1637&amp;""),"%","")),0)&gt;0,IFERROR(VALUE(SUBSTITUTE(TRIM(Input!F1637&amp;""),"%","")),0)&lt;1),1,100))</f>
        <v/>
      </c>
      <c r="F1637" t="str">
        <f>IF(A1637="","",IFERROR(VALUE(SUBSTITUTE(TRIM(Input!G1637&amp;""),"%","")),0)/IF(AND(IFERROR(VALUE(SUBSTITUTE(TRIM(Input!G1637&amp;""),"%","")),0)&gt;0,IFERROR(VALUE(SUBSTITUTE(TRIM(Input!G1637&amp;""),"%","")),0)&lt;1),1,100))</f>
        <v/>
      </c>
      <c r="G1637" t="str">
        <f>IF(A1637="","",IFERROR(VALUE(SUBSTITUTE(TRIM(Input!H1637&amp;""),"%","")),0)/IF(AND(IFERROR(VALUE(SUBSTITUTE(TRIM(Input!H1637&amp;""),"%","")),0)&gt;0,IFERROR(VALUE(SUBSTITUTE(TRIM(Input!H1637&amp;""),"%","")),0)&lt;1),1,100))</f>
        <v/>
      </c>
      <c r="H1637" t="str">
        <f>IF(A1637="","",IFERROR(VALUE(SUBSTITUTE(TRIM(Input!I1637&amp;""),"%","")),0)/IF(AND(IFERROR(VALUE(SUBSTITUTE(TRIM(Input!I1637&amp;""),"%","")),0)&gt;0,IFERROR(VALUE(SUBSTITUTE(TRIM(Input!I1637&amp;""),"%","")),0)&lt;1),1,100))</f>
        <v/>
      </c>
    </row>
    <row r="1638" spans="1:8">
      <c r="A1638" t="str">
        <f>IF(TRIM(Input!B1638&amp;"")="","",UPPER(TRIM(Input!B1638&amp;"")))</f>
        <v/>
      </c>
      <c r="B1638" t="str">
        <f>IF(A1638="","",IFERROR(VALUE(RIGHT(TRIM(Input!D1638&amp;""),1)),0))</f>
        <v/>
      </c>
      <c r="C1638" t="str">
        <f t="shared" si="25"/>
        <v/>
      </c>
      <c r="D1638" t="str">
        <f>IF(A1638="","",IFERROR(VALUE(SUBSTITUTE(TRIM(Input!E1638&amp;""),"%","")),0)/IF(AND(IFERROR(VALUE(SUBSTITUTE(TRIM(Input!E1638&amp;""),"%","")),0)&gt;0,IFERROR(VALUE(SUBSTITUTE(TRIM(Input!E1638&amp;""),"%","")),0)&lt;1),1,100))</f>
        <v/>
      </c>
      <c r="E1638" t="str">
        <f>IF(A1638="","",IFERROR(VALUE(SUBSTITUTE(TRIM(Input!F1638&amp;""),"%","")),0)/IF(AND(IFERROR(VALUE(SUBSTITUTE(TRIM(Input!F1638&amp;""),"%","")),0)&gt;0,IFERROR(VALUE(SUBSTITUTE(TRIM(Input!F1638&amp;""),"%","")),0)&lt;1),1,100))</f>
        <v/>
      </c>
      <c r="F1638" t="str">
        <f>IF(A1638="","",IFERROR(VALUE(SUBSTITUTE(TRIM(Input!G1638&amp;""),"%","")),0)/IF(AND(IFERROR(VALUE(SUBSTITUTE(TRIM(Input!G1638&amp;""),"%","")),0)&gt;0,IFERROR(VALUE(SUBSTITUTE(TRIM(Input!G1638&amp;""),"%","")),0)&lt;1),1,100))</f>
        <v/>
      </c>
      <c r="G1638" t="str">
        <f>IF(A1638="","",IFERROR(VALUE(SUBSTITUTE(TRIM(Input!H1638&amp;""),"%","")),0)/IF(AND(IFERROR(VALUE(SUBSTITUTE(TRIM(Input!H1638&amp;""),"%","")),0)&gt;0,IFERROR(VALUE(SUBSTITUTE(TRIM(Input!H1638&amp;""),"%","")),0)&lt;1),1,100))</f>
        <v/>
      </c>
      <c r="H1638" t="str">
        <f>IF(A1638="","",IFERROR(VALUE(SUBSTITUTE(TRIM(Input!I1638&amp;""),"%","")),0)/IF(AND(IFERROR(VALUE(SUBSTITUTE(TRIM(Input!I1638&amp;""),"%","")),0)&gt;0,IFERROR(VALUE(SUBSTITUTE(TRIM(Input!I1638&amp;""),"%","")),0)&lt;1),1,100))</f>
        <v/>
      </c>
    </row>
    <row r="1639" spans="1:8">
      <c r="A1639" t="str">
        <f>IF(TRIM(Input!B1639&amp;"")="","",UPPER(TRIM(Input!B1639&amp;"")))</f>
        <v/>
      </c>
      <c r="B1639" t="str">
        <f>IF(A1639="","",IFERROR(VALUE(RIGHT(TRIM(Input!D1639&amp;""),1)),0))</f>
        <v/>
      </c>
      <c r="C1639" t="str">
        <f t="shared" si="25"/>
        <v/>
      </c>
      <c r="D1639" t="str">
        <f>IF(A1639="","",IFERROR(VALUE(SUBSTITUTE(TRIM(Input!E1639&amp;""),"%","")),0)/IF(AND(IFERROR(VALUE(SUBSTITUTE(TRIM(Input!E1639&amp;""),"%","")),0)&gt;0,IFERROR(VALUE(SUBSTITUTE(TRIM(Input!E1639&amp;""),"%","")),0)&lt;1),1,100))</f>
        <v/>
      </c>
      <c r="E1639" t="str">
        <f>IF(A1639="","",IFERROR(VALUE(SUBSTITUTE(TRIM(Input!F1639&amp;""),"%","")),0)/IF(AND(IFERROR(VALUE(SUBSTITUTE(TRIM(Input!F1639&amp;""),"%","")),0)&gt;0,IFERROR(VALUE(SUBSTITUTE(TRIM(Input!F1639&amp;""),"%","")),0)&lt;1),1,100))</f>
        <v/>
      </c>
      <c r="F1639" t="str">
        <f>IF(A1639="","",IFERROR(VALUE(SUBSTITUTE(TRIM(Input!G1639&amp;""),"%","")),0)/IF(AND(IFERROR(VALUE(SUBSTITUTE(TRIM(Input!G1639&amp;""),"%","")),0)&gt;0,IFERROR(VALUE(SUBSTITUTE(TRIM(Input!G1639&amp;""),"%","")),0)&lt;1),1,100))</f>
        <v/>
      </c>
      <c r="G1639" t="str">
        <f>IF(A1639="","",IFERROR(VALUE(SUBSTITUTE(TRIM(Input!H1639&amp;""),"%","")),0)/IF(AND(IFERROR(VALUE(SUBSTITUTE(TRIM(Input!H1639&amp;""),"%","")),0)&gt;0,IFERROR(VALUE(SUBSTITUTE(TRIM(Input!H1639&amp;""),"%","")),0)&lt;1),1,100))</f>
        <v/>
      </c>
      <c r="H1639" t="str">
        <f>IF(A1639="","",IFERROR(VALUE(SUBSTITUTE(TRIM(Input!I1639&amp;""),"%","")),0)/IF(AND(IFERROR(VALUE(SUBSTITUTE(TRIM(Input!I1639&amp;""),"%","")),0)&gt;0,IFERROR(VALUE(SUBSTITUTE(TRIM(Input!I1639&amp;""),"%","")),0)&lt;1),1,100))</f>
        <v/>
      </c>
    </row>
    <row r="1640" spans="1:8">
      <c r="A1640" t="str">
        <f>IF(TRIM(Input!B1640&amp;"")="","",UPPER(TRIM(Input!B1640&amp;"")))</f>
        <v/>
      </c>
      <c r="B1640" t="str">
        <f>IF(A1640="","",IFERROR(VALUE(RIGHT(TRIM(Input!D1640&amp;""),1)),0))</f>
        <v/>
      </c>
      <c r="C1640" t="str">
        <f t="shared" si="25"/>
        <v/>
      </c>
      <c r="D1640" t="str">
        <f>IF(A1640="","",IFERROR(VALUE(SUBSTITUTE(TRIM(Input!E1640&amp;""),"%","")),0)/IF(AND(IFERROR(VALUE(SUBSTITUTE(TRIM(Input!E1640&amp;""),"%","")),0)&gt;0,IFERROR(VALUE(SUBSTITUTE(TRIM(Input!E1640&amp;""),"%","")),0)&lt;1),1,100))</f>
        <v/>
      </c>
      <c r="E1640" t="str">
        <f>IF(A1640="","",IFERROR(VALUE(SUBSTITUTE(TRIM(Input!F1640&amp;""),"%","")),0)/IF(AND(IFERROR(VALUE(SUBSTITUTE(TRIM(Input!F1640&amp;""),"%","")),0)&gt;0,IFERROR(VALUE(SUBSTITUTE(TRIM(Input!F1640&amp;""),"%","")),0)&lt;1),1,100))</f>
        <v/>
      </c>
      <c r="F1640" t="str">
        <f>IF(A1640="","",IFERROR(VALUE(SUBSTITUTE(TRIM(Input!G1640&amp;""),"%","")),0)/IF(AND(IFERROR(VALUE(SUBSTITUTE(TRIM(Input!G1640&amp;""),"%","")),0)&gt;0,IFERROR(VALUE(SUBSTITUTE(TRIM(Input!G1640&amp;""),"%","")),0)&lt;1),1,100))</f>
        <v/>
      </c>
      <c r="G1640" t="str">
        <f>IF(A1640="","",IFERROR(VALUE(SUBSTITUTE(TRIM(Input!H1640&amp;""),"%","")),0)/IF(AND(IFERROR(VALUE(SUBSTITUTE(TRIM(Input!H1640&amp;""),"%","")),0)&gt;0,IFERROR(VALUE(SUBSTITUTE(TRIM(Input!H1640&amp;""),"%","")),0)&lt;1),1,100))</f>
        <v/>
      </c>
      <c r="H1640" t="str">
        <f>IF(A1640="","",IFERROR(VALUE(SUBSTITUTE(TRIM(Input!I1640&amp;""),"%","")),0)/IF(AND(IFERROR(VALUE(SUBSTITUTE(TRIM(Input!I1640&amp;""),"%","")),0)&gt;0,IFERROR(VALUE(SUBSTITUTE(TRIM(Input!I1640&amp;""),"%","")),0)&lt;1),1,100))</f>
        <v/>
      </c>
    </row>
    <row r="1641" spans="1:8">
      <c r="A1641" t="str">
        <f>IF(TRIM(Input!B1641&amp;"")="","",UPPER(TRIM(Input!B1641&amp;"")))</f>
        <v/>
      </c>
      <c r="B1641" t="str">
        <f>IF(A1641="","",IFERROR(VALUE(RIGHT(TRIM(Input!D1641&amp;""),1)),0))</f>
        <v/>
      </c>
      <c r="C1641" t="str">
        <f t="shared" si="25"/>
        <v/>
      </c>
      <c r="D1641" t="str">
        <f>IF(A1641="","",IFERROR(VALUE(SUBSTITUTE(TRIM(Input!E1641&amp;""),"%","")),0)/IF(AND(IFERROR(VALUE(SUBSTITUTE(TRIM(Input!E1641&amp;""),"%","")),0)&gt;0,IFERROR(VALUE(SUBSTITUTE(TRIM(Input!E1641&amp;""),"%","")),0)&lt;1),1,100))</f>
        <v/>
      </c>
      <c r="E1641" t="str">
        <f>IF(A1641="","",IFERROR(VALUE(SUBSTITUTE(TRIM(Input!F1641&amp;""),"%","")),0)/IF(AND(IFERROR(VALUE(SUBSTITUTE(TRIM(Input!F1641&amp;""),"%","")),0)&gt;0,IFERROR(VALUE(SUBSTITUTE(TRIM(Input!F1641&amp;""),"%","")),0)&lt;1),1,100))</f>
        <v/>
      </c>
      <c r="F1641" t="str">
        <f>IF(A1641="","",IFERROR(VALUE(SUBSTITUTE(TRIM(Input!G1641&amp;""),"%","")),0)/IF(AND(IFERROR(VALUE(SUBSTITUTE(TRIM(Input!G1641&amp;""),"%","")),0)&gt;0,IFERROR(VALUE(SUBSTITUTE(TRIM(Input!G1641&amp;""),"%","")),0)&lt;1),1,100))</f>
        <v/>
      </c>
      <c r="G1641" t="str">
        <f>IF(A1641="","",IFERROR(VALUE(SUBSTITUTE(TRIM(Input!H1641&amp;""),"%","")),0)/IF(AND(IFERROR(VALUE(SUBSTITUTE(TRIM(Input!H1641&amp;""),"%","")),0)&gt;0,IFERROR(VALUE(SUBSTITUTE(TRIM(Input!H1641&amp;""),"%","")),0)&lt;1),1,100))</f>
        <v/>
      </c>
      <c r="H1641" t="str">
        <f>IF(A1641="","",IFERROR(VALUE(SUBSTITUTE(TRIM(Input!I1641&amp;""),"%","")),0)/IF(AND(IFERROR(VALUE(SUBSTITUTE(TRIM(Input!I1641&amp;""),"%","")),0)&gt;0,IFERROR(VALUE(SUBSTITUTE(TRIM(Input!I1641&amp;""),"%","")),0)&lt;1),1,100))</f>
        <v/>
      </c>
    </row>
    <row r="1642" spans="1:8">
      <c r="A1642" t="str">
        <f>IF(TRIM(Input!B1642&amp;"")="","",UPPER(TRIM(Input!B1642&amp;"")))</f>
        <v/>
      </c>
      <c r="B1642" t="str">
        <f>IF(A1642="","",IFERROR(VALUE(RIGHT(TRIM(Input!D1642&amp;""),1)),0))</f>
        <v/>
      </c>
      <c r="C1642" t="str">
        <f t="shared" si="25"/>
        <v/>
      </c>
      <c r="D1642" t="str">
        <f>IF(A1642="","",IFERROR(VALUE(SUBSTITUTE(TRIM(Input!E1642&amp;""),"%","")),0)/IF(AND(IFERROR(VALUE(SUBSTITUTE(TRIM(Input!E1642&amp;""),"%","")),0)&gt;0,IFERROR(VALUE(SUBSTITUTE(TRIM(Input!E1642&amp;""),"%","")),0)&lt;1),1,100))</f>
        <v/>
      </c>
      <c r="E1642" t="str">
        <f>IF(A1642="","",IFERROR(VALUE(SUBSTITUTE(TRIM(Input!F1642&amp;""),"%","")),0)/IF(AND(IFERROR(VALUE(SUBSTITUTE(TRIM(Input!F1642&amp;""),"%","")),0)&gt;0,IFERROR(VALUE(SUBSTITUTE(TRIM(Input!F1642&amp;""),"%","")),0)&lt;1),1,100))</f>
        <v/>
      </c>
      <c r="F1642" t="str">
        <f>IF(A1642="","",IFERROR(VALUE(SUBSTITUTE(TRIM(Input!G1642&amp;""),"%","")),0)/IF(AND(IFERROR(VALUE(SUBSTITUTE(TRIM(Input!G1642&amp;""),"%","")),0)&gt;0,IFERROR(VALUE(SUBSTITUTE(TRIM(Input!G1642&amp;""),"%","")),0)&lt;1),1,100))</f>
        <v/>
      </c>
      <c r="G1642" t="str">
        <f>IF(A1642="","",IFERROR(VALUE(SUBSTITUTE(TRIM(Input!H1642&amp;""),"%","")),0)/IF(AND(IFERROR(VALUE(SUBSTITUTE(TRIM(Input!H1642&amp;""),"%","")),0)&gt;0,IFERROR(VALUE(SUBSTITUTE(TRIM(Input!H1642&amp;""),"%","")),0)&lt;1),1,100))</f>
        <v/>
      </c>
      <c r="H1642" t="str">
        <f>IF(A1642="","",IFERROR(VALUE(SUBSTITUTE(TRIM(Input!I1642&amp;""),"%","")),0)/IF(AND(IFERROR(VALUE(SUBSTITUTE(TRIM(Input!I1642&amp;""),"%","")),0)&gt;0,IFERROR(VALUE(SUBSTITUTE(TRIM(Input!I1642&amp;""),"%","")),0)&lt;1),1,100))</f>
        <v/>
      </c>
    </row>
    <row r="1643" spans="1:8">
      <c r="A1643" t="str">
        <f>IF(TRIM(Input!B1643&amp;"")="","",UPPER(TRIM(Input!B1643&amp;"")))</f>
        <v/>
      </c>
      <c r="B1643" t="str">
        <f>IF(A1643="","",IFERROR(VALUE(RIGHT(TRIM(Input!D1643&amp;""),1)),0))</f>
        <v/>
      </c>
      <c r="C1643" t="str">
        <f t="shared" si="25"/>
        <v/>
      </c>
      <c r="D1643" t="str">
        <f>IF(A1643="","",IFERROR(VALUE(SUBSTITUTE(TRIM(Input!E1643&amp;""),"%","")),0)/IF(AND(IFERROR(VALUE(SUBSTITUTE(TRIM(Input!E1643&amp;""),"%","")),0)&gt;0,IFERROR(VALUE(SUBSTITUTE(TRIM(Input!E1643&amp;""),"%","")),0)&lt;1),1,100))</f>
        <v/>
      </c>
      <c r="E1643" t="str">
        <f>IF(A1643="","",IFERROR(VALUE(SUBSTITUTE(TRIM(Input!F1643&amp;""),"%","")),0)/IF(AND(IFERROR(VALUE(SUBSTITUTE(TRIM(Input!F1643&amp;""),"%","")),0)&gt;0,IFERROR(VALUE(SUBSTITUTE(TRIM(Input!F1643&amp;""),"%","")),0)&lt;1),1,100))</f>
        <v/>
      </c>
      <c r="F1643" t="str">
        <f>IF(A1643="","",IFERROR(VALUE(SUBSTITUTE(TRIM(Input!G1643&amp;""),"%","")),0)/IF(AND(IFERROR(VALUE(SUBSTITUTE(TRIM(Input!G1643&amp;""),"%","")),0)&gt;0,IFERROR(VALUE(SUBSTITUTE(TRIM(Input!G1643&amp;""),"%","")),0)&lt;1),1,100))</f>
        <v/>
      </c>
      <c r="G1643" t="str">
        <f>IF(A1643="","",IFERROR(VALUE(SUBSTITUTE(TRIM(Input!H1643&amp;""),"%","")),0)/IF(AND(IFERROR(VALUE(SUBSTITUTE(TRIM(Input!H1643&amp;""),"%","")),0)&gt;0,IFERROR(VALUE(SUBSTITUTE(TRIM(Input!H1643&amp;""),"%","")),0)&lt;1),1,100))</f>
        <v/>
      </c>
      <c r="H1643" t="str">
        <f>IF(A1643="","",IFERROR(VALUE(SUBSTITUTE(TRIM(Input!I1643&amp;""),"%","")),0)/IF(AND(IFERROR(VALUE(SUBSTITUTE(TRIM(Input!I1643&amp;""),"%","")),0)&gt;0,IFERROR(VALUE(SUBSTITUTE(TRIM(Input!I1643&amp;""),"%","")),0)&lt;1),1,100))</f>
        <v/>
      </c>
    </row>
    <row r="1644" spans="1:8">
      <c r="A1644" t="str">
        <f>IF(TRIM(Input!B1644&amp;"")="","",UPPER(TRIM(Input!B1644&amp;"")))</f>
        <v/>
      </c>
      <c r="B1644" t="str">
        <f>IF(A1644="","",IFERROR(VALUE(RIGHT(TRIM(Input!D1644&amp;""),1)),0))</f>
        <v/>
      </c>
      <c r="C1644" t="str">
        <f t="shared" si="25"/>
        <v/>
      </c>
      <c r="D1644" t="str">
        <f>IF(A1644="","",IFERROR(VALUE(SUBSTITUTE(TRIM(Input!E1644&amp;""),"%","")),0)/IF(AND(IFERROR(VALUE(SUBSTITUTE(TRIM(Input!E1644&amp;""),"%","")),0)&gt;0,IFERROR(VALUE(SUBSTITUTE(TRIM(Input!E1644&amp;""),"%","")),0)&lt;1),1,100))</f>
        <v/>
      </c>
      <c r="E1644" t="str">
        <f>IF(A1644="","",IFERROR(VALUE(SUBSTITUTE(TRIM(Input!F1644&amp;""),"%","")),0)/IF(AND(IFERROR(VALUE(SUBSTITUTE(TRIM(Input!F1644&amp;""),"%","")),0)&gt;0,IFERROR(VALUE(SUBSTITUTE(TRIM(Input!F1644&amp;""),"%","")),0)&lt;1),1,100))</f>
        <v/>
      </c>
      <c r="F1644" t="str">
        <f>IF(A1644="","",IFERROR(VALUE(SUBSTITUTE(TRIM(Input!G1644&amp;""),"%","")),0)/IF(AND(IFERROR(VALUE(SUBSTITUTE(TRIM(Input!G1644&amp;""),"%","")),0)&gt;0,IFERROR(VALUE(SUBSTITUTE(TRIM(Input!G1644&amp;""),"%","")),0)&lt;1),1,100))</f>
        <v/>
      </c>
      <c r="G1644" t="str">
        <f>IF(A1644="","",IFERROR(VALUE(SUBSTITUTE(TRIM(Input!H1644&amp;""),"%","")),0)/IF(AND(IFERROR(VALUE(SUBSTITUTE(TRIM(Input!H1644&amp;""),"%","")),0)&gt;0,IFERROR(VALUE(SUBSTITUTE(TRIM(Input!H1644&amp;""),"%","")),0)&lt;1),1,100))</f>
        <v/>
      </c>
      <c r="H1644" t="str">
        <f>IF(A1644="","",IFERROR(VALUE(SUBSTITUTE(TRIM(Input!I1644&amp;""),"%","")),0)/IF(AND(IFERROR(VALUE(SUBSTITUTE(TRIM(Input!I1644&amp;""),"%","")),0)&gt;0,IFERROR(VALUE(SUBSTITUTE(TRIM(Input!I1644&amp;""),"%","")),0)&lt;1),1,100))</f>
        <v/>
      </c>
    </row>
    <row r="1645" spans="1:8">
      <c r="A1645" t="str">
        <f>IF(TRIM(Input!B1645&amp;"")="","",UPPER(TRIM(Input!B1645&amp;"")))</f>
        <v/>
      </c>
      <c r="B1645" t="str">
        <f>IF(A1645="","",IFERROR(VALUE(RIGHT(TRIM(Input!D1645&amp;""),1)),0))</f>
        <v/>
      </c>
      <c r="C1645" t="str">
        <f t="shared" si="25"/>
        <v/>
      </c>
      <c r="D1645" t="str">
        <f>IF(A1645="","",IFERROR(VALUE(SUBSTITUTE(TRIM(Input!E1645&amp;""),"%","")),0)/IF(AND(IFERROR(VALUE(SUBSTITUTE(TRIM(Input!E1645&amp;""),"%","")),0)&gt;0,IFERROR(VALUE(SUBSTITUTE(TRIM(Input!E1645&amp;""),"%","")),0)&lt;1),1,100))</f>
        <v/>
      </c>
      <c r="E1645" t="str">
        <f>IF(A1645="","",IFERROR(VALUE(SUBSTITUTE(TRIM(Input!F1645&amp;""),"%","")),0)/IF(AND(IFERROR(VALUE(SUBSTITUTE(TRIM(Input!F1645&amp;""),"%","")),0)&gt;0,IFERROR(VALUE(SUBSTITUTE(TRIM(Input!F1645&amp;""),"%","")),0)&lt;1),1,100))</f>
        <v/>
      </c>
      <c r="F1645" t="str">
        <f>IF(A1645="","",IFERROR(VALUE(SUBSTITUTE(TRIM(Input!G1645&amp;""),"%","")),0)/IF(AND(IFERROR(VALUE(SUBSTITUTE(TRIM(Input!G1645&amp;""),"%","")),0)&gt;0,IFERROR(VALUE(SUBSTITUTE(TRIM(Input!G1645&amp;""),"%","")),0)&lt;1),1,100))</f>
        <v/>
      </c>
      <c r="G1645" t="str">
        <f>IF(A1645="","",IFERROR(VALUE(SUBSTITUTE(TRIM(Input!H1645&amp;""),"%","")),0)/IF(AND(IFERROR(VALUE(SUBSTITUTE(TRIM(Input!H1645&amp;""),"%","")),0)&gt;0,IFERROR(VALUE(SUBSTITUTE(TRIM(Input!H1645&amp;""),"%","")),0)&lt;1),1,100))</f>
        <v/>
      </c>
      <c r="H1645" t="str">
        <f>IF(A1645="","",IFERROR(VALUE(SUBSTITUTE(TRIM(Input!I1645&amp;""),"%","")),0)/IF(AND(IFERROR(VALUE(SUBSTITUTE(TRIM(Input!I1645&amp;""),"%","")),0)&gt;0,IFERROR(VALUE(SUBSTITUTE(TRIM(Input!I1645&amp;""),"%","")),0)&lt;1),1,100))</f>
        <v/>
      </c>
    </row>
    <row r="1646" spans="1:8">
      <c r="A1646" t="str">
        <f>IF(TRIM(Input!B1646&amp;"")="","",UPPER(TRIM(Input!B1646&amp;"")))</f>
        <v/>
      </c>
      <c r="B1646" t="str">
        <f>IF(A1646="","",IFERROR(VALUE(RIGHT(TRIM(Input!D1646&amp;""),1)),0))</f>
        <v/>
      </c>
      <c r="C1646" t="str">
        <f t="shared" si="25"/>
        <v/>
      </c>
      <c r="D1646" t="str">
        <f>IF(A1646="","",IFERROR(VALUE(SUBSTITUTE(TRIM(Input!E1646&amp;""),"%","")),0)/IF(AND(IFERROR(VALUE(SUBSTITUTE(TRIM(Input!E1646&amp;""),"%","")),0)&gt;0,IFERROR(VALUE(SUBSTITUTE(TRIM(Input!E1646&amp;""),"%","")),0)&lt;1),1,100))</f>
        <v/>
      </c>
      <c r="E1646" t="str">
        <f>IF(A1646="","",IFERROR(VALUE(SUBSTITUTE(TRIM(Input!F1646&amp;""),"%","")),0)/IF(AND(IFERROR(VALUE(SUBSTITUTE(TRIM(Input!F1646&amp;""),"%","")),0)&gt;0,IFERROR(VALUE(SUBSTITUTE(TRIM(Input!F1646&amp;""),"%","")),0)&lt;1),1,100))</f>
        <v/>
      </c>
      <c r="F1646" t="str">
        <f>IF(A1646="","",IFERROR(VALUE(SUBSTITUTE(TRIM(Input!G1646&amp;""),"%","")),0)/IF(AND(IFERROR(VALUE(SUBSTITUTE(TRIM(Input!G1646&amp;""),"%","")),0)&gt;0,IFERROR(VALUE(SUBSTITUTE(TRIM(Input!G1646&amp;""),"%","")),0)&lt;1),1,100))</f>
        <v/>
      </c>
      <c r="G1646" t="str">
        <f>IF(A1646="","",IFERROR(VALUE(SUBSTITUTE(TRIM(Input!H1646&amp;""),"%","")),0)/IF(AND(IFERROR(VALUE(SUBSTITUTE(TRIM(Input!H1646&amp;""),"%","")),0)&gt;0,IFERROR(VALUE(SUBSTITUTE(TRIM(Input!H1646&amp;""),"%","")),0)&lt;1),1,100))</f>
        <v/>
      </c>
      <c r="H1646" t="str">
        <f>IF(A1646="","",IFERROR(VALUE(SUBSTITUTE(TRIM(Input!I1646&amp;""),"%","")),0)/IF(AND(IFERROR(VALUE(SUBSTITUTE(TRIM(Input!I1646&amp;""),"%","")),0)&gt;0,IFERROR(VALUE(SUBSTITUTE(TRIM(Input!I1646&amp;""),"%","")),0)&lt;1),1,100))</f>
        <v/>
      </c>
    </row>
    <row r="1647" spans="1:8">
      <c r="A1647" t="str">
        <f>IF(TRIM(Input!B1647&amp;"")="","",UPPER(TRIM(Input!B1647&amp;"")))</f>
        <v/>
      </c>
      <c r="B1647" t="str">
        <f>IF(A1647="","",IFERROR(VALUE(RIGHT(TRIM(Input!D1647&amp;""),1)),0))</f>
        <v/>
      </c>
      <c r="C1647" t="str">
        <f t="shared" si="25"/>
        <v/>
      </c>
      <c r="D1647" t="str">
        <f>IF(A1647="","",IFERROR(VALUE(SUBSTITUTE(TRIM(Input!E1647&amp;""),"%","")),0)/IF(AND(IFERROR(VALUE(SUBSTITUTE(TRIM(Input!E1647&amp;""),"%","")),0)&gt;0,IFERROR(VALUE(SUBSTITUTE(TRIM(Input!E1647&amp;""),"%","")),0)&lt;1),1,100))</f>
        <v/>
      </c>
      <c r="E1647" t="str">
        <f>IF(A1647="","",IFERROR(VALUE(SUBSTITUTE(TRIM(Input!F1647&amp;""),"%","")),0)/IF(AND(IFERROR(VALUE(SUBSTITUTE(TRIM(Input!F1647&amp;""),"%","")),0)&gt;0,IFERROR(VALUE(SUBSTITUTE(TRIM(Input!F1647&amp;""),"%","")),0)&lt;1),1,100))</f>
        <v/>
      </c>
      <c r="F1647" t="str">
        <f>IF(A1647="","",IFERROR(VALUE(SUBSTITUTE(TRIM(Input!G1647&amp;""),"%","")),0)/IF(AND(IFERROR(VALUE(SUBSTITUTE(TRIM(Input!G1647&amp;""),"%","")),0)&gt;0,IFERROR(VALUE(SUBSTITUTE(TRIM(Input!G1647&amp;""),"%","")),0)&lt;1),1,100))</f>
        <v/>
      </c>
      <c r="G1647" t="str">
        <f>IF(A1647="","",IFERROR(VALUE(SUBSTITUTE(TRIM(Input!H1647&amp;""),"%","")),0)/IF(AND(IFERROR(VALUE(SUBSTITUTE(TRIM(Input!H1647&amp;""),"%","")),0)&gt;0,IFERROR(VALUE(SUBSTITUTE(TRIM(Input!H1647&amp;""),"%","")),0)&lt;1),1,100))</f>
        <v/>
      </c>
      <c r="H1647" t="str">
        <f>IF(A1647="","",IFERROR(VALUE(SUBSTITUTE(TRIM(Input!I1647&amp;""),"%","")),0)/IF(AND(IFERROR(VALUE(SUBSTITUTE(TRIM(Input!I1647&amp;""),"%","")),0)&gt;0,IFERROR(VALUE(SUBSTITUTE(TRIM(Input!I1647&amp;""),"%","")),0)&lt;1),1,100))</f>
        <v/>
      </c>
    </row>
    <row r="1648" spans="1:8">
      <c r="A1648" t="str">
        <f>IF(TRIM(Input!B1648&amp;"")="","",UPPER(TRIM(Input!B1648&amp;"")))</f>
        <v/>
      </c>
      <c r="B1648" t="str">
        <f>IF(A1648="","",IFERROR(VALUE(RIGHT(TRIM(Input!D1648&amp;""),1)),0))</f>
        <v/>
      </c>
      <c r="C1648" t="str">
        <f t="shared" si="25"/>
        <v/>
      </c>
      <c r="D1648" t="str">
        <f>IF(A1648="","",IFERROR(VALUE(SUBSTITUTE(TRIM(Input!E1648&amp;""),"%","")),0)/IF(AND(IFERROR(VALUE(SUBSTITUTE(TRIM(Input!E1648&amp;""),"%","")),0)&gt;0,IFERROR(VALUE(SUBSTITUTE(TRIM(Input!E1648&amp;""),"%","")),0)&lt;1),1,100))</f>
        <v/>
      </c>
      <c r="E1648" t="str">
        <f>IF(A1648="","",IFERROR(VALUE(SUBSTITUTE(TRIM(Input!F1648&amp;""),"%","")),0)/IF(AND(IFERROR(VALUE(SUBSTITUTE(TRIM(Input!F1648&amp;""),"%","")),0)&gt;0,IFERROR(VALUE(SUBSTITUTE(TRIM(Input!F1648&amp;""),"%","")),0)&lt;1),1,100))</f>
        <v/>
      </c>
      <c r="F1648" t="str">
        <f>IF(A1648="","",IFERROR(VALUE(SUBSTITUTE(TRIM(Input!G1648&amp;""),"%","")),0)/IF(AND(IFERROR(VALUE(SUBSTITUTE(TRIM(Input!G1648&amp;""),"%","")),0)&gt;0,IFERROR(VALUE(SUBSTITUTE(TRIM(Input!G1648&amp;""),"%","")),0)&lt;1),1,100))</f>
        <v/>
      </c>
      <c r="G1648" t="str">
        <f>IF(A1648="","",IFERROR(VALUE(SUBSTITUTE(TRIM(Input!H1648&amp;""),"%","")),0)/IF(AND(IFERROR(VALUE(SUBSTITUTE(TRIM(Input!H1648&amp;""),"%","")),0)&gt;0,IFERROR(VALUE(SUBSTITUTE(TRIM(Input!H1648&amp;""),"%","")),0)&lt;1),1,100))</f>
        <v/>
      </c>
      <c r="H1648" t="str">
        <f>IF(A1648="","",IFERROR(VALUE(SUBSTITUTE(TRIM(Input!I1648&amp;""),"%","")),0)/IF(AND(IFERROR(VALUE(SUBSTITUTE(TRIM(Input!I1648&amp;""),"%","")),0)&gt;0,IFERROR(VALUE(SUBSTITUTE(TRIM(Input!I1648&amp;""),"%","")),0)&lt;1),1,100))</f>
        <v/>
      </c>
    </row>
    <row r="1649" spans="1:8">
      <c r="A1649" t="str">
        <f>IF(TRIM(Input!B1649&amp;"")="","",UPPER(TRIM(Input!B1649&amp;"")))</f>
        <v/>
      </c>
      <c r="B1649" t="str">
        <f>IF(A1649="","",IFERROR(VALUE(RIGHT(TRIM(Input!D1649&amp;""),1)),0))</f>
        <v/>
      </c>
      <c r="C1649" t="str">
        <f t="shared" si="25"/>
        <v/>
      </c>
      <c r="D1649" t="str">
        <f>IF(A1649="","",IFERROR(VALUE(SUBSTITUTE(TRIM(Input!E1649&amp;""),"%","")),0)/IF(AND(IFERROR(VALUE(SUBSTITUTE(TRIM(Input!E1649&amp;""),"%","")),0)&gt;0,IFERROR(VALUE(SUBSTITUTE(TRIM(Input!E1649&amp;""),"%","")),0)&lt;1),1,100))</f>
        <v/>
      </c>
      <c r="E1649" t="str">
        <f>IF(A1649="","",IFERROR(VALUE(SUBSTITUTE(TRIM(Input!F1649&amp;""),"%","")),0)/IF(AND(IFERROR(VALUE(SUBSTITUTE(TRIM(Input!F1649&amp;""),"%","")),0)&gt;0,IFERROR(VALUE(SUBSTITUTE(TRIM(Input!F1649&amp;""),"%","")),0)&lt;1),1,100))</f>
        <v/>
      </c>
      <c r="F1649" t="str">
        <f>IF(A1649="","",IFERROR(VALUE(SUBSTITUTE(TRIM(Input!G1649&amp;""),"%","")),0)/IF(AND(IFERROR(VALUE(SUBSTITUTE(TRIM(Input!G1649&amp;""),"%","")),0)&gt;0,IFERROR(VALUE(SUBSTITUTE(TRIM(Input!G1649&amp;""),"%","")),0)&lt;1),1,100))</f>
        <v/>
      </c>
      <c r="G1649" t="str">
        <f>IF(A1649="","",IFERROR(VALUE(SUBSTITUTE(TRIM(Input!H1649&amp;""),"%","")),0)/IF(AND(IFERROR(VALUE(SUBSTITUTE(TRIM(Input!H1649&amp;""),"%","")),0)&gt;0,IFERROR(VALUE(SUBSTITUTE(TRIM(Input!H1649&amp;""),"%","")),0)&lt;1),1,100))</f>
        <v/>
      </c>
      <c r="H1649" t="str">
        <f>IF(A1649="","",IFERROR(VALUE(SUBSTITUTE(TRIM(Input!I1649&amp;""),"%","")),0)/IF(AND(IFERROR(VALUE(SUBSTITUTE(TRIM(Input!I1649&amp;""),"%","")),0)&gt;0,IFERROR(VALUE(SUBSTITUTE(TRIM(Input!I1649&amp;""),"%","")),0)&lt;1),1,100))</f>
        <v/>
      </c>
    </row>
    <row r="1650" spans="1:8">
      <c r="A1650" t="str">
        <f>IF(TRIM(Input!B1650&amp;"")="","",UPPER(TRIM(Input!B1650&amp;"")))</f>
        <v/>
      </c>
      <c r="B1650" t="str">
        <f>IF(A1650="","",IFERROR(VALUE(RIGHT(TRIM(Input!D1650&amp;""),1)),0))</f>
        <v/>
      </c>
      <c r="C1650" t="str">
        <f t="shared" si="25"/>
        <v/>
      </c>
      <c r="D1650" t="str">
        <f>IF(A1650="","",IFERROR(VALUE(SUBSTITUTE(TRIM(Input!E1650&amp;""),"%","")),0)/IF(AND(IFERROR(VALUE(SUBSTITUTE(TRIM(Input!E1650&amp;""),"%","")),0)&gt;0,IFERROR(VALUE(SUBSTITUTE(TRIM(Input!E1650&amp;""),"%","")),0)&lt;1),1,100))</f>
        <v/>
      </c>
      <c r="E1650" t="str">
        <f>IF(A1650="","",IFERROR(VALUE(SUBSTITUTE(TRIM(Input!F1650&amp;""),"%","")),0)/IF(AND(IFERROR(VALUE(SUBSTITUTE(TRIM(Input!F1650&amp;""),"%","")),0)&gt;0,IFERROR(VALUE(SUBSTITUTE(TRIM(Input!F1650&amp;""),"%","")),0)&lt;1),1,100))</f>
        <v/>
      </c>
      <c r="F1650" t="str">
        <f>IF(A1650="","",IFERROR(VALUE(SUBSTITUTE(TRIM(Input!G1650&amp;""),"%","")),0)/IF(AND(IFERROR(VALUE(SUBSTITUTE(TRIM(Input!G1650&amp;""),"%","")),0)&gt;0,IFERROR(VALUE(SUBSTITUTE(TRIM(Input!G1650&amp;""),"%","")),0)&lt;1),1,100))</f>
        <v/>
      </c>
      <c r="G1650" t="str">
        <f>IF(A1650="","",IFERROR(VALUE(SUBSTITUTE(TRIM(Input!H1650&amp;""),"%","")),0)/IF(AND(IFERROR(VALUE(SUBSTITUTE(TRIM(Input!H1650&amp;""),"%","")),0)&gt;0,IFERROR(VALUE(SUBSTITUTE(TRIM(Input!H1650&amp;""),"%","")),0)&lt;1),1,100))</f>
        <v/>
      </c>
      <c r="H1650" t="str">
        <f>IF(A1650="","",IFERROR(VALUE(SUBSTITUTE(TRIM(Input!I1650&amp;""),"%","")),0)/IF(AND(IFERROR(VALUE(SUBSTITUTE(TRIM(Input!I1650&amp;""),"%","")),0)&gt;0,IFERROR(VALUE(SUBSTITUTE(TRIM(Input!I1650&amp;""),"%","")),0)&lt;1),1,100))</f>
        <v/>
      </c>
    </row>
    <row r="1651" spans="1:8">
      <c r="A1651" t="str">
        <f>IF(TRIM(Input!B1651&amp;"")="","",UPPER(TRIM(Input!B1651&amp;"")))</f>
        <v/>
      </c>
      <c r="B1651" t="str">
        <f>IF(A1651="","",IFERROR(VALUE(RIGHT(TRIM(Input!D1651&amp;""),1)),0))</f>
        <v/>
      </c>
      <c r="C1651" t="str">
        <f t="shared" si="25"/>
        <v/>
      </c>
      <c r="D1651" t="str">
        <f>IF(A1651="","",IFERROR(VALUE(SUBSTITUTE(TRIM(Input!E1651&amp;""),"%","")),0)/IF(AND(IFERROR(VALUE(SUBSTITUTE(TRIM(Input!E1651&amp;""),"%","")),0)&gt;0,IFERROR(VALUE(SUBSTITUTE(TRIM(Input!E1651&amp;""),"%","")),0)&lt;1),1,100))</f>
        <v/>
      </c>
      <c r="E1651" t="str">
        <f>IF(A1651="","",IFERROR(VALUE(SUBSTITUTE(TRIM(Input!F1651&amp;""),"%","")),0)/IF(AND(IFERROR(VALUE(SUBSTITUTE(TRIM(Input!F1651&amp;""),"%","")),0)&gt;0,IFERROR(VALUE(SUBSTITUTE(TRIM(Input!F1651&amp;""),"%","")),0)&lt;1),1,100))</f>
        <v/>
      </c>
      <c r="F1651" t="str">
        <f>IF(A1651="","",IFERROR(VALUE(SUBSTITUTE(TRIM(Input!G1651&amp;""),"%","")),0)/IF(AND(IFERROR(VALUE(SUBSTITUTE(TRIM(Input!G1651&amp;""),"%","")),0)&gt;0,IFERROR(VALUE(SUBSTITUTE(TRIM(Input!G1651&amp;""),"%","")),0)&lt;1),1,100))</f>
        <v/>
      </c>
      <c r="G1651" t="str">
        <f>IF(A1651="","",IFERROR(VALUE(SUBSTITUTE(TRIM(Input!H1651&amp;""),"%","")),0)/IF(AND(IFERROR(VALUE(SUBSTITUTE(TRIM(Input!H1651&amp;""),"%","")),0)&gt;0,IFERROR(VALUE(SUBSTITUTE(TRIM(Input!H1651&amp;""),"%","")),0)&lt;1),1,100))</f>
        <v/>
      </c>
      <c r="H1651" t="str">
        <f>IF(A1651="","",IFERROR(VALUE(SUBSTITUTE(TRIM(Input!I1651&amp;""),"%","")),0)/IF(AND(IFERROR(VALUE(SUBSTITUTE(TRIM(Input!I1651&amp;""),"%","")),0)&gt;0,IFERROR(VALUE(SUBSTITUTE(TRIM(Input!I1651&amp;""),"%","")),0)&lt;1),1,100))</f>
        <v/>
      </c>
    </row>
    <row r="1652" spans="1:8">
      <c r="A1652" t="str">
        <f>IF(TRIM(Input!B1652&amp;"")="","",UPPER(TRIM(Input!B1652&amp;"")))</f>
        <v/>
      </c>
      <c r="B1652" t="str">
        <f>IF(A1652="","",IFERROR(VALUE(RIGHT(TRIM(Input!D1652&amp;""),1)),0))</f>
        <v/>
      </c>
      <c r="C1652" t="str">
        <f t="shared" si="25"/>
        <v/>
      </c>
      <c r="D1652" t="str">
        <f>IF(A1652="","",IFERROR(VALUE(SUBSTITUTE(TRIM(Input!E1652&amp;""),"%","")),0)/IF(AND(IFERROR(VALUE(SUBSTITUTE(TRIM(Input!E1652&amp;""),"%","")),0)&gt;0,IFERROR(VALUE(SUBSTITUTE(TRIM(Input!E1652&amp;""),"%","")),0)&lt;1),1,100))</f>
        <v/>
      </c>
      <c r="E1652" t="str">
        <f>IF(A1652="","",IFERROR(VALUE(SUBSTITUTE(TRIM(Input!F1652&amp;""),"%","")),0)/IF(AND(IFERROR(VALUE(SUBSTITUTE(TRIM(Input!F1652&amp;""),"%","")),0)&gt;0,IFERROR(VALUE(SUBSTITUTE(TRIM(Input!F1652&amp;""),"%","")),0)&lt;1),1,100))</f>
        <v/>
      </c>
      <c r="F1652" t="str">
        <f>IF(A1652="","",IFERROR(VALUE(SUBSTITUTE(TRIM(Input!G1652&amp;""),"%","")),0)/IF(AND(IFERROR(VALUE(SUBSTITUTE(TRIM(Input!G1652&amp;""),"%","")),0)&gt;0,IFERROR(VALUE(SUBSTITUTE(TRIM(Input!G1652&amp;""),"%","")),0)&lt;1),1,100))</f>
        <v/>
      </c>
      <c r="G1652" t="str">
        <f>IF(A1652="","",IFERROR(VALUE(SUBSTITUTE(TRIM(Input!H1652&amp;""),"%","")),0)/IF(AND(IFERROR(VALUE(SUBSTITUTE(TRIM(Input!H1652&amp;""),"%","")),0)&gt;0,IFERROR(VALUE(SUBSTITUTE(TRIM(Input!H1652&amp;""),"%","")),0)&lt;1),1,100))</f>
        <v/>
      </c>
      <c r="H1652" t="str">
        <f>IF(A1652="","",IFERROR(VALUE(SUBSTITUTE(TRIM(Input!I1652&amp;""),"%","")),0)/IF(AND(IFERROR(VALUE(SUBSTITUTE(TRIM(Input!I1652&amp;""),"%","")),0)&gt;0,IFERROR(VALUE(SUBSTITUTE(TRIM(Input!I1652&amp;""),"%","")),0)&lt;1),1,100))</f>
        <v/>
      </c>
    </row>
    <row r="1653" spans="1:8">
      <c r="A1653" t="str">
        <f>IF(TRIM(Input!B1653&amp;"")="","",UPPER(TRIM(Input!B1653&amp;"")))</f>
        <v/>
      </c>
      <c r="B1653" t="str">
        <f>IF(A1653="","",IFERROR(VALUE(RIGHT(TRIM(Input!D1653&amp;""),1)),0))</f>
        <v/>
      </c>
      <c r="C1653" t="str">
        <f t="shared" si="25"/>
        <v/>
      </c>
      <c r="D1653" t="str">
        <f>IF(A1653="","",IFERROR(VALUE(SUBSTITUTE(TRIM(Input!E1653&amp;""),"%","")),0)/IF(AND(IFERROR(VALUE(SUBSTITUTE(TRIM(Input!E1653&amp;""),"%","")),0)&gt;0,IFERROR(VALUE(SUBSTITUTE(TRIM(Input!E1653&amp;""),"%","")),0)&lt;1),1,100))</f>
        <v/>
      </c>
      <c r="E1653" t="str">
        <f>IF(A1653="","",IFERROR(VALUE(SUBSTITUTE(TRIM(Input!F1653&amp;""),"%","")),0)/IF(AND(IFERROR(VALUE(SUBSTITUTE(TRIM(Input!F1653&amp;""),"%","")),0)&gt;0,IFERROR(VALUE(SUBSTITUTE(TRIM(Input!F1653&amp;""),"%","")),0)&lt;1),1,100))</f>
        <v/>
      </c>
      <c r="F1653" t="str">
        <f>IF(A1653="","",IFERROR(VALUE(SUBSTITUTE(TRIM(Input!G1653&amp;""),"%","")),0)/IF(AND(IFERROR(VALUE(SUBSTITUTE(TRIM(Input!G1653&amp;""),"%","")),0)&gt;0,IFERROR(VALUE(SUBSTITUTE(TRIM(Input!G1653&amp;""),"%","")),0)&lt;1),1,100))</f>
        <v/>
      </c>
      <c r="G1653" t="str">
        <f>IF(A1653="","",IFERROR(VALUE(SUBSTITUTE(TRIM(Input!H1653&amp;""),"%","")),0)/IF(AND(IFERROR(VALUE(SUBSTITUTE(TRIM(Input!H1653&amp;""),"%","")),0)&gt;0,IFERROR(VALUE(SUBSTITUTE(TRIM(Input!H1653&amp;""),"%","")),0)&lt;1),1,100))</f>
        <v/>
      </c>
      <c r="H1653" t="str">
        <f>IF(A1653="","",IFERROR(VALUE(SUBSTITUTE(TRIM(Input!I1653&amp;""),"%","")),0)/IF(AND(IFERROR(VALUE(SUBSTITUTE(TRIM(Input!I1653&amp;""),"%","")),0)&gt;0,IFERROR(VALUE(SUBSTITUTE(TRIM(Input!I1653&amp;""),"%","")),0)&lt;1),1,100))</f>
        <v/>
      </c>
    </row>
    <row r="1654" spans="1:8">
      <c r="A1654" t="str">
        <f>IF(TRIM(Input!B1654&amp;"")="","",UPPER(TRIM(Input!B1654&amp;"")))</f>
        <v/>
      </c>
      <c r="B1654" t="str">
        <f>IF(A1654="","",IFERROR(VALUE(RIGHT(TRIM(Input!D1654&amp;""),1)),0))</f>
        <v/>
      </c>
      <c r="C1654" t="str">
        <f t="shared" si="25"/>
        <v/>
      </c>
      <c r="D1654" t="str">
        <f>IF(A1654="","",IFERROR(VALUE(SUBSTITUTE(TRIM(Input!E1654&amp;""),"%","")),0)/IF(AND(IFERROR(VALUE(SUBSTITUTE(TRIM(Input!E1654&amp;""),"%","")),0)&gt;0,IFERROR(VALUE(SUBSTITUTE(TRIM(Input!E1654&amp;""),"%","")),0)&lt;1),1,100))</f>
        <v/>
      </c>
      <c r="E1654" t="str">
        <f>IF(A1654="","",IFERROR(VALUE(SUBSTITUTE(TRIM(Input!F1654&amp;""),"%","")),0)/IF(AND(IFERROR(VALUE(SUBSTITUTE(TRIM(Input!F1654&amp;""),"%","")),0)&gt;0,IFERROR(VALUE(SUBSTITUTE(TRIM(Input!F1654&amp;""),"%","")),0)&lt;1),1,100))</f>
        <v/>
      </c>
      <c r="F1654" t="str">
        <f>IF(A1654="","",IFERROR(VALUE(SUBSTITUTE(TRIM(Input!G1654&amp;""),"%","")),0)/IF(AND(IFERROR(VALUE(SUBSTITUTE(TRIM(Input!G1654&amp;""),"%","")),0)&gt;0,IFERROR(VALUE(SUBSTITUTE(TRIM(Input!G1654&amp;""),"%","")),0)&lt;1),1,100))</f>
        <v/>
      </c>
      <c r="G1654" t="str">
        <f>IF(A1654="","",IFERROR(VALUE(SUBSTITUTE(TRIM(Input!H1654&amp;""),"%","")),0)/IF(AND(IFERROR(VALUE(SUBSTITUTE(TRIM(Input!H1654&amp;""),"%","")),0)&gt;0,IFERROR(VALUE(SUBSTITUTE(TRIM(Input!H1654&amp;""),"%","")),0)&lt;1),1,100))</f>
        <v/>
      </c>
      <c r="H1654" t="str">
        <f>IF(A1654="","",IFERROR(VALUE(SUBSTITUTE(TRIM(Input!I1654&amp;""),"%","")),0)/IF(AND(IFERROR(VALUE(SUBSTITUTE(TRIM(Input!I1654&amp;""),"%","")),0)&gt;0,IFERROR(VALUE(SUBSTITUTE(TRIM(Input!I1654&amp;""),"%","")),0)&lt;1),1,100))</f>
        <v/>
      </c>
    </row>
    <row r="1655" spans="1:8">
      <c r="A1655" t="str">
        <f>IF(TRIM(Input!B1655&amp;"")="","",UPPER(TRIM(Input!B1655&amp;"")))</f>
        <v/>
      </c>
      <c r="B1655" t="str">
        <f>IF(A1655="","",IFERROR(VALUE(RIGHT(TRIM(Input!D1655&amp;""),1)),0))</f>
        <v/>
      </c>
      <c r="C1655" t="str">
        <f t="shared" si="25"/>
        <v/>
      </c>
      <c r="D1655" t="str">
        <f>IF(A1655="","",IFERROR(VALUE(SUBSTITUTE(TRIM(Input!E1655&amp;""),"%","")),0)/IF(AND(IFERROR(VALUE(SUBSTITUTE(TRIM(Input!E1655&amp;""),"%","")),0)&gt;0,IFERROR(VALUE(SUBSTITUTE(TRIM(Input!E1655&amp;""),"%","")),0)&lt;1),1,100))</f>
        <v/>
      </c>
      <c r="E1655" t="str">
        <f>IF(A1655="","",IFERROR(VALUE(SUBSTITUTE(TRIM(Input!F1655&amp;""),"%","")),0)/IF(AND(IFERROR(VALUE(SUBSTITUTE(TRIM(Input!F1655&amp;""),"%","")),0)&gt;0,IFERROR(VALUE(SUBSTITUTE(TRIM(Input!F1655&amp;""),"%","")),0)&lt;1),1,100))</f>
        <v/>
      </c>
      <c r="F1655" t="str">
        <f>IF(A1655="","",IFERROR(VALUE(SUBSTITUTE(TRIM(Input!G1655&amp;""),"%","")),0)/IF(AND(IFERROR(VALUE(SUBSTITUTE(TRIM(Input!G1655&amp;""),"%","")),0)&gt;0,IFERROR(VALUE(SUBSTITUTE(TRIM(Input!G1655&amp;""),"%","")),0)&lt;1),1,100))</f>
        <v/>
      </c>
      <c r="G1655" t="str">
        <f>IF(A1655="","",IFERROR(VALUE(SUBSTITUTE(TRIM(Input!H1655&amp;""),"%","")),0)/IF(AND(IFERROR(VALUE(SUBSTITUTE(TRIM(Input!H1655&amp;""),"%","")),0)&gt;0,IFERROR(VALUE(SUBSTITUTE(TRIM(Input!H1655&amp;""),"%","")),0)&lt;1),1,100))</f>
        <v/>
      </c>
      <c r="H1655" t="str">
        <f>IF(A1655="","",IFERROR(VALUE(SUBSTITUTE(TRIM(Input!I1655&amp;""),"%","")),0)/IF(AND(IFERROR(VALUE(SUBSTITUTE(TRIM(Input!I1655&amp;""),"%","")),0)&gt;0,IFERROR(VALUE(SUBSTITUTE(TRIM(Input!I1655&amp;""),"%","")),0)&lt;1),1,100))</f>
        <v/>
      </c>
    </row>
    <row r="1656" spans="1:8">
      <c r="A1656" t="str">
        <f>IF(TRIM(Input!B1656&amp;"")="","",UPPER(TRIM(Input!B1656&amp;"")))</f>
        <v/>
      </c>
      <c r="B1656" t="str">
        <f>IF(A1656="","",IFERROR(VALUE(RIGHT(TRIM(Input!D1656&amp;""),1)),0))</f>
        <v/>
      </c>
      <c r="C1656" t="str">
        <f t="shared" si="25"/>
        <v/>
      </c>
      <c r="D1656" t="str">
        <f>IF(A1656="","",IFERROR(VALUE(SUBSTITUTE(TRIM(Input!E1656&amp;""),"%","")),0)/IF(AND(IFERROR(VALUE(SUBSTITUTE(TRIM(Input!E1656&amp;""),"%","")),0)&gt;0,IFERROR(VALUE(SUBSTITUTE(TRIM(Input!E1656&amp;""),"%","")),0)&lt;1),1,100))</f>
        <v/>
      </c>
      <c r="E1656" t="str">
        <f>IF(A1656="","",IFERROR(VALUE(SUBSTITUTE(TRIM(Input!F1656&amp;""),"%","")),0)/IF(AND(IFERROR(VALUE(SUBSTITUTE(TRIM(Input!F1656&amp;""),"%","")),0)&gt;0,IFERROR(VALUE(SUBSTITUTE(TRIM(Input!F1656&amp;""),"%","")),0)&lt;1),1,100))</f>
        <v/>
      </c>
      <c r="F1656" t="str">
        <f>IF(A1656="","",IFERROR(VALUE(SUBSTITUTE(TRIM(Input!G1656&amp;""),"%","")),0)/IF(AND(IFERROR(VALUE(SUBSTITUTE(TRIM(Input!G1656&amp;""),"%","")),0)&gt;0,IFERROR(VALUE(SUBSTITUTE(TRIM(Input!G1656&amp;""),"%","")),0)&lt;1),1,100))</f>
        <v/>
      </c>
      <c r="G1656" t="str">
        <f>IF(A1656="","",IFERROR(VALUE(SUBSTITUTE(TRIM(Input!H1656&amp;""),"%","")),0)/IF(AND(IFERROR(VALUE(SUBSTITUTE(TRIM(Input!H1656&amp;""),"%","")),0)&gt;0,IFERROR(VALUE(SUBSTITUTE(TRIM(Input!H1656&amp;""),"%","")),0)&lt;1),1,100))</f>
        <v/>
      </c>
      <c r="H1656" t="str">
        <f>IF(A1656="","",IFERROR(VALUE(SUBSTITUTE(TRIM(Input!I1656&amp;""),"%","")),0)/IF(AND(IFERROR(VALUE(SUBSTITUTE(TRIM(Input!I1656&amp;""),"%","")),0)&gt;0,IFERROR(VALUE(SUBSTITUTE(TRIM(Input!I1656&amp;""),"%","")),0)&lt;1),1,100))</f>
        <v/>
      </c>
    </row>
    <row r="1657" spans="1:8">
      <c r="A1657" t="str">
        <f>IF(TRIM(Input!B1657&amp;"")="","",UPPER(TRIM(Input!B1657&amp;"")))</f>
        <v/>
      </c>
      <c r="B1657" t="str">
        <f>IF(A1657="","",IFERROR(VALUE(RIGHT(TRIM(Input!D1657&amp;""),1)),0))</f>
        <v/>
      </c>
      <c r="C1657" t="str">
        <f t="shared" si="25"/>
        <v/>
      </c>
      <c r="D1657" t="str">
        <f>IF(A1657="","",IFERROR(VALUE(SUBSTITUTE(TRIM(Input!E1657&amp;""),"%","")),0)/IF(AND(IFERROR(VALUE(SUBSTITUTE(TRIM(Input!E1657&amp;""),"%","")),0)&gt;0,IFERROR(VALUE(SUBSTITUTE(TRIM(Input!E1657&amp;""),"%","")),0)&lt;1),1,100))</f>
        <v/>
      </c>
      <c r="E1657" t="str">
        <f>IF(A1657="","",IFERROR(VALUE(SUBSTITUTE(TRIM(Input!F1657&amp;""),"%","")),0)/IF(AND(IFERROR(VALUE(SUBSTITUTE(TRIM(Input!F1657&amp;""),"%","")),0)&gt;0,IFERROR(VALUE(SUBSTITUTE(TRIM(Input!F1657&amp;""),"%","")),0)&lt;1),1,100))</f>
        <v/>
      </c>
      <c r="F1657" t="str">
        <f>IF(A1657="","",IFERROR(VALUE(SUBSTITUTE(TRIM(Input!G1657&amp;""),"%","")),0)/IF(AND(IFERROR(VALUE(SUBSTITUTE(TRIM(Input!G1657&amp;""),"%","")),0)&gt;0,IFERROR(VALUE(SUBSTITUTE(TRIM(Input!G1657&amp;""),"%","")),0)&lt;1),1,100))</f>
        <v/>
      </c>
      <c r="G1657" t="str">
        <f>IF(A1657="","",IFERROR(VALUE(SUBSTITUTE(TRIM(Input!H1657&amp;""),"%","")),0)/IF(AND(IFERROR(VALUE(SUBSTITUTE(TRIM(Input!H1657&amp;""),"%","")),0)&gt;0,IFERROR(VALUE(SUBSTITUTE(TRIM(Input!H1657&amp;""),"%","")),0)&lt;1),1,100))</f>
        <v/>
      </c>
      <c r="H1657" t="str">
        <f>IF(A1657="","",IFERROR(VALUE(SUBSTITUTE(TRIM(Input!I1657&amp;""),"%","")),0)/IF(AND(IFERROR(VALUE(SUBSTITUTE(TRIM(Input!I1657&amp;""),"%","")),0)&gt;0,IFERROR(VALUE(SUBSTITUTE(TRIM(Input!I1657&amp;""),"%","")),0)&lt;1),1,100))</f>
        <v/>
      </c>
    </row>
    <row r="1658" spans="1:8">
      <c r="A1658" t="str">
        <f>IF(TRIM(Input!B1658&amp;"")="","",UPPER(TRIM(Input!B1658&amp;"")))</f>
        <v/>
      </c>
      <c r="B1658" t="str">
        <f>IF(A1658="","",IFERROR(VALUE(RIGHT(TRIM(Input!D1658&amp;""),1)),0))</f>
        <v/>
      </c>
      <c r="C1658" t="str">
        <f t="shared" si="25"/>
        <v/>
      </c>
      <c r="D1658" t="str">
        <f>IF(A1658="","",IFERROR(VALUE(SUBSTITUTE(TRIM(Input!E1658&amp;""),"%","")),0)/IF(AND(IFERROR(VALUE(SUBSTITUTE(TRIM(Input!E1658&amp;""),"%","")),0)&gt;0,IFERROR(VALUE(SUBSTITUTE(TRIM(Input!E1658&amp;""),"%","")),0)&lt;1),1,100))</f>
        <v/>
      </c>
      <c r="E1658" t="str">
        <f>IF(A1658="","",IFERROR(VALUE(SUBSTITUTE(TRIM(Input!F1658&amp;""),"%","")),0)/IF(AND(IFERROR(VALUE(SUBSTITUTE(TRIM(Input!F1658&amp;""),"%","")),0)&gt;0,IFERROR(VALUE(SUBSTITUTE(TRIM(Input!F1658&amp;""),"%","")),0)&lt;1),1,100))</f>
        <v/>
      </c>
      <c r="F1658" t="str">
        <f>IF(A1658="","",IFERROR(VALUE(SUBSTITUTE(TRIM(Input!G1658&amp;""),"%","")),0)/IF(AND(IFERROR(VALUE(SUBSTITUTE(TRIM(Input!G1658&amp;""),"%","")),0)&gt;0,IFERROR(VALUE(SUBSTITUTE(TRIM(Input!G1658&amp;""),"%","")),0)&lt;1),1,100))</f>
        <v/>
      </c>
      <c r="G1658" t="str">
        <f>IF(A1658="","",IFERROR(VALUE(SUBSTITUTE(TRIM(Input!H1658&amp;""),"%","")),0)/IF(AND(IFERROR(VALUE(SUBSTITUTE(TRIM(Input!H1658&amp;""),"%","")),0)&gt;0,IFERROR(VALUE(SUBSTITUTE(TRIM(Input!H1658&amp;""),"%","")),0)&lt;1),1,100))</f>
        <v/>
      </c>
      <c r="H1658" t="str">
        <f>IF(A1658="","",IFERROR(VALUE(SUBSTITUTE(TRIM(Input!I1658&amp;""),"%","")),0)/IF(AND(IFERROR(VALUE(SUBSTITUTE(TRIM(Input!I1658&amp;""),"%","")),0)&gt;0,IFERROR(VALUE(SUBSTITUTE(TRIM(Input!I1658&amp;""),"%","")),0)&lt;1),1,100))</f>
        <v/>
      </c>
    </row>
    <row r="1659" spans="1:8">
      <c r="A1659" t="str">
        <f>IF(TRIM(Input!B1659&amp;"")="","",UPPER(TRIM(Input!B1659&amp;"")))</f>
        <v/>
      </c>
      <c r="B1659" t="str">
        <f>IF(A1659="","",IFERROR(VALUE(RIGHT(TRIM(Input!D1659&amp;""),1)),0))</f>
        <v/>
      </c>
      <c r="C1659" t="str">
        <f t="shared" si="25"/>
        <v/>
      </c>
      <c r="D1659" t="str">
        <f>IF(A1659="","",IFERROR(VALUE(SUBSTITUTE(TRIM(Input!E1659&amp;""),"%","")),0)/IF(AND(IFERROR(VALUE(SUBSTITUTE(TRIM(Input!E1659&amp;""),"%","")),0)&gt;0,IFERROR(VALUE(SUBSTITUTE(TRIM(Input!E1659&amp;""),"%","")),0)&lt;1),1,100))</f>
        <v/>
      </c>
      <c r="E1659" t="str">
        <f>IF(A1659="","",IFERROR(VALUE(SUBSTITUTE(TRIM(Input!F1659&amp;""),"%","")),0)/IF(AND(IFERROR(VALUE(SUBSTITUTE(TRIM(Input!F1659&amp;""),"%","")),0)&gt;0,IFERROR(VALUE(SUBSTITUTE(TRIM(Input!F1659&amp;""),"%","")),0)&lt;1),1,100))</f>
        <v/>
      </c>
      <c r="F1659" t="str">
        <f>IF(A1659="","",IFERROR(VALUE(SUBSTITUTE(TRIM(Input!G1659&amp;""),"%","")),0)/IF(AND(IFERROR(VALUE(SUBSTITUTE(TRIM(Input!G1659&amp;""),"%","")),0)&gt;0,IFERROR(VALUE(SUBSTITUTE(TRIM(Input!G1659&amp;""),"%","")),0)&lt;1),1,100))</f>
        <v/>
      </c>
      <c r="G1659" t="str">
        <f>IF(A1659="","",IFERROR(VALUE(SUBSTITUTE(TRIM(Input!H1659&amp;""),"%","")),0)/IF(AND(IFERROR(VALUE(SUBSTITUTE(TRIM(Input!H1659&amp;""),"%","")),0)&gt;0,IFERROR(VALUE(SUBSTITUTE(TRIM(Input!H1659&amp;""),"%","")),0)&lt;1),1,100))</f>
        <v/>
      </c>
      <c r="H1659" t="str">
        <f>IF(A1659="","",IFERROR(VALUE(SUBSTITUTE(TRIM(Input!I1659&amp;""),"%","")),0)/IF(AND(IFERROR(VALUE(SUBSTITUTE(TRIM(Input!I1659&amp;""),"%","")),0)&gt;0,IFERROR(VALUE(SUBSTITUTE(TRIM(Input!I1659&amp;""),"%","")),0)&lt;1),1,100))</f>
        <v/>
      </c>
    </row>
    <row r="1660" spans="1:8">
      <c r="A1660" t="str">
        <f>IF(TRIM(Input!B1660&amp;"")="","",UPPER(TRIM(Input!B1660&amp;"")))</f>
        <v/>
      </c>
      <c r="B1660" t="str">
        <f>IF(A1660="","",IFERROR(VALUE(RIGHT(TRIM(Input!D1660&amp;""),1)),0))</f>
        <v/>
      </c>
      <c r="C1660" t="str">
        <f t="shared" si="25"/>
        <v/>
      </c>
      <c r="D1660" t="str">
        <f>IF(A1660="","",IFERROR(VALUE(SUBSTITUTE(TRIM(Input!E1660&amp;""),"%","")),0)/IF(AND(IFERROR(VALUE(SUBSTITUTE(TRIM(Input!E1660&amp;""),"%","")),0)&gt;0,IFERROR(VALUE(SUBSTITUTE(TRIM(Input!E1660&amp;""),"%","")),0)&lt;1),1,100))</f>
        <v/>
      </c>
      <c r="E1660" t="str">
        <f>IF(A1660="","",IFERROR(VALUE(SUBSTITUTE(TRIM(Input!F1660&amp;""),"%","")),0)/IF(AND(IFERROR(VALUE(SUBSTITUTE(TRIM(Input!F1660&amp;""),"%","")),0)&gt;0,IFERROR(VALUE(SUBSTITUTE(TRIM(Input!F1660&amp;""),"%","")),0)&lt;1),1,100))</f>
        <v/>
      </c>
      <c r="F1660" t="str">
        <f>IF(A1660="","",IFERROR(VALUE(SUBSTITUTE(TRIM(Input!G1660&amp;""),"%","")),0)/IF(AND(IFERROR(VALUE(SUBSTITUTE(TRIM(Input!G1660&amp;""),"%","")),0)&gt;0,IFERROR(VALUE(SUBSTITUTE(TRIM(Input!G1660&amp;""),"%","")),0)&lt;1),1,100))</f>
        <v/>
      </c>
      <c r="G1660" t="str">
        <f>IF(A1660="","",IFERROR(VALUE(SUBSTITUTE(TRIM(Input!H1660&amp;""),"%","")),0)/IF(AND(IFERROR(VALUE(SUBSTITUTE(TRIM(Input!H1660&amp;""),"%","")),0)&gt;0,IFERROR(VALUE(SUBSTITUTE(TRIM(Input!H1660&amp;""),"%","")),0)&lt;1),1,100))</f>
        <v/>
      </c>
      <c r="H1660" t="str">
        <f>IF(A1660="","",IFERROR(VALUE(SUBSTITUTE(TRIM(Input!I1660&amp;""),"%","")),0)/IF(AND(IFERROR(VALUE(SUBSTITUTE(TRIM(Input!I1660&amp;""),"%","")),0)&gt;0,IFERROR(VALUE(SUBSTITUTE(TRIM(Input!I1660&amp;""),"%","")),0)&lt;1),1,100))</f>
        <v/>
      </c>
    </row>
    <row r="1661" spans="1:8">
      <c r="A1661" t="str">
        <f>IF(TRIM(Input!B1661&amp;"")="","",UPPER(TRIM(Input!B1661&amp;"")))</f>
        <v/>
      </c>
      <c r="B1661" t="str">
        <f>IF(A1661="","",IFERROR(VALUE(RIGHT(TRIM(Input!D1661&amp;""),1)),0))</f>
        <v/>
      </c>
      <c r="C1661" t="str">
        <f t="shared" si="25"/>
        <v/>
      </c>
      <c r="D1661" t="str">
        <f>IF(A1661="","",IFERROR(VALUE(SUBSTITUTE(TRIM(Input!E1661&amp;""),"%","")),0)/IF(AND(IFERROR(VALUE(SUBSTITUTE(TRIM(Input!E1661&amp;""),"%","")),0)&gt;0,IFERROR(VALUE(SUBSTITUTE(TRIM(Input!E1661&amp;""),"%","")),0)&lt;1),1,100))</f>
        <v/>
      </c>
      <c r="E1661" t="str">
        <f>IF(A1661="","",IFERROR(VALUE(SUBSTITUTE(TRIM(Input!F1661&amp;""),"%","")),0)/IF(AND(IFERROR(VALUE(SUBSTITUTE(TRIM(Input!F1661&amp;""),"%","")),0)&gt;0,IFERROR(VALUE(SUBSTITUTE(TRIM(Input!F1661&amp;""),"%","")),0)&lt;1),1,100))</f>
        <v/>
      </c>
      <c r="F1661" t="str">
        <f>IF(A1661="","",IFERROR(VALUE(SUBSTITUTE(TRIM(Input!G1661&amp;""),"%","")),0)/IF(AND(IFERROR(VALUE(SUBSTITUTE(TRIM(Input!G1661&amp;""),"%","")),0)&gt;0,IFERROR(VALUE(SUBSTITUTE(TRIM(Input!G1661&amp;""),"%","")),0)&lt;1),1,100))</f>
        <v/>
      </c>
      <c r="G1661" t="str">
        <f>IF(A1661="","",IFERROR(VALUE(SUBSTITUTE(TRIM(Input!H1661&amp;""),"%","")),0)/IF(AND(IFERROR(VALUE(SUBSTITUTE(TRIM(Input!H1661&amp;""),"%","")),0)&gt;0,IFERROR(VALUE(SUBSTITUTE(TRIM(Input!H1661&amp;""),"%","")),0)&lt;1),1,100))</f>
        <v/>
      </c>
      <c r="H1661" t="str">
        <f>IF(A1661="","",IFERROR(VALUE(SUBSTITUTE(TRIM(Input!I1661&amp;""),"%","")),0)/IF(AND(IFERROR(VALUE(SUBSTITUTE(TRIM(Input!I1661&amp;""),"%","")),0)&gt;0,IFERROR(VALUE(SUBSTITUTE(TRIM(Input!I1661&amp;""),"%","")),0)&lt;1),1,100))</f>
        <v/>
      </c>
    </row>
    <row r="1662" spans="1:8">
      <c r="A1662" t="str">
        <f>IF(TRIM(Input!B1662&amp;"")="","",UPPER(TRIM(Input!B1662&amp;"")))</f>
        <v/>
      </c>
      <c r="B1662" t="str">
        <f>IF(A1662="","",IFERROR(VALUE(RIGHT(TRIM(Input!D1662&amp;""),1)),0))</f>
        <v/>
      </c>
      <c r="C1662" t="str">
        <f t="shared" si="25"/>
        <v/>
      </c>
      <c r="D1662" t="str">
        <f>IF(A1662="","",IFERROR(VALUE(SUBSTITUTE(TRIM(Input!E1662&amp;""),"%","")),0)/IF(AND(IFERROR(VALUE(SUBSTITUTE(TRIM(Input!E1662&amp;""),"%","")),0)&gt;0,IFERROR(VALUE(SUBSTITUTE(TRIM(Input!E1662&amp;""),"%","")),0)&lt;1),1,100))</f>
        <v/>
      </c>
      <c r="E1662" t="str">
        <f>IF(A1662="","",IFERROR(VALUE(SUBSTITUTE(TRIM(Input!F1662&amp;""),"%","")),0)/IF(AND(IFERROR(VALUE(SUBSTITUTE(TRIM(Input!F1662&amp;""),"%","")),0)&gt;0,IFERROR(VALUE(SUBSTITUTE(TRIM(Input!F1662&amp;""),"%","")),0)&lt;1),1,100))</f>
        <v/>
      </c>
      <c r="F1662" t="str">
        <f>IF(A1662="","",IFERROR(VALUE(SUBSTITUTE(TRIM(Input!G1662&amp;""),"%","")),0)/IF(AND(IFERROR(VALUE(SUBSTITUTE(TRIM(Input!G1662&amp;""),"%","")),0)&gt;0,IFERROR(VALUE(SUBSTITUTE(TRIM(Input!G1662&amp;""),"%","")),0)&lt;1),1,100))</f>
        <v/>
      </c>
      <c r="G1662" t="str">
        <f>IF(A1662="","",IFERROR(VALUE(SUBSTITUTE(TRIM(Input!H1662&amp;""),"%","")),0)/IF(AND(IFERROR(VALUE(SUBSTITUTE(TRIM(Input!H1662&amp;""),"%","")),0)&gt;0,IFERROR(VALUE(SUBSTITUTE(TRIM(Input!H1662&amp;""),"%","")),0)&lt;1),1,100))</f>
        <v/>
      </c>
      <c r="H1662" t="str">
        <f>IF(A1662="","",IFERROR(VALUE(SUBSTITUTE(TRIM(Input!I1662&amp;""),"%","")),0)/IF(AND(IFERROR(VALUE(SUBSTITUTE(TRIM(Input!I1662&amp;""),"%","")),0)&gt;0,IFERROR(VALUE(SUBSTITUTE(TRIM(Input!I1662&amp;""),"%","")),0)&lt;1),1,100))</f>
        <v/>
      </c>
    </row>
    <row r="1663" spans="1:8">
      <c r="A1663" t="str">
        <f>IF(TRIM(Input!B1663&amp;"")="","",UPPER(TRIM(Input!B1663&amp;"")))</f>
        <v/>
      </c>
      <c r="B1663" t="str">
        <f>IF(A1663="","",IFERROR(VALUE(RIGHT(TRIM(Input!D1663&amp;""),1)),0))</f>
        <v/>
      </c>
      <c r="C1663" t="str">
        <f t="shared" si="25"/>
        <v/>
      </c>
      <c r="D1663" t="str">
        <f>IF(A1663="","",IFERROR(VALUE(SUBSTITUTE(TRIM(Input!E1663&amp;""),"%","")),0)/IF(AND(IFERROR(VALUE(SUBSTITUTE(TRIM(Input!E1663&amp;""),"%","")),0)&gt;0,IFERROR(VALUE(SUBSTITUTE(TRIM(Input!E1663&amp;""),"%","")),0)&lt;1),1,100))</f>
        <v/>
      </c>
      <c r="E1663" t="str">
        <f>IF(A1663="","",IFERROR(VALUE(SUBSTITUTE(TRIM(Input!F1663&amp;""),"%","")),0)/IF(AND(IFERROR(VALUE(SUBSTITUTE(TRIM(Input!F1663&amp;""),"%","")),0)&gt;0,IFERROR(VALUE(SUBSTITUTE(TRIM(Input!F1663&amp;""),"%","")),0)&lt;1),1,100))</f>
        <v/>
      </c>
      <c r="F1663" t="str">
        <f>IF(A1663="","",IFERROR(VALUE(SUBSTITUTE(TRIM(Input!G1663&amp;""),"%","")),0)/IF(AND(IFERROR(VALUE(SUBSTITUTE(TRIM(Input!G1663&amp;""),"%","")),0)&gt;0,IFERROR(VALUE(SUBSTITUTE(TRIM(Input!G1663&amp;""),"%","")),0)&lt;1),1,100))</f>
        <v/>
      </c>
      <c r="G1663" t="str">
        <f>IF(A1663="","",IFERROR(VALUE(SUBSTITUTE(TRIM(Input!H1663&amp;""),"%","")),0)/IF(AND(IFERROR(VALUE(SUBSTITUTE(TRIM(Input!H1663&amp;""),"%","")),0)&gt;0,IFERROR(VALUE(SUBSTITUTE(TRIM(Input!H1663&amp;""),"%","")),0)&lt;1),1,100))</f>
        <v/>
      </c>
      <c r="H1663" t="str">
        <f>IF(A1663="","",IFERROR(VALUE(SUBSTITUTE(TRIM(Input!I1663&amp;""),"%","")),0)/IF(AND(IFERROR(VALUE(SUBSTITUTE(TRIM(Input!I1663&amp;""),"%","")),0)&gt;0,IFERROR(VALUE(SUBSTITUTE(TRIM(Input!I1663&amp;""),"%","")),0)&lt;1),1,100))</f>
        <v/>
      </c>
    </row>
    <row r="1664" spans="1:8">
      <c r="A1664" t="str">
        <f>IF(TRIM(Input!B1664&amp;"")="","",UPPER(TRIM(Input!B1664&amp;"")))</f>
        <v/>
      </c>
      <c r="B1664" t="str">
        <f>IF(A1664="","",IFERROR(VALUE(RIGHT(TRIM(Input!D1664&amp;""),1)),0))</f>
        <v/>
      </c>
      <c r="C1664" t="str">
        <f t="shared" si="25"/>
        <v/>
      </c>
      <c r="D1664" t="str">
        <f>IF(A1664="","",IFERROR(VALUE(SUBSTITUTE(TRIM(Input!E1664&amp;""),"%","")),0)/IF(AND(IFERROR(VALUE(SUBSTITUTE(TRIM(Input!E1664&amp;""),"%","")),0)&gt;0,IFERROR(VALUE(SUBSTITUTE(TRIM(Input!E1664&amp;""),"%","")),0)&lt;1),1,100))</f>
        <v/>
      </c>
      <c r="E1664" t="str">
        <f>IF(A1664="","",IFERROR(VALUE(SUBSTITUTE(TRIM(Input!F1664&amp;""),"%","")),0)/IF(AND(IFERROR(VALUE(SUBSTITUTE(TRIM(Input!F1664&amp;""),"%","")),0)&gt;0,IFERROR(VALUE(SUBSTITUTE(TRIM(Input!F1664&amp;""),"%","")),0)&lt;1),1,100))</f>
        <v/>
      </c>
      <c r="F1664" t="str">
        <f>IF(A1664="","",IFERROR(VALUE(SUBSTITUTE(TRIM(Input!G1664&amp;""),"%","")),0)/IF(AND(IFERROR(VALUE(SUBSTITUTE(TRIM(Input!G1664&amp;""),"%","")),0)&gt;0,IFERROR(VALUE(SUBSTITUTE(TRIM(Input!G1664&amp;""),"%","")),0)&lt;1),1,100))</f>
        <v/>
      </c>
      <c r="G1664" t="str">
        <f>IF(A1664="","",IFERROR(VALUE(SUBSTITUTE(TRIM(Input!H1664&amp;""),"%","")),0)/IF(AND(IFERROR(VALUE(SUBSTITUTE(TRIM(Input!H1664&amp;""),"%","")),0)&gt;0,IFERROR(VALUE(SUBSTITUTE(TRIM(Input!H1664&amp;""),"%","")),0)&lt;1),1,100))</f>
        <v/>
      </c>
      <c r="H1664" t="str">
        <f>IF(A1664="","",IFERROR(VALUE(SUBSTITUTE(TRIM(Input!I1664&amp;""),"%","")),0)/IF(AND(IFERROR(VALUE(SUBSTITUTE(TRIM(Input!I1664&amp;""),"%","")),0)&gt;0,IFERROR(VALUE(SUBSTITUTE(TRIM(Input!I1664&amp;""),"%","")),0)&lt;1),1,100))</f>
        <v/>
      </c>
    </row>
    <row r="1665" spans="1:8">
      <c r="A1665" t="str">
        <f>IF(TRIM(Input!B1665&amp;"")="","",UPPER(TRIM(Input!B1665&amp;"")))</f>
        <v/>
      </c>
      <c r="B1665" t="str">
        <f>IF(A1665="","",IFERROR(VALUE(RIGHT(TRIM(Input!D1665&amp;""),1)),0))</f>
        <v/>
      </c>
      <c r="C1665" t="str">
        <f t="shared" si="25"/>
        <v/>
      </c>
      <c r="D1665" t="str">
        <f>IF(A1665="","",IFERROR(VALUE(SUBSTITUTE(TRIM(Input!E1665&amp;""),"%","")),0)/IF(AND(IFERROR(VALUE(SUBSTITUTE(TRIM(Input!E1665&amp;""),"%","")),0)&gt;0,IFERROR(VALUE(SUBSTITUTE(TRIM(Input!E1665&amp;""),"%","")),0)&lt;1),1,100))</f>
        <v/>
      </c>
      <c r="E1665" t="str">
        <f>IF(A1665="","",IFERROR(VALUE(SUBSTITUTE(TRIM(Input!F1665&amp;""),"%","")),0)/IF(AND(IFERROR(VALUE(SUBSTITUTE(TRIM(Input!F1665&amp;""),"%","")),0)&gt;0,IFERROR(VALUE(SUBSTITUTE(TRIM(Input!F1665&amp;""),"%","")),0)&lt;1),1,100))</f>
        <v/>
      </c>
      <c r="F1665" t="str">
        <f>IF(A1665="","",IFERROR(VALUE(SUBSTITUTE(TRIM(Input!G1665&amp;""),"%","")),0)/IF(AND(IFERROR(VALUE(SUBSTITUTE(TRIM(Input!G1665&amp;""),"%","")),0)&gt;0,IFERROR(VALUE(SUBSTITUTE(TRIM(Input!G1665&amp;""),"%","")),0)&lt;1),1,100))</f>
        <v/>
      </c>
      <c r="G1665" t="str">
        <f>IF(A1665="","",IFERROR(VALUE(SUBSTITUTE(TRIM(Input!H1665&amp;""),"%","")),0)/IF(AND(IFERROR(VALUE(SUBSTITUTE(TRIM(Input!H1665&amp;""),"%","")),0)&gt;0,IFERROR(VALUE(SUBSTITUTE(TRIM(Input!H1665&amp;""),"%","")),0)&lt;1),1,100))</f>
        <v/>
      </c>
      <c r="H1665" t="str">
        <f>IF(A1665="","",IFERROR(VALUE(SUBSTITUTE(TRIM(Input!I1665&amp;""),"%","")),0)/IF(AND(IFERROR(VALUE(SUBSTITUTE(TRIM(Input!I1665&amp;""),"%","")),0)&gt;0,IFERROR(VALUE(SUBSTITUTE(TRIM(Input!I1665&amp;""),"%","")),0)&lt;1),1,100))</f>
        <v/>
      </c>
    </row>
    <row r="1666" spans="1:8">
      <c r="A1666" t="str">
        <f>IF(TRIM(Input!B1666&amp;"")="","",UPPER(TRIM(Input!B1666&amp;"")))</f>
        <v/>
      </c>
      <c r="B1666" t="str">
        <f>IF(A1666="","",IFERROR(VALUE(RIGHT(TRIM(Input!D1666&amp;""),1)),0))</f>
        <v/>
      </c>
      <c r="C1666" t="str">
        <f t="shared" ref="C1666:C1729" si="26">IF(A1666="","",A1666&amp;"|"&amp;B1666)</f>
        <v/>
      </c>
      <c r="D1666" t="str">
        <f>IF(A1666="","",IFERROR(VALUE(SUBSTITUTE(TRIM(Input!E1666&amp;""),"%","")),0)/IF(AND(IFERROR(VALUE(SUBSTITUTE(TRIM(Input!E1666&amp;""),"%","")),0)&gt;0,IFERROR(VALUE(SUBSTITUTE(TRIM(Input!E1666&amp;""),"%","")),0)&lt;1),1,100))</f>
        <v/>
      </c>
      <c r="E1666" t="str">
        <f>IF(A1666="","",IFERROR(VALUE(SUBSTITUTE(TRIM(Input!F1666&amp;""),"%","")),0)/IF(AND(IFERROR(VALUE(SUBSTITUTE(TRIM(Input!F1666&amp;""),"%","")),0)&gt;0,IFERROR(VALUE(SUBSTITUTE(TRIM(Input!F1666&amp;""),"%","")),0)&lt;1),1,100))</f>
        <v/>
      </c>
      <c r="F1666" t="str">
        <f>IF(A1666="","",IFERROR(VALUE(SUBSTITUTE(TRIM(Input!G1666&amp;""),"%","")),0)/IF(AND(IFERROR(VALUE(SUBSTITUTE(TRIM(Input!G1666&amp;""),"%","")),0)&gt;0,IFERROR(VALUE(SUBSTITUTE(TRIM(Input!G1666&amp;""),"%","")),0)&lt;1),1,100))</f>
        <v/>
      </c>
      <c r="G1666" t="str">
        <f>IF(A1666="","",IFERROR(VALUE(SUBSTITUTE(TRIM(Input!H1666&amp;""),"%","")),0)/IF(AND(IFERROR(VALUE(SUBSTITUTE(TRIM(Input!H1666&amp;""),"%","")),0)&gt;0,IFERROR(VALUE(SUBSTITUTE(TRIM(Input!H1666&amp;""),"%","")),0)&lt;1),1,100))</f>
        <v/>
      </c>
      <c r="H1666" t="str">
        <f>IF(A1666="","",IFERROR(VALUE(SUBSTITUTE(TRIM(Input!I1666&amp;""),"%","")),0)/IF(AND(IFERROR(VALUE(SUBSTITUTE(TRIM(Input!I1666&amp;""),"%","")),0)&gt;0,IFERROR(VALUE(SUBSTITUTE(TRIM(Input!I1666&amp;""),"%","")),0)&lt;1),1,100))</f>
        <v/>
      </c>
    </row>
    <row r="1667" spans="1:8">
      <c r="A1667" t="str">
        <f>IF(TRIM(Input!B1667&amp;"")="","",UPPER(TRIM(Input!B1667&amp;"")))</f>
        <v/>
      </c>
      <c r="B1667" t="str">
        <f>IF(A1667="","",IFERROR(VALUE(RIGHT(TRIM(Input!D1667&amp;""),1)),0))</f>
        <v/>
      </c>
      <c r="C1667" t="str">
        <f t="shared" si="26"/>
        <v/>
      </c>
      <c r="D1667" t="str">
        <f>IF(A1667="","",IFERROR(VALUE(SUBSTITUTE(TRIM(Input!E1667&amp;""),"%","")),0)/IF(AND(IFERROR(VALUE(SUBSTITUTE(TRIM(Input!E1667&amp;""),"%","")),0)&gt;0,IFERROR(VALUE(SUBSTITUTE(TRIM(Input!E1667&amp;""),"%","")),0)&lt;1),1,100))</f>
        <v/>
      </c>
      <c r="E1667" t="str">
        <f>IF(A1667="","",IFERROR(VALUE(SUBSTITUTE(TRIM(Input!F1667&amp;""),"%","")),0)/IF(AND(IFERROR(VALUE(SUBSTITUTE(TRIM(Input!F1667&amp;""),"%","")),0)&gt;0,IFERROR(VALUE(SUBSTITUTE(TRIM(Input!F1667&amp;""),"%","")),0)&lt;1),1,100))</f>
        <v/>
      </c>
      <c r="F1667" t="str">
        <f>IF(A1667="","",IFERROR(VALUE(SUBSTITUTE(TRIM(Input!G1667&amp;""),"%","")),0)/IF(AND(IFERROR(VALUE(SUBSTITUTE(TRIM(Input!G1667&amp;""),"%","")),0)&gt;0,IFERROR(VALUE(SUBSTITUTE(TRIM(Input!G1667&amp;""),"%","")),0)&lt;1),1,100))</f>
        <v/>
      </c>
      <c r="G1667" t="str">
        <f>IF(A1667="","",IFERROR(VALUE(SUBSTITUTE(TRIM(Input!H1667&amp;""),"%","")),0)/IF(AND(IFERROR(VALUE(SUBSTITUTE(TRIM(Input!H1667&amp;""),"%","")),0)&gt;0,IFERROR(VALUE(SUBSTITUTE(TRIM(Input!H1667&amp;""),"%","")),0)&lt;1),1,100))</f>
        <v/>
      </c>
      <c r="H1667" t="str">
        <f>IF(A1667="","",IFERROR(VALUE(SUBSTITUTE(TRIM(Input!I1667&amp;""),"%","")),0)/IF(AND(IFERROR(VALUE(SUBSTITUTE(TRIM(Input!I1667&amp;""),"%","")),0)&gt;0,IFERROR(VALUE(SUBSTITUTE(TRIM(Input!I1667&amp;""),"%","")),0)&lt;1),1,100))</f>
        <v/>
      </c>
    </row>
    <row r="1668" spans="1:8">
      <c r="A1668" t="str">
        <f>IF(TRIM(Input!B1668&amp;"")="","",UPPER(TRIM(Input!B1668&amp;"")))</f>
        <v/>
      </c>
      <c r="B1668" t="str">
        <f>IF(A1668="","",IFERROR(VALUE(RIGHT(TRIM(Input!D1668&amp;""),1)),0))</f>
        <v/>
      </c>
      <c r="C1668" t="str">
        <f t="shared" si="26"/>
        <v/>
      </c>
      <c r="D1668" t="str">
        <f>IF(A1668="","",IFERROR(VALUE(SUBSTITUTE(TRIM(Input!E1668&amp;""),"%","")),0)/IF(AND(IFERROR(VALUE(SUBSTITUTE(TRIM(Input!E1668&amp;""),"%","")),0)&gt;0,IFERROR(VALUE(SUBSTITUTE(TRIM(Input!E1668&amp;""),"%","")),0)&lt;1),1,100))</f>
        <v/>
      </c>
      <c r="E1668" t="str">
        <f>IF(A1668="","",IFERROR(VALUE(SUBSTITUTE(TRIM(Input!F1668&amp;""),"%","")),0)/IF(AND(IFERROR(VALUE(SUBSTITUTE(TRIM(Input!F1668&amp;""),"%","")),0)&gt;0,IFERROR(VALUE(SUBSTITUTE(TRIM(Input!F1668&amp;""),"%","")),0)&lt;1),1,100))</f>
        <v/>
      </c>
      <c r="F1668" t="str">
        <f>IF(A1668="","",IFERROR(VALUE(SUBSTITUTE(TRIM(Input!G1668&amp;""),"%","")),0)/IF(AND(IFERROR(VALUE(SUBSTITUTE(TRIM(Input!G1668&amp;""),"%","")),0)&gt;0,IFERROR(VALUE(SUBSTITUTE(TRIM(Input!G1668&amp;""),"%","")),0)&lt;1),1,100))</f>
        <v/>
      </c>
      <c r="G1668" t="str">
        <f>IF(A1668="","",IFERROR(VALUE(SUBSTITUTE(TRIM(Input!H1668&amp;""),"%","")),0)/IF(AND(IFERROR(VALUE(SUBSTITUTE(TRIM(Input!H1668&amp;""),"%","")),0)&gt;0,IFERROR(VALUE(SUBSTITUTE(TRIM(Input!H1668&amp;""),"%","")),0)&lt;1),1,100))</f>
        <v/>
      </c>
      <c r="H1668" t="str">
        <f>IF(A1668="","",IFERROR(VALUE(SUBSTITUTE(TRIM(Input!I1668&amp;""),"%","")),0)/IF(AND(IFERROR(VALUE(SUBSTITUTE(TRIM(Input!I1668&amp;""),"%","")),0)&gt;0,IFERROR(VALUE(SUBSTITUTE(TRIM(Input!I1668&amp;""),"%","")),0)&lt;1),1,100))</f>
        <v/>
      </c>
    </row>
    <row r="1669" spans="1:8">
      <c r="A1669" t="str">
        <f>IF(TRIM(Input!B1669&amp;"")="","",UPPER(TRIM(Input!B1669&amp;"")))</f>
        <v/>
      </c>
      <c r="B1669" t="str">
        <f>IF(A1669="","",IFERROR(VALUE(RIGHT(TRIM(Input!D1669&amp;""),1)),0))</f>
        <v/>
      </c>
      <c r="C1669" t="str">
        <f t="shared" si="26"/>
        <v/>
      </c>
      <c r="D1669" t="str">
        <f>IF(A1669="","",IFERROR(VALUE(SUBSTITUTE(TRIM(Input!E1669&amp;""),"%","")),0)/IF(AND(IFERROR(VALUE(SUBSTITUTE(TRIM(Input!E1669&amp;""),"%","")),0)&gt;0,IFERROR(VALUE(SUBSTITUTE(TRIM(Input!E1669&amp;""),"%","")),0)&lt;1),1,100))</f>
        <v/>
      </c>
      <c r="E1669" t="str">
        <f>IF(A1669="","",IFERROR(VALUE(SUBSTITUTE(TRIM(Input!F1669&amp;""),"%","")),0)/IF(AND(IFERROR(VALUE(SUBSTITUTE(TRIM(Input!F1669&amp;""),"%","")),0)&gt;0,IFERROR(VALUE(SUBSTITUTE(TRIM(Input!F1669&amp;""),"%","")),0)&lt;1),1,100))</f>
        <v/>
      </c>
      <c r="F1669" t="str">
        <f>IF(A1669="","",IFERROR(VALUE(SUBSTITUTE(TRIM(Input!G1669&amp;""),"%","")),0)/IF(AND(IFERROR(VALUE(SUBSTITUTE(TRIM(Input!G1669&amp;""),"%","")),0)&gt;0,IFERROR(VALUE(SUBSTITUTE(TRIM(Input!G1669&amp;""),"%","")),0)&lt;1),1,100))</f>
        <v/>
      </c>
      <c r="G1669" t="str">
        <f>IF(A1669="","",IFERROR(VALUE(SUBSTITUTE(TRIM(Input!H1669&amp;""),"%","")),0)/IF(AND(IFERROR(VALUE(SUBSTITUTE(TRIM(Input!H1669&amp;""),"%","")),0)&gt;0,IFERROR(VALUE(SUBSTITUTE(TRIM(Input!H1669&amp;""),"%","")),0)&lt;1),1,100))</f>
        <v/>
      </c>
      <c r="H1669" t="str">
        <f>IF(A1669="","",IFERROR(VALUE(SUBSTITUTE(TRIM(Input!I1669&amp;""),"%","")),0)/IF(AND(IFERROR(VALUE(SUBSTITUTE(TRIM(Input!I1669&amp;""),"%","")),0)&gt;0,IFERROR(VALUE(SUBSTITUTE(TRIM(Input!I1669&amp;""),"%","")),0)&lt;1),1,100))</f>
        <v/>
      </c>
    </row>
    <row r="1670" spans="1:8">
      <c r="A1670" t="str">
        <f>IF(TRIM(Input!B1670&amp;"")="","",UPPER(TRIM(Input!B1670&amp;"")))</f>
        <v/>
      </c>
      <c r="B1670" t="str">
        <f>IF(A1670="","",IFERROR(VALUE(RIGHT(TRIM(Input!D1670&amp;""),1)),0))</f>
        <v/>
      </c>
      <c r="C1670" t="str">
        <f t="shared" si="26"/>
        <v/>
      </c>
      <c r="D1670" t="str">
        <f>IF(A1670="","",IFERROR(VALUE(SUBSTITUTE(TRIM(Input!E1670&amp;""),"%","")),0)/IF(AND(IFERROR(VALUE(SUBSTITUTE(TRIM(Input!E1670&amp;""),"%","")),0)&gt;0,IFERROR(VALUE(SUBSTITUTE(TRIM(Input!E1670&amp;""),"%","")),0)&lt;1),1,100))</f>
        <v/>
      </c>
      <c r="E1670" t="str">
        <f>IF(A1670="","",IFERROR(VALUE(SUBSTITUTE(TRIM(Input!F1670&amp;""),"%","")),0)/IF(AND(IFERROR(VALUE(SUBSTITUTE(TRIM(Input!F1670&amp;""),"%","")),0)&gt;0,IFERROR(VALUE(SUBSTITUTE(TRIM(Input!F1670&amp;""),"%","")),0)&lt;1),1,100))</f>
        <v/>
      </c>
      <c r="F1670" t="str">
        <f>IF(A1670="","",IFERROR(VALUE(SUBSTITUTE(TRIM(Input!G1670&amp;""),"%","")),0)/IF(AND(IFERROR(VALUE(SUBSTITUTE(TRIM(Input!G1670&amp;""),"%","")),0)&gt;0,IFERROR(VALUE(SUBSTITUTE(TRIM(Input!G1670&amp;""),"%","")),0)&lt;1),1,100))</f>
        <v/>
      </c>
      <c r="G1670" t="str">
        <f>IF(A1670="","",IFERROR(VALUE(SUBSTITUTE(TRIM(Input!H1670&amp;""),"%","")),0)/IF(AND(IFERROR(VALUE(SUBSTITUTE(TRIM(Input!H1670&amp;""),"%","")),0)&gt;0,IFERROR(VALUE(SUBSTITUTE(TRIM(Input!H1670&amp;""),"%","")),0)&lt;1),1,100))</f>
        <v/>
      </c>
      <c r="H1670" t="str">
        <f>IF(A1670="","",IFERROR(VALUE(SUBSTITUTE(TRIM(Input!I1670&amp;""),"%","")),0)/IF(AND(IFERROR(VALUE(SUBSTITUTE(TRIM(Input!I1670&amp;""),"%","")),0)&gt;0,IFERROR(VALUE(SUBSTITUTE(TRIM(Input!I1670&amp;""),"%","")),0)&lt;1),1,100))</f>
        <v/>
      </c>
    </row>
    <row r="1671" spans="1:8">
      <c r="A1671" t="str">
        <f>IF(TRIM(Input!B1671&amp;"")="","",UPPER(TRIM(Input!B1671&amp;"")))</f>
        <v/>
      </c>
      <c r="B1671" t="str">
        <f>IF(A1671="","",IFERROR(VALUE(RIGHT(TRIM(Input!D1671&amp;""),1)),0))</f>
        <v/>
      </c>
      <c r="C1671" t="str">
        <f t="shared" si="26"/>
        <v/>
      </c>
      <c r="D1671" t="str">
        <f>IF(A1671="","",IFERROR(VALUE(SUBSTITUTE(TRIM(Input!E1671&amp;""),"%","")),0)/IF(AND(IFERROR(VALUE(SUBSTITUTE(TRIM(Input!E1671&amp;""),"%","")),0)&gt;0,IFERROR(VALUE(SUBSTITUTE(TRIM(Input!E1671&amp;""),"%","")),0)&lt;1),1,100))</f>
        <v/>
      </c>
      <c r="E1671" t="str">
        <f>IF(A1671="","",IFERROR(VALUE(SUBSTITUTE(TRIM(Input!F1671&amp;""),"%","")),0)/IF(AND(IFERROR(VALUE(SUBSTITUTE(TRIM(Input!F1671&amp;""),"%","")),0)&gt;0,IFERROR(VALUE(SUBSTITUTE(TRIM(Input!F1671&amp;""),"%","")),0)&lt;1),1,100))</f>
        <v/>
      </c>
      <c r="F1671" t="str">
        <f>IF(A1671="","",IFERROR(VALUE(SUBSTITUTE(TRIM(Input!G1671&amp;""),"%","")),0)/IF(AND(IFERROR(VALUE(SUBSTITUTE(TRIM(Input!G1671&amp;""),"%","")),0)&gt;0,IFERROR(VALUE(SUBSTITUTE(TRIM(Input!G1671&amp;""),"%","")),0)&lt;1),1,100))</f>
        <v/>
      </c>
      <c r="G1671" t="str">
        <f>IF(A1671="","",IFERROR(VALUE(SUBSTITUTE(TRIM(Input!H1671&amp;""),"%","")),0)/IF(AND(IFERROR(VALUE(SUBSTITUTE(TRIM(Input!H1671&amp;""),"%","")),0)&gt;0,IFERROR(VALUE(SUBSTITUTE(TRIM(Input!H1671&amp;""),"%","")),0)&lt;1),1,100))</f>
        <v/>
      </c>
      <c r="H1671" t="str">
        <f>IF(A1671="","",IFERROR(VALUE(SUBSTITUTE(TRIM(Input!I1671&amp;""),"%","")),0)/IF(AND(IFERROR(VALUE(SUBSTITUTE(TRIM(Input!I1671&amp;""),"%","")),0)&gt;0,IFERROR(VALUE(SUBSTITUTE(TRIM(Input!I1671&amp;""),"%","")),0)&lt;1),1,100))</f>
        <v/>
      </c>
    </row>
    <row r="1672" spans="1:8">
      <c r="A1672" t="str">
        <f>IF(TRIM(Input!B1672&amp;"")="","",UPPER(TRIM(Input!B1672&amp;"")))</f>
        <v/>
      </c>
      <c r="B1672" t="str">
        <f>IF(A1672="","",IFERROR(VALUE(RIGHT(TRIM(Input!D1672&amp;""),1)),0))</f>
        <v/>
      </c>
      <c r="C1672" t="str">
        <f t="shared" si="26"/>
        <v/>
      </c>
      <c r="D1672" t="str">
        <f>IF(A1672="","",IFERROR(VALUE(SUBSTITUTE(TRIM(Input!E1672&amp;""),"%","")),0)/IF(AND(IFERROR(VALUE(SUBSTITUTE(TRIM(Input!E1672&amp;""),"%","")),0)&gt;0,IFERROR(VALUE(SUBSTITUTE(TRIM(Input!E1672&amp;""),"%","")),0)&lt;1),1,100))</f>
        <v/>
      </c>
      <c r="E1672" t="str">
        <f>IF(A1672="","",IFERROR(VALUE(SUBSTITUTE(TRIM(Input!F1672&amp;""),"%","")),0)/IF(AND(IFERROR(VALUE(SUBSTITUTE(TRIM(Input!F1672&amp;""),"%","")),0)&gt;0,IFERROR(VALUE(SUBSTITUTE(TRIM(Input!F1672&amp;""),"%","")),0)&lt;1),1,100))</f>
        <v/>
      </c>
      <c r="F1672" t="str">
        <f>IF(A1672="","",IFERROR(VALUE(SUBSTITUTE(TRIM(Input!G1672&amp;""),"%","")),0)/IF(AND(IFERROR(VALUE(SUBSTITUTE(TRIM(Input!G1672&amp;""),"%","")),0)&gt;0,IFERROR(VALUE(SUBSTITUTE(TRIM(Input!G1672&amp;""),"%","")),0)&lt;1),1,100))</f>
        <v/>
      </c>
      <c r="G1672" t="str">
        <f>IF(A1672="","",IFERROR(VALUE(SUBSTITUTE(TRIM(Input!H1672&amp;""),"%","")),0)/IF(AND(IFERROR(VALUE(SUBSTITUTE(TRIM(Input!H1672&amp;""),"%","")),0)&gt;0,IFERROR(VALUE(SUBSTITUTE(TRIM(Input!H1672&amp;""),"%","")),0)&lt;1),1,100))</f>
        <v/>
      </c>
      <c r="H1672" t="str">
        <f>IF(A1672="","",IFERROR(VALUE(SUBSTITUTE(TRIM(Input!I1672&amp;""),"%","")),0)/IF(AND(IFERROR(VALUE(SUBSTITUTE(TRIM(Input!I1672&amp;""),"%","")),0)&gt;0,IFERROR(VALUE(SUBSTITUTE(TRIM(Input!I1672&amp;""),"%","")),0)&lt;1),1,100))</f>
        <v/>
      </c>
    </row>
    <row r="1673" spans="1:8">
      <c r="A1673" t="str">
        <f>IF(TRIM(Input!B1673&amp;"")="","",UPPER(TRIM(Input!B1673&amp;"")))</f>
        <v/>
      </c>
      <c r="B1673" t="str">
        <f>IF(A1673="","",IFERROR(VALUE(RIGHT(TRIM(Input!D1673&amp;""),1)),0))</f>
        <v/>
      </c>
      <c r="C1673" t="str">
        <f t="shared" si="26"/>
        <v/>
      </c>
      <c r="D1673" t="str">
        <f>IF(A1673="","",IFERROR(VALUE(SUBSTITUTE(TRIM(Input!E1673&amp;""),"%","")),0)/IF(AND(IFERROR(VALUE(SUBSTITUTE(TRIM(Input!E1673&amp;""),"%","")),0)&gt;0,IFERROR(VALUE(SUBSTITUTE(TRIM(Input!E1673&amp;""),"%","")),0)&lt;1),1,100))</f>
        <v/>
      </c>
      <c r="E1673" t="str">
        <f>IF(A1673="","",IFERROR(VALUE(SUBSTITUTE(TRIM(Input!F1673&amp;""),"%","")),0)/IF(AND(IFERROR(VALUE(SUBSTITUTE(TRIM(Input!F1673&amp;""),"%","")),0)&gt;0,IFERROR(VALUE(SUBSTITUTE(TRIM(Input!F1673&amp;""),"%","")),0)&lt;1),1,100))</f>
        <v/>
      </c>
      <c r="F1673" t="str">
        <f>IF(A1673="","",IFERROR(VALUE(SUBSTITUTE(TRIM(Input!G1673&amp;""),"%","")),0)/IF(AND(IFERROR(VALUE(SUBSTITUTE(TRIM(Input!G1673&amp;""),"%","")),0)&gt;0,IFERROR(VALUE(SUBSTITUTE(TRIM(Input!G1673&amp;""),"%","")),0)&lt;1),1,100))</f>
        <v/>
      </c>
      <c r="G1673" t="str">
        <f>IF(A1673="","",IFERROR(VALUE(SUBSTITUTE(TRIM(Input!H1673&amp;""),"%","")),0)/IF(AND(IFERROR(VALUE(SUBSTITUTE(TRIM(Input!H1673&amp;""),"%","")),0)&gt;0,IFERROR(VALUE(SUBSTITUTE(TRIM(Input!H1673&amp;""),"%","")),0)&lt;1),1,100))</f>
        <v/>
      </c>
      <c r="H1673" t="str">
        <f>IF(A1673="","",IFERROR(VALUE(SUBSTITUTE(TRIM(Input!I1673&amp;""),"%","")),0)/IF(AND(IFERROR(VALUE(SUBSTITUTE(TRIM(Input!I1673&amp;""),"%","")),0)&gt;0,IFERROR(VALUE(SUBSTITUTE(TRIM(Input!I1673&amp;""),"%","")),0)&lt;1),1,100))</f>
        <v/>
      </c>
    </row>
    <row r="1674" spans="1:8">
      <c r="A1674" t="str">
        <f>IF(TRIM(Input!B1674&amp;"")="","",UPPER(TRIM(Input!B1674&amp;"")))</f>
        <v/>
      </c>
      <c r="B1674" t="str">
        <f>IF(A1674="","",IFERROR(VALUE(RIGHT(TRIM(Input!D1674&amp;""),1)),0))</f>
        <v/>
      </c>
      <c r="C1674" t="str">
        <f t="shared" si="26"/>
        <v/>
      </c>
      <c r="D1674" t="str">
        <f>IF(A1674="","",IFERROR(VALUE(SUBSTITUTE(TRIM(Input!E1674&amp;""),"%","")),0)/IF(AND(IFERROR(VALUE(SUBSTITUTE(TRIM(Input!E1674&amp;""),"%","")),0)&gt;0,IFERROR(VALUE(SUBSTITUTE(TRIM(Input!E1674&amp;""),"%","")),0)&lt;1),1,100))</f>
        <v/>
      </c>
      <c r="E1674" t="str">
        <f>IF(A1674="","",IFERROR(VALUE(SUBSTITUTE(TRIM(Input!F1674&amp;""),"%","")),0)/IF(AND(IFERROR(VALUE(SUBSTITUTE(TRIM(Input!F1674&amp;""),"%","")),0)&gt;0,IFERROR(VALUE(SUBSTITUTE(TRIM(Input!F1674&amp;""),"%","")),0)&lt;1),1,100))</f>
        <v/>
      </c>
      <c r="F1674" t="str">
        <f>IF(A1674="","",IFERROR(VALUE(SUBSTITUTE(TRIM(Input!G1674&amp;""),"%","")),0)/IF(AND(IFERROR(VALUE(SUBSTITUTE(TRIM(Input!G1674&amp;""),"%","")),0)&gt;0,IFERROR(VALUE(SUBSTITUTE(TRIM(Input!G1674&amp;""),"%","")),0)&lt;1),1,100))</f>
        <v/>
      </c>
      <c r="G1674" t="str">
        <f>IF(A1674="","",IFERROR(VALUE(SUBSTITUTE(TRIM(Input!H1674&amp;""),"%","")),0)/IF(AND(IFERROR(VALUE(SUBSTITUTE(TRIM(Input!H1674&amp;""),"%","")),0)&gt;0,IFERROR(VALUE(SUBSTITUTE(TRIM(Input!H1674&amp;""),"%","")),0)&lt;1),1,100))</f>
        <v/>
      </c>
      <c r="H1674" t="str">
        <f>IF(A1674="","",IFERROR(VALUE(SUBSTITUTE(TRIM(Input!I1674&amp;""),"%","")),0)/IF(AND(IFERROR(VALUE(SUBSTITUTE(TRIM(Input!I1674&amp;""),"%","")),0)&gt;0,IFERROR(VALUE(SUBSTITUTE(TRIM(Input!I1674&amp;""),"%","")),0)&lt;1),1,100))</f>
        <v/>
      </c>
    </row>
    <row r="1675" spans="1:8">
      <c r="A1675" t="str">
        <f>IF(TRIM(Input!B1675&amp;"")="","",UPPER(TRIM(Input!B1675&amp;"")))</f>
        <v/>
      </c>
      <c r="B1675" t="str">
        <f>IF(A1675="","",IFERROR(VALUE(RIGHT(TRIM(Input!D1675&amp;""),1)),0))</f>
        <v/>
      </c>
      <c r="C1675" t="str">
        <f t="shared" si="26"/>
        <v/>
      </c>
      <c r="D1675" t="str">
        <f>IF(A1675="","",IFERROR(VALUE(SUBSTITUTE(TRIM(Input!E1675&amp;""),"%","")),0)/IF(AND(IFERROR(VALUE(SUBSTITUTE(TRIM(Input!E1675&amp;""),"%","")),0)&gt;0,IFERROR(VALUE(SUBSTITUTE(TRIM(Input!E1675&amp;""),"%","")),0)&lt;1),1,100))</f>
        <v/>
      </c>
      <c r="E1675" t="str">
        <f>IF(A1675="","",IFERROR(VALUE(SUBSTITUTE(TRIM(Input!F1675&amp;""),"%","")),0)/IF(AND(IFERROR(VALUE(SUBSTITUTE(TRIM(Input!F1675&amp;""),"%","")),0)&gt;0,IFERROR(VALUE(SUBSTITUTE(TRIM(Input!F1675&amp;""),"%","")),0)&lt;1),1,100))</f>
        <v/>
      </c>
      <c r="F1675" t="str">
        <f>IF(A1675="","",IFERROR(VALUE(SUBSTITUTE(TRIM(Input!G1675&amp;""),"%","")),0)/IF(AND(IFERROR(VALUE(SUBSTITUTE(TRIM(Input!G1675&amp;""),"%","")),0)&gt;0,IFERROR(VALUE(SUBSTITUTE(TRIM(Input!G1675&amp;""),"%","")),0)&lt;1),1,100))</f>
        <v/>
      </c>
      <c r="G1675" t="str">
        <f>IF(A1675="","",IFERROR(VALUE(SUBSTITUTE(TRIM(Input!H1675&amp;""),"%","")),0)/IF(AND(IFERROR(VALUE(SUBSTITUTE(TRIM(Input!H1675&amp;""),"%","")),0)&gt;0,IFERROR(VALUE(SUBSTITUTE(TRIM(Input!H1675&amp;""),"%","")),0)&lt;1),1,100))</f>
        <v/>
      </c>
      <c r="H1675" t="str">
        <f>IF(A1675="","",IFERROR(VALUE(SUBSTITUTE(TRIM(Input!I1675&amp;""),"%","")),0)/IF(AND(IFERROR(VALUE(SUBSTITUTE(TRIM(Input!I1675&amp;""),"%","")),0)&gt;0,IFERROR(VALUE(SUBSTITUTE(TRIM(Input!I1675&amp;""),"%","")),0)&lt;1),1,100))</f>
        <v/>
      </c>
    </row>
    <row r="1676" spans="1:8">
      <c r="A1676" t="str">
        <f>IF(TRIM(Input!B1676&amp;"")="","",UPPER(TRIM(Input!B1676&amp;"")))</f>
        <v/>
      </c>
      <c r="B1676" t="str">
        <f>IF(A1676="","",IFERROR(VALUE(RIGHT(TRIM(Input!D1676&amp;""),1)),0))</f>
        <v/>
      </c>
      <c r="C1676" t="str">
        <f t="shared" si="26"/>
        <v/>
      </c>
      <c r="D1676" t="str">
        <f>IF(A1676="","",IFERROR(VALUE(SUBSTITUTE(TRIM(Input!E1676&amp;""),"%","")),0)/IF(AND(IFERROR(VALUE(SUBSTITUTE(TRIM(Input!E1676&amp;""),"%","")),0)&gt;0,IFERROR(VALUE(SUBSTITUTE(TRIM(Input!E1676&amp;""),"%","")),0)&lt;1),1,100))</f>
        <v/>
      </c>
      <c r="E1676" t="str">
        <f>IF(A1676="","",IFERROR(VALUE(SUBSTITUTE(TRIM(Input!F1676&amp;""),"%","")),0)/IF(AND(IFERROR(VALUE(SUBSTITUTE(TRIM(Input!F1676&amp;""),"%","")),0)&gt;0,IFERROR(VALUE(SUBSTITUTE(TRIM(Input!F1676&amp;""),"%","")),0)&lt;1),1,100))</f>
        <v/>
      </c>
      <c r="F1676" t="str">
        <f>IF(A1676="","",IFERROR(VALUE(SUBSTITUTE(TRIM(Input!G1676&amp;""),"%","")),0)/IF(AND(IFERROR(VALUE(SUBSTITUTE(TRIM(Input!G1676&amp;""),"%","")),0)&gt;0,IFERROR(VALUE(SUBSTITUTE(TRIM(Input!G1676&amp;""),"%","")),0)&lt;1),1,100))</f>
        <v/>
      </c>
      <c r="G1676" t="str">
        <f>IF(A1676="","",IFERROR(VALUE(SUBSTITUTE(TRIM(Input!H1676&amp;""),"%","")),0)/IF(AND(IFERROR(VALUE(SUBSTITUTE(TRIM(Input!H1676&amp;""),"%","")),0)&gt;0,IFERROR(VALUE(SUBSTITUTE(TRIM(Input!H1676&amp;""),"%","")),0)&lt;1),1,100))</f>
        <v/>
      </c>
      <c r="H1676" t="str">
        <f>IF(A1676="","",IFERROR(VALUE(SUBSTITUTE(TRIM(Input!I1676&amp;""),"%","")),0)/IF(AND(IFERROR(VALUE(SUBSTITUTE(TRIM(Input!I1676&amp;""),"%","")),0)&gt;0,IFERROR(VALUE(SUBSTITUTE(TRIM(Input!I1676&amp;""),"%","")),0)&lt;1),1,100))</f>
        <v/>
      </c>
    </row>
    <row r="1677" spans="1:8">
      <c r="A1677" t="str">
        <f>IF(TRIM(Input!B1677&amp;"")="","",UPPER(TRIM(Input!B1677&amp;"")))</f>
        <v/>
      </c>
      <c r="B1677" t="str">
        <f>IF(A1677="","",IFERROR(VALUE(RIGHT(TRIM(Input!D1677&amp;""),1)),0))</f>
        <v/>
      </c>
      <c r="C1677" t="str">
        <f t="shared" si="26"/>
        <v/>
      </c>
      <c r="D1677" t="str">
        <f>IF(A1677="","",IFERROR(VALUE(SUBSTITUTE(TRIM(Input!E1677&amp;""),"%","")),0)/IF(AND(IFERROR(VALUE(SUBSTITUTE(TRIM(Input!E1677&amp;""),"%","")),0)&gt;0,IFERROR(VALUE(SUBSTITUTE(TRIM(Input!E1677&amp;""),"%","")),0)&lt;1),1,100))</f>
        <v/>
      </c>
      <c r="E1677" t="str">
        <f>IF(A1677="","",IFERROR(VALUE(SUBSTITUTE(TRIM(Input!F1677&amp;""),"%","")),0)/IF(AND(IFERROR(VALUE(SUBSTITUTE(TRIM(Input!F1677&amp;""),"%","")),0)&gt;0,IFERROR(VALUE(SUBSTITUTE(TRIM(Input!F1677&amp;""),"%","")),0)&lt;1),1,100))</f>
        <v/>
      </c>
      <c r="F1677" t="str">
        <f>IF(A1677="","",IFERROR(VALUE(SUBSTITUTE(TRIM(Input!G1677&amp;""),"%","")),0)/IF(AND(IFERROR(VALUE(SUBSTITUTE(TRIM(Input!G1677&amp;""),"%","")),0)&gt;0,IFERROR(VALUE(SUBSTITUTE(TRIM(Input!G1677&amp;""),"%","")),0)&lt;1),1,100))</f>
        <v/>
      </c>
      <c r="G1677" t="str">
        <f>IF(A1677="","",IFERROR(VALUE(SUBSTITUTE(TRIM(Input!H1677&amp;""),"%","")),0)/IF(AND(IFERROR(VALUE(SUBSTITUTE(TRIM(Input!H1677&amp;""),"%","")),0)&gt;0,IFERROR(VALUE(SUBSTITUTE(TRIM(Input!H1677&amp;""),"%","")),0)&lt;1),1,100))</f>
        <v/>
      </c>
      <c r="H1677" t="str">
        <f>IF(A1677="","",IFERROR(VALUE(SUBSTITUTE(TRIM(Input!I1677&amp;""),"%","")),0)/IF(AND(IFERROR(VALUE(SUBSTITUTE(TRIM(Input!I1677&amp;""),"%","")),0)&gt;0,IFERROR(VALUE(SUBSTITUTE(TRIM(Input!I1677&amp;""),"%","")),0)&lt;1),1,100))</f>
        <v/>
      </c>
    </row>
    <row r="1678" spans="1:8">
      <c r="A1678" t="str">
        <f>IF(TRIM(Input!B1678&amp;"")="","",UPPER(TRIM(Input!B1678&amp;"")))</f>
        <v/>
      </c>
      <c r="B1678" t="str">
        <f>IF(A1678="","",IFERROR(VALUE(RIGHT(TRIM(Input!D1678&amp;""),1)),0))</f>
        <v/>
      </c>
      <c r="C1678" t="str">
        <f t="shared" si="26"/>
        <v/>
      </c>
      <c r="D1678" t="str">
        <f>IF(A1678="","",IFERROR(VALUE(SUBSTITUTE(TRIM(Input!E1678&amp;""),"%","")),0)/IF(AND(IFERROR(VALUE(SUBSTITUTE(TRIM(Input!E1678&amp;""),"%","")),0)&gt;0,IFERROR(VALUE(SUBSTITUTE(TRIM(Input!E1678&amp;""),"%","")),0)&lt;1),1,100))</f>
        <v/>
      </c>
      <c r="E1678" t="str">
        <f>IF(A1678="","",IFERROR(VALUE(SUBSTITUTE(TRIM(Input!F1678&amp;""),"%","")),0)/IF(AND(IFERROR(VALUE(SUBSTITUTE(TRIM(Input!F1678&amp;""),"%","")),0)&gt;0,IFERROR(VALUE(SUBSTITUTE(TRIM(Input!F1678&amp;""),"%","")),0)&lt;1),1,100))</f>
        <v/>
      </c>
      <c r="F1678" t="str">
        <f>IF(A1678="","",IFERROR(VALUE(SUBSTITUTE(TRIM(Input!G1678&amp;""),"%","")),0)/IF(AND(IFERROR(VALUE(SUBSTITUTE(TRIM(Input!G1678&amp;""),"%","")),0)&gt;0,IFERROR(VALUE(SUBSTITUTE(TRIM(Input!G1678&amp;""),"%","")),0)&lt;1),1,100))</f>
        <v/>
      </c>
      <c r="G1678" t="str">
        <f>IF(A1678="","",IFERROR(VALUE(SUBSTITUTE(TRIM(Input!H1678&amp;""),"%","")),0)/IF(AND(IFERROR(VALUE(SUBSTITUTE(TRIM(Input!H1678&amp;""),"%","")),0)&gt;0,IFERROR(VALUE(SUBSTITUTE(TRIM(Input!H1678&amp;""),"%","")),0)&lt;1),1,100))</f>
        <v/>
      </c>
      <c r="H1678" t="str">
        <f>IF(A1678="","",IFERROR(VALUE(SUBSTITUTE(TRIM(Input!I1678&amp;""),"%","")),0)/IF(AND(IFERROR(VALUE(SUBSTITUTE(TRIM(Input!I1678&amp;""),"%","")),0)&gt;0,IFERROR(VALUE(SUBSTITUTE(TRIM(Input!I1678&amp;""),"%","")),0)&lt;1),1,100))</f>
        <v/>
      </c>
    </row>
    <row r="1679" spans="1:8">
      <c r="A1679" t="str">
        <f>IF(TRIM(Input!B1679&amp;"")="","",UPPER(TRIM(Input!B1679&amp;"")))</f>
        <v/>
      </c>
      <c r="B1679" t="str">
        <f>IF(A1679="","",IFERROR(VALUE(RIGHT(TRIM(Input!D1679&amp;""),1)),0))</f>
        <v/>
      </c>
      <c r="C1679" t="str">
        <f t="shared" si="26"/>
        <v/>
      </c>
      <c r="D1679" t="str">
        <f>IF(A1679="","",IFERROR(VALUE(SUBSTITUTE(TRIM(Input!E1679&amp;""),"%","")),0)/IF(AND(IFERROR(VALUE(SUBSTITUTE(TRIM(Input!E1679&amp;""),"%","")),0)&gt;0,IFERROR(VALUE(SUBSTITUTE(TRIM(Input!E1679&amp;""),"%","")),0)&lt;1),1,100))</f>
        <v/>
      </c>
      <c r="E1679" t="str">
        <f>IF(A1679="","",IFERROR(VALUE(SUBSTITUTE(TRIM(Input!F1679&amp;""),"%","")),0)/IF(AND(IFERROR(VALUE(SUBSTITUTE(TRIM(Input!F1679&amp;""),"%","")),0)&gt;0,IFERROR(VALUE(SUBSTITUTE(TRIM(Input!F1679&amp;""),"%","")),0)&lt;1),1,100))</f>
        <v/>
      </c>
      <c r="F1679" t="str">
        <f>IF(A1679="","",IFERROR(VALUE(SUBSTITUTE(TRIM(Input!G1679&amp;""),"%","")),0)/IF(AND(IFERROR(VALUE(SUBSTITUTE(TRIM(Input!G1679&amp;""),"%","")),0)&gt;0,IFERROR(VALUE(SUBSTITUTE(TRIM(Input!G1679&amp;""),"%","")),0)&lt;1),1,100))</f>
        <v/>
      </c>
      <c r="G1679" t="str">
        <f>IF(A1679="","",IFERROR(VALUE(SUBSTITUTE(TRIM(Input!H1679&amp;""),"%","")),0)/IF(AND(IFERROR(VALUE(SUBSTITUTE(TRIM(Input!H1679&amp;""),"%","")),0)&gt;0,IFERROR(VALUE(SUBSTITUTE(TRIM(Input!H1679&amp;""),"%","")),0)&lt;1),1,100))</f>
        <v/>
      </c>
      <c r="H1679" t="str">
        <f>IF(A1679="","",IFERROR(VALUE(SUBSTITUTE(TRIM(Input!I1679&amp;""),"%","")),0)/IF(AND(IFERROR(VALUE(SUBSTITUTE(TRIM(Input!I1679&amp;""),"%","")),0)&gt;0,IFERROR(VALUE(SUBSTITUTE(TRIM(Input!I1679&amp;""),"%","")),0)&lt;1),1,100))</f>
        <v/>
      </c>
    </row>
    <row r="1680" spans="1:8">
      <c r="A1680" t="str">
        <f>IF(TRIM(Input!B1680&amp;"")="","",UPPER(TRIM(Input!B1680&amp;"")))</f>
        <v/>
      </c>
      <c r="B1680" t="str">
        <f>IF(A1680="","",IFERROR(VALUE(RIGHT(TRIM(Input!D1680&amp;""),1)),0))</f>
        <v/>
      </c>
      <c r="C1680" t="str">
        <f t="shared" si="26"/>
        <v/>
      </c>
      <c r="D1680" t="str">
        <f>IF(A1680="","",IFERROR(VALUE(SUBSTITUTE(TRIM(Input!E1680&amp;""),"%","")),0)/IF(AND(IFERROR(VALUE(SUBSTITUTE(TRIM(Input!E1680&amp;""),"%","")),0)&gt;0,IFERROR(VALUE(SUBSTITUTE(TRIM(Input!E1680&amp;""),"%","")),0)&lt;1),1,100))</f>
        <v/>
      </c>
      <c r="E1680" t="str">
        <f>IF(A1680="","",IFERROR(VALUE(SUBSTITUTE(TRIM(Input!F1680&amp;""),"%","")),0)/IF(AND(IFERROR(VALUE(SUBSTITUTE(TRIM(Input!F1680&amp;""),"%","")),0)&gt;0,IFERROR(VALUE(SUBSTITUTE(TRIM(Input!F1680&amp;""),"%","")),0)&lt;1),1,100))</f>
        <v/>
      </c>
      <c r="F1680" t="str">
        <f>IF(A1680="","",IFERROR(VALUE(SUBSTITUTE(TRIM(Input!G1680&amp;""),"%","")),0)/IF(AND(IFERROR(VALUE(SUBSTITUTE(TRIM(Input!G1680&amp;""),"%","")),0)&gt;0,IFERROR(VALUE(SUBSTITUTE(TRIM(Input!G1680&amp;""),"%","")),0)&lt;1),1,100))</f>
        <v/>
      </c>
      <c r="G1680" t="str">
        <f>IF(A1680="","",IFERROR(VALUE(SUBSTITUTE(TRIM(Input!H1680&amp;""),"%","")),0)/IF(AND(IFERROR(VALUE(SUBSTITUTE(TRIM(Input!H1680&amp;""),"%","")),0)&gt;0,IFERROR(VALUE(SUBSTITUTE(TRIM(Input!H1680&amp;""),"%","")),0)&lt;1),1,100))</f>
        <v/>
      </c>
      <c r="H1680" t="str">
        <f>IF(A1680="","",IFERROR(VALUE(SUBSTITUTE(TRIM(Input!I1680&amp;""),"%","")),0)/IF(AND(IFERROR(VALUE(SUBSTITUTE(TRIM(Input!I1680&amp;""),"%","")),0)&gt;0,IFERROR(VALUE(SUBSTITUTE(TRIM(Input!I1680&amp;""),"%","")),0)&lt;1),1,100))</f>
        <v/>
      </c>
    </row>
    <row r="1681" spans="1:8">
      <c r="A1681" t="str">
        <f>IF(TRIM(Input!B1681&amp;"")="","",UPPER(TRIM(Input!B1681&amp;"")))</f>
        <v/>
      </c>
      <c r="B1681" t="str">
        <f>IF(A1681="","",IFERROR(VALUE(RIGHT(TRIM(Input!D1681&amp;""),1)),0))</f>
        <v/>
      </c>
      <c r="C1681" t="str">
        <f t="shared" si="26"/>
        <v/>
      </c>
      <c r="D1681" t="str">
        <f>IF(A1681="","",IFERROR(VALUE(SUBSTITUTE(TRIM(Input!E1681&amp;""),"%","")),0)/IF(AND(IFERROR(VALUE(SUBSTITUTE(TRIM(Input!E1681&amp;""),"%","")),0)&gt;0,IFERROR(VALUE(SUBSTITUTE(TRIM(Input!E1681&amp;""),"%","")),0)&lt;1),1,100))</f>
        <v/>
      </c>
      <c r="E1681" t="str">
        <f>IF(A1681="","",IFERROR(VALUE(SUBSTITUTE(TRIM(Input!F1681&amp;""),"%","")),0)/IF(AND(IFERROR(VALUE(SUBSTITUTE(TRIM(Input!F1681&amp;""),"%","")),0)&gt;0,IFERROR(VALUE(SUBSTITUTE(TRIM(Input!F1681&amp;""),"%","")),0)&lt;1),1,100))</f>
        <v/>
      </c>
      <c r="F1681" t="str">
        <f>IF(A1681="","",IFERROR(VALUE(SUBSTITUTE(TRIM(Input!G1681&amp;""),"%","")),0)/IF(AND(IFERROR(VALUE(SUBSTITUTE(TRIM(Input!G1681&amp;""),"%","")),0)&gt;0,IFERROR(VALUE(SUBSTITUTE(TRIM(Input!G1681&amp;""),"%","")),0)&lt;1),1,100))</f>
        <v/>
      </c>
      <c r="G1681" t="str">
        <f>IF(A1681="","",IFERROR(VALUE(SUBSTITUTE(TRIM(Input!H1681&amp;""),"%","")),0)/IF(AND(IFERROR(VALUE(SUBSTITUTE(TRIM(Input!H1681&amp;""),"%","")),0)&gt;0,IFERROR(VALUE(SUBSTITUTE(TRIM(Input!H1681&amp;""),"%","")),0)&lt;1),1,100))</f>
        <v/>
      </c>
      <c r="H1681" t="str">
        <f>IF(A1681="","",IFERROR(VALUE(SUBSTITUTE(TRIM(Input!I1681&amp;""),"%","")),0)/IF(AND(IFERROR(VALUE(SUBSTITUTE(TRIM(Input!I1681&amp;""),"%","")),0)&gt;0,IFERROR(VALUE(SUBSTITUTE(TRIM(Input!I1681&amp;""),"%","")),0)&lt;1),1,100))</f>
        <v/>
      </c>
    </row>
    <row r="1682" spans="1:8">
      <c r="A1682" t="str">
        <f>IF(TRIM(Input!B1682&amp;"")="","",UPPER(TRIM(Input!B1682&amp;"")))</f>
        <v/>
      </c>
      <c r="B1682" t="str">
        <f>IF(A1682="","",IFERROR(VALUE(RIGHT(TRIM(Input!D1682&amp;""),1)),0))</f>
        <v/>
      </c>
      <c r="C1682" t="str">
        <f t="shared" si="26"/>
        <v/>
      </c>
      <c r="D1682" t="str">
        <f>IF(A1682="","",IFERROR(VALUE(SUBSTITUTE(TRIM(Input!E1682&amp;""),"%","")),0)/IF(AND(IFERROR(VALUE(SUBSTITUTE(TRIM(Input!E1682&amp;""),"%","")),0)&gt;0,IFERROR(VALUE(SUBSTITUTE(TRIM(Input!E1682&amp;""),"%","")),0)&lt;1),1,100))</f>
        <v/>
      </c>
      <c r="E1682" t="str">
        <f>IF(A1682="","",IFERROR(VALUE(SUBSTITUTE(TRIM(Input!F1682&amp;""),"%","")),0)/IF(AND(IFERROR(VALUE(SUBSTITUTE(TRIM(Input!F1682&amp;""),"%","")),0)&gt;0,IFERROR(VALUE(SUBSTITUTE(TRIM(Input!F1682&amp;""),"%","")),0)&lt;1),1,100))</f>
        <v/>
      </c>
      <c r="F1682" t="str">
        <f>IF(A1682="","",IFERROR(VALUE(SUBSTITUTE(TRIM(Input!G1682&amp;""),"%","")),0)/IF(AND(IFERROR(VALUE(SUBSTITUTE(TRIM(Input!G1682&amp;""),"%","")),0)&gt;0,IFERROR(VALUE(SUBSTITUTE(TRIM(Input!G1682&amp;""),"%","")),0)&lt;1),1,100))</f>
        <v/>
      </c>
      <c r="G1682" t="str">
        <f>IF(A1682="","",IFERROR(VALUE(SUBSTITUTE(TRIM(Input!H1682&amp;""),"%","")),0)/IF(AND(IFERROR(VALUE(SUBSTITUTE(TRIM(Input!H1682&amp;""),"%","")),0)&gt;0,IFERROR(VALUE(SUBSTITUTE(TRIM(Input!H1682&amp;""),"%","")),0)&lt;1),1,100))</f>
        <v/>
      </c>
      <c r="H1682" t="str">
        <f>IF(A1682="","",IFERROR(VALUE(SUBSTITUTE(TRIM(Input!I1682&amp;""),"%","")),0)/IF(AND(IFERROR(VALUE(SUBSTITUTE(TRIM(Input!I1682&amp;""),"%","")),0)&gt;0,IFERROR(VALUE(SUBSTITUTE(TRIM(Input!I1682&amp;""),"%","")),0)&lt;1),1,100))</f>
        <v/>
      </c>
    </row>
    <row r="1683" spans="1:8">
      <c r="A1683" t="str">
        <f>IF(TRIM(Input!B1683&amp;"")="","",UPPER(TRIM(Input!B1683&amp;"")))</f>
        <v/>
      </c>
      <c r="B1683" t="str">
        <f>IF(A1683="","",IFERROR(VALUE(RIGHT(TRIM(Input!D1683&amp;""),1)),0))</f>
        <v/>
      </c>
      <c r="C1683" t="str">
        <f t="shared" si="26"/>
        <v/>
      </c>
      <c r="D1683" t="str">
        <f>IF(A1683="","",IFERROR(VALUE(SUBSTITUTE(TRIM(Input!E1683&amp;""),"%","")),0)/IF(AND(IFERROR(VALUE(SUBSTITUTE(TRIM(Input!E1683&amp;""),"%","")),0)&gt;0,IFERROR(VALUE(SUBSTITUTE(TRIM(Input!E1683&amp;""),"%","")),0)&lt;1),1,100))</f>
        <v/>
      </c>
      <c r="E1683" t="str">
        <f>IF(A1683="","",IFERROR(VALUE(SUBSTITUTE(TRIM(Input!F1683&amp;""),"%","")),0)/IF(AND(IFERROR(VALUE(SUBSTITUTE(TRIM(Input!F1683&amp;""),"%","")),0)&gt;0,IFERROR(VALUE(SUBSTITUTE(TRIM(Input!F1683&amp;""),"%","")),0)&lt;1),1,100))</f>
        <v/>
      </c>
      <c r="F1683" t="str">
        <f>IF(A1683="","",IFERROR(VALUE(SUBSTITUTE(TRIM(Input!G1683&amp;""),"%","")),0)/IF(AND(IFERROR(VALUE(SUBSTITUTE(TRIM(Input!G1683&amp;""),"%","")),0)&gt;0,IFERROR(VALUE(SUBSTITUTE(TRIM(Input!G1683&amp;""),"%","")),0)&lt;1),1,100))</f>
        <v/>
      </c>
      <c r="G1683" t="str">
        <f>IF(A1683="","",IFERROR(VALUE(SUBSTITUTE(TRIM(Input!H1683&amp;""),"%","")),0)/IF(AND(IFERROR(VALUE(SUBSTITUTE(TRIM(Input!H1683&amp;""),"%","")),0)&gt;0,IFERROR(VALUE(SUBSTITUTE(TRIM(Input!H1683&amp;""),"%","")),0)&lt;1),1,100))</f>
        <v/>
      </c>
      <c r="H1683" t="str">
        <f>IF(A1683="","",IFERROR(VALUE(SUBSTITUTE(TRIM(Input!I1683&amp;""),"%","")),0)/IF(AND(IFERROR(VALUE(SUBSTITUTE(TRIM(Input!I1683&amp;""),"%","")),0)&gt;0,IFERROR(VALUE(SUBSTITUTE(TRIM(Input!I1683&amp;""),"%","")),0)&lt;1),1,100))</f>
        <v/>
      </c>
    </row>
    <row r="1684" spans="1:8">
      <c r="A1684" t="str">
        <f>IF(TRIM(Input!B1684&amp;"")="","",UPPER(TRIM(Input!B1684&amp;"")))</f>
        <v/>
      </c>
      <c r="B1684" t="str">
        <f>IF(A1684="","",IFERROR(VALUE(RIGHT(TRIM(Input!D1684&amp;""),1)),0))</f>
        <v/>
      </c>
      <c r="C1684" t="str">
        <f t="shared" si="26"/>
        <v/>
      </c>
      <c r="D1684" t="str">
        <f>IF(A1684="","",IFERROR(VALUE(SUBSTITUTE(TRIM(Input!E1684&amp;""),"%","")),0)/IF(AND(IFERROR(VALUE(SUBSTITUTE(TRIM(Input!E1684&amp;""),"%","")),0)&gt;0,IFERROR(VALUE(SUBSTITUTE(TRIM(Input!E1684&amp;""),"%","")),0)&lt;1),1,100))</f>
        <v/>
      </c>
      <c r="E1684" t="str">
        <f>IF(A1684="","",IFERROR(VALUE(SUBSTITUTE(TRIM(Input!F1684&amp;""),"%","")),0)/IF(AND(IFERROR(VALUE(SUBSTITUTE(TRIM(Input!F1684&amp;""),"%","")),0)&gt;0,IFERROR(VALUE(SUBSTITUTE(TRIM(Input!F1684&amp;""),"%","")),0)&lt;1),1,100))</f>
        <v/>
      </c>
      <c r="F1684" t="str">
        <f>IF(A1684="","",IFERROR(VALUE(SUBSTITUTE(TRIM(Input!G1684&amp;""),"%","")),0)/IF(AND(IFERROR(VALUE(SUBSTITUTE(TRIM(Input!G1684&amp;""),"%","")),0)&gt;0,IFERROR(VALUE(SUBSTITUTE(TRIM(Input!G1684&amp;""),"%","")),0)&lt;1),1,100))</f>
        <v/>
      </c>
      <c r="G1684" t="str">
        <f>IF(A1684="","",IFERROR(VALUE(SUBSTITUTE(TRIM(Input!H1684&amp;""),"%","")),0)/IF(AND(IFERROR(VALUE(SUBSTITUTE(TRIM(Input!H1684&amp;""),"%","")),0)&gt;0,IFERROR(VALUE(SUBSTITUTE(TRIM(Input!H1684&amp;""),"%","")),0)&lt;1),1,100))</f>
        <v/>
      </c>
      <c r="H1684" t="str">
        <f>IF(A1684="","",IFERROR(VALUE(SUBSTITUTE(TRIM(Input!I1684&amp;""),"%","")),0)/IF(AND(IFERROR(VALUE(SUBSTITUTE(TRIM(Input!I1684&amp;""),"%","")),0)&gt;0,IFERROR(VALUE(SUBSTITUTE(TRIM(Input!I1684&amp;""),"%","")),0)&lt;1),1,100))</f>
        <v/>
      </c>
    </row>
    <row r="1685" spans="1:8">
      <c r="A1685" t="str">
        <f>IF(TRIM(Input!B1685&amp;"")="","",UPPER(TRIM(Input!B1685&amp;"")))</f>
        <v/>
      </c>
      <c r="B1685" t="str">
        <f>IF(A1685="","",IFERROR(VALUE(RIGHT(TRIM(Input!D1685&amp;""),1)),0))</f>
        <v/>
      </c>
      <c r="C1685" t="str">
        <f t="shared" si="26"/>
        <v/>
      </c>
      <c r="D1685" t="str">
        <f>IF(A1685="","",IFERROR(VALUE(SUBSTITUTE(TRIM(Input!E1685&amp;""),"%","")),0)/IF(AND(IFERROR(VALUE(SUBSTITUTE(TRIM(Input!E1685&amp;""),"%","")),0)&gt;0,IFERROR(VALUE(SUBSTITUTE(TRIM(Input!E1685&amp;""),"%","")),0)&lt;1),1,100))</f>
        <v/>
      </c>
      <c r="E1685" t="str">
        <f>IF(A1685="","",IFERROR(VALUE(SUBSTITUTE(TRIM(Input!F1685&amp;""),"%","")),0)/IF(AND(IFERROR(VALUE(SUBSTITUTE(TRIM(Input!F1685&amp;""),"%","")),0)&gt;0,IFERROR(VALUE(SUBSTITUTE(TRIM(Input!F1685&amp;""),"%","")),0)&lt;1),1,100))</f>
        <v/>
      </c>
      <c r="F1685" t="str">
        <f>IF(A1685="","",IFERROR(VALUE(SUBSTITUTE(TRIM(Input!G1685&amp;""),"%","")),0)/IF(AND(IFERROR(VALUE(SUBSTITUTE(TRIM(Input!G1685&amp;""),"%","")),0)&gt;0,IFERROR(VALUE(SUBSTITUTE(TRIM(Input!G1685&amp;""),"%","")),0)&lt;1),1,100))</f>
        <v/>
      </c>
      <c r="G1685" t="str">
        <f>IF(A1685="","",IFERROR(VALUE(SUBSTITUTE(TRIM(Input!H1685&amp;""),"%","")),0)/IF(AND(IFERROR(VALUE(SUBSTITUTE(TRIM(Input!H1685&amp;""),"%","")),0)&gt;0,IFERROR(VALUE(SUBSTITUTE(TRIM(Input!H1685&amp;""),"%","")),0)&lt;1),1,100))</f>
        <v/>
      </c>
      <c r="H1685" t="str">
        <f>IF(A1685="","",IFERROR(VALUE(SUBSTITUTE(TRIM(Input!I1685&amp;""),"%","")),0)/IF(AND(IFERROR(VALUE(SUBSTITUTE(TRIM(Input!I1685&amp;""),"%","")),0)&gt;0,IFERROR(VALUE(SUBSTITUTE(TRIM(Input!I1685&amp;""),"%","")),0)&lt;1),1,100))</f>
        <v/>
      </c>
    </row>
    <row r="1686" spans="1:8">
      <c r="A1686" t="str">
        <f>IF(TRIM(Input!B1686&amp;"")="","",UPPER(TRIM(Input!B1686&amp;"")))</f>
        <v/>
      </c>
      <c r="B1686" t="str">
        <f>IF(A1686="","",IFERROR(VALUE(RIGHT(TRIM(Input!D1686&amp;""),1)),0))</f>
        <v/>
      </c>
      <c r="C1686" t="str">
        <f t="shared" si="26"/>
        <v/>
      </c>
      <c r="D1686" t="str">
        <f>IF(A1686="","",IFERROR(VALUE(SUBSTITUTE(TRIM(Input!E1686&amp;""),"%","")),0)/IF(AND(IFERROR(VALUE(SUBSTITUTE(TRIM(Input!E1686&amp;""),"%","")),0)&gt;0,IFERROR(VALUE(SUBSTITUTE(TRIM(Input!E1686&amp;""),"%","")),0)&lt;1),1,100))</f>
        <v/>
      </c>
      <c r="E1686" t="str">
        <f>IF(A1686="","",IFERROR(VALUE(SUBSTITUTE(TRIM(Input!F1686&amp;""),"%","")),0)/IF(AND(IFERROR(VALUE(SUBSTITUTE(TRIM(Input!F1686&amp;""),"%","")),0)&gt;0,IFERROR(VALUE(SUBSTITUTE(TRIM(Input!F1686&amp;""),"%","")),0)&lt;1),1,100))</f>
        <v/>
      </c>
      <c r="F1686" t="str">
        <f>IF(A1686="","",IFERROR(VALUE(SUBSTITUTE(TRIM(Input!G1686&amp;""),"%","")),0)/IF(AND(IFERROR(VALUE(SUBSTITUTE(TRIM(Input!G1686&amp;""),"%","")),0)&gt;0,IFERROR(VALUE(SUBSTITUTE(TRIM(Input!G1686&amp;""),"%","")),0)&lt;1),1,100))</f>
        <v/>
      </c>
      <c r="G1686" t="str">
        <f>IF(A1686="","",IFERROR(VALUE(SUBSTITUTE(TRIM(Input!H1686&amp;""),"%","")),0)/IF(AND(IFERROR(VALUE(SUBSTITUTE(TRIM(Input!H1686&amp;""),"%","")),0)&gt;0,IFERROR(VALUE(SUBSTITUTE(TRIM(Input!H1686&amp;""),"%","")),0)&lt;1),1,100))</f>
        <v/>
      </c>
      <c r="H1686" t="str">
        <f>IF(A1686="","",IFERROR(VALUE(SUBSTITUTE(TRIM(Input!I1686&amp;""),"%","")),0)/IF(AND(IFERROR(VALUE(SUBSTITUTE(TRIM(Input!I1686&amp;""),"%","")),0)&gt;0,IFERROR(VALUE(SUBSTITUTE(TRIM(Input!I1686&amp;""),"%","")),0)&lt;1),1,100))</f>
        <v/>
      </c>
    </row>
    <row r="1687" spans="1:8">
      <c r="A1687" t="str">
        <f>IF(TRIM(Input!B1687&amp;"")="","",UPPER(TRIM(Input!B1687&amp;"")))</f>
        <v/>
      </c>
      <c r="B1687" t="str">
        <f>IF(A1687="","",IFERROR(VALUE(RIGHT(TRIM(Input!D1687&amp;""),1)),0))</f>
        <v/>
      </c>
      <c r="C1687" t="str">
        <f t="shared" si="26"/>
        <v/>
      </c>
      <c r="D1687" t="str">
        <f>IF(A1687="","",IFERROR(VALUE(SUBSTITUTE(TRIM(Input!E1687&amp;""),"%","")),0)/IF(AND(IFERROR(VALUE(SUBSTITUTE(TRIM(Input!E1687&amp;""),"%","")),0)&gt;0,IFERROR(VALUE(SUBSTITUTE(TRIM(Input!E1687&amp;""),"%","")),0)&lt;1),1,100))</f>
        <v/>
      </c>
      <c r="E1687" t="str">
        <f>IF(A1687="","",IFERROR(VALUE(SUBSTITUTE(TRIM(Input!F1687&amp;""),"%","")),0)/IF(AND(IFERROR(VALUE(SUBSTITUTE(TRIM(Input!F1687&amp;""),"%","")),0)&gt;0,IFERROR(VALUE(SUBSTITUTE(TRIM(Input!F1687&amp;""),"%","")),0)&lt;1),1,100))</f>
        <v/>
      </c>
      <c r="F1687" t="str">
        <f>IF(A1687="","",IFERROR(VALUE(SUBSTITUTE(TRIM(Input!G1687&amp;""),"%","")),0)/IF(AND(IFERROR(VALUE(SUBSTITUTE(TRIM(Input!G1687&amp;""),"%","")),0)&gt;0,IFERROR(VALUE(SUBSTITUTE(TRIM(Input!G1687&amp;""),"%","")),0)&lt;1),1,100))</f>
        <v/>
      </c>
      <c r="G1687" t="str">
        <f>IF(A1687="","",IFERROR(VALUE(SUBSTITUTE(TRIM(Input!H1687&amp;""),"%","")),0)/IF(AND(IFERROR(VALUE(SUBSTITUTE(TRIM(Input!H1687&amp;""),"%","")),0)&gt;0,IFERROR(VALUE(SUBSTITUTE(TRIM(Input!H1687&amp;""),"%","")),0)&lt;1),1,100))</f>
        <v/>
      </c>
      <c r="H1687" t="str">
        <f>IF(A1687="","",IFERROR(VALUE(SUBSTITUTE(TRIM(Input!I1687&amp;""),"%","")),0)/IF(AND(IFERROR(VALUE(SUBSTITUTE(TRIM(Input!I1687&amp;""),"%","")),0)&gt;0,IFERROR(VALUE(SUBSTITUTE(TRIM(Input!I1687&amp;""),"%","")),0)&lt;1),1,100))</f>
        <v/>
      </c>
    </row>
    <row r="1688" spans="1:8">
      <c r="A1688" t="str">
        <f>IF(TRIM(Input!B1688&amp;"")="","",UPPER(TRIM(Input!B1688&amp;"")))</f>
        <v/>
      </c>
      <c r="B1688" t="str">
        <f>IF(A1688="","",IFERROR(VALUE(RIGHT(TRIM(Input!D1688&amp;""),1)),0))</f>
        <v/>
      </c>
      <c r="C1688" t="str">
        <f t="shared" si="26"/>
        <v/>
      </c>
      <c r="D1688" t="str">
        <f>IF(A1688="","",IFERROR(VALUE(SUBSTITUTE(TRIM(Input!E1688&amp;""),"%","")),0)/IF(AND(IFERROR(VALUE(SUBSTITUTE(TRIM(Input!E1688&amp;""),"%","")),0)&gt;0,IFERROR(VALUE(SUBSTITUTE(TRIM(Input!E1688&amp;""),"%","")),0)&lt;1),1,100))</f>
        <v/>
      </c>
      <c r="E1688" t="str">
        <f>IF(A1688="","",IFERROR(VALUE(SUBSTITUTE(TRIM(Input!F1688&amp;""),"%","")),0)/IF(AND(IFERROR(VALUE(SUBSTITUTE(TRIM(Input!F1688&amp;""),"%","")),0)&gt;0,IFERROR(VALUE(SUBSTITUTE(TRIM(Input!F1688&amp;""),"%","")),0)&lt;1),1,100))</f>
        <v/>
      </c>
      <c r="F1688" t="str">
        <f>IF(A1688="","",IFERROR(VALUE(SUBSTITUTE(TRIM(Input!G1688&amp;""),"%","")),0)/IF(AND(IFERROR(VALUE(SUBSTITUTE(TRIM(Input!G1688&amp;""),"%","")),0)&gt;0,IFERROR(VALUE(SUBSTITUTE(TRIM(Input!G1688&amp;""),"%","")),0)&lt;1),1,100))</f>
        <v/>
      </c>
      <c r="G1688" t="str">
        <f>IF(A1688="","",IFERROR(VALUE(SUBSTITUTE(TRIM(Input!H1688&amp;""),"%","")),0)/IF(AND(IFERROR(VALUE(SUBSTITUTE(TRIM(Input!H1688&amp;""),"%","")),0)&gt;0,IFERROR(VALUE(SUBSTITUTE(TRIM(Input!H1688&amp;""),"%","")),0)&lt;1),1,100))</f>
        <v/>
      </c>
      <c r="H1688" t="str">
        <f>IF(A1688="","",IFERROR(VALUE(SUBSTITUTE(TRIM(Input!I1688&amp;""),"%","")),0)/IF(AND(IFERROR(VALUE(SUBSTITUTE(TRIM(Input!I1688&amp;""),"%","")),0)&gt;0,IFERROR(VALUE(SUBSTITUTE(TRIM(Input!I1688&amp;""),"%","")),0)&lt;1),1,100))</f>
        <v/>
      </c>
    </row>
    <row r="1689" spans="1:8">
      <c r="A1689" t="str">
        <f>IF(TRIM(Input!B1689&amp;"")="","",UPPER(TRIM(Input!B1689&amp;"")))</f>
        <v/>
      </c>
      <c r="B1689" t="str">
        <f>IF(A1689="","",IFERROR(VALUE(RIGHT(TRIM(Input!D1689&amp;""),1)),0))</f>
        <v/>
      </c>
      <c r="C1689" t="str">
        <f t="shared" si="26"/>
        <v/>
      </c>
      <c r="D1689" t="str">
        <f>IF(A1689="","",IFERROR(VALUE(SUBSTITUTE(TRIM(Input!E1689&amp;""),"%","")),0)/IF(AND(IFERROR(VALUE(SUBSTITUTE(TRIM(Input!E1689&amp;""),"%","")),0)&gt;0,IFERROR(VALUE(SUBSTITUTE(TRIM(Input!E1689&amp;""),"%","")),0)&lt;1),1,100))</f>
        <v/>
      </c>
      <c r="E1689" t="str">
        <f>IF(A1689="","",IFERROR(VALUE(SUBSTITUTE(TRIM(Input!F1689&amp;""),"%","")),0)/IF(AND(IFERROR(VALUE(SUBSTITUTE(TRIM(Input!F1689&amp;""),"%","")),0)&gt;0,IFERROR(VALUE(SUBSTITUTE(TRIM(Input!F1689&amp;""),"%","")),0)&lt;1),1,100))</f>
        <v/>
      </c>
      <c r="F1689" t="str">
        <f>IF(A1689="","",IFERROR(VALUE(SUBSTITUTE(TRIM(Input!G1689&amp;""),"%","")),0)/IF(AND(IFERROR(VALUE(SUBSTITUTE(TRIM(Input!G1689&amp;""),"%","")),0)&gt;0,IFERROR(VALUE(SUBSTITUTE(TRIM(Input!G1689&amp;""),"%","")),0)&lt;1),1,100))</f>
        <v/>
      </c>
      <c r="G1689" t="str">
        <f>IF(A1689="","",IFERROR(VALUE(SUBSTITUTE(TRIM(Input!H1689&amp;""),"%","")),0)/IF(AND(IFERROR(VALUE(SUBSTITUTE(TRIM(Input!H1689&amp;""),"%","")),0)&gt;0,IFERROR(VALUE(SUBSTITUTE(TRIM(Input!H1689&amp;""),"%","")),0)&lt;1),1,100))</f>
        <v/>
      </c>
      <c r="H1689" t="str">
        <f>IF(A1689="","",IFERROR(VALUE(SUBSTITUTE(TRIM(Input!I1689&amp;""),"%","")),0)/IF(AND(IFERROR(VALUE(SUBSTITUTE(TRIM(Input!I1689&amp;""),"%","")),0)&gt;0,IFERROR(VALUE(SUBSTITUTE(TRIM(Input!I1689&amp;""),"%","")),0)&lt;1),1,100))</f>
        <v/>
      </c>
    </row>
    <row r="1690" spans="1:8">
      <c r="A1690" t="str">
        <f>IF(TRIM(Input!B1690&amp;"")="","",UPPER(TRIM(Input!B1690&amp;"")))</f>
        <v/>
      </c>
      <c r="B1690" t="str">
        <f>IF(A1690="","",IFERROR(VALUE(RIGHT(TRIM(Input!D1690&amp;""),1)),0))</f>
        <v/>
      </c>
      <c r="C1690" t="str">
        <f t="shared" si="26"/>
        <v/>
      </c>
      <c r="D1690" t="str">
        <f>IF(A1690="","",IFERROR(VALUE(SUBSTITUTE(TRIM(Input!E1690&amp;""),"%","")),0)/IF(AND(IFERROR(VALUE(SUBSTITUTE(TRIM(Input!E1690&amp;""),"%","")),0)&gt;0,IFERROR(VALUE(SUBSTITUTE(TRIM(Input!E1690&amp;""),"%","")),0)&lt;1),1,100))</f>
        <v/>
      </c>
      <c r="E1690" t="str">
        <f>IF(A1690="","",IFERROR(VALUE(SUBSTITUTE(TRIM(Input!F1690&amp;""),"%","")),0)/IF(AND(IFERROR(VALUE(SUBSTITUTE(TRIM(Input!F1690&amp;""),"%","")),0)&gt;0,IFERROR(VALUE(SUBSTITUTE(TRIM(Input!F1690&amp;""),"%","")),0)&lt;1),1,100))</f>
        <v/>
      </c>
      <c r="F1690" t="str">
        <f>IF(A1690="","",IFERROR(VALUE(SUBSTITUTE(TRIM(Input!G1690&amp;""),"%","")),0)/IF(AND(IFERROR(VALUE(SUBSTITUTE(TRIM(Input!G1690&amp;""),"%","")),0)&gt;0,IFERROR(VALUE(SUBSTITUTE(TRIM(Input!G1690&amp;""),"%","")),0)&lt;1),1,100))</f>
        <v/>
      </c>
      <c r="G1690" t="str">
        <f>IF(A1690="","",IFERROR(VALUE(SUBSTITUTE(TRIM(Input!H1690&amp;""),"%","")),0)/IF(AND(IFERROR(VALUE(SUBSTITUTE(TRIM(Input!H1690&amp;""),"%","")),0)&gt;0,IFERROR(VALUE(SUBSTITUTE(TRIM(Input!H1690&amp;""),"%","")),0)&lt;1),1,100))</f>
        <v/>
      </c>
      <c r="H1690" t="str">
        <f>IF(A1690="","",IFERROR(VALUE(SUBSTITUTE(TRIM(Input!I1690&amp;""),"%","")),0)/IF(AND(IFERROR(VALUE(SUBSTITUTE(TRIM(Input!I1690&amp;""),"%","")),0)&gt;0,IFERROR(VALUE(SUBSTITUTE(TRIM(Input!I1690&amp;""),"%","")),0)&lt;1),1,100))</f>
        <v/>
      </c>
    </row>
    <row r="1691" spans="1:8">
      <c r="A1691" t="str">
        <f>IF(TRIM(Input!B1691&amp;"")="","",UPPER(TRIM(Input!B1691&amp;"")))</f>
        <v/>
      </c>
      <c r="B1691" t="str">
        <f>IF(A1691="","",IFERROR(VALUE(RIGHT(TRIM(Input!D1691&amp;""),1)),0))</f>
        <v/>
      </c>
      <c r="C1691" t="str">
        <f t="shared" si="26"/>
        <v/>
      </c>
      <c r="D1691" t="str">
        <f>IF(A1691="","",IFERROR(VALUE(SUBSTITUTE(TRIM(Input!E1691&amp;""),"%","")),0)/IF(AND(IFERROR(VALUE(SUBSTITUTE(TRIM(Input!E1691&amp;""),"%","")),0)&gt;0,IFERROR(VALUE(SUBSTITUTE(TRIM(Input!E1691&amp;""),"%","")),0)&lt;1),1,100))</f>
        <v/>
      </c>
      <c r="E1691" t="str">
        <f>IF(A1691="","",IFERROR(VALUE(SUBSTITUTE(TRIM(Input!F1691&amp;""),"%","")),0)/IF(AND(IFERROR(VALUE(SUBSTITUTE(TRIM(Input!F1691&amp;""),"%","")),0)&gt;0,IFERROR(VALUE(SUBSTITUTE(TRIM(Input!F1691&amp;""),"%","")),0)&lt;1),1,100))</f>
        <v/>
      </c>
      <c r="F1691" t="str">
        <f>IF(A1691="","",IFERROR(VALUE(SUBSTITUTE(TRIM(Input!G1691&amp;""),"%","")),0)/IF(AND(IFERROR(VALUE(SUBSTITUTE(TRIM(Input!G1691&amp;""),"%","")),0)&gt;0,IFERROR(VALUE(SUBSTITUTE(TRIM(Input!G1691&amp;""),"%","")),0)&lt;1),1,100))</f>
        <v/>
      </c>
      <c r="G1691" t="str">
        <f>IF(A1691="","",IFERROR(VALUE(SUBSTITUTE(TRIM(Input!H1691&amp;""),"%","")),0)/IF(AND(IFERROR(VALUE(SUBSTITUTE(TRIM(Input!H1691&amp;""),"%","")),0)&gt;0,IFERROR(VALUE(SUBSTITUTE(TRIM(Input!H1691&amp;""),"%","")),0)&lt;1),1,100))</f>
        <v/>
      </c>
      <c r="H1691" t="str">
        <f>IF(A1691="","",IFERROR(VALUE(SUBSTITUTE(TRIM(Input!I1691&amp;""),"%","")),0)/IF(AND(IFERROR(VALUE(SUBSTITUTE(TRIM(Input!I1691&amp;""),"%","")),0)&gt;0,IFERROR(VALUE(SUBSTITUTE(TRIM(Input!I1691&amp;""),"%","")),0)&lt;1),1,100))</f>
        <v/>
      </c>
    </row>
    <row r="1692" spans="1:8">
      <c r="A1692" t="str">
        <f>IF(TRIM(Input!B1692&amp;"")="","",UPPER(TRIM(Input!B1692&amp;"")))</f>
        <v/>
      </c>
      <c r="B1692" t="str">
        <f>IF(A1692="","",IFERROR(VALUE(RIGHT(TRIM(Input!D1692&amp;""),1)),0))</f>
        <v/>
      </c>
      <c r="C1692" t="str">
        <f t="shared" si="26"/>
        <v/>
      </c>
      <c r="D1692" t="str">
        <f>IF(A1692="","",IFERROR(VALUE(SUBSTITUTE(TRIM(Input!E1692&amp;""),"%","")),0)/IF(AND(IFERROR(VALUE(SUBSTITUTE(TRIM(Input!E1692&amp;""),"%","")),0)&gt;0,IFERROR(VALUE(SUBSTITUTE(TRIM(Input!E1692&amp;""),"%","")),0)&lt;1),1,100))</f>
        <v/>
      </c>
      <c r="E1692" t="str">
        <f>IF(A1692="","",IFERROR(VALUE(SUBSTITUTE(TRIM(Input!F1692&amp;""),"%","")),0)/IF(AND(IFERROR(VALUE(SUBSTITUTE(TRIM(Input!F1692&amp;""),"%","")),0)&gt;0,IFERROR(VALUE(SUBSTITUTE(TRIM(Input!F1692&amp;""),"%","")),0)&lt;1),1,100))</f>
        <v/>
      </c>
      <c r="F1692" t="str">
        <f>IF(A1692="","",IFERROR(VALUE(SUBSTITUTE(TRIM(Input!G1692&amp;""),"%","")),0)/IF(AND(IFERROR(VALUE(SUBSTITUTE(TRIM(Input!G1692&amp;""),"%","")),0)&gt;0,IFERROR(VALUE(SUBSTITUTE(TRIM(Input!G1692&amp;""),"%","")),0)&lt;1),1,100))</f>
        <v/>
      </c>
      <c r="G1692" t="str">
        <f>IF(A1692="","",IFERROR(VALUE(SUBSTITUTE(TRIM(Input!H1692&amp;""),"%","")),0)/IF(AND(IFERROR(VALUE(SUBSTITUTE(TRIM(Input!H1692&amp;""),"%","")),0)&gt;0,IFERROR(VALUE(SUBSTITUTE(TRIM(Input!H1692&amp;""),"%","")),0)&lt;1),1,100))</f>
        <v/>
      </c>
      <c r="H1692" t="str">
        <f>IF(A1692="","",IFERROR(VALUE(SUBSTITUTE(TRIM(Input!I1692&amp;""),"%","")),0)/IF(AND(IFERROR(VALUE(SUBSTITUTE(TRIM(Input!I1692&amp;""),"%","")),0)&gt;0,IFERROR(VALUE(SUBSTITUTE(TRIM(Input!I1692&amp;""),"%","")),0)&lt;1),1,100))</f>
        <v/>
      </c>
    </row>
    <row r="1693" spans="1:8">
      <c r="A1693" t="str">
        <f>IF(TRIM(Input!B1693&amp;"")="","",UPPER(TRIM(Input!B1693&amp;"")))</f>
        <v/>
      </c>
      <c r="B1693" t="str">
        <f>IF(A1693="","",IFERROR(VALUE(RIGHT(TRIM(Input!D1693&amp;""),1)),0))</f>
        <v/>
      </c>
      <c r="C1693" t="str">
        <f t="shared" si="26"/>
        <v/>
      </c>
      <c r="D1693" t="str">
        <f>IF(A1693="","",IFERROR(VALUE(SUBSTITUTE(TRIM(Input!E1693&amp;""),"%","")),0)/IF(AND(IFERROR(VALUE(SUBSTITUTE(TRIM(Input!E1693&amp;""),"%","")),0)&gt;0,IFERROR(VALUE(SUBSTITUTE(TRIM(Input!E1693&amp;""),"%","")),0)&lt;1),1,100))</f>
        <v/>
      </c>
      <c r="E1693" t="str">
        <f>IF(A1693="","",IFERROR(VALUE(SUBSTITUTE(TRIM(Input!F1693&amp;""),"%","")),0)/IF(AND(IFERROR(VALUE(SUBSTITUTE(TRIM(Input!F1693&amp;""),"%","")),0)&gt;0,IFERROR(VALUE(SUBSTITUTE(TRIM(Input!F1693&amp;""),"%","")),0)&lt;1),1,100))</f>
        <v/>
      </c>
      <c r="F1693" t="str">
        <f>IF(A1693="","",IFERROR(VALUE(SUBSTITUTE(TRIM(Input!G1693&amp;""),"%","")),0)/IF(AND(IFERROR(VALUE(SUBSTITUTE(TRIM(Input!G1693&amp;""),"%","")),0)&gt;0,IFERROR(VALUE(SUBSTITUTE(TRIM(Input!G1693&amp;""),"%","")),0)&lt;1),1,100))</f>
        <v/>
      </c>
      <c r="G1693" t="str">
        <f>IF(A1693="","",IFERROR(VALUE(SUBSTITUTE(TRIM(Input!H1693&amp;""),"%","")),0)/IF(AND(IFERROR(VALUE(SUBSTITUTE(TRIM(Input!H1693&amp;""),"%","")),0)&gt;0,IFERROR(VALUE(SUBSTITUTE(TRIM(Input!H1693&amp;""),"%","")),0)&lt;1),1,100))</f>
        <v/>
      </c>
      <c r="H1693" t="str">
        <f>IF(A1693="","",IFERROR(VALUE(SUBSTITUTE(TRIM(Input!I1693&amp;""),"%","")),0)/IF(AND(IFERROR(VALUE(SUBSTITUTE(TRIM(Input!I1693&amp;""),"%","")),0)&gt;0,IFERROR(VALUE(SUBSTITUTE(TRIM(Input!I1693&amp;""),"%","")),0)&lt;1),1,100))</f>
        <v/>
      </c>
    </row>
    <row r="1694" spans="1:8">
      <c r="A1694" t="str">
        <f>IF(TRIM(Input!B1694&amp;"")="","",UPPER(TRIM(Input!B1694&amp;"")))</f>
        <v/>
      </c>
      <c r="B1694" t="str">
        <f>IF(A1694="","",IFERROR(VALUE(RIGHT(TRIM(Input!D1694&amp;""),1)),0))</f>
        <v/>
      </c>
      <c r="C1694" t="str">
        <f t="shared" si="26"/>
        <v/>
      </c>
      <c r="D1694" t="str">
        <f>IF(A1694="","",IFERROR(VALUE(SUBSTITUTE(TRIM(Input!E1694&amp;""),"%","")),0)/IF(AND(IFERROR(VALUE(SUBSTITUTE(TRIM(Input!E1694&amp;""),"%","")),0)&gt;0,IFERROR(VALUE(SUBSTITUTE(TRIM(Input!E1694&amp;""),"%","")),0)&lt;1),1,100))</f>
        <v/>
      </c>
      <c r="E1694" t="str">
        <f>IF(A1694="","",IFERROR(VALUE(SUBSTITUTE(TRIM(Input!F1694&amp;""),"%","")),0)/IF(AND(IFERROR(VALUE(SUBSTITUTE(TRIM(Input!F1694&amp;""),"%","")),0)&gt;0,IFERROR(VALUE(SUBSTITUTE(TRIM(Input!F1694&amp;""),"%","")),0)&lt;1),1,100))</f>
        <v/>
      </c>
      <c r="F1694" t="str">
        <f>IF(A1694="","",IFERROR(VALUE(SUBSTITUTE(TRIM(Input!G1694&amp;""),"%","")),0)/IF(AND(IFERROR(VALUE(SUBSTITUTE(TRIM(Input!G1694&amp;""),"%","")),0)&gt;0,IFERROR(VALUE(SUBSTITUTE(TRIM(Input!G1694&amp;""),"%","")),0)&lt;1),1,100))</f>
        <v/>
      </c>
      <c r="G1694" t="str">
        <f>IF(A1694="","",IFERROR(VALUE(SUBSTITUTE(TRIM(Input!H1694&amp;""),"%","")),0)/IF(AND(IFERROR(VALUE(SUBSTITUTE(TRIM(Input!H1694&amp;""),"%","")),0)&gt;0,IFERROR(VALUE(SUBSTITUTE(TRIM(Input!H1694&amp;""),"%","")),0)&lt;1),1,100))</f>
        <v/>
      </c>
      <c r="H1694" t="str">
        <f>IF(A1694="","",IFERROR(VALUE(SUBSTITUTE(TRIM(Input!I1694&amp;""),"%","")),0)/IF(AND(IFERROR(VALUE(SUBSTITUTE(TRIM(Input!I1694&amp;""),"%","")),0)&gt;0,IFERROR(VALUE(SUBSTITUTE(TRIM(Input!I1694&amp;""),"%","")),0)&lt;1),1,100))</f>
        <v/>
      </c>
    </row>
    <row r="1695" spans="1:8">
      <c r="A1695" t="str">
        <f>IF(TRIM(Input!B1695&amp;"")="","",UPPER(TRIM(Input!B1695&amp;"")))</f>
        <v/>
      </c>
      <c r="B1695" t="str">
        <f>IF(A1695="","",IFERROR(VALUE(RIGHT(TRIM(Input!D1695&amp;""),1)),0))</f>
        <v/>
      </c>
      <c r="C1695" t="str">
        <f t="shared" si="26"/>
        <v/>
      </c>
      <c r="D1695" t="str">
        <f>IF(A1695="","",IFERROR(VALUE(SUBSTITUTE(TRIM(Input!E1695&amp;""),"%","")),0)/IF(AND(IFERROR(VALUE(SUBSTITUTE(TRIM(Input!E1695&amp;""),"%","")),0)&gt;0,IFERROR(VALUE(SUBSTITUTE(TRIM(Input!E1695&amp;""),"%","")),0)&lt;1),1,100))</f>
        <v/>
      </c>
      <c r="E1695" t="str">
        <f>IF(A1695="","",IFERROR(VALUE(SUBSTITUTE(TRIM(Input!F1695&amp;""),"%","")),0)/IF(AND(IFERROR(VALUE(SUBSTITUTE(TRIM(Input!F1695&amp;""),"%","")),0)&gt;0,IFERROR(VALUE(SUBSTITUTE(TRIM(Input!F1695&amp;""),"%","")),0)&lt;1),1,100))</f>
        <v/>
      </c>
      <c r="F1695" t="str">
        <f>IF(A1695="","",IFERROR(VALUE(SUBSTITUTE(TRIM(Input!G1695&amp;""),"%","")),0)/IF(AND(IFERROR(VALUE(SUBSTITUTE(TRIM(Input!G1695&amp;""),"%","")),0)&gt;0,IFERROR(VALUE(SUBSTITUTE(TRIM(Input!G1695&amp;""),"%","")),0)&lt;1),1,100))</f>
        <v/>
      </c>
      <c r="G1695" t="str">
        <f>IF(A1695="","",IFERROR(VALUE(SUBSTITUTE(TRIM(Input!H1695&amp;""),"%","")),0)/IF(AND(IFERROR(VALUE(SUBSTITUTE(TRIM(Input!H1695&amp;""),"%","")),0)&gt;0,IFERROR(VALUE(SUBSTITUTE(TRIM(Input!H1695&amp;""),"%","")),0)&lt;1),1,100))</f>
        <v/>
      </c>
      <c r="H1695" t="str">
        <f>IF(A1695="","",IFERROR(VALUE(SUBSTITUTE(TRIM(Input!I1695&amp;""),"%","")),0)/IF(AND(IFERROR(VALUE(SUBSTITUTE(TRIM(Input!I1695&amp;""),"%","")),0)&gt;0,IFERROR(VALUE(SUBSTITUTE(TRIM(Input!I1695&amp;""),"%","")),0)&lt;1),1,100))</f>
        <v/>
      </c>
    </row>
    <row r="1696" spans="1:8">
      <c r="A1696" t="str">
        <f>IF(TRIM(Input!B1696&amp;"")="","",UPPER(TRIM(Input!B1696&amp;"")))</f>
        <v/>
      </c>
      <c r="B1696" t="str">
        <f>IF(A1696="","",IFERROR(VALUE(RIGHT(TRIM(Input!D1696&amp;""),1)),0))</f>
        <v/>
      </c>
      <c r="C1696" t="str">
        <f t="shared" si="26"/>
        <v/>
      </c>
      <c r="D1696" t="str">
        <f>IF(A1696="","",IFERROR(VALUE(SUBSTITUTE(TRIM(Input!E1696&amp;""),"%","")),0)/IF(AND(IFERROR(VALUE(SUBSTITUTE(TRIM(Input!E1696&amp;""),"%","")),0)&gt;0,IFERROR(VALUE(SUBSTITUTE(TRIM(Input!E1696&amp;""),"%","")),0)&lt;1),1,100))</f>
        <v/>
      </c>
      <c r="E1696" t="str">
        <f>IF(A1696="","",IFERROR(VALUE(SUBSTITUTE(TRIM(Input!F1696&amp;""),"%","")),0)/IF(AND(IFERROR(VALUE(SUBSTITUTE(TRIM(Input!F1696&amp;""),"%","")),0)&gt;0,IFERROR(VALUE(SUBSTITUTE(TRIM(Input!F1696&amp;""),"%","")),0)&lt;1),1,100))</f>
        <v/>
      </c>
      <c r="F1696" t="str">
        <f>IF(A1696="","",IFERROR(VALUE(SUBSTITUTE(TRIM(Input!G1696&amp;""),"%","")),0)/IF(AND(IFERROR(VALUE(SUBSTITUTE(TRIM(Input!G1696&amp;""),"%","")),0)&gt;0,IFERROR(VALUE(SUBSTITUTE(TRIM(Input!G1696&amp;""),"%","")),0)&lt;1),1,100))</f>
        <v/>
      </c>
      <c r="G1696" t="str">
        <f>IF(A1696="","",IFERROR(VALUE(SUBSTITUTE(TRIM(Input!H1696&amp;""),"%","")),0)/IF(AND(IFERROR(VALUE(SUBSTITUTE(TRIM(Input!H1696&amp;""),"%","")),0)&gt;0,IFERROR(VALUE(SUBSTITUTE(TRIM(Input!H1696&amp;""),"%","")),0)&lt;1),1,100))</f>
        <v/>
      </c>
      <c r="H1696" t="str">
        <f>IF(A1696="","",IFERROR(VALUE(SUBSTITUTE(TRIM(Input!I1696&amp;""),"%","")),0)/IF(AND(IFERROR(VALUE(SUBSTITUTE(TRIM(Input!I1696&amp;""),"%","")),0)&gt;0,IFERROR(VALUE(SUBSTITUTE(TRIM(Input!I1696&amp;""),"%","")),0)&lt;1),1,100))</f>
        <v/>
      </c>
    </row>
    <row r="1697" spans="1:8">
      <c r="A1697" t="str">
        <f>IF(TRIM(Input!B1697&amp;"")="","",UPPER(TRIM(Input!B1697&amp;"")))</f>
        <v/>
      </c>
      <c r="B1697" t="str">
        <f>IF(A1697="","",IFERROR(VALUE(RIGHT(TRIM(Input!D1697&amp;""),1)),0))</f>
        <v/>
      </c>
      <c r="C1697" t="str">
        <f t="shared" si="26"/>
        <v/>
      </c>
      <c r="D1697" t="str">
        <f>IF(A1697="","",IFERROR(VALUE(SUBSTITUTE(TRIM(Input!E1697&amp;""),"%","")),0)/IF(AND(IFERROR(VALUE(SUBSTITUTE(TRIM(Input!E1697&amp;""),"%","")),0)&gt;0,IFERROR(VALUE(SUBSTITUTE(TRIM(Input!E1697&amp;""),"%","")),0)&lt;1),1,100))</f>
        <v/>
      </c>
      <c r="E1697" t="str">
        <f>IF(A1697="","",IFERROR(VALUE(SUBSTITUTE(TRIM(Input!F1697&amp;""),"%","")),0)/IF(AND(IFERROR(VALUE(SUBSTITUTE(TRIM(Input!F1697&amp;""),"%","")),0)&gt;0,IFERROR(VALUE(SUBSTITUTE(TRIM(Input!F1697&amp;""),"%","")),0)&lt;1),1,100))</f>
        <v/>
      </c>
      <c r="F1697" t="str">
        <f>IF(A1697="","",IFERROR(VALUE(SUBSTITUTE(TRIM(Input!G1697&amp;""),"%","")),0)/IF(AND(IFERROR(VALUE(SUBSTITUTE(TRIM(Input!G1697&amp;""),"%","")),0)&gt;0,IFERROR(VALUE(SUBSTITUTE(TRIM(Input!G1697&amp;""),"%","")),0)&lt;1),1,100))</f>
        <v/>
      </c>
      <c r="G1697" t="str">
        <f>IF(A1697="","",IFERROR(VALUE(SUBSTITUTE(TRIM(Input!H1697&amp;""),"%","")),0)/IF(AND(IFERROR(VALUE(SUBSTITUTE(TRIM(Input!H1697&amp;""),"%","")),0)&gt;0,IFERROR(VALUE(SUBSTITUTE(TRIM(Input!H1697&amp;""),"%","")),0)&lt;1),1,100))</f>
        <v/>
      </c>
      <c r="H1697" t="str">
        <f>IF(A1697="","",IFERROR(VALUE(SUBSTITUTE(TRIM(Input!I1697&amp;""),"%","")),0)/IF(AND(IFERROR(VALUE(SUBSTITUTE(TRIM(Input!I1697&amp;""),"%","")),0)&gt;0,IFERROR(VALUE(SUBSTITUTE(TRIM(Input!I1697&amp;""),"%","")),0)&lt;1),1,100))</f>
        <v/>
      </c>
    </row>
    <row r="1698" spans="1:8">
      <c r="A1698" t="str">
        <f>IF(TRIM(Input!B1698&amp;"")="","",UPPER(TRIM(Input!B1698&amp;"")))</f>
        <v/>
      </c>
      <c r="B1698" t="str">
        <f>IF(A1698="","",IFERROR(VALUE(RIGHT(TRIM(Input!D1698&amp;""),1)),0))</f>
        <v/>
      </c>
      <c r="C1698" t="str">
        <f t="shared" si="26"/>
        <v/>
      </c>
      <c r="D1698" t="str">
        <f>IF(A1698="","",IFERROR(VALUE(SUBSTITUTE(TRIM(Input!E1698&amp;""),"%","")),0)/IF(AND(IFERROR(VALUE(SUBSTITUTE(TRIM(Input!E1698&amp;""),"%","")),0)&gt;0,IFERROR(VALUE(SUBSTITUTE(TRIM(Input!E1698&amp;""),"%","")),0)&lt;1),1,100))</f>
        <v/>
      </c>
      <c r="E1698" t="str">
        <f>IF(A1698="","",IFERROR(VALUE(SUBSTITUTE(TRIM(Input!F1698&amp;""),"%","")),0)/IF(AND(IFERROR(VALUE(SUBSTITUTE(TRIM(Input!F1698&amp;""),"%","")),0)&gt;0,IFERROR(VALUE(SUBSTITUTE(TRIM(Input!F1698&amp;""),"%","")),0)&lt;1),1,100))</f>
        <v/>
      </c>
      <c r="F1698" t="str">
        <f>IF(A1698="","",IFERROR(VALUE(SUBSTITUTE(TRIM(Input!G1698&amp;""),"%","")),0)/IF(AND(IFERROR(VALUE(SUBSTITUTE(TRIM(Input!G1698&amp;""),"%","")),0)&gt;0,IFERROR(VALUE(SUBSTITUTE(TRIM(Input!G1698&amp;""),"%","")),0)&lt;1),1,100))</f>
        <v/>
      </c>
      <c r="G1698" t="str">
        <f>IF(A1698="","",IFERROR(VALUE(SUBSTITUTE(TRIM(Input!H1698&amp;""),"%","")),0)/IF(AND(IFERROR(VALUE(SUBSTITUTE(TRIM(Input!H1698&amp;""),"%","")),0)&gt;0,IFERROR(VALUE(SUBSTITUTE(TRIM(Input!H1698&amp;""),"%","")),0)&lt;1),1,100))</f>
        <v/>
      </c>
      <c r="H1698" t="str">
        <f>IF(A1698="","",IFERROR(VALUE(SUBSTITUTE(TRIM(Input!I1698&amp;""),"%","")),0)/IF(AND(IFERROR(VALUE(SUBSTITUTE(TRIM(Input!I1698&amp;""),"%","")),0)&gt;0,IFERROR(VALUE(SUBSTITUTE(TRIM(Input!I1698&amp;""),"%","")),0)&lt;1),1,100))</f>
        <v/>
      </c>
    </row>
    <row r="1699" spans="1:8">
      <c r="A1699" t="str">
        <f>IF(TRIM(Input!B1699&amp;"")="","",UPPER(TRIM(Input!B1699&amp;"")))</f>
        <v/>
      </c>
      <c r="B1699" t="str">
        <f>IF(A1699="","",IFERROR(VALUE(RIGHT(TRIM(Input!D1699&amp;""),1)),0))</f>
        <v/>
      </c>
      <c r="C1699" t="str">
        <f t="shared" si="26"/>
        <v/>
      </c>
      <c r="D1699" t="str">
        <f>IF(A1699="","",IFERROR(VALUE(SUBSTITUTE(TRIM(Input!E1699&amp;""),"%","")),0)/IF(AND(IFERROR(VALUE(SUBSTITUTE(TRIM(Input!E1699&amp;""),"%","")),0)&gt;0,IFERROR(VALUE(SUBSTITUTE(TRIM(Input!E1699&amp;""),"%","")),0)&lt;1),1,100))</f>
        <v/>
      </c>
      <c r="E1699" t="str">
        <f>IF(A1699="","",IFERROR(VALUE(SUBSTITUTE(TRIM(Input!F1699&amp;""),"%","")),0)/IF(AND(IFERROR(VALUE(SUBSTITUTE(TRIM(Input!F1699&amp;""),"%","")),0)&gt;0,IFERROR(VALUE(SUBSTITUTE(TRIM(Input!F1699&amp;""),"%","")),0)&lt;1),1,100))</f>
        <v/>
      </c>
      <c r="F1699" t="str">
        <f>IF(A1699="","",IFERROR(VALUE(SUBSTITUTE(TRIM(Input!G1699&amp;""),"%","")),0)/IF(AND(IFERROR(VALUE(SUBSTITUTE(TRIM(Input!G1699&amp;""),"%","")),0)&gt;0,IFERROR(VALUE(SUBSTITUTE(TRIM(Input!G1699&amp;""),"%","")),0)&lt;1),1,100))</f>
        <v/>
      </c>
      <c r="G1699" t="str">
        <f>IF(A1699="","",IFERROR(VALUE(SUBSTITUTE(TRIM(Input!H1699&amp;""),"%","")),0)/IF(AND(IFERROR(VALUE(SUBSTITUTE(TRIM(Input!H1699&amp;""),"%","")),0)&gt;0,IFERROR(VALUE(SUBSTITUTE(TRIM(Input!H1699&amp;""),"%","")),0)&lt;1),1,100))</f>
        <v/>
      </c>
      <c r="H1699" t="str">
        <f>IF(A1699="","",IFERROR(VALUE(SUBSTITUTE(TRIM(Input!I1699&amp;""),"%","")),0)/IF(AND(IFERROR(VALUE(SUBSTITUTE(TRIM(Input!I1699&amp;""),"%","")),0)&gt;0,IFERROR(VALUE(SUBSTITUTE(TRIM(Input!I1699&amp;""),"%","")),0)&lt;1),1,100))</f>
        <v/>
      </c>
    </row>
    <row r="1700" spans="1:8">
      <c r="A1700" t="str">
        <f>IF(TRIM(Input!B1700&amp;"")="","",UPPER(TRIM(Input!B1700&amp;"")))</f>
        <v/>
      </c>
      <c r="B1700" t="str">
        <f>IF(A1700="","",IFERROR(VALUE(RIGHT(TRIM(Input!D1700&amp;""),1)),0))</f>
        <v/>
      </c>
      <c r="C1700" t="str">
        <f t="shared" si="26"/>
        <v/>
      </c>
      <c r="D1700" t="str">
        <f>IF(A1700="","",IFERROR(VALUE(SUBSTITUTE(TRIM(Input!E1700&amp;""),"%","")),0)/IF(AND(IFERROR(VALUE(SUBSTITUTE(TRIM(Input!E1700&amp;""),"%","")),0)&gt;0,IFERROR(VALUE(SUBSTITUTE(TRIM(Input!E1700&amp;""),"%","")),0)&lt;1),1,100))</f>
        <v/>
      </c>
      <c r="E1700" t="str">
        <f>IF(A1700="","",IFERROR(VALUE(SUBSTITUTE(TRIM(Input!F1700&amp;""),"%","")),0)/IF(AND(IFERROR(VALUE(SUBSTITUTE(TRIM(Input!F1700&amp;""),"%","")),0)&gt;0,IFERROR(VALUE(SUBSTITUTE(TRIM(Input!F1700&amp;""),"%","")),0)&lt;1),1,100))</f>
        <v/>
      </c>
      <c r="F1700" t="str">
        <f>IF(A1700="","",IFERROR(VALUE(SUBSTITUTE(TRIM(Input!G1700&amp;""),"%","")),0)/IF(AND(IFERROR(VALUE(SUBSTITUTE(TRIM(Input!G1700&amp;""),"%","")),0)&gt;0,IFERROR(VALUE(SUBSTITUTE(TRIM(Input!G1700&amp;""),"%","")),0)&lt;1),1,100))</f>
        <v/>
      </c>
      <c r="G1700" t="str">
        <f>IF(A1700="","",IFERROR(VALUE(SUBSTITUTE(TRIM(Input!H1700&amp;""),"%","")),0)/IF(AND(IFERROR(VALUE(SUBSTITUTE(TRIM(Input!H1700&amp;""),"%","")),0)&gt;0,IFERROR(VALUE(SUBSTITUTE(TRIM(Input!H1700&amp;""),"%","")),0)&lt;1),1,100))</f>
        <v/>
      </c>
      <c r="H1700" t="str">
        <f>IF(A1700="","",IFERROR(VALUE(SUBSTITUTE(TRIM(Input!I1700&amp;""),"%","")),0)/IF(AND(IFERROR(VALUE(SUBSTITUTE(TRIM(Input!I1700&amp;""),"%","")),0)&gt;0,IFERROR(VALUE(SUBSTITUTE(TRIM(Input!I1700&amp;""),"%","")),0)&lt;1),1,100))</f>
        <v/>
      </c>
    </row>
    <row r="1701" spans="1:8">
      <c r="A1701" t="str">
        <f>IF(TRIM(Input!B1701&amp;"")="","",UPPER(TRIM(Input!B1701&amp;"")))</f>
        <v/>
      </c>
      <c r="B1701" t="str">
        <f>IF(A1701="","",IFERROR(VALUE(RIGHT(TRIM(Input!D1701&amp;""),1)),0))</f>
        <v/>
      </c>
      <c r="C1701" t="str">
        <f t="shared" si="26"/>
        <v/>
      </c>
      <c r="D1701" t="str">
        <f>IF(A1701="","",IFERROR(VALUE(SUBSTITUTE(TRIM(Input!E1701&amp;""),"%","")),0)/IF(AND(IFERROR(VALUE(SUBSTITUTE(TRIM(Input!E1701&amp;""),"%","")),0)&gt;0,IFERROR(VALUE(SUBSTITUTE(TRIM(Input!E1701&amp;""),"%","")),0)&lt;1),1,100))</f>
        <v/>
      </c>
      <c r="E1701" t="str">
        <f>IF(A1701="","",IFERROR(VALUE(SUBSTITUTE(TRIM(Input!F1701&amp;""),"%","")),0)/IF(AND(IFERROR(VALUE(SUBSTITUTE(TRIM(Input!F1701&amp;""),"%","")),0)&gt;0,IFERROR(VALUE(SUBSTITUTE(TRIM(Input!F1701&amp;""),"%","")),0)&lt;1),1,100))</f>
        <v/>
      </c>
      <c r="F1701" t="str">
        <f>IF(A1701="","",IFERROR(VALUE(SUBSTITUTE(TRIM(Input!G1701&amp;""),"%","")),0)/IF(AND(IFERROR(VALUE(SUBSTITUTE(TRIM(Input!G1701&amp;""),"%","")),0)&gt;0,IFERROR(VALUE(SUBSTITUTE(TRIM(Input!G1701&amp;""),"%","")),0)&lt;1),1,100))</f>
        <v/>
      </c>
      <c r="G1701" t="str">
        <f>IF(A1701="","",IFERROR(VALUE(SUBSTITUTE(TRIM(Input!H1701&amp;""),"%","")),0)/IF(AND(IFERROR(VALUE(SUBSTITUTE(TRIM(Input!H1701&amp;""),"%","")),0)&gt;0,IFERROR(VALUE(SUBSTITUTE(TRIM(Input!H1701&amp;""),"%","")),0)&lt;1),1,100))</f>
        <v/>
      </c>
      <c r="H1701" t="str">
        <f>IF(A1701="","",IFERROR(VALUE(SUBSTITUTE(TRIM(Input!I1701&amp;""),"%","")),0)/IF(AND(IFERROR(VALUE(SUBSTITUTE(TRIM(Input!I1701&amp;""),"%","")),0)&gt;0,IFERROR(VALUE(SUBSTITUTE(TRIM(Input!I1701&amp;""),"%","")),0)&lt;1),1,100))</f>
        <v/>
      </c>
    </row>
    <row r="1702" spans="1:8">
      <c r="A1702" t="str">
        <f>IF(TRIM(Input!B1702&amp;"")="","",UPPER(TRIM(Input!B1702&amp;"")))</f>
        <v/>
      </c>
      <c r="B1702" t="str">
        <f>IF(A1702="","",IFERROR(VALUE(RIGHT(TRIM(Input!D1702&amp;""),1)),0))</f>
        <v/>
      </c>
      <c r="C1702" t="str">
        <f t="shared" si="26"/>
        <v/>
      </c>
      <c r="D1702" t="str">
        <f>IF(A1702="","",IFERROR(VALUE(SUBSTITUTE(TRIM(Input!E1702&amp;""),"%","")),0)/IF(AND(IFERROR(VALUE(SUBSTITUTE(TRIM(Input!E1702&amp;""),"%","")),0)&gt;0,IFERROR(VALUE(SUBSTITUTE(TRIM(Input!E1702&amp;""),"%","")),0)&lt;1),1,100))</f>
        <v/>
      </c>
      <c r="E1702" t="str">
        <f>IF(A1702="","",IFERROR(VALUE(SUBSTITUTE(TRIM(Input!F1702&amp;""),"%","")),0)/IF(AND(IFERROR(VALUE(SUBSTITUTE(TRIM(Input!F1702&amp;""),"%","")),0)&gt;0,IFERROR(VALUE(SUBSTITUTE(TRIM(Input!F1702&amp;""),"%","")),0)&lt;1),1,100))</f>
        <v/>
      </c>
      <c r="F1702" t="str">
        <f>IF(A1702="","",IFERROR(VALUE(SUBSTITUTE(TRIM(Input!G1702&amp;""),"%","")),0)/IF(AND(IFERROR(VALUE(SUBSTITUTE(TRIM(Input!G1702&amp;""),"%","")),0)&gt;0,IFERROR(VALUE(SUBSTITUTE(TRIM(Input!G1702&amp;""),"%","")),0)&lt;1),1,100))</f>
        <v/>
      </c>
      <c r="G1702" t="str">
        <f>IF(A1702="","",IFERROR(VALUE(SUBSTITUTE(TRIM(Input!H1702&amp;""),"%","")),0)/IF(AND(IFERROR(VALUE(SUBSTITUTE(TRIM(Input!H1702&amp;""),"%","")),0)&gt;0,IFERROR(VALUE(SUBSTITUTE(TRIM(Input!H1702&amp;""),"%","")),0)&lt;1),1,100))</f>
        <v/>
      </c>
      <c r="H1702" t="str">
        <f>IF(A1702="","",IFERROR(VALUE(SUBSTITUTE(TRIM(Input!I1702&amp;""),"%","")),0)/IF(AND(IFERROR(VALUE(SUBSTITUTE(TRIM(Input!I1702&amp;""),"%","")),0)&gt;0,IFERROR(VALUE(SUBSTITUTE(TRIM(Input!I1702&amp;""),"%","")),0)&lt;1),1,100))</f>
        <v/>
      </c>
    </row>
    <row r="1703" spans="1:8">
      <c r="A1703" t="str">
        <f>IF(TRIM(Input!B1703&amp;"")="","",UPPER(TRIM(Input!B1703&amp;"")))</f>
        <v/>
      </c>
      <c r="B1703" t="str">
        <f>IF(A1703="","",IFERROR(VALUE(RIGHT(TRIM(Input!D1703&amp;""),1)),0))</f>
        <v/>
      </c>
      <c r="C1703" t="str">
        <f t="shared" si="26"/>
        <v/>
      </c>
      <c r="D1703" t="str">
        <f>IF(A1703="","",IFERROR(VALUE(SUBSTITUTE(TRIM(Input!E1703&amp;""),"%","")),0)/IF(AND(IFERROR(VALUE(SUBSTITUTE(TRIM(Input!E1703&amp;""),"%","")),0)&gt;0,IFERROR(VALUE(SUBSTITUTE(TRIM(Input!E1703&amp;""),"%","")),0)&lt;1),1,100))</f>
        <v/>
      </c>
      <c r="E1703" t="str">
        <f>IF(A1703="","",IFERROR(VALUE(SUBSTITUTE(TRIM(Input!F1703&amp;""),"%","")),0)/IF(AND(IFERROR(VALUE(SUBSTITUTE(TRIM(Input!F1703&amp;""),"%","")),0)&gt;0,IFERROR(VALUE(SUBSTITUTE(TRIM(Input!F1703&amp;""),"%","")),0)&lt;1),1,100))</f>
        <v/>
      </c>
      <c r="F1703" t="str">
        <f>IF(A1703="","",IFERROR(VALUE(SUBSTITUTE(TRIM(Input!G1703&amp;""),"%","")),0)/IF(AND(IFERROR(VALUE(SUBSTITUTE(TRIM(Input!G1703&amp;""),"%","")),0)&gt;0,IFERROR(VALUE(SUBSTITUTE(TRIM(Input!G1703&amp;""),"%","")),0)&lt;1),1,100))</f>
        <v/>
      </c>
      <c r="G1703" t="str">
        <f>IF(A1703="","",IFERROR(VALUE(SUBSTITUTE(TRIM(Input!H1703&amp;""),"%","")),0)/IF(AND(IFERROR(VALUE(SUBSTITUTE(TRIM(Input!H1703&amp;""),"%","")),0)&gt;0,IFERROR(VALUE(SUBSTITUTE(TRIM(Input!H1703&amp;""),"%","")),0)&lt;1),1,100))</f>
        <v/>
      </c>
      <c r="H1703" t="str">
        <f>IF(A1703="","",IFERROR(VALUE(SUBSTITUTE(TRIM(Input!I1703&amp;""),"%","")),0)/IF(AND(IFERROR(VALUE(SUBSTITUTE(TRIM(Input!I1703&amp;""),"%","")),0)&gt;0,IFERROR(VALUE(SUBSTITUTE(TRIM(Input!I1703&amp;""),"%","")),0)&lt;1),1,100))</f>
        <v/>
      </c>
    </row>
    <row r="1704" spans="1:8">
      <c r="A1704" t="str">
        <f>IF(TRIM(Input!B1704&amp;"")="","",UPPER(TRIM(Input!B1704&amp;"")))</f>
        <v/>
      </c>
      <c r="B1704" t="str">
        <f>IF(A1704="","",IFERROR(VALUE(RIGHT(TRIM(Input!D1704&amp;""),1)),0))</f>
        <v/>
      </c>
      <c r="C1704" t="str">
        <f t="shared" si="26"/>
        <v/>
      </c>
      <c r="D1704" t="str">
        <f>IF(A1704="","",IFERROR(VALUE(SUBSTITUTE(TRIM(Input!E1704&amp;""),"%","")),0)/IF(AND(IFERROR(VALUE(SUBSTITUTE(TRIM(Input!E1704&amp;""),"%","")),0)&gt;0,IFERROR(VALUE(SUBSTITUTE(TRIM(Input!E1704&amp;""),"%","")),0)&lt;1),1,100))</f>
        <v/>
      </c>
      <c r="E1704" t="str">
        <f>IF(A1704="","",IFERROR(VALUE(SUBSTITUTE(TRIM(Input!F1704&amp;""),"%","")),0)/IF(AND(IFERROR(VALUE(SUBSTITUTE(TRIM(Input!F1704&amp;""),"%","")),0)&gt;0,IFERROR(VALUE(SUBSTITUTE(TRIM(Input!F1704&amp;""),"%","")),0)&lt;1),1,100))</f>
        <v/>
      </c>
      <c r="F1704" t="str">
        <f>IF(A1704="","",IFERROR(VALUE(SUBSTITUTE(TRIM(Input!G1704&amp;""),"%","")),0)/IF(AND(IFERROR(VALUE(SUBSTITUTE(TRIM(Input!G1704&amp;""),"%","")),0)&gt;0,IFERROR(VALUE(SUBSTITUTE(TRIM(Input!G1704&amp;""),"%","")),0)&lt;1),1,100))</f>
        <v/>
      </c>
      <c r="G1704" t="str">
        <f>IF(A1704="","",IFERROR(VALUE(SUBSTITUTE(TRIM(Input!H1704&amp;""),"%","")),0)/IF(AND(IFERROR(VALUE(SUBSTITUTE(TRIM(Input!H1704&amp;""),"%","")),0)&gt;0,IFERROR(VALUE(SUBSTITUTE(TRIM(Input!H1704&amp;""),"%","")),0)&lt;1),1,100))</f>
        <v/>
      </c>
      <c r="H1704" t="str">
        <f>IF(A1704="","",IFERROR(VALUE(SUBSTITUTE(TRIM(Input!I1704&amp;""),"%","")),0)/IF(AND(IFERROR(VALUE(SUBSTITUTE(TRIM(Input!I1704&amp;""),"%","")),0)&gt;0,IFERROR(VALUE(SUBSTITUTE(TRIM(Input!I1704&amp;""),"%","")),0)&lt;1),1,100))</f>
        <v/>
      </c>
    </row>
    <row r="1705" spans="1:8">
      <c r="A1705" t="str">
        <f>IF(TRIM(Input!B1705&amp;"")="","",UPPER(TRIM(Input!B1705&amp;"")))</f>
        <v/>
      </c>
      <c r="B1705" t="str">
        <f>IF(A1705="","",IFERROR(VALUE(RIGHT(TRIM(Input!D1705&amp;""),1)),0))</f>
        <v/>
      </c>
      <c r="C1705" t="str">
        <f t="shared" si="26"/>
        <v/>
      </c>
      <c r="D1705" t="str">
        <f>IF(A1705="","",IFERROR(VALUE(SUBSTITUTE(TRIM(Input!E1705&amp;""),"%","")),0)/IF(AND(IFERROR(VALUE(SUBSTITUTE(TRIM(Input!E1705&amp;""),"%","")),0)&gt;0,IFERROR(VALUE(SUBSTITUTE(TRIM(Input!E1705&amp;""),"%","")),0)&lt;1),1,100))</f>
        <v/>
      </c>
      <c r="E1705" t="str">
        <f>IF(A1705="","",IFERROR(VALUE(SUBSTITUTE(TRIM(Input!F1705&amp;""),"%","")),0)/IF(AND(IFERROR(VALUE(SUBSTITUTE(TRIM(Input!F1705&amp;""),"%","")),0)&gt;0,IFERROR(VALUE(SUBSTITUTE(TRIM(Input!F1705&amp;""),"%","")),0)&lt;1),1,100))</f>
        <v/>
      </c>
      <c r="F1705" t="str">
        <f>IF(A1705="","",IFERROR(VALUE(SUBSTITUTE(TRIM(Input!G1705&amp;""),"%","")),0)/IF(AND(IFERROR(VALUE(SUBSTITUTE(TRIM(Input!G1705&amp;""),"%","")),0)&gt;0,IFERROR(VALUE(SUBSTITUTE(TRIM(Input!G1705&amp;""),"%","")),0)&lt;1),1,100))</f>
        <v/>
      </c>
      <c r="G1705" t="str">
        <f>IF(A1705="","",IFERROR(VALUE(SUBSTITUTE(TRIM(Input!H1705&amp;""),"%","")),0)/IF(AND(IFERROR(VALUE(SUBSTITUTE(TRIM(Input!H1705&amp;""),"%","")),0)&gt;0,IFERROR(VALUE(SUBSTITUTE(TRIM(Input!H1705&amp;""),"%","")),0)&lt;1),1,100))</f>
        <v/>
      </c>
      <c r="H1705" t="str">
        <f>IF(A1705="","",IFERROR(VALUE(SUBSTITUTE(TRIM(Input!I1705&amp;""),"%","")),0)/IF(AND(IFERROR(VALUE(SUBSTITUTE(TRIM(Input!I1705&amp;""),"%","")),0)&gt;0,IFERROR(VALUE(SUBSTITUTE(TRIM(Input!I1705&amp;""),"%","")),0)&lt;1),1,100))</f>
        <v/>
      </c>
    </row>
    <row r="1706" spans="1:8">
      <c r="A1706" t="str">
        <f>IF(TRIM(Input!B1706&amp;"")="","",UPPER(TRIM(Input!B1706&amp;"")))</f>
        <v/>
      </c>
      <c r="B1706" t="str">
        <f>IF(A1706="","",IFERROR(VALUE(RIGHT(TRIM(Input!D1706&amp;""),1)),0))</f>
        <v/>
      </c>
      <c r="C1706" t="str">
        <f t="shared" si="26"/>
        <v/>
      </c>
      <c r="D1706" t="str">
        <f>IF(A1706="","",IFERROR(VALUE(SUBSTITUTE(TRIM(Input!E1706&amp;""),"%","")),0)/IF(AND(IFERROR(VALUE(SUBSTITUTE(TRIM(Input!E1706&amp;""),"%","")),0)&gt;0,IFERROR(VALUE(SUBSTITUTE(TRIM(Input!E1706&amp;""),"%","")),0)&lt;1),1,100))</f>
        <v/>
      </c>
      <c r="E1706" t="str">
        <f>IF(A1706="","",IFERROR(VALUE(SUBSTITUTE(TRIM(Input!F1706&amp;""),"%","")),0)/IF(AND(IFERROR(VALUE(SUBSTITUTE(TRIM(Input!F1706&amp;""),"%","")),0)&gt;0,IFERROR(VALUE(SUBSTITUTE(TRIM(Input!F1706&amp;""),"%","")),0)&lt;1),1,100))</f>
        <v/>
      </c>
      <c r="F1706" t="str">
        <f>IF(A1706="","",IFERROR(VALUE(SUBSTITUTE(TRIM(Input!G1706&amp;""),"%","")),0)/IF(AND(IFERROR(VALUE(SUBSTITUTE(TRIM(Input!G1706&amp;""),"%","")),0)&gt;0,IFERROR(VALUE(SUBSTITUTE(TRIM(Input!G1706&amp;""),"%","")),0)&lt;1),1,100))</f>
        <v/>
      </c>
      <c r="G1706" t="str">
        <f>IF(A1706="","",IFERROR(VALUE(SUBSTITUTE(TRIM(Input!H1706&amp;""),"%","")),0)/IF(AND(IFERROR(VALUE(SUBSTITUTE(TRIM(Input!H1706&amp;""),"%","")),0)&gt;0,IFERROR(VALUE(SUBSTITUTE(TRIM(Input!H1706&amp;""),"%","")),0)&lt;1),1,100))</f>
        <v/>
      </c>
      <c r="H1706" t="str">
        <f>IF(A1706="","",IFERROR(VALUE(SUBSTITUTE(TRIM(Input!I1706&amp;""),"%","")),0)/IF(AND(IFERROR(VALUE(SUBSTITUTE(TRIM(Input!I1706&amp;""),"%","")),0)&gt;0,IFERROR(VALUE(SUBSTITUTE(TRIM(Input!I1706&amp;""),"%","")),0)&lt;1),1,100))</f>
        <v/>
      </c>
    </row>
    <row r="1707" spans="1:8">
      <c r="A1707" t="str">
        <f>IF(TRIM(Input!B1707&amp;"")="","",UPPER(TRIM(Input!B1707&amp;"")))</f>
        <v/>
      </c>
      <c r="B1707" t="str">
        <f>IF(A1707="","",IFERROR(VALUE(RIGHT(TRIM(Input!D1707&amp;""),1)),0))</f>
        <v/>
      </c>
      <c r="C1707" t="str">
        <f t="shared" si="26"/>
        <v/>
      </c>
      <c r="D1707" t="str">
        <f>IF(A1707="","",IFERROR(VALUE(SUBSTITUTE(TRIM(Input!E1707&amp;""),"%","")),0)/IF(AND(IFERROR(VALUE(SUBSTITUTE(TRIM(Input!E1707&amp;""),"%","")),0)&gt;0,IFERROR(VALUE(SUBSTITUTE(TRIM(Input!E1707&amp;""),"%","")),0)&lt;1),1,100))</f>
        <v/>
      </c>
      <c r="E1707" t="str">
        <f>IF(A1707="","",IFERROR(VALUE(SUBSTITUTE(TRIM(Input!F1707&amp;""),"%","")),0)/IF(AND(IFERROR(VALUE(SUBSTITUTE(TRIM(Input!F1707&amp;""),"%","")),0)&gt;0,IFERROR(VALUE(SUBSTITUTE(TRIM(Input!F1707&amp;""),"%","")),0)&lt;1),1,100))</f>
        <v/>
      </c>
      <c r="F1707" t="str">
        <f>IF(A1707="","",IFERROR(VALUE(SUBSTITUTE(TRIM(Input!G1707&amp;""),"%","")),0)/IF(AND(IFERROR(VALUE(SUBSTITUTE(TRIM(Input!G1707&amp;""),"%","")),0)&gt;0,IFERROR(VALUE(SUBSTITUTE(TRIM(Input!G1707&amp;""),"%","")),0)&lt;1),1,100))</f>
        <v/>
      </c>
      <c r="G1707" t="str">
        <f>IF(A1707="","",IFERROR(VALUE(SUBSTITUTE(TRIM(Input!H1707&amp;""),"%","")),0)/IF(AND(IFERROR(VALUE(SUBSTITUTE(TRIM(Input!H1707&amp;""),"%","")),0)&gt;0,IFERROR(VALUE(SUBSTITUTE(TRIM(Input!H1707&amp;""),"%","")),0)&lt;1),1,100))</f>
        <v/>
      </c>
      <c r="H1707" t="str">
        <f>IF(A1707="","",IFERROR(VALUE(SUBSTITUTE(TRIM(Input!I1707&amp;""),"%","")),0)/IF(AND(IFERROR(VALUE(SUBSTITUTE(TRIM(Input!I1707&amp;""),"%","")),0)&gt;0,IFERROR(VALUE(SUBSTITUTE(TRIM(Input!I1707&amp;""),"%","")),0)&lt;1),1,100))</f>
        <v/>
      </c>
    </row>
    <row r="1708" spans="1:8">
      <c r="A1708" t="str">
        <f>IF(TRIM(Input!B1708&amp;"")="","",UPPER(TRIM(Input!B1708&amp;"")))</f>
        <v/>
      </c>
      <c r="B1708" t="str">
        <f>IF(A1708="","",IFERROR(VALUE(RIGHT(TRIM(Input!D1708&amp;""),1)),0))</f>
        <v/>
      </c>
      <c r="C1708" t="str">
        <f t="shared" si="26"/>
        <v/>
      </c>
      <c r="D1708" t="str">
        <f>IF(A1708="","",IFERROR(VALUE(SUBSTITUTE(TRIM(Input!E1708&amp;""),"%","")),0)/IF(AND(IFERROR(VALUE(SUBSTITUTE(TRIM(Input!E1708&amp;""),"%","")),0)&gt;0,IFERROR(VALUE(SUBSTITUTE(TRIM(Input!E1708&amp;""),"%","")),0)&lt;1),1,100))</f>
        <v/>
      </c>
      <c r="E1708" t="str">
        <f>IF(A1708="","",IFERROR(VALUE(SUBSTITUTE(TRIM(Input!F1708&amp;""),"%","")),0)/IF(AND(IFERROR(VALUE(SUBSTITUTE(TRIM(Input!F1708&amp;""),"%","")),0)&gt;0,IFERROR(VALUE(SUBSTITUTE(TRIM(Input!F1708&amp;""),"%","")),0)&lt;1),1,100))</f>
        <v/>
      </c>
      <c r="F1708" t="str">
        <f>IF(A1708="","",IFERROR(VALUE(SUBSTITUTE(TRIM(Input!G1708&amp;""),"%","")),0)/IF(AND(IFERROR(VALUE(SUBSTITUTE(TRIM(Input!G1708&amp;""),"%","")),0)&gt;0,IFERROR(VALUE(SUBSTITUTE(TRIM(Input!G1708&amp;""),"%","")),0)&lt;1),1,100))</f>
        <v/>
      </c>
      <c r="G1708" t="str">
        <f>IF(A1708="","",IFERROR(VALUE(SUBSTITUTE(TRIM(Input!H1708&amp;""),"%","")),0)/IF(AND(IFERROR(VALUE(SUBSTITUTE(TRIM(Input!H1708&amp;""),"%","")),0)&gt;0,IFERROR(VALUE(SUBSTITUTE(TRIM(Input!H1708&amp;""),"%","")),0)&lt;1),1,100))</f>
        <v/>
      </c>
      <c r="H1708" t="str">
        <f>IF(A1708="","",IFERROR(VALUE(SUBSTITUTE(TRIM(Input!I1708&amp;""),"%","")),0)/IF(AND(IFERROR(VALUE(SUBSTITUTE(TRIM(Input!I1708&amp;""),"%","")),0)&gt;0,IFERROR(VALUE(SUBSTITUTE(TRIM(Input!I1708&amp;""),"%","")),0)&lt;1),1,100))</f>
        <v/>
      </c>
    </row>
    <row r="1709" spans="1:8">
      <c r="A1709" t="str">
        <f>IF(TRIM(Input!B1709&amp;"")="","",UPPER(TRIM(Input!B1709&amp;"")))</f>
        <v/>
      </c>
      <c r="B1709" t="str">
        <f>IF(A1709="","",IFERROR(VALUE(RIGHT(TRIM(Input!D1709&amp;""),1)),0))</f>
        <v/>
      </c>
      <c r="C1709" t="str">
        <f t="shared" si="26"/>
        <v/>
      </c>
      <c r="D1709" t="str">
        <f>IF(A1709="","",IFERROR(VALUE(SUBSTITUTE(TRIM(Input!E1709&amp;""),"%","")),0)/IF(AND(IFERROR(VALUE(SUBSTITUTE(TRIM(Input!E1709&amp;""),"%","")),0)&gt;0,IFERROR(VALUE(SUBSTITUTE(TRIM(Input!E1709&amp;""),"%","")),0)&lt;1),1,100))</f>
        <v/>
      </c>
      <c r="E1709" t="str">
        <f>IF(A1709="","",IFERROR(VALUE(SUBSTITUTE(TRIM(Input!F1709&amp;""),"%","")),0)/IF(AND(IFERROR(VALUE(SUBSTITUTE(TRIM(Input!F1709&amp;""),"%","")),0)&gt;0,IFERROR(VALUE(SUBSTITUTE(TRIM(Input!F1709&amp;""),"%","")),0)&lt;1),1,100))</f>
        <v/>
      </c>
      <c r="F1709" t="str">
        <f>IF(A1709="","",IFERROR(VALUE(SUBSTITUTE(TRIM(Input!G1709&amp;""),"%","")),0)/IF(AND(IFERROR(VALUE(SUBSTITUTE(TRIM(Input!G1709&amp;""),"%","")),0)&gt;0,IFERROR(VALUE(SUBSTITUTE(TRIM(Input!G1709&amp;""),"%","")),0)&lt;1),1,100))</f>
        <v/>
      </c>
      <c r="G1709" t="str">
        <f>IF(A1709="","",IFERROR(VALUE(SUBSTITUTE(TRIM(Input!H1709&amp;""),"%","")),0)/IF(AND(IFERROR(VALUE(SUBSTITUTE(TRIM(Input!H1709&amp;""),"%","")),0)&gt;0,IFERROR(VALUE(SUBSTITUTE(TRIM(Input!H1709&amp;""),"%","")),0)&lt;1),1,100))</f>
        <v/>
      </c>
      <c r="H1709" t="str">
        <f>IF(A1709="","",IFERROR(VALUE(SUBSTITUTE(TRIM(Input!I1709&amp;""),"%","")),0)/IF(AND(IFERROR(VALUE(SUBSTITUTE(TRIM(Input!I1709&amp;""),"%","")),0)&gt;0,IFERROR(VALUE(SUBSTITUTE(TRIM(Input!I1709&amp;""),"%","")),0)&lt;1),1,100))</f>
        <v/>
      </c>
    </row>
    <row r="1710" spans="1:8">
      <c r="A1710" t="str">
        <f>IF(TRIM(Input!B1710&amp;"")="","",UPPER(TRIM(Input!B1710&amp;"")))</f>
        <v/>
      </c>
      <c r="B1710" t="str">
        <f>IF(A1710="","",IFERROR(VALUE(RIGHT(TRIM(Input!D1710&amp;""),1)),0))</f>
        <v/>
      </c>
      <c r="C1710" t="str">
        <f t="shared" si="26"/>
        <v/>
      </c>
      <c r="D1710" t="str">
        <f>IF(A1710="","",IFERROR(VALUE(SUBSTITUTE(TRIM(Input!E1710&amp;""),"%","")),0)/IF(AND(IFERROR(VALUE(SUBSTITUTE(TRIM(Input!E1710&amp;""),"%","")),0)&gt;0,IFERROR(VALUE(SUBSTITUTE(TRIM(Input!E1710&amp;""),"%","")),0)&lt;1),1,100))</f>
        <v/>
      </c>
      <c r="E1710" t="str">
        <f>IF(A1710="","",IFERROR(VALUE(SUBSTITUTE(TRIM(Input!F1710&amp;""),"%","")),0)/IF(AND(IFERROR(VALUE(SUBSTITUTE(TRIM(Input!F1710&amp;""),"%","")),0)&gt;0,IFERROR(VALUE(SUBSTITUTE(TRIM(Input!F1710&amp;""),"%","")),0)&lt;1),1,100))</f>
        <v/>
      </c>
      <c r="F1710" t="str">
        <f>IF(A1710="","",IFERROR(VALUE(SUBSTITUTE(TRIM(Input!G1710&amp;""),"%","")),0)/IF(AND(IFERROR(VALUE(SUBSTITUTE(TRIM(Input!G1710&amp;""),"%","")),0)&gt;0,IFERROR(VALUE(SUBSTITUTE(TRIM(Input!G1710&amp;""),"%","")),0)&lt;1),1,100))</f>
        <v/>
      </c>
      <c r="G1710" t="str">
        <f>IF(A1710="","",IFERROR(VALUE(SUBSTITUTE(TRIM(Input!H1710&amp;""),"%","")),0)/IF(AND(IFERROR(VALUE(SUBSTITUTE(TRIM(Input!H1710&amp;""),"%","")),0)&gt;0,IFERROR(VALUE(SUBSTITUTE(TRIM(Input!H1710&amp;""),"%","")),0)&lt;1),1,100))</f>
        <v/>
      </c>
      <c r="H1710" t="str">
        <f>IF(A1710="","",IFERROR(VALUE(SUBSTITUTE(TRIM(Input!I1710&amp;""),"%","")),0)/IF(AND(IFERROR(VALUE(SUBSTITUTE(TRIM(Input!I1710&amp;""),"%","")),0)&gt;0,IFERROR(VALUE(SUBSTITUTE(TRIM(Input!I1710&amp;""),"%","")),0)&lt;1),1,100))</f>
        <v/>
      </c>
    </row>
    <row r="1711" spans="1:8">
      <c r="A1711" t="str">
        <f>IF(TRIM(Input!B1711&amp;"")="","",UPPER(TRIM(Input!B1711&amp;"")))</f>
        <v/>
      </c>
      <c r="B1711" t="str">
        <f>IF(A1711="","",IFERROR(VALUE(RIGHT(TRIM(Input!D1711&amp;""),1)),0))</f>
        <v/>
      </c>
      <c r="C1711" t="str">
        <f t="shared" si="26"/>
        <v/>
      </c>
      <c r="D1711" t="str">
        <f>IF(A1711="","",IFERROR(VALUE(SUBSTITUTE(TRIM(Input!E1711&amp;""),"%","")),0)/IF(AND(IFERROR(VALUE(SUBSTITUTE(TRIM(Input!E1711&amp;""),"%","")),0)&gt;0,IFERROR(VALUE(SUBSTITUTE(TRIM(Input!E1711&amp;""),"%","")),0)&lt;1),1,100))</f>
        <v/>
      </c>
      <c r="E1711" t="str">
        <f>IF(A1711="","",IFERROR(VALUE(SUBSTITUTE(TRIM(Input!F1711&amp;""),"%","")),0)/IF(AND(IFERROR(VALUE(SUBSTITUTE(TRIM(Input!F1711&amp;""),"%","")),0)&gt;0,IFERROR(VALUE(SUBSTITUTE(TRIM(Input!F1711&amp;""),"%","")),0)&lt;1),1,100))</f>
        <v/>
      </c>
      <c r="F1711" t="str">
        <f>IF(A1711="","",IFERROR(VALUE(SUBSTITUTE(TRIM(Input!G1711&amp;""),"%","")),0)/IF(AND(IFERROR(VALUE(SUBSTITUTE(TRIM(Input!G1711&amp;""),"%","")),0)&gt;0,IFERROR(VALUE(SUBSTITUTE(TRIM(Input!G1711&amp;""),"%","")),0)&lt;1),1,100))</f>
        <v/>
      </c>
      <c r="G1711" t="str">
        <f>IF(A1711="","",IFERROR(VALUE(SUBSTITUTE(TRIM(Input!H1711&amp;""),"%","")),0)/IF(AND(IFERROR(VALUE(SUBSTITUTE(TRIM(Input!H1711&amp;""),"%","")),0)&gt;0,IFERROR(VALUE(SUBSTITUTE(TRIM(Input!H1711&amp;""),"%","")),0)&lt;1),1,100))</f>
        <v/>
      </c>
      <c r="H1711" t="str">
        <f>IF(A1711="","",IFERROR(VALUE(SUBSTITUTE(TRIM(Input!I1711&amp;""),"%","")),0)/IF(AND(IFERROR(VALUE(SUBSTITUTE(TRIM(Input!I1711&amp;""),"%","")),0)&gt;0,IFERROR(VALUE(SUBSTITUTE(TRIM(Input!I1711&amp;""),"%","")),0)&lt;1),1,100))</f>
        <v/>
      </c>
    </row>
    <row r="1712" spans="1:8">
      <c r="A1712" t="str">
        <f>IF(TRIM(Input!B1712&amp;"")="","",UPPER(TRIM(Input!B1712&amp;"")))</f>
        <v/>
      </c>
      <c r="B1712" t="str">
        <f>IF(A1712="","",IFERROR(VALUE(RIGHT(TRIM(Input!D1712&amp;""),1)),0))</f>
        <v/>
      </c>
      <c r="C1712" t="str">
        <f t="shared" si="26"/>
        <v/>
      </c>
      <c r="D1712" t="str">
        <f>IF(A1712="","",IFERROR(VALUE(SUBSTITUTE(TRIM(Input!E1712&amp;""),"%","")),0)/IF(AND(IFERROR(VALUE(SUBSTITUTE(TRIM(Input!E1712&amp;""),"%","")),0)&gt;0,IFERROR(VALUE(SUBSTITUTE(TRIM(Input!E1712&amp;""),"%","")),0)&lt;1),1,100))</f>
        <v/>
      </c>
      <c r="E1712" t="str">
        <f>IF(A1712="","",IFERROR(VALUE(SUBSTITUTE(TRIM(Input!F1712&amp;""),"%","")),0)/IF(AND(IFERROR(VALUE(SUBSTITUTE(TRIM(Input!F1712&amp;""),"%","")),0)&gt;0,IFERROR(VALUE(SUBSTITUTE(TRIM(Input!F1712&amp;""),"%","")),0)&lt;1),1,100))</f>
        <v/>
      </c>
      <c r="F1712" t="str">
        <f>IF(A1712="","",IFERROR(VALUE(SUBSTITUTE(TRIM(Input!G1712&amp;""),"%","")),0)/IF(AND(IFERROR(VALUE(SUBSTITUTE(TRIM(Input!G1712&amp;""),"%","")),0)&gt;0,IFERROR(VALUE(SUBSTITUTE(TRIM(Input!G1712&amp;""),"%","")),0)&lt;1),1,100))</f>
        <v/>
      </c>
      <c r="G1712" t="str">
        <f>IF(A1712="","",IFERROR(VALUE(SUBSTITUTE(TRIM(Input!H1712&amp;""),"%","")),0)/IF(AND(IFERROR(VALUE(SUBSTITUTE(TRIM(Input!H1712&amp;""),"%","")),0)&gt;0,IFERROR(VALUE(SUBSTITUTE(TRIM(Input!H1712&amp;""),"%","")),0)&lt;1),1,100))</f>
        <v/>
      </c>
      <c r="H1712" t="str">
        <f>IF(A1712="","",IFERROR(VALUE(SUBSTITUTE(TRIM(Input!I1712&amp;""),"%","")),0)/IF(AND(IFERROR(VALUE(SUBSTITUTE(TRIM(Input!I1712&amp;""),"%","")),0)&gt;0,IFERROR(VALUE(SUBSTITUTE(TRIM(Input!I1712&amp;""),"%","")),0)&lt;1),1,100))</f>
        <v/>
      </c>
    </row>
    <row r="1713" spans="1:8">
      <c r="A1713" t="str">
        <f>IF(TRIM(Input!B1713&amp;"")="","",UPPER(TRIM(Input!B1713&amp;"")))</f>
        <v/>
      </c>
      <c r="B1713" t="str">
        <f>IF(A1713="","",IFERROR(VALUE(RIGHT(TRIM(Input!D1713&amp;""),1)),0))</f>
        <v/>
      </c>
      <c r="C1713" t="str">
        <f t="shared" si="26"/>
        <v/>
      </c>
      <c r="D1713" t="str">
        <f>IF(A1713="","",IFERROR(VALUE(SUBSTITUTE(TRIM(Input!E1713&amp;""),"%","")),0)/IF(AND(IFERROR(VALUE(SUBSTITUTE(TRIM(Input!E1713&amp;""),"%","")),0)&gt;0,IFERROR(VALUE(SUBSTITUTE(TRIM(Input!E1713&amp;""),"%","")),0)&lt;1),1,100))</f>
        <v/>
      </c>
      <c r="E1713" t="str">
        <f>IF(A1713="","",IFERROR(VALUE(SUBSTITUTE(TRIM(Input!F1713&amp;""),"%","")),0)/IF(AND(IFERROR(VALUE(SUBSTITUTE(TRIM(Input!F1713&amp;""),"%","")),0)&gt;0,IFERROR(VALUE(SUBSTITUTE(TRIM(Input!F1713&amp;""),"%","")),0)&lt;1),1,100))</f>
        <v/>
      </c>
      <c r="F1713" t="str">
        <f>IF(A1713="","",IFERROR(VALUE(SUBSTITUTE(TRIM(Input!G1713&amp;""),"%","")),0)/IF(AND(IFERROR(VALUE(SUBSTITUTE(TRIM(Input!G1713&amp;""),"%","")),0)&gt;0,IFERROR(VALUE(SUBSTITUTE(TRIM(Input!G1713&amp;""),"%","")),0)&lt;1),1,100))</f>
        <v/>
      </c>
      <c r="G1713" t="str">
        <f>IF(A1713="","",IFERROR(VALUE(SUBSTITUTE(TRIM(Input!H1713&amp;""),"%","")),0)/IF(AND(IFERROR(VALUE(SUBSTITUTE(TRIM(Input!H1713&amp;""),"%","")),0)&gt;0,IFERROR(VALUE(SUBSTITUTE(TRIM(Input!H1713&amp;""),"%","")),0)&lt;1),1,100))</f>
        <v/>
      </c>
      <c r="H1713" t="str">
        <f>IF(A1713="","",IFERROR(VALUE(SUBSTITUTE(TRIM(Input!I1713&amp;""),"%","")),0)/IF(AND(IFERROR(VALUE(SUBSTITUTE(TRIM(Input!I1713&amp;""),"%","")),0)&gt;0,IFERROR(VALUE(SUBSTITUTE(TRIM(Input!I1713&amp;""),"%","")),0)&lt;1),1,100))</f>
        <v/>
      </c>
    </row>
    <row r="1714" spans="1:8">
      <c r="A1714" t="str">
        <f>IF(TRIM(Input!B1714&amp;"")="","",UPPER(TRIM(Input!B1714&amp;"")))</f>
        <v/>
      </c>
      <c r="B1714" t="str">
        <f>IF(A1714="","",IFERROR(VALUE(RIGHT(TRIM(Input!D1714&amp;""),1)),0))</f>
        <v/>
      </c>
      <c r="C1714" t="str">
        <f t="shared" si="26"/>
        <v/>
      </c>
      <c r="D1714" t="str">
        <f>IF(A1714="","",IFERROR(VALUE(SUBSTITUTE(TRIM(Input!E1714&amp;""),"%","")),0)/IF(AND(IFERROR(VALUE(SUBSTITUTE(TRIM(Input!E1714&amp;""),"%","")),0)&gt;0,IFERROR(VALUE(SUBSTITUTE(TRIM(Input!E1714&amp;""),"%","")),0)&lt;1),1,100))</f>
        <v/>
      </c>
      <c r="E1714" t="str">
        <f>IF(A1714="","",IFERROR(VALUE(SUBSTITUTE(TRIM(Input!F1714&amp;""),"%","")),0)/IF(AND(IFERROR(VALUE(SUBSTITUTE(TRIM(Input!F1714&amp;""),"%","")),0)&gt;0,IFERROR(VALUE(SUBSTITUTE(TRIM(Input!F1714&amp;""),"%","")),0)&lt;1),1,100))</f>
        <v/>
      </c>
      <c r="F1714" t="str">
        <f>IF(A1714="","",IFERROR(VALUE(SUBSTITUTE(TRIM(Input!G1714&amp;""),"%","")),0)/IF(AND(IFERROR(VALUE(SUBSTITUTE(TRIM(Input!G1714&amp;""),"%","")),0)&gt;0,IFERROR(VALUE(SUBSTITUTE(TRIM(Input!G1714&amp;""),"%","")),0)&lt;1),1,100))</f>
        <v/>
      </c>
      <c r="G1714" t="str">
        <f>IF(A1714="","",IFERROR(VALUE(SUBSTITUTE(TRIM(Input!H1714&amp;""),"%","")),0)/IF(AND(IFERROR(VALUE(SUBSTITUTE(TRIM(Input!H1714&amp;""),"%","")),0)&gt;0,IFERROR(VALUE(SUBSTITUTE(TRIM(Input!H1714&amp;""),"%","")),0)&lt;1),1,100))</f>
        <v/>
      </c>
      <c r="H1714" t="str">
        <f>IF(A1714="","",IFERROR(VALUE(SUBSTITUTE(TRIM(Input!I1714&amp;""),"%","")),0)/IF(AND(IFERROR(VALUE(SUBSTITUTE(TRIM(Input!I1714&amp;""),"%","")),0)&gt;0,IFERROR(VALUE(SUBSTITUTE(TRIM(Input!I1714&amp;""),"%","")),0)&lt;1),1,100))</f>
        <v/>
      </c>
    </row>
    <row r="1715" spans="1:8">
      <c r="A1715" t="str">
        <f>IF(TRIM(Input!B1715&amp;"")="","",UPPER(TRIM(Input!B1715&amp;"")))</f>
        <v/>
      </c>
      <c r="B1715" t="str">
        <f>IF(A1715="","",IFERROR(VALUE(RIGHT(TRIM(Input!D1715&amp;""),1)),0))</f>
        <v/>
      </c>
      <c r="C1715" t="str">
        <f t="shared" si="26"/>
        <v/>
      </c>
      <c r="D1715" t="str">
        <f>IF(A1715="","",IFERROR(VALUE(SUBSTITUTE(TRIM(Input!E1715&amp;""),"%","")),0)/IF(AND(IFERROR(VALUE(SUBSTITUTE(TRIM(Input!E1715&amp;""),"%","")),0)&gt;0,IFERROR(VALUE(SUBSTITUTE(TRIM(Input!E1715&amp;""),"%","")),0)&lt;1),1,100))</f>
        <v/>
      </c>
      <c r="E1715" t="str">
        <f>IF(A1715="","",IFERROR(VALUE(SUBSTITUTE(TRIM(Input!F1715&amp;""),"%","")),0)/IF(AND(IFERROR(VALUE(SUBSTITUTE(TRIM(Input!F1715&amp;""),"%","")),0)&gt;0,IFERROR(VALUE(SUBSTITUTE(TRIM(Input!F1715&amp;""),"%","")),0)&lt;1),1,100))</f>
        <v/>
      </c>
      <c r="F1715" t="str">
        <f>IF(A1715="","",IFERROR(VALUE(SUBSTITUTE(TRIM(Input!G1715&amp;""),"%","")),0)/IF(AND(IFERROR(VALUE(SUBSTITUTE(TRIM(Input!G1715&amp;""),"%","")),0)&gt;0,IFERROR(VALUE(SUBSTITUTE(TRIM(Input!G1715&amp;""),"%","")),0)&lt;1),1,100))</f>
        <v/>
      </c>
      <c r="G1715" t="str">
        <f>IF(A1715="","",IFERROR(VALUE(SUBSTITUTE(TRIM(Input!H1715&amp;""),"%","")),0)/IF(AND(IFERROR(VALUE(SUBSTITUTE(TRIM(Input!H1715&amp;""),"%","")),0)&gt;0,IFERROR(VALUE(SUBSTITUTE(TRIM(Input!H1715&amp;""),"%","")),0)&lt;1),1,100))</f>
        <v/>
      </c>
      <c r="H1715" t="str">
        <f>IF(A1715="","",IFERROR(VALUE(SUBSTITUTE(TRIM(Input!I1715&amp;""),"%","")),0)/IF(AND(IFERROR(VALUE(SUBSTITUTE(TRIM(Input!I1715&amp;""),"%","")),0)&gt;0,IFERROR(VALUE(SUBSTITUTE(TRIM(Input!I1715&amp;""),"%","")),0)&lt;1),1,100))</f>
        <v/>
      </c>
    </row>
    <row r="1716" spans="1:8">
      <c r="A1716" t="str">
        <f>IF(TRIM(Input!B1716&amp;"")="","",UPPER(TRIM(Input!B1716&amp;"")))</f>
        <v/>
      </c>
      <c r="B1716" t="str">
        <f>IF(A1716="","",IFERROR(VALUE(RIGHT(TRIM(Input!D1716&amp;""),1)),0))</f>
        <v/>
      </c>
      <c r="C1716" t="str">
        <f t="shared" si="26"/>
        <v/>
      </c>
      <c r="D1716" t="str">
        <f>IF(A1716="","",IFERROR(VALUE(SUBSTITUTE(TRIM(Input!E1716&amp;""),"%","")),0)/IF(AND(IFERROR(VALUE(SUBSTITUTE(TRIM(Input!E1716&amp;""),"%","")),0)&gt;0,IFERROR(VALUE(SUBSTITUTE(TRIM(Input!E1716&amp;""),"%","")),0)&lt;1),1,100))</f>
        <v/>
      </c>
      <c r="E1716" t="str">
        <f>IF(A1716="","",IFERROR(VALUE(SUBSTITUTE(TRIM(Input!F1716&amp;""),"%","")),0)/IF(AND(IFERROR(VALUE(SUBSTITUTE(TRIM(Input!F1716&amp;""),"%","")),0)&gt;0,IFERROR(VALUE(SUBSTITUTE(TRIM(Input!F1716&amp;""),"%","")),0)&lt;1),1,100))</f>
        <v/>
      </c>
      <c r="F1716" t="str">
        <f>IF(A1716="","",IFERROR(VALUE(SUBSTITUTE(TRIM(Input!G1716&amp;""),"%","")),0)/IF(AND(IFERROR(VALUE(SUBSTITUTE(TRIM(Input!G1716&amp;""),"%","")),0)&gt;0,IFERROR(VALUE(SUBSTITUTE(TRIM(Input!G1716&amp;""),"%","")),0)&lt;1),1,100))</f>
        <v/>
      </c>
      <c r="G1716" t="str">
        <f>IF(A1716="","",IFERROR(VALUE(SUBSTITUTE(TRIM(Input!H1716&amp;""),"%","")),0)/IF(AND(IFERROR(VALUE(SUBSTITUTE(TRIM(Input!H1716&amp;""),"%","")),0)&gt;0,IFERROR(VALUE(SUBSTITUTE(TRIM(Input!H1716&amp;""),"%","")),0)&lt;1),1,100))</f>
        <v/>
      </c>
      <c r="H1716" t="str">
        <f>IF(A1716="","",IFERROR(VALUE(SUBSTITUTE(TRIM(Input!I1716&amp;""),"%","")),0)/IF(AND(IFERROR(VALUE(SUBSTITUTE(TRIM(Input!I1716&amp;""),"%","")),0)&gt;0,IFERROR(VALUE(SUBSTITUTE(TRIM(Input!I1716&amp;""),"%","")),0)&lt;1),1,100))</f>
        <v/>
      </c>
    </row>
    <row r="1717" spans="1:8">
      <c r="A1717" t="str">
        <f>IF(TRIM(Input!B1717&amp;"")="","",UPPER(TRIM(Input!B1717&amp;"")))</f>
        <v/>
      </c>
      <c r="B1717" t="str">
        <f>IF(A1717="","",IFERROR(VALUE(RIGHT(TRIM(Input!D1717&amp;""),1)),0))</f>
        <v/>
      </c>
      <c r="C1717" t="str">
        <f t="shared" si="26"/>
        <v/>
      </c>
      <c r="D1717" t="str">
        <f>IF(A1717="","",IFERROR(VALUE(SUBSTITUTE(TRIM(Input!E1717&amp;""),"%","")),0)/IF(AND(IFERROR(VALUE(SUBSTITUTE(TRIM(Input!E1717&amp;""),"%","")),0)&gt;0,IFERROR(VALUE(SUBSTITUTE(TRIM(Input!E1717&amp;""),"%","")),0)&lt;1),1,100))</f>
        <v/>
      </c>
      <c r="E1717" t="str">
        <f>IF(A1717="","",IFERROR(VALUE(SUBSTITUTE(TRIM(Input!F1717&amp;""),"%","")),0)/IF(AND(IFERROR(VALUE(SUBSTITUTE(TRIM(Input!F1717&amp;""),"%","")),0)&gt;0,IFERROR(VALUE(SUBSTITUTE(TRIM(Input!F1717&amp;""),"%","")),0)&lt;1),1,100))</f>
        <v/>
      </c>
      <c r="F1717" t="str">
        <f>IF(A1717="","",IFERROR(VALUE(SUBSTITUTE(TRIM(Input!G1717&amp;""),"%","")),0)/IF(AND(IFERROR(VALUE(SUBSTITUTE(TRIM(Input!G1717&amp;""),"%","")),0)&gt;0,IFERROR(VALUE(SUBSTITUTE(TRIM(Input!G1717&amp;""),"%","")),0)&lt;1),1,100))</f>
        <v/>
      </c>
      <c r="G1717" t="str">
        <f>IF(A1717="","",IFERROR(VALUE(SUBSTITUTE(TRIM(Input!H1717&amp;""),"%","")),0)/IF(AND(IFERROR(VALUE(SUBSTITUTE(TRIM(Input!H1717&amp;""),"%","")),0)&gt;0,IFERROR(VALUE(SUBSTITUTE(TRIM(Input!H1717&amp;""),"%","")),0)&lt;1),1,100))</f>
        <v/>
      </c>
      <c r="H1717" t="str">
        <f>IF(A1717="","",IFERROR(VALUE(SUBSTITUTE(TRIM(Input!I1717&amp;""),"%","")),0)/IF(AND(IFERROR(VALUE(SUBSTITUTE(TRIM(Input!I1717&amp;""),"%","")),0)&gt;0,IFERROR(VALUE(SUBSTITUTE(TRIM(Input!I1717&amp;""),"%","")),0)&lt;1),1,100))</f>
        <v/>
      </c>
    </row>
    <row r="1718" spans="1:8">
      <c r="A1718" t="str">
        <f>IF(TRIM(Input!B1718&amp;"")="","",UPPER(TRIM(Input!B1718&amp;"")))</f>
        <v/>
      </c>
      <c r="B1718" t="str">
        <f>IF(A1718="","",IFERROR(VALUE(RIGHT(TRIM(Input!D1718&amp;""),1)),0))</f>
        <v/>
      </c>
      <c r="C1718" t="str">
        <f t="shared" si="26"/>
        <v/>
      </c>
      <c r="D1718" t="str">
        <f>IF(A1718="","",IFERROR(VALUE(SUBSTITUTE(TRIM(Input!E1718&amp;""),"%","")),0)/IF(AND(IFERROR(VALUE(SUBSTITUTE(TRIM(Input!E1718&amp;""),"%","")),0)&gt;0,IFERROR(VALUE(SUBSTITUTE(TRIM(Input!E1718&amp;""),"%","")),0)&lt;1),1,100))</f>
        <v/>
      </c>
      <c r="E1718" t="str">
        <f>IF(A1718="","",IFERROR(VALUE(SUBSTITUTE(TRIM(Input!F1718&amp;""),"%","")),0)/IF(AND(IFERROR(VALUE(SUBSTITUTE(TRIM(Input!F1718&amp;""),"%","")),0)&gt;0,IFERROR(VALUE(SUBSTITUTE(TRIM(Input!F1718&amp;""),"%","")),0)&lt;1),1,100))</f>
        <v/>
      </c>
      <c r="F1718" t="str">
        <f>IF(A1718="","",IFERROR(VALUE(SUBSTITUTE(TRIM(Input!G1718&amp;""),"%","")),0)/IF(AND(IFERROR(VALUE(SUBSTITUTE(TRIM(Input!G1718&amp;""),"%","")),0)&gt;0,IFERROR(VALUE(SUBSTITUTE(TRIM(Input!G1718&amp;""),"%","")),0)&lt;1),1,100))</f>
        <v/>
      </c>
      <c r="G1718" t="str">
        <f>IF(A1718="","",IFERROR(VALUE(SUBSTITUTE(TRIM(Input!H1718&amp;""),"%","")),0)/IF(AND(IFERROR(VALUE(SUBSTITUTE(TRIM(Input!H1718&amp;""),"%","")),0)&gt;0,IFERROR(VALUE(SUBSTITUTE(TRIM(Input!H1718&amp;""),"%","")),0)&lt;1),1,100))</f>
        <v/>
      </c>
      <c r="H1718" t="str">
        <f>IF(A1718="","",IFERROR(VALUE(SUBSTITUTE(TRIM(Input!I1718&amp;""),"%","")),0)/IF(AND(IFERROR(VALUE(SUBSTITUTE(TRIM(Input!I1718&amp;""),"%","")),0)&gt;0,IFERROR(VALUE(SUBSTITUTE(TRIM(Input!I1718&amp;""),"%","")),0)&lt;1),1,100))</f>
        <v/>
      </c>
    </row>
    <row r="1719" spans="1:8">
      <c r="A1719" t="str">
        <f>IF(TRIM(Input!B1719&amp;"")="","",UPPER(TRIM(Input!B1719&amp;"")))</f>
        <v/>
      </c>
      <c r="B1719" t="str">
        <f>IF(A1719="","",IFERROR(VALUE(RIGHT(TRIM(Input!D1719&amp;""),1)),0))</f>
        <v/>
      </c>
      <c r="C1719" t="str">
        <f t="shared" si="26"/>
        <v/>
      </c>
      <c r="D1719" t="str">
        <f>IF(A1719="","",IFERROR(VALUE(SUBSTITUTE(TRIM(Input!E1719&amp;""),"%","")),0)/IF(AND(IFERROR(VALUE(SUBSTITUTE(TRIM(Input!E1719&amp;""),"%","")),0)&gt;0,IFERROR(VALUE(SUBSTITUTE(TRIM(Input!E1719&amp;""),"%","")),0)&lt;1),1,100))</f>
        <v/>
      </c>
      <c r="E1719" t="str">
        <f>IF(A1719="","",IFERROR(VALUE(SUBSTITUTE(TRIM(Input!F1719&amp;""),"%","")),0)/IF(AND(IFERROR(VALUE(SUBSTITUTE(TRIM(Input!F1719&amp;""),"%","")),0)&gt;0,IFERROR(VALUE(SUBSTITUTE(TRIM(Input!F1719&amp;""),"%","")),0)&lt;1),1,100))</f>
        <v/>
      </c>
      <c r="F1719" t="str">
        <f>IF(A1719="","",IFERROR(VALUE(SUBSTITUTE(TRIM(Input!G1719&amp;""),"%","")),0)/IF(AND(IFERROR(VALUE(SUBSTITUTE(TRIM(Input!G1719&amp;""),"%","")),0)&gt;0,IFERROR(VALUE(SUBSTITUTE(TRIM(Input!G1719&amp;""),"%","")),0)&lt;1),1,100))</f>
        <v/>
      </c>
      <c r="G1719" t="str">
        <f>IF(A1719="","",IFERROR(VALUE(SUBSTITUTE(TRIM(Input!H1719&amp;""),"%","")),0)/IF(AND(IFERROR(VALUE(SUBSTITUTE(TRIM(Input!H1719&amp;""),"%","")),0)&gt;0,IFERROR(VALUE(SUBSTITUTE(TRIM(Input!H1719&amp;""),"%","")),0)&lt;1),1,100))</f>
        <v/>
      </c>
      <c r="H1719" t="str">
        <f>IF(A1719="","",IFERROR(VALUE(SUBSTITUTE(TRIM(Input!I1719&amp;""),"%","")),0)/IF(AND(IFERROR(VALUE(SUBSTITUTE(TRIM(Input!I1719&amp;""),"%","")),0)&gt;0,IFERROR(VALUE(SUBSTITUTE(TRIM(Input!I1719&amp;""),"%","")),0)&lt;1),1,100))</f>
        <v/>
      </c>
    </row>
    <row r="1720" spans="1:8">
      <c r="A1720" t="str">
        <f>IF(TRIM(Input!B1720&amp;"")="","",UPPER(TRIM(Input!B1720&amp;"")))</f>
        <v/>
      </c>
      <c r="B1720" t="str">
        <f>IF(A1720="","",IFERROR(VALUE(RIGHT(TRIM(Input!D1720&amp;""),1)),0))</f>
        <v/>
      </c>
      <c r="C1720" t="str">
        <f t="shared" si="26"/>
        <v/>
      </c>
      <c r="D1720" t="str">
        <f>IF(A1720="","",IFERROR(VALUE(SUBSTITUTE(TRIM(Input!E1720&amp;""),"%","")),0)/IF(AND(IFERROR(VALUE(SUBSTITUTE(TRIM(Input!E1720&amp;""),"%","")),0)&gt;0,IFERROR(VALUE(SUBSTITUTE(TRIM(Input!E1720&amp;""),"%","")),0)&lt;1),1,100))</f>
        <v/>
      </c>
      <c r="E1720" t="str">
        <f>IF(A1720="","",IFERROR(VALUE(SUBSTITUTE(TRIM(Input!F1720&amp;""),"%","")),0)/IF(AND(IFERROR(VALUE(SUBSTITUTE(TRIM(Input!F1720&amp;""),"%","")),0)&gt;0,IFERROR(VALUE(SUBSTITUTE(TRIM(Input!F1720&amp;""),"%","")),0)&lt;1),1,100))</f>
        <v/>
      </c>
      <c r="F1720" t="str">
        <f>IF(A1720="","",IFERROR(VALUE(SUBSTITUTE(TRIM(Input!G1720&amp;""),"%","")),0)/IF(AND(IFERROR(VALUE(SUBSTITUTE(TRIM(Input!G1720&amp;""),"%","")),0)&gt;0,IFERROR(VALUE(SUBSTITUTE(TRIM(Input!G1720&amp;""),"%","")),0)&lt;1),1,100))</f>
        <v/>
      </c>
      <c r="G1720" t="str">
        <f>IF(A1720="","",IFERROR(VALUE(SUBSTITUTE(TRIM(Input!H1720&amp;""),"%","")),0)/IF(AND(IFERROR(VALUE(SUBSTITUTE(TRIM(Input!H1720&amp;""),"%","")),0)&gt;0,IFERROR(VALUE(SUBSTITUTE(TRIM(Input!H1720&amp;""),"%","")),0)&lt;1),1,100))</f>
        <v/>
      </c>
      <c r="H1720" t="str">
        <f>IF(A1720="","",IFERROR(VALUE(SUBSTITUTE(TRIM(Input!I1720&amp;""),"%","")),0)/IF(AND(IFERROR(VALUE(SUBSTITUTE(TRIM(Input!I1720&amp;""),"%","")),0)&gt;0,IFERROR(VALUE(SUBSTITUTE(TRIM(Input!I1720&amp;""),"%","")),0)&lt;1),1,100))</f>
        <v/>
      </c>
    </row>
    <row r="1721" spans="1:8">
      <c r="A1721" t="str">
        <f>IF(TRIM(Input!B1721&amp;"")="","",UPPER(TRIM(Input!B1721&amp;"")))</f>
        <v/>
      </c>
      <c r="B1721" t="str">
        <f>IF(A1721="","",IFERROR(VALUE(RIGHT(TRIM(Input!D1721&amp;""),1)),0))</f>
        <v/>
      </c>
      <c r="C1721" t="str">
        <f t="shared" si="26"/>
        <v/>
      </c>
      <c r="D1721" t="str">
        <f>IF(A1721="","",IFERROR(VALUE(SUBSTITUTE(TRIM(Input!E1721&amp;""),"%","")),0)/IF(AND(IFERROR(VALUE(SUBSTITUTE(TRIM(Input!E1721&amp;""),"%","")),0)&gt;0,IFERROR(VALUE(SUBSTITUTE(TRIM(Input!E1721&amp;""),"%","")),0)&lt;1),1,100))</f>
        <v/>
      </c>
      <c r="E1721" t="str">
        <f>IF(A1721="","",IFERROR(VALUE(SUBSTITUTE(TRIM(Input!F1721&amp;""),"%","")),0)/IF(AND(IFERROR(VALUE(SUBSTITUTE(TRIM(Input!F1721&amp;""),"%","")),0)&gt;0,IFERROR(VALUE(SUBSTITUTE(TRIM(Input!F1721&amp;""),"%","")),0)&lt;1),1,100))</f>
        <v/>
      </c>
      <c r="F1721" t="str">
        <f>IF(A1721="","",IFERROR(VALUE(SUBSTITUTE(TRIM(Input!G1721&amp;""),"%","")),0)/IF(AND(IFERROR(VALUE(SUBSTITUTE(TRIM(Input!G1721&amp;""),"%","")),0)&gt;0,IFERROR(VALUE(SUBSTITUTE(TRIM(Input!G1721&amp;""),"%","")),0)&lt;1),1,100))</f>
        <v/>
      </c>
      <c r="G1721" t="str">
        <f>IF(A1721="","",IFERROR(VALUE(SUBSTITUTE(TRIM(Input!H1721&amp;""),"%","")),0)/IF(AND(IFERROR(VALUE(SUBSTITUTE(TRIM(Input!H1721&amp;""),"%","")),0)&gt;0,IFERROR(VALUE(SUBSTITUTE(TRIM(Input!H1721&amp;""),"%","")),0)&lt;1),1,100))</f>
        <v/>
      </c>
      <c r="H1721" t="str">
        <f>IF(A1721="","",IFERROR(VALUE(SUBSTITUTE(TRIM(Input!I1721&amp;""),"%","")),0)/IF(AND(IFERROR(VALUE(SUBSTITUTE(TRIM(Input!I1721&amp;""),"%","")),0)&gt;0,IFERROR(VALUE(SUBSTITUTE(TRIM(Input!I1721&amp;""),"%","")),0)&lt;1),1,100))</f>
        <v/>
      </c>
    </row>
    <row r="1722" spans="1:8">
      <c r="A1722" t="str">
        <f>IF(TRIM(Input!B1722&amp;"")="","",UPPER(TRIM(Input!B1722&amp;"")))</f>
        <v/>
      </c>
      <c r="B1722" t="str">
        <f>IF(A1722="","",IFERROR(VALUE(RIGHT(TRIM(Input!D1722&amp;""),1)),0))</f>
        <v/>
      </c>
      <c r="C1722" t="str">
        <f t="shared" si="26"/>
        <v/>
      </c>
      <c r="D1722" t="str">
        <f>IF(A1722="","",IFERROR(VALUE(SUBSTITUTE(TRIM(Input!E1722&amp;""),"%","")),0)/IF(AND(IFERROR(VALUE(SUBSTITUTE(TRIM(Input!E1722&amp;""),"%","")),0)&gt;0,IFERROR(VALUE(SUBSTITUTE(TRIM(Input!E1722&amp;""),"%","")),0)&lt;1),1,100))</f>
        <v/>
      </c>
      <c r="E1722" t="str">
        <f>IF(A1722="","",IFERROR(VALUE(SUBSTITUTE(TRIM(Input!F1722&amp;""),"%","")),0)/IF(AND(IFERROR(VALUE(SUBSTITUTE(TRIM(Input!F1722&amp;""),"%","")),0)&gt;0,IFERROR(VALUE(SUBSTITUTE(TRIM(Input!F1722&amp;""),"%","")),0)&lt;1),1,100))</f>
        <v/>
      </c>
      <c r="F1722" t="str">
        <f>IF(A1722="","",IFERROR(VALUE(SUBSTITUTE(TRIM(Input!G1722&amp;""),"%","")),0)/IF(AND(IFERROR(VALUE(SUBSTITUTE(TRIM(Input!G1722&amp;""),"%","")),0)&gt;0,IFERROR(VALUE(SUBSTITUTE(TRIM(Input!G1722&amp;""),"%","")),0)&lt;1),1,100))</f>
        <v/>
      </c>
      <c r="G1722" t="str">
        <f>IF(A1722="","",IFERROR(VALUE(SUBSTITUTE(TRIM(Input!H1722&amp;""),"%","")),0)/IF(AND(IFERROR(VALUE(SUBSTITUTE(TRIM(Input!H1722&amp;""),"%","")),0)&gt;0,IFERROR(VALUE(SUBSTITUTE(TRIM(Input!H1722&amp;""),"%","")),0)&lt;1),1,100))</f>
        <v/>
      </c>
      <c r="H1722" t="str">
        <f>IF(A1722="","",IFERROR(VALUE(SUBSTITUTE(TRIM(Input!I1722&amp;""),"%","")),0)/IF(AND(IFERROR(VALUE(SUBSTITUTE(TRIM(Input!I1722&amp;""),"%","")),0)&gt;0,IFERROR(VALUE(SUBSTITUTE(TRIM(Input!I1722&amp;""),"%","")),0)&lt;1),1,100))</f>
        <v/>
      </c>
    </row>
    <row r="1723" spans="1:8">
      <c r="A1723" t="str">
        <f>IF(TRIM(Input!B1723&amp;"")="","",UPPER(TRIM(Input!B1723&amp;"")))</f>
        <v/>
      </c>
      <c r="B1723" t="str">
        <f>IF(A1723="","",IFERROR(VALUE(RIGHT(TRIM(Input!D1723&amp;""),1)),0))</f>
        <v/>
      </c>
      <c r="C1723" t="str">
        <f t="shared" si="26"/>
        <v/>
      </c>
      <c r="D1723" t="str">
        <f>IF(A1723="","",IFERROR(VALUE(SUBSTITUTE(TRIM(Input!E1723&amp;""),"%","")),0)/IF(AND(IFERROR(VALUE(SUBSTITUTE(TRIM(Input!E1723&amp;""),"%","")),0)&gt;0,IFERROR(VALUE(SUBSTITUTE(TRIM(Input!E1723&amp;""),"%","")),0)&lt;1),1,100))</f>
        <v/>
      </c>
      <c r="E1723" t="str">
        <f>IF(A1723="","",IFERROR(VALUE(SUBSTITUTE(TRIM(Input!F1723&amp;""),"%","")),0)/IF(AND(IFERROR(VALUE(SUBSTITUTE(TRIM(Input!F1723&amp;""),"%","")),0)&gt;0,IFERROR(VALUE(SUBSTITUTE(TRIM(Input!F1723&amp;""),"%","")),0)&lt;1),1,100))</f>
        <v/>
      </c>
      <c r="F1723" t="str">
        <f>IF(A1723="","",IFERROR(VALUE(SUBSTITUTE(TRIM(Input!G1723&amp;""),"%","")),0)/IF(AND(IFERROR(VALUE(SUBSTITUTE(TRIM(Input!G1723&amp;""),"%","")),0)&gt;0,IFERROR(VALUE(SUBSTITUTE(TRIM(Input!G1723&amp;""),"%","")),0)&lt;1),1,100))</f>
        <v/>
      </c>
      <c r="G1723" t="str">
        <f>IF(A1723="","",IFERROR(VALUE(SUBSTITUTE(TRIM(Input!H1723&amp;""),"%","")),0)/IF(AND(IFERROR(VALUE(SUBSTITUTE(TRIM(Input!H1723&amp;""),"%","")),0)&gt;0,IFERROR(VALUE(SUBSTITUTE(TRIM(Input!H1723&amp;""),"%","")),0)&lt;1),1,100))</f>
        <v/>
      </c>
      <c r="H1723" t="str">
        <f>IF(A1723="","",IFERROR(VALUE(SUBSTITUTE(TRIM(Input!I1723&amp;""),"%","")),0)/IF(AND(IFERROR(VALUE(SUBSTITUTE(TRIM(Input!I1723&amp;""),"%","")),0)&gt;0,IFERROR(VALUE(SUBSTITUTE(TRIM(Input!I1723&amp;""),"%","")),0)&lt;1),1,100))</f>
        <v/>
      </c>
    </row>
    <row r="1724" spans="1:8">
      <c r="A1724" t="str">
        <f>IF(TRIM(Input!B1724&amp;"")="","",UPPER(TRIM(Input!B1724&amp;"")))</f>
        <v/>
      </c>
      <c r="B1724" t="str">
        <f>IF(A1724="","",IFERROR(VALUE(RIGHT(TRIM(Input!D1724&amp;""),1)),0))</f>
        <v/>
      </c>
      <c r="C1724" t="str">
        <f t="shared" si="26"/>
        <v/>
      </c>
      <c r="D1724" t="str">
        <f>IF(A1724="","",IFERROR(VALUE(SUBSTITUTE(TRIM(Input!E1724&amp;""),"%","")),0)/IF(AND(IFERROR(VALUE(SUBSTITUTE(TRIM(Input!E1724&amp;""),"%","")),0)&gt;0,IFERROR(VALUE(SUBSTITUTE(TRIM(Input!E1724&amp;""),"%","")),0)&lt;1),1,100))</f>
        <v/>
      </c>
      <c r="E1724" t="str">
        <f>IF(A1724="","",IFERROR(VALUE(SUBSTITUTE(TRIM(Input!F1724&amp;""),"%","")),0)/IF(AND(IFERROR(VALUE(SUBSTITUTE(TRIM(Input!F1724&amp;""),"%","")),0)&gt;0,IFERROR(VALUE(SUBSTITUTE(TRIM(Input!F1724&amp;""),"%","")),0)&lt;1),1,100))</f>
        <v/>
      </c>
      <c r="F1724" t="str">
        <f>IF(A1724="","",IFERROR(VALUE(SUBSTITUTE(TRIM(Input!G1724&amp;""),"%","")),0)/IF(AND(IFERROR(VALUE(SUBSTITUTE(TRIM(Input!G1724&amp;""),"%","")),0)&gt;0,IFERROR(VALUE(SUBSTITUTE(TRIM(Input!G1724&amp;""),"%","")),0)&lt;1),1,100))</f>
        <v/>
      </c>
      <c r="G1724" t="str">
        <f>IF(A1724="","",IFERROR(VALUE(SUBSTITUTE(TRIM(Input!H1724&amp;""),"%","")),0)/IF(AND(IFERROR(VALUE(SUBSTITUTE(TRIM(Input!H1724&amp;""),"%","")),0)&gt;0,IFERROR(VALUE(SUBSTITUTE(TRIM(Input!H1724&amp;""),"%","")),0)&lt;1),1,100))</f>
        <v/>
      </c>
      <c r="H1724" t="str">
        <f>IF(A1724="","",IFERROR(VALUE(SUBSTITUTE(TRIM(Input!I1724&amp;""),"%","")),0)/IF(AND(IFERROR(VALUE(SUBSTITUTE(TRIM(Input!I1724&amp;""),"%","")),0)&gt;0,IFERROR(VALUE(SUBSTITUTE(TRIM(Input!I1724&amp;""),"%","")),0)&lt;1),1,100))</f>
        <v/>
      </c>
    </row>
    <row r="1725" spans="1:8">
      <c r="A1725" t="str">
        <f>IF(TRIM(Input!B1725&amp;"")="","",UPPER(TRIM(Input!B1725&amp;"")))</f>
        <v/>
      </c>
      <c r="B1725" t="str">
        <f>IF(A1725="","",IFERROR(VALUE(RIGHT(TRIM(Input!D1725&amp;""),1)),0))</f>
        <v/>
      </c>
      <c r="C1725" t="str">
        <f t="shared" si="26"/>
        <v/>
      </c>
      <c r="D1725" t="str">
        <f>IF(A1725="","",IFERROR(VALUE(SUBSTITUTE(TRIM(Input!E1725&amp;""),"%","")),0)/IF(AND(IFERROR(VALUE(SUBSTITUTE(TRIM(Input!E1725&amp;""),"%","")),0)&gt;0,IFERROR(VALUE(SUBSTITUTE(TRIM(Input!E1725&amp;""),"%","")),0)&lt;1),1,100))</f>
        <v/>
      </c>
      <c r="E1725" t="str">
        <f>IF(A1725="","",IFERROR(VALUE(SUBSTITUTE(TRIM(Input!F1725&amp;""),"%","")),0)/IF(AND(IFERROR(VALUE(SUBSTITUTE(TRIM(Input!F1725&amp;""),"%","")),0)&gt;0,IFERROR(VALUE(SUBSTITUTE(TRIM(Input!F1725&amp;""),"%","")),0)&lt;1),1,100))</f>
        <v/>
      </c>
      <c r="F1725" t="str">
        <f>IF(A1725="","",IFERROR(VALUE(SUBSTITUTE(TRIM(Input!G1725&amp;""),"%","")),0)/IF(AND(IFERROR(VALUE(SUBSTITUTE(TRIM(Input!G1725&amp;""),"%","")),0)&gt;0,IFERROR(VALUE(SUBSTITUTE(TRIM(Input!G1725&amp;""),"%","")),0)&lt;1),1,100))</f>
        <v/>
      </c>
      <c r="G1725" t="str">
        <f>IF(A1725="","",IFERROR(VALUE(SUBSTITUTE(TRIM(Input!H1725&amp;""),"%","")),0)/IF(AND(IFERROR(VALUE(SUBSTITUTE(TRIM(Input!H1725&amp;""),"%","")),0)&gt;0,IFERROR(VALUE(SUBSTITUTE(TRIM(Input!H1725&amp;""),"%","")),0)&lt;1),1,100))</f>
        <v/>
      </c>
      <c r="H1725" t="str">
        <f>IF(A1725="","",IFERROR(VALUE(SUBSTITUTE(TRIM(Input!I1725&amp;""),"%","")),0)/IF(AND(IFERROR(VALUE(SUBSTITUTE(TRIM(Input!I1725&amp;""),"%","")),0)&gt;0,IFERROR(VALUE(SUBSTITUTE(TRIM(Input!I1725&amp;""),"%","")),0)&lt;1),1,100))</f>
        <v/>
      </c>
    </row>
    <row r="1726" spans="1:8">
      <c r="A1726" t="str">
        <f>IF(TRIM(Input!B1726&amp;"")="","",UPPER(TRIM(Input!B1726&amp;"")))</f>
        <v/>
      </c>
      <c r="B1726" t="str">
        <f>IF(A1726="","",IFERROR(VALUE(RIGHT(TRIM(Input!D1726&amp;""),1)),0))</f>
        <v/>
      </c>
      <c r="C1726" t="str">
        <f t="shared" si="26"/>
        <v/>
      </c>
      <c r="D1726" t="str">
        <f>IF(A1726="","",IFERROR(VALUE(SUBSTITUTE(TRIM(Input!E1726&amp;""),"%","")),0)/IF(AND(IFERROR(VALUE(SUBSTITUTE(TRIM(Input!E1726&amp;""),"%","")),0)&gt;0,IFERROR(VALUE(SUBSTITUTE(TRIM(Input!E1726&amp;""),"%","")),0)&lt;1),1,100))</f>
        <v/>
      </c>
      <c r="E1726" t="str">
        <f>IF(A1726="","",IFERROR(VALUE(SUBSTITUTE(TRIM(Input!F1726&amp;""),"%","")),0)/IF(AND(IFERROR(VALUE(SUBSTITUTE(TRIM(Input!F1726&amp;""),"%","")),0)&gt;0,IFERROR(VALUE(SUBSTITUTE(TRIM(Input!F1726&amp;""),"%","")),0)&lt;1),1,100))</f>
        <v/>
      </c>
      <c r="F1726" t="str">
        <f>IF(A1726="","",IFERROR(VALUE(SUBSTITUTE(TRIM(Input!G1726&amp;""),"%","")),0)/IF(AND(IFERROR(VALUE(SUBSTITUTE(TRIM(Input!G1726&amp;""),"%","")),0)&gt;0,IFERROR(VALUE(SUBSTITUTE(TRIM(Input!G1726&amp;""),"%","")),0)&lt;1),1,100))</f>
        <v/>
      </c>
      <c r="G1726" t="str">
        <f>IF(A1726="","",IFERROR(VALUE(SUBSTITUTE(TRIM(Input!H1726&amp;""),"%","")),0)/IF(AND(IFERROR(VALUE(SUBSTITUTE(TRIM(Input!H1726&amp;""),"%","")),0)&gt;0,IFERROR(VALUE(SUBSTITUTE(TRIM(Input!H1726&amp;""),"%","")),0)&lt;1),1,100))</f>
        <v/>
      </c>
      <c r="H1726" t="str">
        <f>IF(A1726="","",IFERROR(VALUE(SUBSTITUTE(TRIM(Input!I1726&amp;""),"%","")),0)/IF(AND(IFERROR(VALUE(SUBSTITUTE(TRIM(Input!I1726&amp;""),"%","")),0)&gt;0,IFERROR(VALUE(SUBSTITUTE(TRIM(Input!I1726&amp;""),"%","")),0)&lt;1),1,100))</f>
        <v/>
      </c>
    </row>
    <row r="1727" spans="1:8">
      <c r="A1727" t="str">
        <f>IF(TRIM(Input!B1727&amp;"")="","",UPPER(TRIM(Input!B1727&amp;"")))</f>
        <v/>
      </c>
      <c r="B1727" t="str">
        <f>IF(A1727="","",IFERROR(VALUE(RIGHT(TRIM(Input!D1727&amp;""),1)),0))</f>
        <v/>
      </c>
      <c r="C1727" t="str">
        <f t="shared" si="26"/>
        <v/>
      </c>
      <c r="D1727" t="str">
        <f>IF(A1727="","",IFERROR(VALUE(SUBSTITUTE(TRIM(Input!E1727&amp;""),"%","")),0)/IF(AND(IFERROR(VALUE(SUBSTITUTE(TRIM(Input!E1727&amp;""),"%","")),0)&gt;0,IFERROR(VALUE(SUBSTITUTE(TRIM(Input!E1727&amp;""),"%","")),0)&lt;1),1,100))</f>
        <v/>
      </c>
      <c r="E1727" t="str">
        <f>IF(A1727="","",IFERROR(VALUE(SUBSTITUTE(TRIM(Input!F1727&amp;""),"%","")),0)/IF(AND(IFERROR(VALUE(SUBSTITUTE(TRIM(Input!F1727&amp;""),"%","")),0)&gt;0,IFERROR(VALUE(SUBSTITUTE(TRIM(Input!F1727&amp;""),"%","")),0)&lt;1),1,100))</f>
        <v/>
      </c>
      <c r="F1727" t="str">
        <f>IF(A1727="","",IFERROR(VALUE(SUBSTITUTE(TRIM(Input!G1727&amp;""),"%","")),0)/IF(AND(IFERROR(VALUE(SUBSTITUTE(TRIM(Input!G1727&amp;""),"%","")),0)&gt;0,IFERROR(VALUE(SUBSTITUTE(TRIM(Input!G1727&amp;""),"%","")),0)&lt;1),1,100))</f>
        <v/>
      </c>
      <c r="G1727" t="str">
        <f>IF(A1727="","",IFERROR(VALUE(SUBSTITUTE(TRIM(Input!H1727&amp;""),"%","")),0)/IF(AND(IFERROR(VALUE(SUBSTITUTE(TRIM(Input!H1727&amp;""),"%","")),0)&gt;0,IFERROR(VALUE(SUBSTITUTE(TRIM(Input!H1727&amp;""),"%","")),0)&lt;1),1,100))</f>
        <v/>
      </c>
      <c r="H1727" t="str">
        <f>IF(A1727="","",IFERROR(VALUE(SUBSTITUTE(TRIM(Input!I1727&amp;""),"%","")),0)/IF(AND(IFERROR(VALUE(SUBSTITUTE(TRIM(Input!I1727&amp;""),"%","")),0)&gt;0,IFERROR(VALUE(SUBSTITUTE(TRIM(Input!I1727&amp;""),"%","")),0)&lt;1),1,100))</f>
        <v/>
      </c>
    </row>
    <row r="1728" spans="1:8">
      <c r="A1728" t="str">
        <f>IF(TRIM(Input!B1728&amp;"")="","",UPPER(TRIM(Input!B1728&amp;"")))</f>
        <v/>
      </c>
      <c r="B1728" t="str">
        <f>IF(A1728="","",IFERROR(VALUE(RIGHT(TRIM(Input!D1728&amp;""),1)),0))</f>
        <v/>
      </c>
      <c r="C1728" t="str">
        <f t="shared" si="26"/>
        <v/>
      </c>
      <c r="D1728" t="str">
        <f>IF(A1728="","",IFERROR(VALUE(SUBSTITUTE(TRIM(Input!E1728&amp;""),"%","")),0)/IF(AND(IFERROR(VALUE(SUBSTITUTE(TRIM(Input!E1728&amp;""),"%","")),0)&gt;0,IFERROR(VALUE(SUBSTITUTE(TRIM(Input!E1728&amp;""),"%","")),0)&lt;1),1,100))</f>
        <v/>
      </c>
      <c r="E1728" t="str">
        <f>IF(A1728="","",IFERROR(VALUE(SUBSTITUTE(TRIM(Input!F1728&amp;""),"%","")),0)/IF(AND(IFERROR(VALUE(SUBSTITUTE(TRIM(Input!F1728&amp;""),"%","")),0)&gt;0,IFERROR(VALUE(SUBSTITUTE(TRIM(Input!F1728&amp;""),"%","")),0)&lt;1),1,100))</f>
        <v/>
      </c>
      <c r="F1728" t="str">
        <f>IF(A1728="","",IFERROR(VALUE(SUBSTITUTE(TRIM(Input!G1728&amp;""),"%","")),0)/IF(AND(IFERROR(VALUE(SUBSTITUTE(TRIM(Input!G1728&amp;""),"%","")),0)&gt;0,IFERROR(VALUE(SUBSTITUTE(TRIM(Input!G1728&amp;""),"%","")),0)&lt;1),1,100))</f>
        <v/>
      </c>
      <c r="G1728" t="str">
        <f>IF(A1728="","",IFERROR(VALUE(SUBSTITUTE(TRIM(Input!H1728&amp;""),"%","")),0)/IF(AND(IFERROR(VALUE(SUBSTITUTE(TRIM(Input!H1728&amp;""),"%","")),0)&gt;0,IFERROR(VALUE(SUBSTITUTE(TRIM(Input!H1728&amp;""),"%","")),0)&lt;1),1,100))</f>
        <v/>
      </c>
      <c r="H1728" t="str">
        <f>IF(A1728="","",IFERROR(VALUE(SUBSTITUTE(TRIM(Input!I1728&amp;""),"%","")),0)/IF(AND(IFERROR(VALUE(SUBSTITUTE(TRIM(Input!I1728&amp;""),"%","")),0)&gt;0,IFERROR(VALUE(SUBSTITUTE(TRIM(Input!I1728&amp;""),"%","")),0)&lt;1),1,100))</f>
        <v/>
      </c>
    </row>
    <row r="1729" spans="1:8">
      <c r="A1729" t="str">
        <f>IF(TRIM(Input!B1729&amp;"")="","",UPPER(TRIM(Input!B1729&amp;"")))</f>
        <v/>
      </c>
      <c r="B1729" t="str">
        <f>IF(A1729="","",IFERROR(VALUE(RIGHT(TRIM(Input!D1729&amp;""),1)),0))</f>
        <v/>
      </c>
      <c r="C1729" t="str">
        <f t="shared" si="26"/>
        <v/>
      </c>
      <c r="D1729" t="str">
        <f>IF(A1729="","",IFERROR(VALUE(SUBSTITUTE(TRIM(Input!E1729&amp;""),"%","")),0)/IF(AND(IFERROR(VALUE(SUBSTITUTE(TRIM(Input!E1729&amp;""),"%","")),0)&gt;0,IFERROR(VALUE(SUBSTITUTE(TRIM(Input!E1729&amp;""),"%","")),0)&lt;1),1,100))</f>
        <v/>
      </c>
      <c r="E1729" t="str">
        <f>IF(A1729="","",IFERROR(VALUE(SUBSTITUTE(TRIM(Input!F1729&amp;""),"%","")),0)/IF(AND(IFERROR(VALUE(SUBSTITUTE(TRIM(Input!F1729&amp;""),"%","")),0)&gt;0,IFERROR(VALUE(SUBSTITUTE(TRIM(Input!F1729&amp;""),"%","")),0)&lt;1),1,100))</f>
        <v/>
      </c>
      <c r="F1729" t="str">
        <f>IF(A1729="","",IFERROR(VALUE(SUBSTITUTE(TRIM(Input!G1729&amp;""),"%","")),0)/IF(AND(IFERROR(VALUE(SUBSTITUTE(TRIM(Input!G1729&amp;""),"%","")),0)&gt;0,IFERROR(VALUE(SUBSTITUTE(TRIM(Input!G1729&amp;""),"%","")),0)&lt;1),1,100))</f>
        <v/>
      </c>
      <c r="G1729" t="str">
        <f>IF(A1729="","",IFERROR(VALUE(SUBSTITUTE(TRIM(Input!H1729&amp;""),"%","")),0)/IF(AND(IFERROR(VALUE(SUBSTITUTE(TRIM(Input!H1729&amp;""),"%","")),0)&gt;0,IFERROR(VALUE(SUBSTITUTE(TRIM(Input!H1729&amp;""),"%","")),0)&lt;1),1,100))</f>
        <v/>
      </c>
      <c r="H1729" t="str">
        <f>IF(A1729="","",IFERROR(VALUE(SUBSTITUTE(TRIM(Input!I1729&amp;""),"%","")),0)/IF(AND(IFERROR(VALUE(SUBSTITUTE(TRIM(Input!I1729&amp;""),"%","")),0)&gt;0,IFERROR(VALUE(SUBSTITUTE(TRIM(Input!I1729&amp;""),"%","")),0)&lt;1),1,100))</f>
        <v/>
      </c>
    </row>
    <row r="1730" spans="1:8">
      <c r="A1730" t="str">
        <f>IF(TRIM(Input!B1730&amp;"")="","",UPPER(TRIM(Input!B1730&amp;"")))</f>
        <v/>
      </c>
      <c r="B1730" t="str">
        <f>IF(A1730="","",IFERROR(VALUE(RIGHT(TRIM(Input!D1730&amp;""),1)),0))</f>
        <v/>
      </c>
      <c r="C1730" t="str">
        <f t="shared" ref="C1730:C1793" si="27">IF(A1730="","",A1730&amp;"|"&amp;B1730)</f>
        <v/>
      </c>
      <c r="D1730" t="str">
        <f>IF(A1730="","",IFERROR(VALUE(SUBSTITUTE(TRIM(Input!E1730&amp;""),"%","")),0)/IF(AND(IFERROR(VALUE(SUBSTITUTE(TRIM(Input!E1730&amp;""),"%","")),0)&gt;0,IFERROR(VALUE(SUBSTITUTE(TRIM(Input!E1730&amp;""),"%","")),0)&lt;1),1,100))</f>
        <v/>
      </c>
      <c r="E1730" t="str">
        <f>IF(A1730="","",IFERROR(VALUE(SUBSTITUTE(TRIM(Input!F1730&amp;""),"%","")),0)/IF(AND(IFERROR(VALUE(SUBSTITUTE(TRIM(Input!F1730&amp;""),"%","")),0)&gt;0,IFERROR(VALUE(SUBSTITUTE(TRIM(Input!F1730&amp;""),"%","")),0)&lt;1),1,100))</f>
        <v/>
      </c>
      <c r="F1730" t="str">
        <f>IF(A1730="","",IFERROR(VALUE(SUBSTITUTE(TRIM(Input!G1730&amp;""),"%","")),0)/IF(AND(IFERROR(VALUE(SUBSTITUTE(TRIM(Input!G1730&amp;""),"%","")),0)&gt;0,IFERROR(VALUE(SUBSTITUTE(TRIM(Input!G1730&amp;""),"%","")),0)&lt;1),1,100))</f>
        <v/>
      </c>
      <c r="G1730" t="str">
        <f>IF(A1730="","",IFERROR(VALUE(SUBSTITUTE(TRIM(Input!H1730&amp;""),"%","")),0)/IF(AND(IFERROR(VALUE(SUBSTITUTE(TRIM(Input!H1730&amp;""),"%","")),0)&gt;0,IFERROR(VALUE(SUBSTITUTE(TRIM(Input!H1730&amp;""),"%","")),0)&lt;1),1,100))</f>
        <v/>
      </c>
      <c r="H1730" t="str">
        <f>IF(A1730="","",IFERROR(VALUE(SUBSTITUTE(TRIM(Input!I1730&amp;""),"%","")),0)/IF(AND(IFERROR(VALUE(SUBSTITUTE(TRIM(Input!I1730&amp;""),"%","")),0)&gt;0,IFERROR(VALUE(SUBSTITUTE(TRIM(Input!I1730&amp;""),"%","")),0)&lt;1),1,100))</f>
        <v/>
      </c>
    </row>
    <row r="1731" spans="1:8">
      <c r="A1731" t="str">
        <f>IF(TRIM(Input!B1731&amp;"")="","",UPPER(TRIM(Input!B1731&amp;"")))</f>
        <v/>
      </c>
      <c r="B1731" t="str">
        <f>IF(A1731="","",IFERROR(VALUE(RIGHT(TRIM(Input!D1731&amp;""),1)),0))</f>
        <v/>
      </c>
      <c r="C1731" t="str">
        <f t="shared" si="27"/>
        <v/>
      </c>
      <c r="D1731" t="str">
        <f>IF(A1731="","",IFERROR(VALUE(SUBSTITUTE(TRIM(Input!E1731&amp;""),"%","")),0)/IF(AND(IFERROR(VALUE(SUBSTITUTE(TRIM(Input!E1731&amp;""),"%","")),0)&gt;0,IFERROR(VALUE(SUBSTITUTE(TRIM(Input!E1731&amp;""),"%","")),0)&lt;1),1,100))</f>
        <v/>
      </c>
      <c r="E1731" t="str">
        <f>IF(A1731="","",IFERROR(VALUE(SUBSTITUTE(TRIM(Input!F1731&amp;""),"%","")),0)/IF(AND(IFERROR(VALUE(SUBSTITUTE(TRIM(Input!F1731&amp;""),"%","")),0)&gt;0,IFERROR(VALUE(SUBSTITUTE(TRIM(Input!F1731&amp;""),"%","")),0)&lt;1),1,100))</f>
        <v/>
      </c>
      <c r="F1731" t="str">
        <f>IF(A1731="","",IFERROR(VALUE(SUBSTITUTE(TRIM(Input!G1731&amp;""),"%","")),0)/IF(AND(IFERROR(VALUE(SUBSTITUTE(TRIM(Input!G1731&amp;""),"%","")),0)&gt;0,IFERROR(VALUE(SUBSTITUTE(TRIM(Input!G1731&amp;""),"%","")),0)&lt;1),1,100))</f>
        <v/>
      </c>
      <c r="G1731" t="str">
        <f>IF(A1731="","",IFERROR(VALUE(SUBSTITUTE(TRIM(Input!H1731&amp;""),"%","")),0)/IF(AND(IFERROR(VALUE(SUBSTITUTE(TRIM(Input!H1731&amp;""),"%","")),0)&gt;0,IFERROR(VALUE(SUBSTITUTE(TRIM(Input!H1731&amp;""),"%","")),0)&lt;1),1,100))</f>
        <v/>
      </c>
      <c r="H1731" t="str">
        <f>IF(A1731="","",IFERROR(VALUE(SUBSTITUTE(TRIM(Input!I1731&amp;""),"%","")),0)/IF(AND(IFERROR(VALUE(SUBSTITUTE(TRIM(Input!I1731&amp;""),"%","")),0)&gt;0,IFERROR(VALUE(SUBSTITUTE(TRIM(Input!I1731&amp;""),"%","")),0)&lt;1),1,100))</f>
        <v/>
      </c>
    </row>
    <row r="1732" spans="1:8">
      <c r="A1732" t="str">
        <f>IF(TRIM(Input!B1732&amp;"")="","",UPPER(TRIM(Input!B1732&amp;"")))</f>
        <v/>
      </c>
      <c r="B1732" t="str">
        <f>IF(A1732="","",IFERROR(VALUE(RIGHT(TRIM(Input!D1732&amp;""),1)),0))</f>
        <v/>
      </c>
      <c r="C1732" t="str">
        <f t="shared" si="27"/>
        <v/>
      </c>
      <c r="D1732" t="str">
        <f>IF(A1732="","",IFERROR(VALUE(SUBSTITUTE(TRIM(Input!E1732&amp;""),"%","")),0)/IF(AND(IFERROR(VALUE(SUBSTITUTE(TRIM(Input!E1732&amp;""),"%","")),0)&gt;0,IFERROR(VALUE(SUBSTITUTE(TRIM(Input!E1732&amp;""),"%","")),0)&lt;1),1,100))</f>
        <v/>
      </c>
      <c r="E1732" t="str">
        <f>IF(A1732="","",IFERROR(VALUE(SUBSTITUTE(TRIM(Input!F1732&amp;""),"%","")),0)/IF(AND(IFERROR(VALUE(SUBSTITUTE(TRIM(Input!F1732&amp;""),"%","")),0)&gt;0,IFERROR(VALUE(SUBSTITUTE(TRIM(Input!F1732&amp;""),"%","")),0)&lt;1),1,100))</f>
        <v/>
      </c>
      <c r="F1732" t="str">
        <f>IF(A1732="","",IFERROR(VALUE(SUBSTITUTE(TRIM(Input!G1732&amp;""),"%","")),0)/IF(AND(IFERROR(VALUE(SUBSTITUTE(TRIM(Input!G1732&amp;""),"%","")),0)&gt;0,IFERROR(VALUE(SUBSTITUTE(TRIM(Input!G1732&amp;""),"%","")),0)&lt;1),1,100))</f>
        <v/>
      </c>
      <c r="G1732" t="str">
        <f>IF(A1732="","",IFERROR(VALUE(SUBSTITUTE(TRIM(Input!H1732&amp;""),"%","")),0)/IF(AND(IFERROR(VALUE(SUBSTITUTE(TRIM(Input!H1732&amp;""),"%","")),0)&gt;0,IFERROR(VALUE(SUBSTITUTE(TRIM(Input!H1732&amp;""),"%","")),0)&lt;1),1,100))</f>
        <v/>
      </c>
      <c r="H1732" t="str">
        <f>IF(A1732="","",IFERROR(VALUE(SUBSTITUTE(TRIM(Input!I1732&amp;""),"%","")),0)/IF(AND(IFERROR(VALUE(SUBSTITUTE(TRIM(Input!I1732&amp;""),"%","")),0)&gt;0,IFERROR(VALUE(SUBSTITUTE(TRIM(Input!I1732&amp;""),"%","")),0)&lt;1),1,100))</f>
        <v/>
      </c>
    </row>
    <row r="1733" spans="1:8">
      <c r="A1733" t="str">
        <f>IF(TRIM(Input!B1733&amp;"")="","",UPPER(TRIM(Input!B1733&amp;"")))</f>
        <v/>
      </c>
      <c r="B1733" t="str">
        <f>IF(A1733="","",IFERROR(VALUE(RIGHT(TRIM(Input!D1733&amp;""),1)),0))</f>
        <v/>
      </c>
      <c r="C1733" t="str">
        <f t="shared" si="27"/>
        <v/>
      </c>
      <c r="D1733" t="str">
        <f>IF(A1733="","",IFERROR(VALUE(SUBSTITUTE(TRIM(Input!E1733&amp;""),"%","")),0)/IF(AND(IFERROR(VALUE(SUBSTITUTE(TRIM(Input!E1733&amp;""),"%","")),0)&gt;0,IFERROR(VALUE(SUBSTITUTE(TRIM(Input!E1733&amp;""),"%","")),0)&lt;1),1,100))</f>
        <v/>
      </c>
      <c r="E1733" t="str">
        <f>IF(A1733="","",IFERROR(VALUE(SUBSTITUTE(TRIM(Input!F1733&amp;""),"%","")),0)/IF(AND(IFERROR(VALUE(SUBSTITUTE(TRIM(Input!F1733&amp;""),"%","")),0)&gt;0,IFERROR(VALUE(SUBSTITUTE(TRIM(Input!F1733&amp;""),"%","")),0)&lt;1),1,100))</f>
        <v/>
      </c>
      <c r="F1733" t="str">
        <f>IF(A1733="","",IFERROR(VALUE(SUBSTITUTE(TRIM(Input!G1733&amp;""),"%","")),0)/IF(AND(IFERROR(VALUE(SUBSTITUTE(TRIM(Input!G1733&amp;""),"%","")),0)&gt;0,IFERROR(VALUE(SUBSTITUTE(TRIM(Input!G1733&amp;""),"%","")),0)&lt;1),1,100))</f>
        <v/>
      </c>
      <c r="G1733" t="str">
        <f>IF(A1733="","",IFERROR(VALUE(SUBSTITUTE(TRIM(Input!H1733&amp;""),"%","")),0)/IF(AND(IFERROR(VALUE(SUBSTITUTE(TRIM(Input!H1733&amp;""),"%","")),0)&gt;0,IFERROR(VALUE(SUBSTITUTE(TRIM(Input!H1733&amp;""),"%","")),0)&lt;1),1,100))</f>
        <v/>
      </c>
      <c r="H1733" t="str">
        <f>IF(A1733="","",IFERROR(VALUE(SUBSTITUTE(TRIM(Input!I1733&amp;""),"%","")),0)/IF(AND(IFERROR(VALUE(SUBSTITUTE(TRIM(Input!I1733&amp;""),"%","")),0)&gt;0,IFERROR(VALUE(SUBSTITUTE(TRIM(Input!I1733&amp;""),"%","")),0)&lt;1),1,100))</f>
        <v/>
      </c>
    </row>
    <row r="1734" spans="1:8">
      <c r="A1734" t="str">
        <f>IF(TRIM(Input!B1734&amp;"")="","",UPPER(TRIM(Input!B1734&amp;"")))</f>
        <v/>
      </c>
      <c r="B1734" t="str">
        <f>IF(A1734="","",IFERROR(VALUE(RIGHT(TRIM(Input!D1734&amp;""),1)),0))</f>
        <v/>
      </c>
      <c r="C1734" t="str">
        <f t="shared" si="27"/>
        <v/>
      </c>
      <c r="D1734" t="str">
        <f>IF(A1734="","",IFERROR(VALUE(SUBSTITUTE(TRIM(Input!E1734&amp;""),"%","")),0)/IF(AND(IFERROR(VALUE(SUBSTITUTE(TRIM(Input!E1734&amp;""),"%","")),0)&gt;0,IFERROR(VALUE(SUBSTITUTE(TRIM(Input!E1734&amp;""),"%","")),0)&lt;1),1,100))</f>
        <v/>
      </c>
      <c r="E1734" t="str">
        <f>IF(A1734="","",IFERROR(VALUE(SUBSTITUTE(TRIM(Input!F1734&amp;""),"%","")),0)/IF(AND(IFERROR(VALUE(SUBSTITUTE(TRIM(Input!F1734&amp;""),"%","")),0)&gt;0,IFERROR(VALUE(SUBSTITUTE(TRIM(Input!F1734&amp;""),"%","")),0)&lt;1),1,100))</f>
        <v/>
      </c>
      <c r="F1734" t="str">
        <f>IF(A1734="","",IFERROR(VALUE(SUBSTITUTE(TRIM(Input!G1734&amp;""),"%","")),0)/IF(AND(IFERROR(VALUE(SUBSTITUTE(TRIM(Input!G1734&amp;""),"%","")),0)&gt;0,IFERROR(VALUE(SUBSTITUTE(TRIM(Input!G1734&amp;""),"%","")),0)&lt;1),1,100))</f>
        <v/>
      </c>
      <c r="G1734" t="str">
        <f>IF(A1734="","",IFERROR(VALUE(SUBSTITUTE(TRIM(Input!H1734&amp;""),"%","")),0)/IF(AND(IFERROR(VALUE(SUBSTITUTE(TRIM(Input!H1734&amp;""),"%","")),0)&gt;0,IFERROR(VALUE(SUBSTITUTE(TRIM(Input!H1734&amp;""),"%","")),0)&lt;1),1,100))</f>
        <v/>
      </c>
      <c r="H1734" t="str">
        <f>IF(A1734="","",IFERROR(VALUE(SUBSTITUTE(TRIM(Input!I1734&amp;""),"%","")),0)/IF(AND(IFERROR(VALUE(SUBSTITUTE(TRIM(Input!I1734&amp;""),"%","")),0)&gt;0,IFERROR(VALUE(SUBSTITUTE(TRIM(Input!I1734&amp;""),"%","")),0)&lt;1),1,100))</f>
        <v/>
      </c>
    </row>
    <row r="1735" spans="1:8">
      <c r="A1735" t="str">
        <f>IF(TRIM(Input!B1735&amp;"")="","",UPPER(TRIM(Input!B1735&amp;"")))</f>
        <v/>
      </c>
      <c r="B1735" t="str">
        <f>IF(A1735="","",IFERROR(VALUE(RIGHT(TRIM(Input!D1735&amp;""),1)),0))</f>
        <v/>
      </c>
      <c r="C1735" t="str">
        <f t="shared" si="27"/>
        <v/>
      </c>
      <c r="D1735" t="str">
        <f>IF(A1735="","",IFERROR(VALUE(SUBSTITUTE(TRIM(Input!E1735&amp;""),"%","")),0)/IF(AND(IFERROR(VALUE(SUBSTITUTE(TRIM(Input!E1735&amp;""),"%","")),0)&gt;0,IFERROR(VALUE(SUBSTITUTE(TRIM(Input!E1735&amp;""),"%","")),0)&lt;1),1,100))</f>
        <v/>
      </c>
      <c r="E1735" t="str">
        <f>IF(A1735="","",IFERROR(VALUE(SUBSTITUTE(TRIM(Input!F1735&amp;""),"%","")),0)/IF(AND(IFERROR(VALUE(SUBSTITUTE(TRIM(Input!F1735&amp;""),"%","")),0)&gt;0,IFERROR(VALUE(SUBSTITUTE(TRIM(Input!F1735&amp;""),"%","")),0)&lt;1),1,100))</f>
        <v/>
      </c>
      <c r="F1735" t="str">
        <f>IF(A1735="","",IFERROR(VALUE(SUBSTITUTE(TRIM(Input!G1735&amp;""),"%","")),0)/IF(AND(IFERROR(VALUE(SUBSTITUTE(TRIM(Input!G1735&amp;""),"%","")),0)&gt;0,IFERROR(VALUE(SUBSTITUTE(TRIM(Input!G1735&amp;""),"%","")),0)&lt;1),1,100))</f>
        <v/>
      </c>
      <c r="G1735" t="str">
        <f>IF(A1735="","",IFERROR(VALUE(SUBSTITUTE(TRIM(Input!H1735&amp;""),"%","")),0)/IF(AND(IFERROR(VALUE(SUBSTITUTE(TRIM(Input!H1735&amp;""),"%","")),0)&gt;0,IFERROR(VALUE(SUBSTITUTE(TRIM(Input!H1735&amp;""),"%","")),0)&lt;1),1,100))</f>
        <v/>
      </c>
      <c r="H1735" t="str">
        <f>IF(A1735="","",IFERROR(VALUE(SUBSTITUTE(TRIM(Input!I1735&amp;""),"%","")),0)/IF(AND(IFERROR(VALUE(SUBSTITUTE(TRIM(Input!I1735&amp;""),"%","")),0)&gt;0,IFERROR(VALUE(SUBSTITUTE(TRIM(Input!I1735&amp;""),"%","")),0)&lt;1),1,100))</f>
        <v/>
      </c>
    </row>
    <row r="1736" spans="1:8">
      <c r="A1736" t="str">
        <f>IF(TRIM(Input!B1736&amp;"")="","",UPPER(TRIM(Input!B1736&amp;"")))</f>
        <v/>
      </c>
      <c r="B1736" t="str">
        <f>IF(A1736="","",IFERROR(VALUE(RIGHT(TRIM(Input!D1736&amp;""),1)),0))</f>
        <v/>
      </c>
      <c r="C1736" t="str">
        <f t="shared" si="27"/>
        <v/>
      </c>
      <c r="D1736" t="str">
        <f>IF(A1736="","",IFERROR(VALUE(SUBSTITUTE(TRIM(Input!E1736&amp;""),"%","")),0)/IF(AND(IFERROR(VALUE(SUBSTITUTE(TRIM(Input!E1736&amp;""),"%","")),0)&gt;0,IFERROR(VALUE(SUBSTITUTE(TRIM(Input!E1736&amp;""),"%","")),0)&lt;1),1,100))</f>
        <v/>
      </c>
      <c r="E1736" t="str">
        <f>IF(A1736="","",IFERROR(VALUE(SUBSTITUTE(TRIM(Input!F1736&amp;""),"%","")),0)/IF(AND(IFERROR(VALUE(SUBSTITUTE(TRIM(Input!F1736&amp;""),"%","")),0)&gt;0,IFERROR(VALUE(SUBSTITUTE(TRIM(Input!F1736&amp;""),"%","")),0)&lt;1),1,100))</f>
        <v/>
      </c>
      <c r="F1736" t="str">
        <f>IF(A1736="","",IFERROR(VALUE(SUBSTITUTE(TRIM(Input!G1736&amp;""),"%","")),0)/IF(AND(IFERROR(VALUE(SUBSTITUTE(TRIM(Input!G1736&amp;""),"%","")),0)&gt;0,IFERROR(VALUE(SUBSTITUTE(TRIM(Input!G1736&amp;""),"%","")),0)&lt;1),1,100))</f>
        <v/>
      </c>
      <c r="G1736" t="str">
        <f>IF(A1736="","",IFERROR(VALUE(SUBSTITUTE(TRIM(Input!H1736&amp;""),"%","")),0)/IF(AND(IFERROR(VALUE(SUBSTITUTE(TRIM(Input!H1736&amp;""),"%","")),0)&gt;0,IFERROR(VALUE(SUBSTITUTE(TRIM(Input!H1736&amp;""),"%","")),0)&lt;1),1,100))</f>
        <v/>
      </c>
      <c r="H1736" t="str">
        <f>IF(A1736="","",IFERROR(VALUE(SUBSTITUTE(TRIM(Input!I1736&amp;""),"%","")),0)/IF(AND(IFERROR(VALUE(SUBSTITUTE(TRIM(Input!I1736&amp;""),"%","")),0)&gt;0,IFERROR(VALUE(SUBSTITUTE(TRIM(Input!I1736&amp;""),"%","")),0)&lt;1),1,100))</f>
        <v/>
      </c>
    </row>
    <row r="1737" spans="1:8">
      <c r="A1737" t="str">
        <f>IF(TRIM(Input!B1737&amp;"")="","",UPPER(TRIM(Input!B1737&amp;"")))</f>
        <v/>
      </c>
      <c r="B1737" t="str">
        <f>IF(A1737="","",IFERROR(VALUE(RIGHT(TRIM(Input!D1737&amp;""),1)),0))</f>
        <v/>
      </c>
      <c r="C1737" t="str">
        <f t="shared" si="27"/>
        <v/>
      </c>
      <c r="D1737" t="str">
        <f>IF(A1737="","",IFERROR(VALUE(SUBSTITUTE(TRIM(Input!E1737&amp;""),"%","")),0)/IF(AND(IFERROR(VALUE(SUBSTITUTE(TRIM(Input!E1737&amp;""),"%","")),0)&gt;0,IFERROR(VALUE(SUBSTITUTE(TRIM(Input!E1737&amp;""),"%","")),0)&lt;1),1,100))</f>
        <v/>
      </c>
      <c r="E1737" t="str">
        <f>IF(A1737="","",IFERROR(VALUE(SUBSTITUTE(TRIM(Input!F1737&amp;""),"%","")),0)/IF(AND(IFERROR(VALUE(SUBSTITUTE(TRIM(Input!F1737&amp;""),"%","")),0)&gt;0,IFERROR(VALUE(SUBSTITUTE(TRIM(Input!F1737&amp;""),"%","")),0)&lt;1),1,100))</f>
        <v/>
      </c>
      <c r="F1737" t="str">
        <f>IF(A1737="","",IFERROR(VALUE(SUBSTITUTE(TRIM(Input!G1737&amp;""),"%","")),0)/IF(AND(IFERROR(VALUE(SUBSTITUTE(TRIM(Input!G1737&amp;""),"%","")),0)&gt;0,IFERROR(VALUE(SUBSTITUTE(TRIM(Input!G1737&amp;""),"%","")),0)&lt;1),1,100))</f>
        <v/>
      </c>
      <c r="G1737" t="str">
        <f>IF(A1737="","",IFERROR(VALUE(SUBSTITUTE(TRIM(Input!H1737&amp;""),"%","")),0)/IF(AND(IFERROR(VALUE(SUBSTITUTE(TRIM(Input!H1737&amp;""),"%","")),0)&gt;0,IFERROR(VALUE(SUBSTITUTE(TRIM(Input!H1737&amp;""),"%","")),0)&lt;1),1,100))</f>
        <v/>
      </c>
      <c r="H1737" t="str">
        <f>IF(A1737="","",IFERROR(VALUE(SUBSTITUTE(TRIM(Input!I1737&amp;""),"%","")),0)/IF(AND(IFERROR(VALUE(SUBSTITUTE(TRIM(Input!I1737&amp;""),"%","")),0)&gt;0,IFERROR(VALUE(SUBSTITUTE(TRIM(Input!I1737&amp;""),"%","")),0)&lt;1),1,100))</f>
        <v/>
      </c>
    </row>
    <row r="1738" spans="1:8">
      <c r="A1738" t="str">
        <f>IF(TRIM(Input!B1738&amp;"")="","",UPPER(TRIM(Input!B1738&amp;"")))</f>
        <v/>
      </c>
      <c r="B1738" t="str">
        <f>IF(A1738="","",IFERROR(VALUE(RIGHT(TRIM(Input!D1738&amp;""),1)),0))</f>
        <v/>
      </c>
      <c r="C1738" t="str">
        <f t="shared" si="27"/>
        <v/>
      </c>
      <c r="D1738" t="str">
        <f>IF(A1738="","",IFERROR(VALUE(SUBSTITUTE(TRIM(Input!E1738&amp;""),"%","")),0)/IF(AND(IFERROR(VALUE(SUBSTITUTE(TRIM(Input!E1738&amp;""),"%","")),0)&gt;0,IFERROR(VALUE(SUBSTITUTE(TRIM(Input!E1738&amp;""),"%","")),0)&lt;1),1,100))</f>
        <v/>
      </c>
      <c r="E1738" t="str">
        <f>IF(A1738="","",IFERROR(VALUE(SUBSTITUTE(TRIM(Input!F1738&amp;""),"%","")),0)/IF(AND(IFERROR(VALUE(SUBSTITUTE(TRIM(Input!F1738&amp;""),"%","")),0)&gt;0,IFERROR(VALUE(SUBSTITUTE(TRIM(Input!F1738&amp;""),"%","")),0)&lt;1),1,100))</f>
        <v/>
      </c>
      <c r="F1738" t="str">
        <f>IF(A1738="","",IFERROR(VALUE(SUBSTITUTE(TRIM(Input!G1738&amp;""),"%","")),0)/IF(AND(IFERROR(VALUE(SUBSTITUTE(TRIM(Input!G1738&amp;""),"%","")),0)&gt;0,IFERROR(VALUE(SUBSTITUTE(TRIM(Input!G1738&amp;""),"%","")),0)&lt;1),1,100))</f>
        <v/>
      </c>
      <c r="G1738" t="str">
        <f>IF(A1738="","",IFERROR(VALUE(SUBSTITUTE(TRIM(Input!H1738&amp;""),"%","")),0)/IF(AND(IFERROR(VALUE(SUBSTITUTE(TRIM(Input!H1738&amp;""),"%","")),0)&gt;0,IFERROR(VALUE(SUBSTITUTE(TRIM(Input!H1738&amp;""),"%","")),0)&lt;1),1,100))</f>
        <v/>
      </c>
      <c r="H1738" t="str">
        <f>IF(A1738="","",IFERROR(VALUE(SUBSTITUTE(TRIM(Input!I1738&amp;""),"%","")),0)/IF(AND(IFERROR(VALUE(SUBSTITUTE(TRIM(Input!I1738&amp;""),"%","")),0)&gt;0,IFERROR(VALUE(SUBSTITUTE(TRIM(Input!I1738&amp;""),"%","")),0)&lt;1),1,100))</f>
        <v/>
      </c>
    </row>
    <row r="1739" spans="1:8">
      <c r="A1739" t="str">
        <f>IF(TRIM(Input!B1739&amp;"")="","",UPPER(TRIM(Input!B1739&amp;"")))</f>
        <v/>
      </c>
      <c r="B1739" t="str">
        <f>IF(A1739="","",IFERROR(VALUE(RIGHT(TRIM(Input!D1739&amp;""),1)),0))</f>
        <v/>
      </c>
      <c r="C1739" t="str">
        <f t="shared" si="27"/>
        <v/>
      </c>
      <c r="D1739" t="str">
        <f>IF(A1739="","",IFERROR(VALUE(SUBSTITUTE(TRIM(Input!E1739&amp;""),"%","")),0)/IF(AND(IFERROR(VALUE(SUBSTITUTE(TRIM(Input!E1739&amp;""),"%","")),0)&gt;0,IFERROR(VALUE(SUBSTITUTE(TRIM(Input!E1739&amp;""),"%","")),0)&lt;1),1,100))</f>
        <v/>
      </c>
      <c r="E1739" t="str">
        <f>IF(A1739="","",IFERROR(VALUE(SUBSTITUTE(TRIM(Input!F1739&amp;""),"%","")),0)/IF(AND(IFERROR(VALUE(SUBSTITUTE(TRIM(Input!F1739&amp;""),"%","")),0)&gt;0,IFERROR(VALUE(SUBSTITUTE(TRIM(Input!F1739&amp;""),"%","")),0)&lt;1),1,100))</f>
        <v/>
      </c>
      <c r="F1739" t="str">
        <f>IF(A1739="","",IFERROR(VALUE(SUBSTITUTE(TRIM(Input!G1739&amp;""),"%","")),0)/IF(AND(IFERROR(VALUE(SUBSTITUTE(TRIM(Input!G1739&amp;""),"%","")),0)&gt;0,IFERROR(VALUE(SUBSTITUTE(TRIM(Input!G1739&amp;""),"%","")),0)&lt;1),1,100))</f>
        <v/>
      </c>
      <c r="G1739" t="str">
        <f>IF(A1739="","",IFERROR(VALUE(SUBSTITUTE(TRIM(Input!H1739&amp;""),"%","")),0)/IF(AND(IFERROR(VALUE(SUBSTITUTE(TRIM(Input!H1739&amp;""),"%","")),0)&gt;0,IFERROR(VALUE(SUBSTITUTE(TRIM(Input!H1739&amp;""),"%","")),0)&lt;1),1,100))</f>
        <v/>
      </c>
      <c r="H1739" t="str">
        <f>IF(A1739="","",IFERROR(VALUE(SUBSTITUTE(TRIM(Input!I1739&amp;""),"%","")),0)/IF(AND(IFERROR(VALUE(SUBSTITUTE(TRIM(Input!I1739&amp;""),"%","")),0)&gt;0,IFERROR(VALUE(SUBSTITUTE(TRIM(Input!I1739&amp;""),"%","")),0)&lt;1),1,100))</f>
        <v/>
      </c>
    </row>
    <row r="1740" spans="1:8">
      <c r="A1740" t="str">
        <f>IF(TRIM(Input!B1740&amp;"")="","",UPPER(TRIM(Input!B1740&amp;"")))</f>
        <v/>
      </c>
      <c r="B1740" t="str">
        <f>IF(A1740="","",IFERROR(VALUE(RIGHT(TRIM(Input!D1740&amp;""),1)),0))</f>
        <v/>
      </c>
      <c r="C1740" t="str">
        <f t="shared" si="27"/>
        <v/>
      </c>
      <c r="D1740" t="str">
        <f>IF(A1740="","",IFERROR(VALUE(SUBSTITUTE(TRIM(Input!E1740&amp;""),"%","")),0)/IF(AND(IFERROR(VALUE(SUBSTITUTE(TRIM(Input!E1740&amp;""),"%","")),0)&gt;0,IFERROR(VALUE(SUBSTITUTE(TRIM(Input!E1740&amp;""),"%","")),0)&lt;1),1,100))</f>
        <v/>
      </c>
      <c r="E1740" t="str">
        <f>IF(A1740="","",IFERROR(VALUE(SUBSTITUTE(TRIM(Input!F1740&amp;""),"%","")),0)/IF(AND(IFERROR(VALUE(SUBSTITUTE(TRIM(Input!F1740&amp;""),"%","")),0)&gt;0,IFERROR(VALUE(SUBSTITUTE(TRIM(Input!F1740&amp;""),"%","")),0)&lt;1),1,100))</f>
        <v/>
      </c>
      <c r="F1740" t="str">
        <f>IF(A1740="","",IFERROR(VALUE(SUBSTITUTE(TRIM(Input!G1740&amp;""),"%","")),0)/IF(AND(IFERROR(VALUE(SUBSTITUTE(TRIM(Input!G1740&amp;""),"%","")),0)&gt;0,IFERROR(VALUE(SUBSTITUTE(TRIM(Input!G1740&amp;""),"%","")),0)&lt;1),1,100))</f>
        <v/>
      </c>
      <c r="G1740" t="str">
        <f>IF(A1740="","",IFERROR(VALUE(SUBSTITUTE(TRIM(Input!H1740&amp;""),"%","")),0)/IF(AND(IFERROR(VALUE(SUBSTITUTE(TRIM(Input!H1740&amp;""),"%","")),0)&gt;0,IFERROR(VALUE(SUBSTITUTE(TRIM(Input!H1740&amp;""),"%","")),0)&lt;1),1,100))</f>
        <v/>
      </c>
      <c r="H1740" t="str">
        <f>IF(A1740="","",IFERROR(VALUE(SUBSTITUTE(TRIM(Input!I1740&amp;""),"%","")),0)/IF(AND(IFERROR(VALUE(SUBSTITUTE(TRIM(Input!I1740&amp;""),"%","")),0)&gt;0,IFERROR(VALUE(SUBSTITUTE(TRIM(Input!I1740&amp;""),"%","")),0)&lt;1),1,100))</f>
        <v/>
      </c>
    </row>
    <row r="1741" spans="1:8">
      <c r="A1741" t="str">
        <f>IF(TRIM(Input!B1741&amp;"")="","",UPPER(TRIM(Input!B1741&amp;"")))</f>
        <v/>
      </c>
      <c r="B1741" t="str">
        <f>IF(A1741="","",IFERROR(VALUE(RIGHT(TRIM(Input!D1741&amp;""),1)),0))</f>
        <v/>
      </c>
      <c r="C1741" t="str">
        <f t="shared" si="27"/>
        <v/>
      </c>
      <c r="D1741" t="str">
        <f>IF(A1741="","",IFERROR(VALUE(SUBSTITUTE(TRIM(Input!E1741&amp;""),"%","")),0)/IF(AND(IFERROR(VALUE(SUBSTITUTE(TRIM(Input!E1741&amp;""),"%","")),0)&gt;0,IFERROR(VALUE(SUBSTITUTE(TRIM(Input!E1741&amp;""),"%","")),0)&lt;1),1,100))</f>
        <v/>
      </c>
      <c r="E1741" t="str">
        <f>IF(A1741="","",IFERROR(VALUE(SUBSTITUTE(TRIM(Input!F1741&amp;""),"%","")),0)/IF(AND(IFERROR(VALUE(SUBSTITUTE(TRIM(Input!F1741&amp;""),"%","")),0)&gt;0,IFERROR(VALUE(SUBSTITUTE(TRIM(Input!F1741&amp;""),"%","")),0)&lt;1),1,100))</f>
        <v/>
      </c>
      <c r="F1741" t="str">
        <f>IF(A1741="","",IFERROR(VALUE(SUBSTITUTE(TRIM(Input!G1741&amp;""),"%","")),0)/IF(AND(IFERROR(VALUE(SUBSTITUTE(TRIM(Input!G1741&amp;""),"%","")),0)&gt;0,IFERROR(VALUE(SUBSTITUTE(TRIM(Input!G1741&amp;""),"%","")),0)&lt;1),1,100))</f>
        <v/>
      </c>
      <c r="G1741" t="str">
        <f>IF(A1741="","",IFERROR(VALUE(SUBSTITUTE(TRIM(Input!H1741&amp;""),"%","")),0)/IF(AND(IFERROR(VALUE(SUBSTITUTE(TRIM(Input!H1741&amp;""),"%","")),0)&gt;0,IFERROR(VALUE(SUBSTITUTE(TRIM(Input!H1741&amp;""),"%","")),0)&lt;1),1,100))</f>
        <v/>
      </c>
      <c r="H1741" t="str">
        <f>IF(A1741="","",IFERROR(VALUE(SUBSTITUTE(TRIM(Input!I1741&amp;""),"%","")),0)/IF(AND(IFERROR(VALUE(SUBSTITUTE(TRIM(Input!I1741&amp;""),"%","")),0)&gt;0,IFERROR(VALUE(SUBSTITUTE(TRIM(Input!I1741&amp;""),"%","")),0)&lt;1),1,100))</f>
        <v/>
      </c>
    </row>
    <row r="1742" spans="1:8">
      <c r="A1742" t="str">
        <f>IF(TRIM(Input!B1742&amp;"")="","",UPPER(TRIM(Input!B1742&amp;"")))</f>
        <v/>
      </c>
      <c r="B1742" t="str">
        <f>IF(A1742="","",IFERROR(VALUE(RIGHT(TRIM(Input!D1742&amp;""),1)),0))</f>
        <v/>
      </c>
      <c r="C1742" t="str">
        <f t="shared" si="27"/>
        <v/>
      </c>
      <c r="D1742" t="str">
        <f>IF(A1742="","",IFERROR(VALUE(SUBSTITUTE(TRIM(Input!E1742&amp;""),"%","")),0)/IF(AND(IFERROR(VALUE(SUBSTITUTE(TRIM(Input!E1742&amp;""),"%","")),0)&gt;0,IFERROR(VALUE(SUBSTITUTE(TRIM(Input!E1742&amp;""),"%","")),0)&lt;1),1,100))</f>
        <v/>
      </c>
      <c r="E1742" t="str">
        <f>IF(A1742="","",IFERROR(VALUE(SUBSTITUTE(TRIM(Input!F1742&amp;""),"%","")),0)/IF(AND(IFERROR(VALUE(SUBSTITUTE(TRIM(Input!F1742&amp;""),"%","")),0)&gt;0,IFERROR(VALUE(SUBSTITUTE(TRIM(Input!F1742&amp;""),"%","")),0)&lt;1),1,100))</f>
        <v/>
      </c>
      <c r="F1742" t="str">
        <f>IF(A1742="","",IFERROR(VALUE(SUBSTITUTE(TRIM(Input!G1742&amp;""),"%","")),0)/IF(AND(IFERROR(VALUE(SUBSTITUTE(TRIM(Input!G1742&amp;""),"%","")),0)&gt;0,IFERROR(VALUE(SUBSTITUTE(TRIM(Input!G1742&amp;""),"%","")),0)&lt;1),1,100))</f>
        <v/>
      </c>
      <c r="G1742" t="str">
        <f>IF(A1742="","",IFERROR(VALUE(SUBSTITUTE(TRIM(Input!H1742&amp;""),"%","")),0)/IF(AND(IFERROR(VALUE(SUBSTITUTE(TRIM(Input!H1742&amp;""),"%","")),0)&gt;0,IFERROR(VALUE(SUBSTITUTE(TRIM(Input!H1742&amp;""),"%","")),0)&lt;1),1,100))</f>
        <v/>
      </c>
      <c r="H1742" t="str">
        <f>IF(A1742="","",IFERROR(VALUE(SUBSTITUTE(TRIM(Input!I1742&amp;""),"%","")),0)/IF(AND(IFERROR(VALUE(SUBSTITUTE(TRIM(Input!I1742&amp;""),"%","")),0)&gt;0,IFERROR(VALUE(SUBSTITUTE(TRIM(Input!I1742&amp;""),"%","")),0)&lt;1),1,100))</f>
        <v/>
      </c>
    </row>
    <row r="1743" spans="1:8">
      <c r="A1743" t="str">
        <f>IF(TRIM(Input!B1743&amp;"")="","",UPPER(TRIM(Input!B1743&amp;"")))</f>
        <v/>
      </c>
      <c r="B1743" t="str">
        <f>IF(A1743="","",IFERROR(VALUE(RIGHT(TRIM(Input!D1743&amp;""),1)),0))</f>
        <v/>
      </c>
      <c r="C1743" t="str">
        <f t="shared" si="27"/>
        <v/>
      </c>
      <c r="D1743" t="str">
        <f>IF(A1743="","",IFERROR(VALUE(SUBSTITUTE(TRIM(Input!E1743&amp;""),"%","")),0)/IF(AND(IFERROR(VALUE(SUBSTITUTE(TRIM(Input!E1743&amp;""),"%","")),0)&gt;0,IFERROR(VALUE(SUBSTITUTE(TRIM(Input!E1743&amp;""),"%","")),0)&lt;1),1,100))</f>
        <v/>
      </c>
      <c r="E1743" t="str">
        <f>IF(A1743="","",IFERROR(VALUE(SUBSTITUTE(TRIM(Input!F1743&amp;""),"%","")),0)/IF(AND(IFERROR(VALUE(SUBSTITUTE(TRIM(Input!F1743&amp;""),"%","")),0)&gt;0,IFERROR(VALUE(SUBSTITUTE(TRIM(Input!F1743&amp;""),"%","")),0)&lt;1),1,100))</f>
        <v/>
      </c>
      <c r="F1743" t="str">
        <f>IF(A1743="","",IFERROR(VALUE(SUBSTITUTE(TRIM(Input!G1743&amp;""),"%","")),0)/IF(AND(IFERROR(VALUE(SUBSTITUTE(TRIM(Input!G1743&amp;""),"%","")),0)&gt;0,IFERROR(VALUE(SUBSTITUTE(TRIM(Input!G1743&amp;""),"%","")),0)&lt;1),1,100))</f>
        <v/>
      </c>
      <c r="G1743" t="str">
        <f>IF(A1743="","",IFERROR(VALUE(SUBSTITUTE(TRIM(Input!H1743&amp;""),"%","")),0)/IF(AND(IFERROR(VALUE(SUBSTITUTE(TRIM(Input!H1743&amp;""),"%","")),0)&gt;0,IFERROR(VALUE(SUBSTITUTE(TRIM(Input!H1743&amp;""),"%","")),0)&lt;1),1,100))</f>
        <v/>
      </c>
      <c r="H1743" t="str">
        <f>IF(A1743="","",IFERROR(VALUE(SUBSTITUTE(TRIM(Input!I1743&amp;""),"%","")),0)/IF(AND(IFERROR(VALUE(SUBSTITUTE(TRIM(Input!I1743&amp;""),"%","")),0)&gt;0,IFERROR(VALUE(SUBSTITUTE(TRIM(Input!I1743&amp;""),"%","")),0)&lt;1),1,100))</f>
        <v/>
      </c>
    </row>
    <row r="1744" spans="1:8">
      <c r="A1744" t="str">
        <f>IF(TRIM(Input!B1744&amp;"")="","",UPPER(TRIM(Input!B1744&amp;"")))</f>
        <v/>
      </c>
      <c r="B1744" t="str">
        <f>IF(A1744="","",IFERROR(VALUE(RIGHT(TRIM(Input!D1744&amp;""),1)),0))</f>
        <v/>
      </c>
      <c r="C1744" t="str">
        <f t="shared" si="27"/>
        <v/>
      </c>
      <c r="D1744" t="str">
        <f>IF(A1744="","",IFERROR(VALUE(SUBSTITUTE(TRIM(Input!E1744&amp;""),"%","")),0)/IF(AND(IFERROR(VALUE(SUBSTITUTE(TRIM(Input!E1744&amp;""),"%","")),0)&gt;0,IFERROR(VALUE(SUBSTITUTE(TRIM(Input!E1744&amp;""),"%","")),0)&lt;1),1,100))</f>
        <v/>
      </c>
      <c r="E1744" t="str">
        <f>IF(A1744="","",IFERROR(VALUE(SUBSTITUTE(TRIM(Input!F1744&amp;""),"%","")),0)/IF(AND(IFERROR(VALUE(SUBSTITUTE(TRIM(Input!F1744&amp;""),"%","")),0)&gt;0,IFERROR(VALUE(SUBSTITUTE(TRIM(Input!F1744&amp;""),"%","")),0)&lt;1),1,100))</f>
        <v/>
      </c>
      <c r="F1744" t="str">
        <f>IF(A1744="","",IFERROR(VALUE(SUBSTITUTE(TRIM(Input!G1744&amp;""),"%","")),0)/IF(AND(IFERROR(VALUE(SUBSTITUTE(TRIM(Input!G1744&amp;""),"%","")),0)&gt;0,IFERROR(VALUE(SUBSTITUTE(TRIM(Input!G1744&amp;""),"%","")),0)&lt;1),1,100))</f>
        <v/>
      </c>
      <c r="G1744" t="str">
        <f>IF(A1744="","",IFERROR(VALUE(SUBSTITUTE(TRIM(Input!H1744&amp;""),"%","")),0)/IF(AND(IFERROR(VALUE(SUBSTITUTE(TRIM(Input!H1744&amp;""),"%","")),0)&gt;0,IFERROR(VALUE(SUBSTITUTE(TRIM(Input!H1744&amp;""),"%","")),0)&lt;1),1,100))</f>
        <v/>
      </c>
      <c r="H1744" t="str">
        <f>IF(A1744="","",IFERROR(VALUE(SUBSTITUTE(TRIM(Input!I1744&amp;""),"%","")),0)/IF(AND(IFERROR(VALUE(SUBSTITUTE(TRIM(Input!I1744&amp;""),"%","")),0)&gt;0,IFERROR(VALUE(SUBSTITUTE(TRIM(Input!I1744&amp;""),"%","")),0)&lt;1),1,100))</f>
        <v/>
      </c>
    </row>
    <row r="1745" spans="1:8">
      <c r="A1745" t="str">
        <f>IF(TRIM(Input!B1745&amp;"")="","",UPPER(TRIM(Input!B1745&amp;"")))</f>
        <v/>
      </c>
      <c r="B1745" t="str">
        <f>IF(A1745="","",IFERROR(VALUE(RIGHT(TRIM(Input!D1745&amp;""),1)),0))</f>
        <v/>
      </c>
      <c r="C1745" t="str">
        <f t="shared" si="27"/>
        <v/>
      </c>
      <c r="D1745" t="str">
        <f>IF(A1745="","",IFERROR(VALUE(SUBSTITUTE(TRIM(Input!E1745&amp;""),"%","")),0)/IF(AND(IFERROR(VALUE(SUBSTITUTE(TRIM(Input!E1745&amp;""),"%","")),0)&gt;0,IFERROR(VALUE(SUBSTITUTE(TRIM(Input!E1745&amp;""),"%","")),0)&lt;1),1,100))</f>
        <v/>
      </c>
      <c r="E1745" t="str">
        <f>IF(A1745="","",IFERROR(VALUE(SUBSTITUTE(TRIM(Input!F1745&amp;""),"%","")),0)/IF(AND(IFERROR(VALUE(SUBSTITUTE(TRIM(Input!F1745&amp;""),"%","")),0)&gt;0,IFERROR(VALUE(SUBSTITUTE(TRIM(Input!F1745&amp;""),"%","")),0)&lt;1),1,100))</f>
        <v/>
      </c>
      <c r="F1745" t="str">
        <f>IF(A1745="","",IFERROR(VALUE(SUBSTITUTE(TRIM(Input!G1745&amp;""),"%","")),0)/IF(AND(IFERROR(VALUE(SUBSTITUTE(TRIM(Input!G1745&amp;""),"%","")),0)&gt;0,IFERROR(VALUE(SUBSTITUTE(TRIM(Input!G1745&amp;""),"%","")),0)&lt;1),1,100))</f>
        <v/>
      </c>
      <c r="G1745" t="str">
        <f>IF(A1745="","",IFERROR(VALUE(SUBSTITUTE(TRIM(Input!H1745&amp;""),"%","")),0)/IF(AND(IFERROR(VALUE(SUBSTITUTE(TRIM(Input!H1745&amp;""),"%","")),0)&gt;0,IFERROR(VALUE(SUBSTITUTE(TRIM(Input!H1745&amp;""),"%","")),0)&lt;1),1,100))</f>
        <v/>
      </c>
      <c r="H1745" t="str">
        <f>IF(A1745="","",IFERROR(VALUE(SUBSTITUTE(TRIM(Input!I1745&amp;""),"%","")),0)/IF(AND(IFERROR(VALUE(SUBSTITUTE(TRIM(Input!I1745&amp;""),"%","")),0)&gt;0,IFERROR(VALUE(SUBSTITUTE(TRIM(Input!I1745&amp;""),"%","")),0)&lt;1),1,100))</f>
        <v/>
      </c>
    </row>
    <row r="1746" spans="1:8">
      <c r="A1746" t="str">
        <f>IF(TRIM(Input!B1746&amp;"")="","",UPPER(TRIM(Input!B1746&amp;"")))</f>
        <v/>
      </c>
      <c r="B1746" t="str">
        <f>IF(A1746="","",IFERROR(VALUE(RIGHT(TRIM(Input!D1746&amp;""),1)),0))</f>
        <v/>
      </c>
      <c r="C1746" t="str">
        <f t="shared" si="27"/>
        <v/>
      </c>
      <c r="D1746" t="str">
        <f>IF(A1746="","",IFERROR(VALUE(SUBSTITUTE(TRIM(Input!E1746&amp;""),"%","")),0)/IF(AND(IFERROR(VALUE(SUBSTITUTE(TRIM(Input!E1746&amp;""),"%","")),0)&gt;0,IFERROR(VALUE(SUBSTITUTE(TRIM(Input!E1746&amp;""),"%","")),0)&lt;1),1,100))</f>
        <v/>
      </c>
      <c r="E1746" t="str">
        <f>IF(A1746="","",IFERROR(VALUE(SUBSTITUTE(TRIM(Input!F1746&amp;""),"%","")),0)/IF(AND(IFERROR(VALUE(SUBSTITUTE(TRIM(Input!F1746&amp;""),"%","")),0)&gt;0,IFERROR(VALUE(SUBSTITUTE(TRIM(Input!F1746&amp;""),"%","")),0)&lt;1),1,100))</f>
        <v/>
      </c>
      <c r="F1746" t="str">
        <f>IF(A1746="","",IFERROR(VALUE(SUBSTITUTE(TRIM(Input!G1746&amp;""),"%","")),0)/IF(AND(IFERROR(VALUE(SUBSTITUTE(TRIM(Input!G1746&amp;""),"%","")),0)&gt;0,IFERROR(VALUE(SUBSTITUTE(TRIM(Input!G1746&amp;""),"%","")),0)&lt;1),1,100))</f>
        <v/>
      </c>
      <c r="G1746" t="str">
        <f>IF(A1746="","",IFERROR(VALUE(SUBSTITUTE(TRIM(Input!H1746&amp;""),"%","")),0)/IF(AND(IFERROR(VALUE(SUBSTITUTE(TRIM(Input!H1746&amp;""),"%","")),0)&gt;0,IFERROR(VALUE(SUBSTITUTE(TRIM(Input!H1746&amp;""),"%","")),0)&lt;1),1,100))</f>
        <v/>
      </c>
      <c r="H1746" t="str">
        <f>IF(A1746="","",IFERROR(VALUE(SUBSTITUTE(TRIM(Input!I1746&amp;""),"%","")),0)/IF(AND(IFERROR(VALUE(SUBSTITUTE(TRIM(Input!I1746&amp;""),"%","")),0)&gt;0,IFERROR(VALUE(SUBSTITUTE(TRIM(Input!I1746&amp;""),"%","")),0)&lt;1),1,100))</f>
        <v/>
      </c>
    </row>
    <row r="1747" spans="1:8">
      <c r="A1747" t="str">
        <f>IF(TRIM(Input!B1747&amp;"")="","",UPPER(TRIM(Input!B1747&amp;"")))</f>
        <v/>
      </c>
      <c r="B1747" t="str">
        <f>IF(A1747="","",IFERROR(VALUE(RIGHT(TRIM(Input!D1747&amp;""),1)),0))</f>
        <v/>
      </c>
      <c r="C1747" t="str">
        <f t="shared" si="27"/>
        <v/>
      </c>
      <c r="D1747" t="str">
        <f>IF(A1747="","",IFERROR(VALUE(SUBSTITUTE(TRIM(Input!E1747&amp;""),"%","")),0)/IF(AND(IFERROR(VALUE(SUBSTITUTE(TRIM(Input!E1747&amp;""),"%","")),0)&gt;0,IFERROR(VALUE(SUBSTITUTE(TRIM(Input!E1747&amp;""),"%","")),0)&lt;1),1,100))</f>
        <v/>
      </c>
      <c r="E1747" t="str">
        <f>IF(A1747="","",IFERROR(VALUE(SUBSTITUTE(TRIM(Input!F1747&amp;""),"%","")),0)/IF(AND(IFERROR(VALUE(SUBSTITUTE(TRIM(Input!F1747&amp;""),"%","")),0)&gt;0,IFERROR(VALUE(SUBSTITUTE(TRIM(Input!F1747&amp;""),"%","")),0)&lt;1),1,100))</f>
        <v/>
      </c>
      <c r="F1747" t="str">
        <f>IF(A1747="","",IFERROR(VALUE(SUBSTITUTE(TRIM(Input!G1747&amp;""),"%","")),0)/IF(AND(IFERROR(VALUE(SUBSTITUTE(TRIM(Input!G1747&amp;""),"%","")),0)&gt;0,IFERROR(VALUE(SUBSTITUTE(TRIM(Input!G1747&amp;""),"%","")),0)&lt;1),1,100))</f>
        <v/>
      </c>
      <c r="G1747" t="str">
        <f>IF(A1747="","",IFERROR(VALUE(SUBSTITUTE(TRIM(Input!H1747&amp;""),"%","")),0)/IF(AND(IFERROR(VALUE(SUBSTITUTE(TRIM(Input!H1747&amp;""),"%","")),0)&gt;0,IFERROR(VALUE(SUBSTITUTE(TRIM(Input!H1747&amp;""),"%","")),0)&lt;1),1,100))</f>
        <v/>
      </c>
      <c r="H1747" t="str">
        <f>IF(A1747="","",IFERROR(VALUE(SUBSTITUTE(TRIM(Input!I1747&amp;""),"%","")),0)/IF(AND(IFERROR(VALUE(SUBSTITUTE(TRIM(Input!I1747&amp;""),"%","")),0)&gt;0,IFERROR(VALUE(SUBSTITUTE(TRIM(Input!I1747&amp;""),"%","")),0)&lt;1),1,100))</f>
        <v/>
      </c>
    </row>
    <row r="1748" spans="1:8">
      <c r="A1748" t="str">
        <f>IF(TRIM(Input!B1748&amp;"")="","",UPPER(TRIM(Input!B1748&amp;"")))</f>
        <v/>
      </c>
      <c r="B1748" t="str">
        <f>IF(A1748="","",IFERROR(VALUE(RIGHT(TRIM(Input!D1748&amp;""),1)),0))</f>
        <v/>
      </c>
      <c r="C1748" t="str">
        <f t="shared" si="27"/>
        <v/>
      </c>
      <c r="D1748" t="str">
        <f>IF(A1748="","",IFERROR(VALUE(SUBSTITUTE(TRIM(Input!E1748&amp;""),"%","")),0)/IF(AND(IFERROR(VALUE(SUBSTITUTE(TRIM(Input!E1748&amp;""),"%","")),0)&gt;0,IFERROR(VALUE(SUBSTITUTE(TRIM(Input!E1748&amp;""),"%","")),0)&lt;1),1,100))</f>
        <v/>
      </c>
      <c r="E1748" t="str">
        <f>IF(A1748="","",IFERROR(VALUE(SUBSTITUTE(TRIM(Input!F1748&amp;""),"%","")),0)/IF(AND(IFERROR(VALUE(SUBSTITUTE(TRIM(Input!F1748&amp;""),"%","")),0)&gt;0,IFERROR(VALUE(SUBSTITUTE(TRIM(Input!F1748&amp;""),"%","")),0)&lt;1),1,100))</f>
        <v/>
      </c>
      <c r="F1748" t="str">
        <f>IF(A1748="","",IFERROR(VALUE(SUBSTITUTE(TRIM(Input!G1748&amp;""),"%","")),0)/IF(AND(IFERROR(VALUE(SUBSTITUTE(TRIM(Input!G1748&amp;""),"%","")),0)&gt;0,IFERROR(VALUE(SUBSTITUTE(TRIM(Input!G1748&amp;""),"%","")),0)&lt;1),1,100))</f>
        <v/>
      </c>
      <c r="G1748" t="str">
        <f>IF(A1748="","",IFERROR(VALUE(SUBSTITUTE(TRIM(Input!H1748&amp;""),"%","")),0)/IF(AND(IFERROR(VALUE(SUBSTITUTE(TRIM(Input!H1748&amp;""),"%","")),0)&gt;0,IFERROR(VALUE(SUBSTITUTE(TRIM(Input!H1748&amp;""),"%","")),0)&lt;1),1,100))</f>
        <v/>
      </c>
      <c r="H1748" t="str">
        <f>IF(A1748="","",IFERROR(VALUE(SUBSTITUTE(TRIM(Input!I1748&amp;""),"%","")),0)/IF(AND(IFERROR(VALUE(SUBSTITUTE(TRIM(Input!I1748&amp;""),"%","")),0)&gt;0,IFERROR(VALUE(SUBSTITUTE(TRIM(Input!I1748&amp;""),"%","")),0)&lt;1),1,100))</f>
        <v/>
      </c>
    </row>
    <row r="1749" spans="1:8">
      <c r="A1749" t="str">
        <f>IF(TRIM(Input!B1749&amp;"")="","",UPPER(TRIM(Input!B1749&amp;"")))</f>
        <v/>
      </c>
      <c r="B1749" t="str">
        <f>IF(A1749="","",IFERROR(VALUE(RIGHT(TRIM(Input!D1749&amp;""),1)),0))</f>
        <v/>
      </c>
      <c r="C1749" t="str">
        <f t="shared" si="27"/>
        <v/>
      </c>
      <c r="D1749" t="str">
        <f>IF(A1749="","",IFERROR(VALUE(SUBSTITUTE(TRIM(Input!E1749&amp;""),"%","")),0)/IF(AND(IFERROR(VALUE(SUBSTITUTE(TRIM(Input!E1749&amp;""),"%","")),0)&gt;0,IFERROR(VALUE(SUBSTITUTE(TRIM(Input!E1749&amp;""),"%","")),0)&lt;1),1,100))</f>
        <v/>
      </c>
      <c r="E1749" t="str">
        <f>IF(A1749="","",IFERROR(VALUE(SUBSTITUTE(TRIM(Input!F1749&amp;""),"%","")),0)/IF(AND(IFERROR(VALUE(SUBSTITUTE(TRIM(Input!F1749&amp;""),"%","")),0)&gt;0,IFERROR(VALUE(SUBSTITUTE(TRIM(Input!F1749&amp;""),"%","")),0)&lt;1),1,100))</f>
        <v/>
      </c>
      <c r="F1749" t="str">
        <f>IF(A1749="","",IFERROR(VALUE(SUBSTITUTE(TRIM(Input!G1749&amp;""),"%","")),0)/IF(AND(IFERROR(VALUE(SUBSTITUTE(TRIM(Input!G1749&amp;""),"%","")),0)&gt;0,IFERROR(VALUE(SUBSTITUTE(TRIM(Input!G1749&amp;""),"%","")),0)&lt;1),1,100))</f>
        <v/>
      </c>
      <c r="G1749" t="str">
        <f>IF(A1749="","",IFERROR(VALUE(SUBSTITUTE(TRIM(Input!H1749&amp;""),"%","")),0)/IF(AND(IFERROR(VALUE(SUBSTITUTE(TRIM(Input!H1749&amp;""),"%","")),0)&gt;0,IFERROR(VALUE(SUBSTITUTE(TRIM(Input!H1749&amp;""),"%","")),0)&lt;1),1,100))</f>
        <v/>
      </c>
      <c r="H1749" t="str">
        <f>IF(A1749="","",IFERROR(VALUE(SUBSTITUTE(TRIM(Input!I1749&amp;""),"%","")),0)/IF(AND(IFERROR(VALUE(SUBSTITUTE(TRIM(Input!I1749&amp;""),"%","")),0)&gt;0,IFERROR(VALUE(SUBSTITUTE(TRIM(Input!I1749&amp;""),"%","")),0)&lt;1),1,100))</f>
        <v/>
      </c>
    </row>
    <row r="1750" spans="1:8">
      <c r="A1750" t="str">
        <f>IF(TRIM(Input!B1750&amp;"")="","",UPPER(TRIM(Input!B1750&amp;"")))</f>
        <v/>
      </c>
      <c r="B1750" t="str">
        <f>IF(A1750="","",IFERROR(VALUE(RIGHT(TRIM(Input!D1750&amp;""),1)),0))</f>
        <v/>
      </c>
      <c r="C1750" t="str">
        <f t="shared" si="27"/>
        <v/>
      </c>
      <c r="D1750" t="str">
        <f>IF(A1750="","",IFERROR(VALUE(SUBSTITUTE(TRIM(Input!E1750&amp;""),"%","")),0)/IF(AND(IFERROR(VALUE(SUBSTITUTE(TRIM(Input!E1750&amp;""),"%","")),0)&gt;0,IFERROR(VALUE(SUBSTITUTE(TRIM(Input!E1750&amp;""),"%","")),0)&lt;1),1,100))</f>
        <v/>
      </c>
      <c r="E1750" t="str">
        <f>IF(A1750="","",IFERROR(VALUE(SUBSTITUTE(TRIM(Input!F1750&amp;""),"%","")),0)/IF(AND(IFERROR(VALUE(SUBSTITUTE(TRIM(Input!F1750&amp;""),"%","")),0)&gt;0,IFERROR(VALUE(SUBSTITUTE(TRIM(Input!F1750&amp;""),"%","")),0)&lt;1),1,100))</f>
        <v/>
      </c>
      <c r="F1750" t="str">
        <f>IF(A1750="","",IFERROR(VALUE(SUBSTITUTE(TRIM(Input!G1750&amp;""),"%","")),0)/IF(AND(IFERROR(VALUE(SUBSTITUTE(TRIM(Input!G1750&amp;""),"%","")),0)&gt;0,IFERROR(VALUE(SUBSTITUTE(TRIM(Input!G1750&amp;""),"%","")),0)&lt;1),1,100))</f>
        <v/>
      </c>
      <c r="G1750" t="str">
        <f>IF(A1750="","",IFERROR(VALUE(SUBSTITUTE(TRIM(Input!H1750&amp;""),"%","")),0)/IF(AND(IFERROR(VALUE(SUBSTITUTE(TRIM(Input!H1750&amp;""),"%","")),0)&gt;0,IFERROR(VALUE(SUBSTITUTE(TRIM(Input!H1750&amp;""),"%","")),0)&lt;1),1,100))</f>
        <v/>
      </c>
      <c r="H1750" t="str">
        <f>IF(A1750="","",IFERROR(VALUE(SUBSTITUTE(TRIM(Input!I1750&amp;""),"%","")),0)/IF(AND(IFERROR(VALUE(SUBSTITUTE(TRIM(Input!I1750&amp;""),"%","")),0)&gt;0,IFERROR(VALUE(SUBSTITUTE(TRIM(Input!I1750&amp;""),"%","")),0)&lt;1),1,100))</f>
        <v/>
      </c>
    </row>
    <row r="1751" spans="1:8">
      <c r="A1751" t="str">
        <f>IF(TRIM(Input!B1751&amp;"")="","",UPPER(TRIM(Input!B1751&amp;"")))</f>
        <v/>
      </c>
      <c r="B1751" t="str">
        <f>IF(A1751="","",IFERROR(VALUE(RIGHT(TRIM(Input!D1751&amp;""),1)),0))</f>
        <v/>
      </c>
      <c r="C1751" t="str">
        <f t="shared" si="27"/>
        <v/>
      </c>
      <c r="D1751" t="str">
        <f>IF(A1751="","",IFERROR(VALUE(SUBSTITUTE(TRIM(Input!E1751&amp;""),"%","")),0)/IF(AND(IFERROR(VALUE(SUBSTITUTE(TRIM(Input!E1751&amp;""),"%","")),0)&gt;0,IFERROR(VALUE(SUBSTITUTE(TRIM(Input!E1751&amp;""),"%","")),0)&lt;1),1,100))</f>
        <v/>
      </c>
      <c r="E1751" t="str">
        <f>IF(A1751="","",IFERROR(VALUE(SUBSTITUTE(TRIM(Input!F1751&amp;""),"%","")),0)/IF(AND(IFERROR(VALUE(SUBSTITUTE(TRIM(Input!F1751&amp;""),"%","")),0)&gt;0,IFERROR(VALUE(SUBSTITUTE(TRIM(Input!F1751&amp;""),"%","")),0)&lt;1),1,100))</f>
        <v/>
      </c>
      <c r="F1751" t="str">
        <f>IF(A1751="","",IFERROR(VALUE(SUBSTITUTE(TRIM(Input!G1751&amp;""),"%","")),0)/IF(AND(IFERROR(VALUE(SUBSTITUTE(TRIM(Input!G1751&amp;""),"%","")),0)&gt;0,IFERROR(VALUE(SUBSTITUTE(TRIM(Input!G1751&amp;""),"%","")),0)&lt;1),1,100))</f>
        <v/>
      </c>
      <c r="G1751" t="str">
        <f>IF(A1751="","",IFERROR(VALUE(SUBSTITUTE(TRIM(Input!H1751&amp;""),"%","")),0)/IF(AND(IFERROR(VALUE(SUBSTITUTE(TRIM(Input!H1751&amp;""),"%","")),0)&gt;0,IFERROR(VALUE(SUBSTITUTE(TRIM(Input!H1751&amp;""),"%","")),0)&lt;1),1,100))</f>
        <v/>
      </c>
      <c r="H1751" t="str">
        <f>IF(A1751="","",IFERROR(VALUE(SUBSTITUTE(TRIM(Input!I1751&amp;""),"%","")),0)/IF(AND(IFERROR(VALUE(SUBSTITUTE(TRIM(Input!I1751&amp;""),"%","")),0)&gt;0,IFERROR(VALUE(SUBSTITUTE(TRIM(Input!I1751&amp;""),"%","")),0)&lt;1),1,100))</f>
        <v/>
      </c>
    </row>
    <row r="1752" spans="1:8">
      <c r="A1752" t="str">
        <f>IF(TRIM(Input!B1752&amp;"")="","",UPPER(TRIM(Input!B1752&amp;"")))</f>
        <v/>
      </c>
      <c r="B1752" t="str">
        <f>IF(A1752="","",IFERROR(VALUE(RIGHT(TRIM(Input!D1752&amp;""),1)),0))</f>
        <v/>
      </c>
      <c r="C1752" t="str">
        <f t="shared" si="27"/>
        <v/>
      </c>
      <c r="D1752" t="str">
        <f>IF(A1752="","",IFERROR(VALUE(SUBSTITUTE(TRIM(Input!E1752&amp;""),"%","")),0)/IF(AND(IFERROR(VALUE(SUBSTITUTE(TRIM(Input!E1752&amp;""),"%","")),0)&gt;0,IFERROR(VALUE(SUBSTITUTE(TRIM(Input!E1752&amp;""),"%","")),0)&lt;1),1,100))</f>
        <v/>
      </c>
      <c r="E1752" t="str">
        <f>IF(A1752="","",IFERROR(VALUE(SUBSTITUTE(TRIM(Input!F1752&amp;""),"%","")),0)/IF(AND(IFERROR(VALUE(SUBSTITUTE(TRIM(Input!F1752&amp;""),"%","")),0)&gt;0,IFERROR(VALUE(SUBSTITUTE(TRIM(Input!F1752&amp;""),"%","")),0)&lt;1),1,100))</f>
        <v/>
      </c>
      <c r="F1752" t="str">
        <f>IF(A1752="","",IFERROR(VALUE(SUBSTITUTE(TRIM(Input!G1752&amp;""),"%","")),0)/IF(AND(IFERROR(VALUE(SUBSTITUTE(TRIM(Input!G1752&amp;""),"%","")),0)&gt;0,IFERROR(VALUE(SUBSTITUTE(TRIM(Input!G1752&amp;""),"%","")),0)&lt;1),1,100))</f>
        <v/>
      </c>
      <c r="G1752" t="str">
        <f>IF(A1752="","",IFERROR(VALUE(SUBSTITUTE(TRIM(Input!H1752&amp;""),"%","")),0)/IF(AND(IFERROR(VALUE(SUBSTITUTE(TRIM(Input!H1752&amp;""),"%","")),0)&gt;0,IFERROR(VALUE(SUBSTITUTE(TRIM(Input!H1752&amp;""),"%","")),0)&lt;1),1,100))</f>
        <v/>
      </c>
      <c r="H1752" t="str">
        <f>IF(A1752="","",IFERROR(VALUE(SUBSTITUTE(TRIM(Input!I1752&amp;""),"%","")),0)/IF(AND(IFERROR(VALUE(SUBSTITUTE(TRIM(Input!I1752&amp;""),"%","")),0)&gt;0,IFERROR(VALUE(SUBSTITUTE(TRIM(Input!I1752&amp;""),"%","")),0)&lt;1),1,100))</f>
        <v/>
      </c>
    </row>
    <row r="1753" spans="1:8">
      <c r="A1753" t="str">
        <f>IF(TRIM(Input!B1753&amp;"")="","",UPPER(TRIM(Input!B1753&amp;"")))</f>
        <v/>
      </c>
      <c r="B1753" t="str">
        <f>IF(A1753="","",IFERROR(VALUE(RIGHT(TRIM(Input!D1753&amp;""),1)),0))</f>
        <v/>
      </c>
      <c r="C1753" t="str">
        <f t="shared" si="27"/>
        <v/>
      </c>
      <c r="D1753" t="str">
        <f>IF(A1753="","",IFERROR(VALUE(SUBSTITUTE(TRIM(Input!E1753&amp;""),"%","")),0)/IF(AND(IFERROR(VALUE(SUBSTITUTE(TRIM(Input!E1753&amp;""),"%","")),0)&gt;0,IFERROR(VALUE(SUBSTITUTE(TRIM(Input!E1753&amp;""),"%","")),0)&lt;1),1,100))</f>
        <v/>
      </c>
      <c r="E1753" t="str">
        <f>IF(A1753="","",IFERROR(VALUE(SUBSTITUTE(TRIM(Input!F1753&amp;""),"%","")),0)/IF(AND(IFERROR(VALUE(SUBSTITUTE(TRIM(Input!F1753&amp;""),"%","")),0)&gt;0,IFERROR(VALUE(SUBSTITUTE(TRIM(Input!F1753&amp;""),"%","")),0)&lt;1),1,100))</f>
        <v/>
      </c>
      <c r="F1753" t="str">
        <f>IF(A1753="","",IFERROR(VALUE(SUBSTITUTE(TRIM(Input!G1753&amp;""),"%","")),0)/IF(AND(IFERROR(VALUE(SUBSTITUTE(TRIM(Input!G1753&amp;""),"%","")),0)&gt;0,IFERROR(VALUE(SUBSTITUTE(TRIM(Input!G1753&amp;""),"%","")),0)&lt;1),1,100))</f>
        <v/>
      </c>
      <c r="G1753" t="str">
        <f>IF(A1753="","",IFERROR(VALUE(SUBSTITUTE(TRIM(Input!H1753&amp;""),"%","")),0)/IF(AND(IFERROR(VALUE(SUBSTITUTE(TRIM(Input!H1753&amp;""),"%","")),0)&gt;0,IFERROR(VALUE(SUBSTITUTE(TRIM(Input!H1753&amp;""),"%","")),0)&lt;1),1,100))</f>
        <v/>
      </c>
      <c r="H1753" t="str">
        <f>IF(A1753="","",IFERROR(VALUE(SUBSTITUTE(TRIM(Input!I1753&amp;""),"%","")),0)/IF(AND(IFERROR(VALUE(SUBSTITUTE(TRIM(Input!I1753&amp;""),"%","")),0)&gt;0,IFERROR(VALUE(SUBSTITUTE(TRIM(Input!I1753&amp;""),"%","")),0)&lt;1),1,100))</f>
        <v/>
      </c>
    </row>
    <row r="1754" spans="1:8">
      <c r="A1754" t="str">
        <f>IF(TRIM(Input!B1754&amp;"")="","",UPPER(TRIM(Input!B1754&amp;"")))</f>
        <v/>
      </c>
      <c r="B1754" t="str">
        <f>IF(A1754="","",IFERROR(VALUE(RIGHT(TRIM(Input!D1754&amp;""),1)),0))</f>
        <v/>
      </c>
      <c r="C1754" t="str">
        <f t="shared" si="27"/>
        <v/>
      </c>
      <c r="D1754" t="str">
        <f>IF(A1754="","",IFERROR(VALUE(SUBSTITUTE(TRIM(Input!E1754&amp;""),"%","")),0)/IF(AND(IFERROR(VALUE(SUBSTITUTE(TRIM(Input!E1754&amp;""),"%","")),0)&gt;0,IFERROR(VALUE(SUBSTITUTE(TRIM(Input!E1754&amp;""),"%","")),0)&lt;1),1,100))</f>
        <v/>
      </c>
      <c r="E1754" t="str">
        <f>IF(A1754="","",IFERROR(VALUE(SUBSTITUTE(TRIM(Input!F1754&amp;""),"%","")),0)/IF(AND(IFERROR(VALUE(SUBSTITUTE(TRIM(Input!F1754&amp;""),"%","")),0)&gt;0,IFERROR(VALUE(SUBSTITUTE(TRIM(Input!F1754&amp;""),"%","")),0)&lt;1),1,100))</f>
        <v/>
      </c>
      <c r="F1754" t="str">
        <f>IF(A1754="","",IFERROR(VALUE(SUBSTITUTE(TRIM(Input!G1754&amp;""),"%","")),0)/IF(AND(IFERROR(VALUE(SUBSTITUTE(TRIM(Input!G1754&amp;""),"%","")),0)&gt;0,IFERROR(VALUE(SUBSTITUTE(TRIM(Input!G1754&amp;""),"%","")),0)&lt;1),1,100))</f>
        <v/>
      </c>
      <c r="G1754" t="str">
        <f>IF(A1754="","",IFERROR(VALUE(SUBSTITUTE(TRIM(Input!H1754&amp;""),"%","")),0)/IF(AND(IFERROR(VALUE(SUBSTITUTE(TRIM(Input!H1754&amp;""),"%","")),0)&gt;0,IFERROR(VALUE(SUBSTITUTE(TRIM(Input!H1754&amp;""),"%","")),0)&lt;1),1,100))</f>
        <v/>
      </c>
      <c r="H1754" t="str">
        <f>IF(A1754="","",IFERROR(VALUE(SUBSTITUTE(TRIM(Input!I1754&amp;""),"%","")),0)/IF(AND(IFERROR(VALUE(SUBSTITUTE(TRIM(Input!I1754&amp;""),"%","")),0)&gt;0,IFERROR(VALUE(SUBSTITUTE(TRIM(Input!I1754&amp;""),"%","")),0)&lt;1),1,100))</f>
        <v/>
      </c>
    </row>
    <row r="1755" spans="1:8">
      <c r="A1755" t="str">
        <f>IF(TRIM(Input!B1755&amp;"")="","",UPPER(TRIM(Input!B1755&amp;"")))</f>
        <v/>
      </c>
      <c r="B1755" t="str">
        <f>IF(A1755="","",IFERROR(VALUE(RIGHT(TRIM(Input!D1755&amp;""),1)),0))</f>
        <v/>
      </c>
      <c r="C1755" t="str">
        <f t="shared" si="27"/>
        <v/>
      </c>
      <c r="D1755" t="str">
        <f>IF(A1755="","",IFERROR(VALUE(SUBSTITUTE(TRIM(Input!E1755&amp;""),"%","")),0)/IF(AND(IFERROR(VALUE(SUBSTITUTE(TRIM(Input!E1755&amp;""),"%","")),0)&gt;0,IFERROR(VALUE(SUBSTITUTE(TRIM(Input!E1755&amp;""),"%","")),0)&lt;1),1,100))</f>
        <v/>
      </c>
      <c r="E1755" t="str">
        <f>IF(A1755="","",IFERROR(VALUE(SUBSTITUTE(TRIM(Input!F1755&amp;""),"%","")),0)/IF(AND(IFERROR(VALUE(SUBSTITUTE(TRIM(Input!F1755&amp;""),"%","")),0)&gt;0,IFERROR(VALUE(SUBSTITUTE(TRIM(Input!F1755&amp;""),"%","")),0)&lt;1),1,100))</f>
        <v/>
      </c>
      <c r="F1755" t="str">
        <f>IF(A1755="","",IFERROR(VALUE(SUBSTITUTE(TRIM(Input!G1755&amp;""),"%","")),0)/IF(AND(IFERROR(VALUE(SUBSTITUTE(TRIM(Input!G1755&amp;""),"%","")),0)&gt;0,IFERROR(VALUE(SUBSTITUTE(TRIM(Input!G1755&amp;""),"%","")),0)&lt;1),1,100))</f>
        <v/>
      </c>
      <c r="G1755" t="str">
        <f>IF(A1755="","",IFERROR(VALUE(SUBSTITUTE(TRIM(Input!H1755&amp;""),"%","")),0)/IF(AND(IFERROR(VALUE(SUBSTITUTE(TRIM(Input!H1755&amp;""),"%","")),0)&gt;0,IFERROR(VALUE(SUBSTITUTE(TRIM(Input!H1755&amp;""),"%","")),0)&lt;1),1,100))</f>
        <v/>
      </c>
      <c r="H1755" t="str">
        <f>IF(A1755="","",IFERROR(VALUE(SUBSTITUTE(TRIM(Input!I1755&amp;""),"%","")),0)/IF(AND(IFERROR(VALUE(SUBSTITUTE(TRIM(Input!I1755&amp;""),"%","")),0)&gt;0,IFERROR(VALUE(SUBSTITUTE(TRIM(Input!I1755&amp;""),"%","")),0)&lt;1),1,100))</f>
        <v/>
      </c>
    </row>
    <row r="1756" spans="1:8">
      <c r="A1756" t="str">
        <f>IF(TRIM(Input!B1756&amp;"")="","",UPPER(TRIM(Input!B1756&amp;"")))</f>
        <v/>
      </c>
      <c r="B1756" t="str">
        <f>IF(A1756="","",IFERROR(VALUE(RIGHT(TRIM(Input!D1756&amp;""),1)),0))</f>
        <v/>
      </c>
      <c r="C1756" t="str">
        <f t="shared" si="27"/>
        <v/>
      </c>
      <c r="D1756" t="str">
        <f>IF(A1756="","",IFERROR(VALUE(SUBSTITUTE(TRIM(Input!E1756&amp;""),"%","")),0)/IF(AND(IFERROR(VALUE(SUBSTITUTE(TRIM(Input!E1756&amp;""),"%","")),0)&gt;0,IFERROR(VALUE(SUBSTITUTE(TRIM(Input!E1756&amp;""),"%","")),0)&lt;1),1,100))</f>
        <v/>
      </c>
      <c r="E1756" t="str">
        <f>IF(A1756="","",IFERROR(VALUE(SUBSTITUTE(TRIM(Input!F1756&amp;""),"%","")),0)/IF(AND(IFERROR(VALUE(SUBSTITUTE(TRIM(Input!F1756&amp;""),"%","")),0)&gt;0,IFERROR(VALUE(SUBSTITUTE(TRIM(Input!F1756&amp;""),"%","")),0)&lt;1),1,100))</f>
        <v/>
      </c>
      <c r="F1756" t="str">
        <f>IF(A1756="","",IFERROR(VALUE(SUBSTITUTE(TRIM(Input!G1756&amp;""),"%","")),0)/IF(AND(IFERROR(VALUE(SUBSTITUTE(TRIM(Input!G1756&amp;""),"%","")),0)&gt;0,IFERROR(VALUE(SUBSTITUTE(TRIM(Input!G1756&amp;""),"%","")),0)&lt;1),1,100))</f>
        <v/>
      </c>
      <c r="G1756" t="str">
        <f>IF(A1756="","",IFERROR(VALUE(SUBSTITUTE(TRIM(Input!H1756&amp;""),"%","")),0)/IF(AND(IFERROR(VALUE(SUBSTITUTE(TRIM(Input!H1756&amp;""),"%","")),0)&gt;0,IFERROR(VALUE(SUBSTITUTE(TRIM(Input!H1756&amp;""),"%","")),0)&lt;1),1,100))</f>
        <v/>
      </c>
      <c r="H1756" t="str">
        <f>IF(A1756="","",IFERROR(VALUE(SUBSTITUTE(TRIM(Input!I1756&amp;""),"%","")),0)/IF(AND(IFERROR(VALUE(SUBSTITUTE(TRIM(Input!I1756&amp;""),"%","")),0)&gt;0,IFERROR(VALUE(SUBSTITUTE(TRIM(Input!I1756&amp;""),"%","")),0)&lt;1),1,100))</f>
        <v/>
      </c>
    </row>
    <row r="1757" spans="1:8">
      <c r="A1757" t="str">
        <f>IF(TRIM(Input!B1757&amp;"")="","",UPPER(TRIM(Input!B1757&amp;"")))</f>
        <v/>
      </c>
      <c r="B1757" t="str">
        <f>IF(A1757="","",IFERROR(VALUE(RIGHT(TRIM(Input!D1757&amp;""),1)),0))</f>
        <v/>
      </c>
      <c r="C1757" t="str">
        <f t="shared" si="27"/>
        <v/>
      </c>
      <c r="D1757" t="str">
        <f>IF(A1757="","",IFERROR(VALUE(SUBSTITUTE(TRIM(Input!E1757&amp;""),"%","")),0)/IF(AND(IFERROR(VALUE(SUBSTITUTE(TRIM(Input!E1757&amp;""),"%","")),0)&gt;0,IFERROR(VALUE(SUBSTITUTE(TRIM(Input!E1757&amp;""),"%","")),0)&lt;1),1,100))</f>
        <v/>
      </c>
      <c r="E1757" t="str">
        <f>IF(A1757="","",IFERROR(VALUE(SUBSTITUTE(TRIM(Input!F1757&amp;""),"%","")),0)/IF(AND(IFERROR(VALUE(SUBSTITUTE(TRIM(Input!F1757&amp;""),"%","")),0)&gt;0,IFERROR(VALUE(SUBSTITUTE(TRIM(Input!F1757&amp;""),"%","")),0)&lt;1),1,100))</f>
        <v/>
      </c>
      <c r="F1757" t="str">
        <f>IF(A1757="","",IFERROR(VALUE(SUBSTITUTE(TRIM(Input!G1757&amp;""),"%","")),0)/IF(AND(IFERROR(VALUE(SUBSTITUTE(TRIM(Input!G1757&amp;""),"%","")),0)&gt;0,IFERROR(VALUE(SUBSTITUTE(TRIM(Input!G1757&amp;""),"%","")),0)&lt;1),1,100))</f>
        <v/>
      </c>
      <c r="G1757" t="str">
        <f>IF(A1757="","",IFERROR(VALUE(SUBSTITUTE(TRIM(Input!H1757&amp;""),"%","")),0)/IF(AND(IFERROR(VALUE(SUBSTITUTE(TRIM(Input!H1757&amp;""),"%","")),0)&gt;0,IFERROR(VALUE(SUBSTITUTE(TRIM(Input!H1757&amp;""),"%","")),0)&lt;1),1,100))</f>
        <v/>
      </c>
      <c r="H1757" t="str">
        <f>IF(A1757="","",IFERROR(VALUE(SUBSTITUTE(TRIM(Input!I1757&amp;""),"%","")),0)/IF(AND(IFERROR(VALUE(SUBSTITUTE(TRIM(Input!I1757&amp;""),"%","")),0)&gt;0,IFERROR(VALUE(SUBSTITUTE(TRIM(Input!I1757&amp;""),"%","")),0)&lt;1),1,100))</f>
        <v/>
      </c>
    </row>
    <row r="1758" spans="1:8">
      <c r="A1758" t="str">
        <f>IF(TRIM(Input!B1758&amp;"")="","",UPPER(TRIM(Input!B1758&amp;"")))</f>
        <v/>
      </c>
      <c r="B1758" t="str">
        <f>IF(A1758="","",IFERROR(VALUE(RIGHT(TRIM(Input!D1758&amp;""),1)),0))</f>
        <v/>
      </c>
      <c r="C1758" t="str">
        <f t="shared" si="27"/>
        <v/>
      </c>
      <c r="D1758" t="str">
        <f>IF(A1758="","",IFERROR(VALUE(SUBSTITUTE(TRIM(Input!E1758&amp;""),"%","")),0)/IF(AND(IFERROR(VALUE(SUBSTITUTE(TRIM(Input!E1758&amp;""),"%","")),0)&gt;0,IFERROR(VALUE(SUBSTITUTE(TRIM(Input!E1758&amp;""),"%","")),0)&lt;1),1,100))</f>
        <v/>
      </c>
      <c r="E1758" t="str">
        <f>IF(A1758="","",IFERROR(VALUE(SUBSTITUTE(TRIM(Input!F1758&amp;""),"%","")),0)/IF(AND(IFERROR(VALUE(SUBSTITUTE(TRIM(Input!F1758&amp;""),"%","")),0)&gt;0,IFERROR(VALUE(SUBSTITUTE(TRIM(Input!F1758&amp;""),"%","")),0)&lt;1),1,100))</f>
        <v/>
      </c>
      <c r="F1758" t="str">
        <f>IF(A1758="","",IFERROR(VALUE(SUBSTITUTE(TRIM(Input!G1758&amp;""),"%","")),0)/IF(AND(IFERROR(VALUE(SUBSTITUTE(TRIM(Input!G1758&amp;""),"%","")),0)&gt;0,IFERROR(VALUE(SUBSTITUTE(TRIM(Input!G1758&amp;""),"%","")),0)&lt;1),1,100))</f>
        <v/>
      </c>
      <c r="G1758" t="str">
        <f>IF(A1758="","",IFERROR(VALUE(SUBSTITUTE(TRIM(Input!H1758&amp;""),"%","")),0)/IF(AND(IFERROR(VALUE(SUBSTITUTE(TRIM(Input!H1758&amp;""),"%","")),0)&gt;0,IFERROR(VALUE(SUBSTITUTE(TRIM(Input!H1758&amp;""),"%","")),0)&lt;1),1,100))</f>
        <v/>
      </c>
      <c r="H1758" t="str">
        <f>IF(A1758="","",IFERROR(VALUE(SUBSTITUTE(TRIM(Input!I1758&amp;""),"%","")),0)/IF(AND(IFERROR(VALUE(SUBSTITUTE(TRIM(Input!I1758&amp;""),"%","")),0)&gt;0,IFERROR(VALUE(SUBSTITUTE(TRIM(Input!I1758&amp;""),"%","")),0)&lt;1),1,100))</f>
        <v/>
      </c>
    </row>
    <row r="1759" spans="1:8">
      <c r="A1759" t="str">
        <f>IF(TRIM(Input!B1759&amp;"")="","",UPPER(TRIM(Input!B1759&amp;"")))</f>
        <v/>
      </c>
      <c r="B1759" t="str">
        <f>IF(A1759="","",IFERROR(VALUE(RIGHT(TRIM(Input!D1759&amp;""),1)),0))</f>
        <v/>
      </c>
      <c r="C1759" t="str">
        <f t="shared" si="27"/>
        <v/>
      </c>
      <c r="D1759" t="str">
        <f>IF(A1759="","",IFERROR(VALUE(SUBSTITUTE(TRIM(Input!E1759&amp;""),"%","")),0)/IF(AND(IFERROR(VALUE(SUBSTITUTE(TRIM(Input!E1759&amp;""),"%","")),0)&gt;0,IFERROR(VALUE(SUBSTITUTE(TRIM(Input!E1759&amp;""),"%","")),0)&lt;1),1,100))</f>
        <v/>
      </c>
      <c r="E1759" t="str">
        <f>IF(A1759="","",IFERROR(VALUE(SUBSTITUTE(TRIM(Input!F1759&amp;""),"%","")),0)/IF(AND(IFERROR(VALUE(SUBSTITUTE(TRIM(Input!F1759&amp;""),"%","")),0)&gt;0,IFERROR(VALUE(SUBSTITUTE(TRIM(Input!F1759&amp;""),"%","")),0)&lt;1),1,100))</f>
        <v/>
      </c>
      <c r="F1759" t="str">
        <f>IF(A1759="","",IFERROR(VALUE(SUBSTITUTE(TRIM(Input!G1759&amp;""),"%","")),0)/IF(AND(IFERROR(VALUE(SUBSTITUTE(TRIM(Input!G1759&amp;""),"%","")),0)&gt;0,IFERROR(VALUE(SUBSTITUTE(TRIM(Input!G1759&amp;""),"%","")),0)&lt;1),1,100))</f>
        <v/>
      </c>
      <c r="G1759" t="str">
        <f>IF(A1759="","",IFERROR(VALUE(SUBSTITUTE(TRIM(Input!H1759&amp;""),"%","")),0)/IF(AND(IFERROR(VALUE(SUBSTITUTE(TRIM(Input!H1759&amp;""),"%","")),0)&gt;0,IFERROR(VALUE(SUBSTITUTE(TRIM(Input!H1759&amp;""),"%","")),0)&lt;1),1,100))</f>
        <v/>
      </c>
      <c r="H1759" t="str">
        <f>IF(A1759="","",IFERROR(VALUE(SUBSTITUTE(TRIM(Input!I1759&amp;""),"%","")),0)/IF(AND(IFERROR(VALUE(SUBSTITUTE(TRIM(Input!I1759&amp;""),"%","")),0)&gt;0,IFERROR(VALUE(SUBSTITUTE(TRIM(Input!I1759&amp;""),"%","")),0)&lt;1),1,100))</f>
        <v/>
      </c>
    </row>
    <row r="1760" spans="1:8">
      <c r="A1760" t="str">
        <f>IF(TRIM(Input!B1760&amp;"")="","",UPPER(TRIM(Input!B1760&amp;"")))</f>
        <v/>
      </c>
      <c r="B1760" t="str">
        <f>IF(A1760="","",IFERROR(VALUE(RIGHT(TRIM(Input!D1760&amp;""),1)),0))</f>
        <v/>
      </c>
      <c r="C1760" t="str">
        <f t="shared" si="27"/>
        <v/>
      </c>
      <c r="D1760" t="str">
        <f>IF(A1760="","",IFERROR(VALUE(SUBSTITUTE(TRIM(Input!E1760&amp;""),"%","")),0)/IF(AND(IFERROR(VALUE(SUBSTITUTE(TRIM(Input!E1760&amp;""),"%","")),0)&gt;0,IFERROR(VALUE(SUBSTITUTE(TRIM(Input!E1760&amp;""),"%","")),0)&lt;1),1,100))</f>
        <v/>
      </c>
      <c r="E1760" t="str">
        <f>IF(A1760="","",IFERROR(VALUE(SUBSTITUTE(TRIM(Input!F1760&amp;""),"%","")),0)/IF(AND(IFERROR(VALUE(SUBSTITUTE(TRIM(Input!F1760&amp;""),"%","")),0)&gt;0,IFERROR(VALUE(SUBSTITUTE(TRIM(Input!F1760&amp;""),"%","")),0)&lt;1),1,100))</f>
        <v/>
      </c>
      <c r="F1760" t="str">
        <f>IF(A1760="","",IFERROR(VALUE(SUBSTITUTE(TRIM(Input!G1760&amp;""),"%","")),0)/IF(AND(IFERROR(VALUE(SUBSTITUTE(TRIM(Input!G1760&amp;""),"%","")),0)&gt;0,IFERROR(VALUE(SUBSTITUTE(TRIM(Input!G1760&amp;""),"%","")),0)&lt;1),1,100))</f>
        <v/>
      </c>
      <c r="G1760" t="str">
        <f>IF(A1760="","",IFERROR(VALUE(SUBSTITUTE(TRIM(Input!H1760&amp;""),"%","")),0)/IF(AND(IFERROR(VALUE(SUBSTITUTE(TRIM(Input!H1760&amp;""),"%","")),0)&gt;0,IFERROR(VALUE(SUBSTITUTE(TRIM(Input!H1760&amp;""),"%","")),0)&lt;1),1,100))</f>
        <v/>
      </c>
      <c r="H1760" t="str">
        <f>IF(A1760="","",IFERROR(VALUE(SUBSTITUTE(TRIM(Input!I1760&amp;""),"%","")),0)/IF(AND(IFERROR(VALUE(SUBSTITUTE(TRIM(Input!I1760&amp;""),"%","")),0)&gt;0,IFERROR(VALUE(SUBSTITUTE(TRIM(Input!I1760&amp;""),"%","")),0)&lt;1),1,100))</f>
        <v/>
      </c>
    </row>
    <row r="1761" spans="1:8">
      <c r="A1761" t="str">
        <f>IF(TRIM(Input!B1761&amp;"")="","",UPPER(TRIM(Input!B1761&amp;"")))</f>
        <v/>
      </c>
      <c r="B1761" t="str">
        <f>IF(A1761="","",IFERROR(VALUE(RIGHT(TRIM(Input!D1761&amp;""),1)),0))</f>
        <v/>
      </c>
      <c r="C1761" t="str">
        <f t="shared" si="27"/>
        <v/>
      </c>
      <c r="D1761" t="str">
        <f>IF(A1761="","",IFERROR(VALUE(SUBSTITUTE(TRIM(Input!E1761&amp;""),"%","")),0)/IF(AND(IFERROR(VALUE(SUBSTITUTE(TRIM(Input!E1761&amp;""),"%","")),0)&gt;0,IFERROR(VALUE(SUBSTITUTE(TRIM(Input!E1761&amp;""),"%","")),0)&lt;1),1,100))</f>
        <v/>
      </c>
      <c r="E1761" t="str">
        <f>IF(A1761="","",IFERROR(VALUE(SUBSTITUTE(TRIM(Input!F1761&amp;""),"%","")),0)/IF(AND(IFERROR(VALUE(SUBSTITUTE(TRIM(Input!F1761&amp;""),"%","")),0)&gt;0,IFERROR(VALUE(SUBSTITUTE(TRIM(Input!F1761&amp;""),"%","")),0)&lt;1),1,100))</f>
        <v/>
      </c>
      <c r="F1761" t="str">
        <f>IF(A1761="","",IFERROR(VALUE(SUBSTITUTE(TRIM(Input!G1761&amp;""),"%","")),0)/IF(AND(IFERROR(VALUE(SUBSTITUTE(TRIM(Input!G1761&amp;""),"%","")),0)&gt;0,IFERROR(VALUE(SUBSTITUTE(TRIM(Input!G1761&amp;""),"%","")),0)&lt;1),1,100))</f>
        <v/>
      </c>
      <c r="G1761" t="str">
        <f>IF(A1761="","",IFERROR(VALUE(SUBSTITUTE(TRIM(Input!H1761&amp;""),"%","")),0)/IF(AND(IFERROR(VALUE(SUBSTITUTE(TRIM(Input!H1761&amp;""),"%","")),0)&gt;0,IFERROR(VALUE(SUBSTITUTE(TRIM(Input!H1761&amp;""),"%","")),0)&lt;1),1,100))</f>
        <v/>
      </c>
      <c r="H1761" t="str">
        <f>IF(A1761="","",IFERROR(VALUE(SUBSTITUTE(TRIM(Input!I1761&amp;""),"%","")),0)/IF(AND(IFERROR(VALUE(SUBSTITUTE(TRIM(Input!I1761&amp;""),"%","")),0)&gt;0,IFERROR(VALUE(SUBSTITUTE(TRIM(Input!I1761&amp;""),"%","")),0)&lt;1),1,100))</f>
        <v/>
      </c>
    </row>
    <row r="1762" spans="1:8">
      <c r="A1762" t="str">
        <f>IF(TRIM(Input!B1762&amp;"")="","",UPPER(TRIM(Input!B1762&amp;"")))</f>
        <v/>
      </c>
      <c r="B1762" t="str">
        <f>IF(A1762="","",IFERROR(VALUE(RIGHT(TRIM(Input!D1762&amp;""),1)),0))</f>
        <v/>
      </c>
      <c r="C1762" t="str">
        <f t="shared" si="27"/>
        <v/>
      </c>
      <c r="D1762" t="str">
        <f>IF(A1762="","",IFERROR(VALUE(SUBSTITUTE(TRIM(Input!E1762&amp;""),"%","")),0)/IF(AND(IFERROR(VALUE(SUBSTITUTE(TRIM(Input!E1762&amp;""),"%","")),0)&gt;0,IFERROR(VALUE(SUBSTITUTE(TRIM(Input!E1762&amp;""),"%","")),0)&lt;1),1,100))</f>
        <v/>
      </c>
      <c r="E1762" t="str">
        <f>IF(A1762="","",IFERROR(VALUE(SUBSTITUTE(TRIM(Input!F1762&amp;""),"%","")),0)/IF(AND(IFERROR(VALUE(SUBSTITUTE(TRIM(Input!F1762&amp;""),"%","")),0)&gt;0,IFERROR(VALUE(SUBSTITUTE(TRIM(Input!F1762&amp;""),"%","")),0)&lt;1),1,100))</f>
        <v/>
      </c>
      <c r="F1762" t="str">
        <f>IF(A1762="","",IFERROR(VALUE(SUBSTITUTE(TRIM(Input!G1762&amp;""),"%","")),0)/IF(AND(IFERROR(VALUE(SUBSTITUTE(TRIM(Input!G1762&amp;""),"%","")),0)&gt;0,IFERROR(VALUE(SUBSTITUTE(TRIM(Input!G1762&amp;""),"%","")),0)&lt;1),1,100))</f>
        <v/>
      </c>
      <c r="G1762" t="str">
        <f>IF(A1762="","",IFERROR(VALUE(SUBSTITUTE(TRIM(Input!H1762&amp;""),"%","")),0)/IF(AND(IFERROR(VALUE(SUBSTITUTE(TRIM(Input!H1762&amp;""),"%","")),0)&gt;0,IFERROR(VALUE(SUBSTITUTE(TRIM(Input!H1762&amp;""),"%","")),0)&lt;1),1,100))</f>
        <v/>
      </c>
      <c r="H1762" t="str">
        <f>IF(A1762="","",IFERROR(VALUE(SUBSTITUTE(TRIM(Input!I1762&amp;""),"%","")),0)/IF(AND(IFERROR(VALUE(SUBSTITUTE(TRIM(Input!I1762&amp;""),"%","")),0)&gt;0,IFERROR(VALUE(SUBSTITUTE(TRIM(Input!I1762&amp;""),"%","")),0)&lt;1),1,100))</f>
        <v/>
      </c>
    </row>
    <row r="1763" spans="1:8">
      <c r="A1763" t="str">
        <f>IF(TRIM(Input!B1763&amp;"")="","",UPPER(TRIM(Input!B1763&amp;"")))</f>
        <v/>
      </c>
      <c r="B1763" t="str">
        <f>IF(A1763="","",IFERROR(VALUE(RIGHT(TRIM(Input!D1763&amp;""),1)),0))</f>
        <v/>
      </c>
      <c r="C1763" t="str">
        <f t="shared" si="27"/>
        <v/>
      </c>
      <c r="D1763" t="str">
        <f>IF(A1763="","",IFERROR(VALUE(SUBSTITUTE(TRIM(Input!E1763&amp;""),"%","")),0)/IF(AND(IFERROR(VALUE(SUBSTITUTE(TRIM(Input!E1763&amp;""),"%","")),0)&gt;0,IFERROR(VALUE(SUBSTITUTE(TRIM(Input!E1763&amp;""),"%","")),0)&lt;1),1,100))</f>
        <v/>
      </c>
      <c r="E1763" t="str">
        <f>IF(A1763="","",IFERROR(VALUE(SUBSTITUTE(TRIM(Input!F1763&amp;""),"%","")),0)/IF(AND(IFERROR(VALUE(SUBSTITUTE(TRIM(Input!F1763&amp;""),"%","")),0)&gt;0,IFERROR(VALUE(SUBSTITUTE(TRIM(Input!F1763&amp;""),"%","")),0)&lt;1),1,100))</f>
        <v/>
      </c>
      <c r="F1763" t="str">
        <f>IF(A1763="","",IFERROR(VALUE(SUBSTITUTE(TRIM(Input!G1763&amp;""),"%","")),0)/IF(AND(IFERROR(VALUE(SUBSTITUTE(TRIM(Input!G1763&amp;""),"%","")),0)&gt;0,IFERROR(VALUE(SUBSTITUTE(TRIM(Input!G1763&amp;""),"%","")),0)&lt;1),1,100))</f>
        <v/>
      </c>
      <c r="G1763" t="str">
        <f>IF(A1763="","",IFERROR(VALUE(SUBSTITUTE(TRIM(Input!H1763&amp;""),"%","")),0)/IF(AND(IFERROR(VALUE(SUBSTITUTE(TRIM(Input!H1763&amp;""),"%","")),0)&gt;0,IFERROR(VALUE(SUBSTITUTE(TRIM(Input!H1763&amp;""),"%","")),0)&lt;1),1,100))</f>
        <v/>
      </c>
      <c r="H1763" t="str">
        <f>IF(A1763="","",IFERROR(VALUE(SUBSTITUTE(TRIM(Input!I1763&amp;""),"%","")),0)/IF(AND(IFERROR(VALUE(SUBSTITUTE(TRIM(Input!I1763&amp;""),"%","")),0)&gt;0,IFERROR(VALUE(SUBSTITUTE(TRIM(Input!I1763&amp;""),"%","")),0)&lt;1),1,100))</f>
        <v/>
      </c>
    </row>
    <row r="1764" spans="1:8">
      <c r="A1764" t="str">
        <f>IF(TRIM(Input!B1764&amp;"")="","",UPPER(TRIM(Input!B1764&amp;"")))</f>
        <v/>
      </c>
      <c r="B1764" t="str">
        <f>IF(A1764="","",IFERROR(VALUE(RIGHT(TRIM(Input!D1764&amp;""),1)),0))</f>
        <v/>
      </c>
      <c r="C1764" t="str">
        <f t="shared" si="27"/>
        <v/>
      </c>
      <c r="D1764" t="str">
        <f>IF(A1764="","",IFERROR(VALUE(SUBSTITUTE(TRIM(Input!E1764&amp;""),"%","")),0)/IF(AND(IFERROR(VALUE(SUBSTITUTE(TRIM(Input!E1764&amp;""),"%","")),0)&gt;0,IFERROR(VALUE(SUBSTITUTE(TRIM(Input!E1764&amp;""),"%","")),0)&lt;1),1,100))</f>
        <v/>
      </c>
      <c r="E1764" t="str">
        <f>IF(A1764="","",IFERROR(VALUE(SUBSTITUTE(TRIM(Input!F1764&amp;""),"%","")),0)/IF(AND(IFERROR(VALUE(SUBSTITUTE(TRIM(Input!F1764&amp;""),"%","")),0)&gt;0,IFERROR(VALUE(SUBSTITUTE(TRIM(Input!F1764&amp;""),"%","")),0)&lt;1),1,100))</f>
        <v/>
      </c>
      <c r="F1764" t="str">
        <f>IF(A1764="","",IFERROR(VALUE(SUBSTITUTE(TRIM(Input!G1764&amp;""),"%","")),0)/IF(AND(IFERROR(VALUE(SUBSTITUTE(TRIM(Input!G1764&amp;""),"%","")),0)&gt;0,IFERROR(VALUE(SUBSTITUTE(TRIM(Input!G1764&amp;""),"%","")),0)&lt;1),1,100))</f>
        <v/>
      </c>
      <c r="G1764" t="str">
        <f>IF(A1764="","",IFERROR(VALUE(SUBSTITUTE(TRIM(Input!H1764&amp;""),"%","")),0)/IF(AND(IFERROR(VALUE(SUBSTITUTE(TRIM(Input!H1764&amp;""),"%","")),0)&gt;0,IFERROR(VALUE(SUBSTITUTE(TRIM(Input!H1764&amp;""),"%","")),0)&lt;1),1,100))</f>
        <v/>
      </c>
      <c r="H1764" t="str">
        <f>IF(A1764="","",IFERROR(VALUE(SUBSTITUTE(TRIM(Input!I1764&amp;""),"%","")),0)/IF(AND(IFERROR(VALUE(SUBSTITUTE(TRIM(Input!I1764&amp;""),"%","")),0)&gt;0,IFERROR(VALUE(SUBSTITUTE(TRIM(Input!I1764&amp;""),"%","")),0)&lt;1),1,100))</f>
        <v/>
      </c>
    </row>
    <row r="1765" spans="1:8">
      <c r="A1765" t="str">
        <f>IF(TRIM(Input!B1765&amp;"")="","",UPPER(TRIM(Input!B1765&amp;"")))</f>
        <v/>
      </c>
      <c r="B1765" t="str">
        <f>IF(A1765="","",IFERROR(VALUE(RIGHT(TRIM(Input!D1765&amp;""),1)),0))</f>
        <v/>
      </c>
      <c r="C1765" t="str">
        <f t="shared" si="27"/>
        <v/>
      </c>
      <c r="D1765" t="str">
        <f>IF(A1765="","",IFERROR(VALUE(SUBSTITUTE(TRIM(Input!E1765&amp;""),"%","")),0)/IF(AND(IFERROR(VALUE(SUBSTITUTE(TRIM(Input!E1765&amp;""),"%","")),0)&gt;0,IFERROR(VALUE(SUBSTITUTE(TRIM(Input!E1765&amp;""),"%","")),0)&lt;1),1,100))</f>
        <v/>
      </c>
      <c r="E1765" t="str">
        <f>IF(A1765="","",IFERROR(VALUE(SUBSTITUTE(TRIM(Input!F1765&amp;""),"%","")),0)/IF(AND(IFERROR(VALUE(SUBSTITUTE(TRIM(Input!F1765&amp;""),"%","")),0)&gt;0,IFERROR(VALUE(SUBSTITUTE(TRIM(Input!F1765&amp;""),"%","")),0)&lt;1),1,100))</f>
        <v/>
      </c>
      <c r="F1765" t="str">
        <f>IF(A1765="","",IFERROR(VALUE(SUBSTITUTE(TRIM(Input!G1765&amp;""),"%","")),0)/IF(AND(IFERROR(VALUE(SUBSTITUTE(TRIM(Input!G1765&amp;""),"%","")),0)&gt;0,IFERROR(VALUE(SUBSTITUTE(TRIM(Input!G1765&amp;""),"%","")),0)&lt;1),1,100))</f>
        <v/>
      </c>
      <c r="G1765" t="str">
        <f>IF(A1765="","",IFERROR(VALUE(SUBSTITUTE(TRIM(Input!H1765&amp;""),"%","")),0)/IF(AND(IFERROR(VALUE(SUBSTITUTE(TRIM(Input!H1765&amp;""),"%","")),0)&gt;0,IFERROR(VALUE(SUBSTITUTE(TRIM(Input!H1765&amp;""),"%","")),0)&lt;1),1,100))</f>
        <v/>
      </c>
      <c r="H1765" t="str">
        <f>IF(A1765="","",IFERROR(VALUE(SUBSTITUTE(TRIM(Input!I1765&amp;""),"%","")),0)/IF(AND(IFERROR(VALUE(SUBSTITUTE(TRIM(Input!I1765&amp;""),"%","")),0)&gt;0,IFERROR(VALUE(SUBSTITUTE(TRIM(Input!I1765&amp;""),"%","")),0)&lt;1),1,100))</f>
        <v/>
      </c>
    </row>
    <row r="1766" spans="1:8">
      <c r="A1766" t="str">
        <f>IF(TRIM(Input!B1766&amp;"")="","",UPPER(TRIM(Input!B1766&amp;"")))</f>
        <v/>
      </c>
      <c r="B1766" t="str">
        <f>IF(A1766="","",IFERROR(VALUE(RIGHT(TRIM(Input!D1766&amp;""),1)),0))</f>
        <v/>
      </c>
      <c r="C1766" t="str">
        <f t="shared" si="27"/>
        <v/>
      </c>
      <c r="D1766" t="str">
        <f>IF(A1766="","",IFERROR(VALUE(SUBSTITUTE(TRIM(Input!E1766&amp;""),"%","")),0)/IF(AND(IFERROR(VALUE(SUBSTITUTE(TRIM(Input!E1766&amp;""),"%","")),0)&gt;0,IFERROR(VALUE(SUBSTITUTE(TRIM(Input!E1766&amp;""),"%","")),0)&lt;1),1,100))</f>
        <v/>
      </c>
      <c r="E1766" t="str">
        <f>IF(A1766="","",IFERROR(VALUE(SUBSTITUTE(TRIM(Input!F1766&amp;""),"%","")),0)/IF(AND(IFERROR(VALUE(SUBSTITUTE(TRIM(Input!F1766&amp;""),"%","")),0)&gt;0,IFERROR(VALUE(SUBSTITUTE(TRIM(Input!F1766&amp;""),"%","")),0)&lt;1),1,100))</f>
        <v/>
      </c>
      <c r="F1766" t="str">
        <f>IF(A1766="","",IFERROR(VALUE(SUBSTITUTE(TRIM(Input!G1766&amp;""),"%","")),0)/IF(AND(IFERROR(VALUE(SUBSTITUTE(TRIM(Input!G1766&amp;""),"%","")),0)&gt;0,IFERROR(VALUE(SUBSTITUTE(TRIM(Input!G1766&amp;""),"%","")),0)&lt;1),1,100))</f>
        <v/>
      </c>
      <c r="G1766" t="str">
        <f>IF(A1766="","",IFERROR(VALUE(SUBSTITUTE(TRIM(Input!H1766&amp;""),"%","")),0)/IF(AND(IFERROR(VALUE(SUBSTITUTE(TRIM(Input!H1766&amp;""),"%","")),0)&gt;0,IFERROR(VALUE(SUBSTITUTE(TRIM(Input!H1766&amp;""),"%","")),0)&lt;1),1,100))</f>
        <v/>
      </c>
      <c r="H1766" t="str">
        <f>IF(A1766="","",IFERROR(VALUE(SUBSTITUTE(TRIM(Input!I1766&amp;""),"%","")),0)/IF(AND(IFERROR(VALUE(SUBSTITUTE(TRIM(Input!I1766&amp;""),"%","")),0)&gt;0,IFERROR(VALUE(SUBSTITUTE(TRIM(Input!I1766&amp;""),"%","")),0)&lt;1),1,100))</f>
        <v/>
      </c>
    </row>
    <row r="1767" spans="1:8">
      <c r="A1767" t="str">
        <f>IF(TRIM(Input!B1767&amp;"")="","",UPPER(TRIM(Input!B1767&amp;"")))</f>
        <v/>
      </c>
      <c r="B1767" t="str">
        <f>IF(A1767="","",IFERROR(VALUE(RIGHT(TRIM(Input!D1767&amp;""),1)),0))</f>
        <v/>
      </c>
      <c r="C1767" t="str">
        <f t="shared" si="27"/>
        <v/>
      </c>
      <c r="D1767" t="str">
        <f>IF(A1767="","",IFERROR(VALUE(SUBSTITUTE(TRIM(Input!E1767&amp;""),"%","")),0)/IF(AND(IFERROR(VALUE(SUBSTITUTE(TRIM(Input!E1767&amp;""),"%","")),0)&gt;0,IFERROR(VALUE(SUBSTITUTE(TRIM(Input!E1767&amp;""),"%","")),0)&lt;1),1,100))</f>
        <v/>
      </c>
      <c r="E1767" t="str">
        <f>IF(A1767="","",IFERROR(VALUE(SUBSTITUTE(TRIM(Input!F1767&amp;""),"%","")),0)/IF(AND(IFERROR(VALUE(SUBSTITUTE(TRIM(Input!F1767&amp;""),"%","")),0)&gt;0,IFERROR(VALUE(SUBSTITUTE(TRIM(Input!F1767&amp;""),"%","")),0)&lt;1),1,100))</f>
        <v/>
      </c>
      <c r="F1767" t="str">
        <f>IF(A1767="","",IFERROR(VALUE(SUBSTITUTE(TRIM(Input!G1767&amp;""),"%","")),0)/IF(AND(IFERROR(VALUE(SUBSTITUTE(TRIM(Input!G1767&amp;""),"%","")),0)&gt;0,IFERROR(VALUE(SUBSTITUTE(TRIM(Input!G1767&amp;""),"%","")),0)&lt;1),1,100))</f>
        <v/>
      </c>
      <c r="G1767" t="str">
        <f>IF(A1767="","",IFERROR(VALUE(SUBSTITUTE(TRIM(Input!H1767&amp;""),"%","")),0)/IF(AND(IFERROR(VALUE(SUBSTITUTE(TRIM(Input!H1767&amp;""),"%","")),0)&gt;0,IFERROR(VALUE(SUBSTITUTE(TRIM(Input!H1767&amp;""),"%","")),0)&lt;1),1,100))</f>
        <v/>
      </c>
      <c r="H1767" t="str">
        <f>IF(A1767="","",IFERROR(VALUE(SUBSTITUTE(TRIM(Input!I1767&amp;""),"%","")),0)/IF(AND(IFERROR(VALUE(SUBSTITUTE(TRIM(Input!I1767&amp;""),"%","")),0)&gt;0,IFERROR(VALUE(SUBSTITUTE(TRIM(Input!I1767&amp;""),"%","")),0)&lt;1),1,100))</f>
        <v/>
      </c>
    </row>
    <row r="1768" spans="1:8">
      <c r="A1768" t="str">
        <f>IF(TRIM(Input!B1768&amp;"")="","",UPPER(TRIM(Input!B1768&amp;"")))</f>
        <v/>
      </c>
      <c r="B1768" t="str">
        <f>IF(A1768="","",IFERROR(VALUE(RIGHT(TRIM(Input!D1768&amp;""),1)),0))</f>
        <v/>
      </c>
      <c r="C1768" t="str">
        <f t="shared" si="27"/>
        <v/>
      </c>
      <c r="D1768" t="str">
        <f>IF(A1768="","",IFERROR(VALUE(SUBSTITUTE(TRIM(Input!E1768&amp;""),"%","")),0)/IF(AND(IFERROR(VALUE(SUBSTITUTE(TRIM(Input!E1768&amp;""),"%","")),0)&gt;0,IFERROR(VALUE(SUBSTITUTE(TRIM(Input!E1768&amp;""),"%","")),0)&lt;1),1,100))</f>
        <v/>
      </c>
      <c r="E1768" t="str">
        <f>IF(A1768="","",IFERROR(VALUE(SUBSTITUTE(TRIM(Input!F1768&amp;""),"%","")),0)/IF(AND(IFERROR(VALUE(SUBSTITUTE(TRIM(Input!F1768&amp;""),"%","")),0)&gt;0,IFERROR(VALUE(SUBSTITUTE(TRIM(Input!F1768&amp;""),"%","")),0)&lt;1),1,100))</f>
        <v/>
      </c>
      <c r="F1768" t="str">
        <f>IF(A1768="","",IFERROR(VALUE(SUBSTITUTE(TRIM(Input!G1768&amp;""),"%","")),0)/IF(AND(IFERROR(VALUE(SUBSTITUTE(TRIM(Input!G1768&amp;""),"%","")),0)&gt;0,IFERROR(VALUE(SUBSTITUTE(TRIM(Input!G1768&amp;""),"%","")),0)&lt;1),1,100))</f>
        <v/>
      </c>
      <c r="G1768" t="str">
        <f>IF(A1768="","",IFERROR(VALUE(SUBSTITUTE(TRIM(Input!H1768&amp;""),"%","")),0)/IF(AND(IFERROR(VALUE(SUBSTITUTE(TRIM(Input!H1768&amp;""),"%","")),0)&gt;0,IFERROR(VALUE(SUBSTITUTE(TRIM(Input!H1768&amp;""),"%","")),0)&lt;1),1,100))</f>
        <v/>
      </c>
      <c r="H1768" t="str">
        <f>IF(A1768="","",IFERROR(VALUE(SUBSTITUTE(TRIM(Input!I1768&amp;""),"%","")),0)/IF(AND(IFERROR(VALUE(SUBSTITUTE(TRIM(Input!I1768&amp;""),"%","")),0)&gt;0,IFERROR(VALUE(SUBSTITUTE(TRIM(Input!I1768&amp;""),"%","")),0)&lt;1),1,100))</f>
        <v/>
      </c>
    </row>
    <row r="1769" spans="1:8">
      <c r="A1769" t="str">
        <f>IF(TRIM(Input!B1769&amp;"")="","",UPPER(TRIM(Input!B1769&amp;"")))</f>
        <v/>
      </c>
      <c r="B1769" t="str">
        <f>IF(A1769="","",IFERROR(VALUE(RIGHT(TRIM(Input!D1769&amp;""),1)),0))</f>
        <v/>
      </c>
      <c r="C1769" t="str">
        <f t="shared" si="27"/>
        <v/>
      </c>
      <c r="D1769" t="str">
        <f>IF(A1769="","",IFERROR(VALUE(SUBSTITUTE(TRIM(Input!E1769&amp;""),"%","")),0)/IF(AND(IFERROR(VALUE(SUBSTITUTE(TRIM(Input!E1769&amp;""),"%","")),0)&gt;0,IFERROR(VALUE(SUBSTITUTE(TRIM(Input!E1769&amp;""),"%","")),0)&lt;1),1,100))</f>
        <v/>
      </c>
      <c r="E1769" t="str">
        <f>IF(A1769="","",IFERROR(VALUE(SUBSTITUTE(TRIM(Input!F1769&amp;""),"%","")),0)/IF(AND(IFERROR(VALUE(SUBSTITUTE(TRIM(Input!F1769&amp;""),"%","")),0)&gt;0,IFERROR(VALUE(SUBSTITUTE(TRIM(Input!F1769&amp;""),"%","")),0)&lt;1),1,100))</f>
        <v/>
      </c>
      <c r="F1769" t="str">
        <f>IF(A1769="","",IFERROR(VALUE(SUBSTITUTE(TRIM(Input!G1769&amp;""),"%","")),0)/IF(AND(IFERROR(VALUE(SUBSTITUTE(TRIM(Input!G1769&amp;""),"%","")),0)&gt;0,IFERROR(VALUE(SUBSTITUTE(TRIM(Input!G1769&amp;""),"%","")),0)&lt;1),1,100))</f>
        <v/>
      </c>
      <c r="G1769" t="str">
        <f>IF(A1769="","",IFERROR(VALUE(SUBSTITUTE(TRIM(Input!H1769&amp;""),"%","")),0)/IF(AND(IFERROR(VALUE(SUBSTITUTE(TRIM(Input!H1769&amp;""),"%","")),0)&gt;0,IFERROR(VALUE(SUBSTITUTE(TRIM(Input!H1769&amp;""),"%","")),0)&lt;1),1,100))</f>
        <v/>
      </c>
      <c r="H1769" t="str">
        <f>IF(A1769="","",IFERROR(VALUE(SUBSTITUTE(TRIM(Input!I1769&amp;""),"%","")),0)/IF(AND(IFERROR(VALUE(SUBSTITUTE(TRIM(Input!I1769&amp;""),"%","")),0)&gt;0,IFERROR(VALUE(SUBSTITUTE(TRIM(Input!I1769&amp;""),"%","")),0)&lt;1),1,100))</f>
        <v/>
      </c>
    </row>
    <row r="1770" spans="1:8">
      <c r="A1770" t="str">
        <f>IF(TRIM(Input!B1770&amp;"")="","",UPPER(TRIM(Input!B1770&amp;"")))</f>
        <v/>
      </c>
      <c r="B1770" t="str">
        <f>IF(A1770="","",IFERROR(VALUE(RIGHT(TRIM(Input!D1770&amp;""),1)),0))</f>
        <v/>
      </c>
      <c r="C1770" t="str">
        <f t="shared" si="27"/>
        <v/>
      </c>
      <c r="D1770" t="str">
        <f>IF(A1770="","",IFERROR(VALUE(SUBSTITUTE(TRIM(Input!E1770&amp;""),"%","")),0)/IF(AND(IFERROR(VALUE(SUBSTITUTE(TRIM(Input!E1770&amp;""),"%","")),0)&gt;0,IFERROR(VALUE(SUBSTITUTE(TRIM(Input!E1770&amp;""),"%","")),0)&lt;1),1,100))</f>
        <v/>
      </c>
      <c r="E1770" t="str">
        <f>IF(A1770="","",IFERROR(VALUE(SUBSTITUTE(TRIM(Input!F1770&amp;""),"%","")),0)/IF(AND(IFERROR(VALUE(SUBSTITUTE(TRIM(Input!F1770&amp;""),"%","")),0)&gt;0,IFERROR(VALUE(SUBSTITUTE(TRIM(Input!F1770&amp;""),"%","")),0)&lt;1),1,100))</f>
        <v/>
      </c>
      <c r="F1770" t="str">
        <f>IF(A1770="","",IFERROR(VALUE(SUBSTITUTE(TRIM(Input!G1770&amp;""),"%","")),0)/IF(AND(IFERROR(VALUE(SUBSTITUTE(TRIM(Input!G1770&amp;""),"%","")),0)&gt;0,IFERROR(VALUE(SUBSTITUTE(TRIM(Input!G1770&amp;""),"%","")),0)&lt;1),1,100))</f>
        <v/>
      </c>
      <c r="G1770" t="str">
        <f>IF(A1770="","",IFERROR(VALUE(SUBSTITUTE(TRIM(Input!H1770&amp;""),"%","")),0)/IF(AND(IFERROR(VALUE(SUBSTITUTE(TRIM(Input!H1770&amp;""),"%","")),0)&gt;0,IFERROR(VALUE(SUBSTITUTE(TRIM(Input!H1770&amp;""),"%","")),0)&lt;1),1,100))</f>
        <v/>
      </c>
      <c r="H1770" t="str">
        <f>IF(A1770="","",IFERROR(VALUE(SUBSTITUTE(TRIM(Input!I1770&amp;""),"%","")),0)/IF(AND(IFERROR(VALUE(SUBSTITUTE(TRIM(Input!I1770&amp;""),"%","")),0)&gt;0,IFERROR(VALUE(SUBSTITUTE(TRIM(Input!I1770&amp;""),"%","")),0)&lt;1),1,100))</f>
        <v/>
      </c>
    </row>
    <row r="1771" spans="1:8">
      <c r="A1771" t="str">
        <f>IF(TRIM(Input!B1771&amp;"")="","",UPPER(TRIM(Input!B1771&amp;"")))</f>
        <v/>
      </c>
      <c r="B1771" t="str">
        <f>IF(A1771="","",IFERROR(VALUE(RIGHT(TRIM(Input!D1771&amp;""),1)),0))</f>
        <v/>
      </c>
      <c r="C1771" t="str">
        <f t="shared" si="27"/>
        <v/>
      </c>
      <c r="D1771" t="str">
        <f>IF(A1771="","",IFERROR(VALUE(SUBSTITUTE(TRIM(Input!E1771&amp;""),"%","")),0)/IF(AND(IFERROR(VALUE(SUBSTITUTE(TRIM(Input!E1771&amp;""),"%","")),0)&gt;0,IFERROR(VALUE(SUBSTITUTE(TRIM(Input!E1771&amp;""),"%","")),0)&lt;1),1,100))</f>
        <v/>
      </c>
      <c r="E1771" t="str">
        <f>IF(A1771="","",IFERROR(VALUE(SUBSTITUTE(TRIM(Input!F1771&amp;""),"%","")),0)/IF(AND(IFERROR(VALUE(SUBSTITUTE(TRIM(Input!F1771&amp;""),"%","")),0)&gt;0,IFERROR(VALUE(SUBSTITUTE(TRIM(Input!F1771&amp;""),"%","")),0)&lt;1),1,100))</f>
        <v/>
      </c>
      <c r="F1771" t="str">
        <f>IF(A1771="","",IFERROR(VALUE(SUBSTITUTE(TRIM(Input!G1771&amp;""),"%","")),0)/IF(AND(IFERROR(VALUE(SUBSTITUTE(TRIM(Input!G1771&amp;""),"%","")),0)&gt;0,IFERROR(VALUE(SUBSTITUTE(TRIM(Input!G1771&amp;""),"%","")),0)&lt;1),1,100))</f>
        <v/>
      </c>
      <c r="G1771" t="str">
        <f>IF(A1771="","",IFERROR(VALUE(SUBSTITUTE(TRIM(Input!H1771&amp;""),"%","")),0)/IF(AND(IFERROR(VALUE(SUBSTITUTE(TRIM(Input!H1771&amp;""),"%","")),0)&gt;0,IFERROR(VALUE(SUBSTITUTE(TRIM(Input!H1771&amp;""),"%","")),0)&lt;1),1,100))</f>
        <v/>
      </c>
      <c r="H1771" t="str">
        <f>IF(A1771="","",IFERROR(VALUE(SUBSTITUTE(TRIM(Input!I1771&amp;""),"%","")),0)/IF(AND(IFERROR(VALUE(SUBSTITUTE(TRIM(Input!I1771&amp;""),"%","")),0)&gt;0,IFERROR(VALUE(SUBSTITUTE(TRIM(Input!I1771&amp;""),"%","")),0)&lt;1),1,100))</f>
        <v/>
      </c>
    </row>
    <row r="1772" spans="1:8">
      <c r="A1772" t="str">
        <f>IF(TRIM(Input!B1772&amp;"")="","",UPPER(TRIM(Input!B1772&amp;"")))</f>
        <v/>
      </c>
      <c r="B1772" t="str">
        <f>IF(A1772="","",IFERROR(VALUE(RIGHT(TRIM(Input!D1772&amp;""),1)),0))</f>
        <v/>
      </c>
      <c r="C1772" t="str">
        <f t="shared" si="27"/>
        <v/>
      </c>
      <c r="D1772" t="str">
        <f>IF(A1772="","",IFERROR(VALUE(SUBSTITUTE(TRIM(Input!E1772&amp;""),"%","")),0)/IF(AND(IFERROR(VALUE(SUBSTITUTE(TRIM(Input!E1772&amp;""),"%","")),0)&gt;0,IFERROR(VALUE(SUBSTITUTE(TRIM(Input!E1772&amp;""),"%","")),0)&lt;1),1,100))</f>
        <v/>
      </c>
      <c r="E1772" t="str">
        <f>IF(A1772="","",IFERROR(VALUE(SUBSTITUTE(TRIM(Input!F1772&amp;""),"%","")),0)/IF(AND(IFERROR(VALUE(SUBSTITUTE(TRIM(Input!F1772&amp;""),"%","")),0)&gt;0,IFERROR(VALUE(SUBSTITUTE(TRIM(Input!F1772&amp;""),"%","")),0)&lt;1),1,100))</f>
        <v/>
      </c>
      <c r="F1772" t="str">
        <f>IF(A1772="","",IFERROR(VALUE(SUBSTITUTE(TRIM(Input!G1772&amp;""),"%","")),0)/IF(AND(IFERROR(VALUE(SUBSTITUTE(TRIM(Input!G1772&amp;""),"%","")),0)&gt;0,IFERROR(VALUE(SUBSTITUTE(TRIM(Input!G1772&amp;""),"%","")),0)&lt;1),1,100))</f>
        <v/>
      </c>
      <c r="G1772" t="str">
        <f>IF(A1772="","",IFERROR(VALUE(SUBSTITUTE(TRIM(Input!H1772&amp;""),"%","")),0)/IF(AND(IFERROR(VALUE(SUBSTITUTE(TRIM(Input!H1772&amp;""),"%","")),0)&gt;0,IFERROR(VALUE(SUBSTITUTE(TRIM(Input!H1772&amp;""),"%","")),0)&lt;1),1,100))</f>
        <v/>
      </c>
      <c r="H1772" t="str">
        <f>IF(A1772="","",IFERROR(VALUE(SUBSTITUTE(TRIM(Input!I1772&amp;""),"%","")),0)/IF(AND(IFERROR(VALUE(SUBSTITUTE(TRIM(Input!I1772&amp;""),"%","")),0)&gt;0,IFERROR(VALUE(SUBSTITUTE(TRIM(Input!I1772&amp;""),"%","")),0)&lt;1),1,100))</f>
        <v/>
      </c>
    </row>
    <row r="1773" spans="1:8">
      <c r="A1773" t="str">
        <f>IF(TRIM(Input!B1773&amp;"")="","",UPPER(TRIM(Input!B1773&amp;"")))</f>
        <v/>
      </c>
      <c r="B1773" t="str">
        <f>IF(A1773="","",IFERROR(VALUE(RIGHT(TRIM(Input!D1773&amp;""),1)),0))</f>
        <v/>
      </c>
      <c r="C1773" t="str">
        <f t="shared" si="27"/>
        <v/>
      </c>
      <c r="D1773" t="str">
        <f>IF(A1773="","",IFERROR(VALUE(SUBSTITUTE(TRIM(Input!E1773&amp;""),"%","")),0)/IF(AND(IFERROR(VALUE(SUBSTITUTE(TRIM(Input!E1773&amp;""),"%","")),0)&gt;0,IFERROR(VALUE(SUBSTITUTE(TRIM(Input!E1773&amp;""),"%","")),0)&lt;1),1,100))</f>
        <v/>
      </c>
      <c r="E1773" t="str">
        <f>IF(A1773="","",IFERROR(VALUE(SUBSTITUTE(TRIM(Input!F1773&amp;""),"%","")),0)/IF(AND(IFERROR(VALUE(SUBSTITUTE(TRIM(Input!F1773&amp;""),"%","")),0)&gt;0,IFERROR(VALUE(SUBSTITUTE(TRIM(Input!F1773&amp;""),"%","")),0)&lt;1),1,100))</f>
        <v/>
      </c>
      <c r="F1773" t="str">
        <f>IF(A1773="","",IFERROR(VALUE(SUBSTITUTE(TRIM(Input!G1773&amp;""),"%","")),0)/IF(AND(IFERROR(VALUE(SUBSTITUTE(TRIM(Input!G1773&amp;""),"%","")),0)&gt;0,IFERROR(VALUE(SUBSTITUTE(TRIM(Input!G1773&amp;""),"%","")),0)&lt;1),1,100))</f>
        <v/>
      </c>
      <c r="G1773" t="str">
        <f>IF(A1773="","",IFERROR(VALUE(SUBSTITUTE(TRIM(Input!H1773&amp;""),"%","")),0)/IF(AND(IFERROR(VALUE(SUBSTITUTE(TRIM(Input!H1773&amp;""),"%","")),0)&gt;0,IFERROR(VALUE(SUBSTITUTE(TRIM(Input!H1773&amp;""),"%","")),0)&lt;1),1,100))</f>
        <v/>
      </c>
      <c r="H1773" t="str">
        <f>IF(A1773="","",IFERROR(VALUE(SUBSTITUTE(TRIM(Input!I1773&amp;""),"%","")),0)/IF(AND(IFERROR(VALUE(SUBSTITUTE(TRIM(Input!I1773&amp;""),"%","")),0)&gt;0,IFERROR(VALUE(SUBSTITUTE(TRIM(Input!I1773&amp;""),"%","")),0)&lt;1),1,100))</f>
        <v/>
      </c>
    </row>
    <row r="1774" spans="1:8">
      <c r="A1774" t="str">
        <f>IF(TRIM(Input!B1774&amp;"")="","",UPPER(TRIM(Input!B1774&amp;"")))</f>
        <v/>
      </c>
      <c r="B1774" t="str">
        <f>IF(A1774="","",IFERROR(VALUE(RIGHT(TRIM(Input!D1774&amp;""),1)),0))</f>
        <v/>
      </c>
      <c r="C1774" t="str">
        <f t="shared" si="27"/>
        <v/>
      </c>
      <c r="D1774" t="str">
        <f>IF(A1774="","",IFERROR(VALUE(SUBSTITUTE(TRIM(Input!E1774&amp;""),"%","")),0)/IF(AND(IFERROR(VALUE(SUBSTITUTE(TRIM(Input!E1774&amp;""),"%","")),0)&gt;0,IFERROR(VALUE(SUBSTITUTE(TRIM(Input!E1774&amp;""),"%","")),0)&lt;1),1,100))</f>
        <v/>
      </c>
      <c r="E1774" t="str">
        <f>IF(A1774="","",IFERROR(VALUE(SUBSTITUTE(TRIM(Input!F1774&amp;""),"%","")),0)/IF(AND(IFERROR(VALUE(SUBSTITUTE(TRIM(Input!F1774&amp;""),"%","")),0)&gt;0,IFERROR(VALUE(SUBSTITUTE(TRIM(Input!F1774&amp;""),"%","")),0)&lt;1),1,100))</f>
        <v/>
      </c>
      <c r="F1774" t="str">
        <f>IF(A1774="","",IFERROR(VALUE(SUBSTITUTE(TRIM(Input!G1774&amp;""),"%","")),0)/IF(AND(IFERROR(VALUE(SUBSTITUTE(TRIM(Input!G1774&amp;""),"%","")),0)&gt;0,IFERROR(VALUE(SUBSTITUTE(TRIM(Input!G1774&amp;""),"%","")),0)&lt;1),1,100))</f>
        <v/>
      </c>
      <c r="G1774" t="str">
        <f>IF(A1774="","",IFERROR(VALUE(SUBSTITUTE(TRIM(Input!H1774&amp;""),"%","")),0)/IF(AND(IFERROR(VALUE(SUBSTITUTE(TRIM(Input!H1774&amp;""),"%","")),0)&gt;0,IFERROR(VALUE(SUBSTITUTE(TRIM(Input!H1774&amp;""),"%","")),0)&lt;1),1,100))</f>
        <v/>
      </c>
      <c r="H1774" t="str">
        <f>IF(A1774="","",IFERROR(VALUE(SUBSTITUTE(TRIM(Input!I1774&amp;""),"%","")),0)/IF(AND(IFERROR(VALUE(SUBSTITUTE(TRIM(Input!I1774&amp;""),"%","")),0)&gt;0,IFERROR(VALUE(SUBSTITUTE(TRIM(Input!I1774&amp;""),"%","")),0)&lt;1),1,100))</f>
        <v/>
      </c>
    </row>
    <row r="1775" spans="1:8">
      <c r="A1775" t="str">
        <f>IF(TRIM(Input!B1775&amp;"")="","",UPPER(TRIM(Input!B1775&amp;"")))</f>
        <v/>
      </c>
      <c r="B1775" t="str">
        <f>IF(A1775="","",IFERROR(VALUE(RIGHT(TRIM(Input!D1775&amp;""),1)),0))</f>
        <v/>
      </c>
      <c r="C1775" t="str">
        <f t="shared" si="27"/>
        <v/>
      </c>
      <c r="D1775" t="str">
        <f>IF(A1775="","",IFERROR(VALUE(SUBSTITUTE(TRIM(Input!E1775&amp;""),"%","")),0)/IF(AND(IFERROR(VALUE(SUBSTITUTE(TRIM(Input!E1775&amp;""),"%","")),0)&gt;0,IFERROR(VALUE(SUBSTITUTE(TRIM(Input!E1775&amp;""),"%","")),0)&lt;1),1,100))</f>
        <v/>
      </c>
      <c r="E1775" t="str">
        <f>IF(A1775="","",IFERROR(VALUE(SUBSTITUTE(TRIM(Input!F1775&amp;""),"%","")),0)/IF(AND(IFERROR(VALUE(SUBSTITUTE(TRIM(Input!F1775&amp;""),"%","")),0)&gt;0,IFERROR(VALUE(SUBSTITUTE(TRIM(Input!F1775&amp;""),"%","")),0)&lt;1),1,100))</f>
        <v/>
      </c>
      <c r="F1775" t="str">
        <f>IF(A1775="","",IFERROR(VALUE(SUBSTITUTE(TRIM(Input!G1775&amp;""),"%","")),0)/IF(AND(IFERROR(VALUE(SUBSTITUTE(TRIM(Input!G1775&amp;""),"%","")),0)&gt;0,IFERROR(VALUE(SUBSTITUTE(TRIM(Input!G1775&amp;""),"%","")),0)&lt;1),1,100))</f>
        <v/>
      </c>
      <c r="G1775" t="str">
        <f>IF(A1775="","",IFERROR(VALUE(SUBSTITUTE(TRIM(Input!H1775&amp;""),"%","")),0)/IF(AND(IFERROR(VALUE(SUBSTITUTE(TRIM(Input!H1775&amp;""),"%","")),0)&gt;0,IFERROR(VALUE(SUBSTITUTE(TRIM(Input!H1775&amp;""),"%","")),0)&lt;1),1,100))</f>
        <v/>
      </c>
      <c r="H1775" t="str">
        <f>IF(A1775="","",IFERROR(VALUE(SUBSTITUTE(TRIM(Input!I1775&amp;""),"%","")),0)/IF(AND(IFERROR(VALUE(SUBSTITUTE(TRIM(Input!I1775&amp;""),"%","")),0)&gt;0,IFERROR(VALUE(SUBSTITUTE(TRIM(Input!I1775&amp;""),"%","")),0)&lt;1),1,100))</f>
        <v/>
      </c>
    </row>
    <row r="1776" spans="1:8">
      <c r="A1776" t="str">
        <f>IF(TRIM(Input!B1776&amp;"")="","",UPPER(TRIM(Input!B1776&amp;"")))</f>
        <v/>
      </c>
      <c r="B1776" t="str">
        <f>IF(A1776="","",IFERROR(VALUE(RIGHT(TRIM(Input!D1776&amp;""),1)),0))</f>
        <v/>
      </c>
      <c r="C1776" t="str">
        <f t="shared" si="27"/>
        <v/>
      </c>
      <c r="D1776" t="str">
        <f>IF(A1776="","",IFERROR(VALUE(SUBSTITUTE(TRIM(Input!E1776&amp;""),"%","")),0)/IF(AND(IFERROR(VALUE(SUBSTITUTE(TRIM(Input!E1776&amp;""),"%","")),0)&gt;0,IFERROR(VALUE(SUBSTITUTE(TRIM(Input!E1776&amp;""),"%","")),0)&lt;1),1,100))</f>
        <v/>
      </c>
      <c r="E1776" t="str">
        <f>IF(A1776="","",IFERROR(VALUE(SUBSTITUTE(TRIM(Input!F1776&amp;""),"%","")),0)/IF(AND(IFERROR(VALUE(SUBSTITUTE(TRIM(Input!F1776&amp;""),"%","")),0)&gt;0,IFERROR(VALUE(SUBSTITUTE(TRIM(Input!F1776&amp;""),"%","")),0)&lt;1),1,100))</f>
        <v/>
      </c>
      <c r="F1776" t="str">
        <f>IF(A1776="","",IFERROR(VALUE(SUBSTITUTE(TRIM(Input!G1776&amp;""),"%","")),0)/IF(AND(IFERROR(VALUE(SUBSTITUTE(TRIM(Input!G1776&amp;""),"%","")),0)&gt;0,IFERROR(VALUE(SUBSTITUTE(TRIM(Input!G1776&amp;""),"%","")),0)&lt;1),1,100))</f>
        <v/>
      </c>
      <c r="G1776" t="str">
        <f>IF(A1776="","",IFERROR(VALUE(SUBSTITUTE(TRIM(Input!H1776&amp;""),"%","")),0)/IF(AND(IFERROR(VALUE(SUBSTITUTE(TRIM(Input!H1776&amp;""),"%","")),0)&gt;0,IFERROR(VALUE(SUBSTITUTE(TRIM(Input!H1776&amp;""),"%","")),0)&lt;1),1,100))</f>
        <v/>
      </c>
      <c r="H1776" t="str">
        <f>IF(A1776="","",IFERROR(VALUE(SUBSTITUTE(TRIM(Input!I1776&amp;""),"%","")),0)/IF(AND(IFERROR(VALUE(SUBSTITUTE(TRIM(Input!I1776&amp;""),"%","")),0)&gt;0,IFERROR(VALUE(SUBSTITUTE(TRIM(Input!I1776&amp;""),"%","")),0)&lt;1),1,100))</f>
        <v/>
      </c>
    </row>
    <row r="1777" spans="1:8">
      <c r="A1777" t="str">
        <f>IF(TRIM(Input!B1777&amp;"")="","",UPPER(TRIM(Input!B1777&amp;"")))</f>
        <v/>
      </c>
      <c r="B1777" t="str">
        <f>IF(A1777="","",IFERROR(VALUE(RIGHT(TRIM(Input!D1777&amp;""),1)),0))</f>
        <v/>
      </c>
      <c r="C1777" t="str">
        <f t="shared" si="27"/>
        <v/>
      </c>
      <c r="D1777" t="str">
        <f>IF(A1777="","",IFERROR(VALUE(SUBSTITUTE(TRIM(Input!E1777&amp;""),"%","")),0)/IF(AND(IFERROR(VALUE(SUBSTITUTE(TRIM(Input!E1777&amp;""),"%","")),0)&gt;0,IFERROR(VALUE(SUBSTITUTE(TRIM(Input!E1777&amp;""),"%","")),0)&lt;1),1,100))</f>
        <v/>
      </c>
      <c r="E1777" t="str">
        <f>IF(A1777="","",IFERROR(VALUE(SUBSTITUTE(TRIM(Input!F1777&amp;""),"%","")),0)/IF(AND(IFERROR(VALUE(SUBSTITUTE(TRIM(Input!F1777&amp;""),"%","")),0)&gt;0,IFERROR(VALUE(SUBSTITUTE(TRIM(Input!F1777&amp;""),"%","")),0)&lt;1),1,100))</f>
        <v/>
      </c>
      <c r="F1777" t="str">
        <f>IF(A1777="","",IFERROR(VALUE(SUBSTITUTE(TRIM(Input!G1777&amp;""),"%","")),0)/IF(AND(IFERROR(VALUE(SUBSTITUTE(TRIM(Input!G1777&amp;""),"%","")),0)&gt;0,IFERROR(VALUE(SUBSTITUTE(TRIM(Input!G1777&amp;""),"%","")),0)&lt;1),1,100))</f>
        <v/>
      </c>
      <c r="G1777" t="str">
        <f>IF(A1777="","",IFERROR(VALUE(SUBSTITUTE(TRIM(Input!H1777&amp;""),"%","")),0)/IF(AND(IFERROR(VALUE(SUBSTITUTE(TRIM(Input!H1777&amp;""),"%","")),0)&gt;0,IFERROR(VALUE(SUBSTITUTE(TRIM(Input!H1777&amp;""),"%","")),0)&lt;1),1,100))</f>
        <v/>
      </c>
      <c r="H1777" t="str">
        <f>IF(A1777="","",IFERROR(VALUE(SUBSTITUTE(TRIM(Input!I1777&amp;""),"%","")),0)/IF(AND(IFERROR(VALUE(SUBSTITUTE(TRIM(Input!I1777&amp;""),"%","")),0)&gt;0,IFERROR(VALUE(SUBSTITUTE(TRIM(Input!I1777&amp;""),"%","")),0)&lt;1),1,100))</f>
        <v/>
      </c>
    </row>
    <row r="1778" spans="1:8">
      <c r="A1778" t="str">
        <f>IF(TRIM(Input!B1778&amp;"")="","",UPPER(TRIM(Input!B1778&amp;"")))</f>
        <v/>
      </c>
      <c r="B1778" t="str">
        <f>IF(A1778="","",IFERROR(VALUE(RIGHT(TRIM(Input!D1778&amp;""),1)),0))</f>
        <v/>
      </c>
      <c r="C1778" t="str">
        <f t="shared" si="27"/>
        <v/>
      </c>
      <c r="D1778" t="str">
        <f>IF(A1778="","",IFERROR(VALUE(SUBSTITUTE(TRIM(Input!E1778&amp;""),"%","")),0)/IF(AND(IFERROR(VALUE(SUBSTITUTE(TRIM(Input!E1778&amp;""),"%","")),0)&gt;0,IFERROR(VALUE(SUBSTITUTE(TRIM(Input!E1778&amp;""),"%","")),0)&lt;1),1,100))</f>
        <v/>
      </c>
      <c r="E1778" t="str">
        <f>IF(A1778="","",IFERROR(VALUE(SUBSTITUTE(TRIM(Input!F1778&amp;""),"%","")),0)/IF(AND(IFERROR(VALUE(SUBSTITUTE(TRIM(Input!F1778&amp;""),"%","")),0)&gt;0,IFERROR(VALUE(SUBSTITUTE(TRIM(Input!F1778&amp;""),"%","")),0)&lt;1),1,100))</f>
        <v/>
      </c>
      <c r="F1778" t="str">
        <f>IF(A1778="","",IFERROR(VALUE(SUBSTITUTE(TRIM(Input!G1778&amp;""),"%","")),0)/IF(AND(IFERROR(VALUE(SUBSTITUTE(TRIM(Input!G1778&amp;""),"%","")),0)&gt;0,IFERROR(VALUE(SUBSTITUTE(TRIM(Input!G1778&amp;""),"%","")),0)&lt;1),1,100))</f>
        <v/>
      </c>
      <c r="G1778" t="str">
        <f>IF(A1778="","",IFERROR(VALUE(SUBSTITUTE(TRIM(Input!H1778&amp;""),"%","")),0)/IF(AND(IFERROR(VALUE(SUBSTITUTE(TRIM(Input!H1778&amp;""),"%","")),0)&gt;0,IFERROR(VALUE(SUBSTITUTE(TRIM(Input!H1778&amp;""),"%","")),0)&lt;1),1,100))</f>
        <v/>
      </c>
      <c r="H1778" t="str">
        <f>IF(A1778="","",IFERROR(VALUE(SUBSTITUTE(TRIM(Input!I1778&amp;""),"%","")),0)/IF(AND(IFERROR(VALUE(SUBSTITUTE(TRIM(Input!I1778&amp;""),"%","")),0)&gt;0,IFERROR(VALUE(SUBSTITUTE(TRIM(Input!I1778&amp;""),"%","")),0)&lt;1),1,100))</f>
        <v/>
      </c>
    </row>
    <row r="1779" spans="1:8">
      <c r="A1779" t="str">
        <f>IF(TRIM(Input!B1779&amp;"")="","",UPPER(TRIM(Input!B1779&amp;"")))</f>
        <v/>
      </c>
      <c r="B1779" t="str">
        <f>IF(A1779="","",IFERROR(VALUE(RIGHT(TRIM(Input!D1779&amp;""),1)),0))</f>
        <v/>
      </c>
      <c r="C1779" t="str">
        <f t="shared" si="27"/>
        <v/>
      </c>
      <c r="D1779" t="str">
        <f>IF(A1779="","",IFERROR(VALUE(SUBSTITUTE(TRIM(Input!E1779&amp;""),"%","")),0)/IF(AND(IFERROR(VALUE(SUBSTITUTE(TRIM(Input!E1779&amp;""),"%","")),0)&gt;0,IFERROR(VALUE(SUBSTITUTE(TRIM(Input!E1779&amp;""),"%","")),0)&lt;1),1,100))</f>
        <v/>
      </c>
      <c r="E1779" t="str">
        <f>IF(A1779="","",IFERROR(VALUE(SUBSTITUTE(TRIM(Input!F1779&amp;""),"%","")),0)/IF(AND(IFERROR(VALUE(SUBSTITUTE(TRIM(Input!F1779&amp;""),"%","")),0)&gt;0,IFERROR(VALUE(SUBSTITUTE(TRIM(Input!F1779&amp;""),"%","")),0)&lt;1),1,100))</f>
        <v/>
      </c>
      <c r="F1779" t="str">
        <f>IF(A1779="","",IFERROR(VALUE(SUBSTITUTE(TRIM(Input!G1779&amp;""),"%","")),0)/IF(AND(IFERROR(VALUE(SUBSTITUTE(TRIM(Input!G1779&amp;""),"%","")),0)&gt;0,IFERROR(VALUE(SUBSTITUTE(TRIM(Input!G1779&amp;""),"%","")),0)&lt;1),1,100))</f>
        <v/>
      </c>
      <c r="G1779" t="str">
        <f>IF(A1779="","",IFERROR(VALUE(SUBSTITUTE(TRIM(Input!H1779&amp;""),"%","")),0)/IF(AND(IFERROR(VALUE(SUBSTITUTE(TRIM(Input!H1779&amp;""),"%","")),0)&gt;0,IFERROR(VALUE(SUBSTITUTE(TRIM(Input!H1779&amp;""),"%","")),0)&lt;1),1,100))</f>
        <v/>
      </c>
      <c r="H1779" t="str">
        <f>IF(A1779="","",IFERROR(VALUE(SUBSTITUTE(TRIM(Input!I1779&amp;""),"%","")),0)/IF(AND(IFERROR(VALUE(SUBSTITUTE(TRIM(Input!I1779&amp;""),"%","")),0)&gt;0,IFERROR(VALUE(SUBSTITUTE(TRIM(Input!I1779&amp;""),"%","")),0)&lt;1),1,100))</f>
        <v/>
      </c>
    </row>
    <row r="1780" spans="1:8">
      <c r="A1780" t="str">
        <f>IF(TRIM(Input!B1780&amp;"")="","",UPPER(TRIM(Input!B1780&amp;"")))</f>
        <v/>
      </c>
      <c r="B1780" t="str">
        <f>IF(A1780="","",IFERROR(VALUE(RIGHT(TRIM(Input!D1780&amp;""),1)),0))</f>
        <v/>
      </c>
      <c r="C1780" t="str">
        <f t="shared" si="27"/>
        <v/>
      </c>
      <c r="D1780" t="str">
        <f>IF(A1780="","",IFERROR(VALUE(SUBSTITUTE(TRIM(Input!E1780&amp;""),"%","")),0)/IF(AND(IFERROR(VALUE(SUBSTITUTE(TRIM(Input!E1780&amp;""),"%","")),0)&gt;0,IFERROR(VALUE(SUBSTITUTE(TRIM(Input!E1780&amp;""),"%","")),0)&lt;1),1,100))</f>
        <v/>
      </c>
      <c r="E1780" t="str">
        <f>IF(A1780="","",IFERROR(VALUE(SUBSTITUTE(TRIM(Input!F1780&amp;""),"%","")),0)/IF(AND(IFERROR(VALUE(SUBSTITUTE(TRIM(Input!F1780&amp;""),"%","")),0)&gt;0,IFERROR(VALUE(SUBSTITUTE(TRIM(Input!F1780&amp;""),"%","")),0)&lt;1),1,100))</f>
        <v/>
      </c>
      <c r="F1780" t="str">
        <f>IF(A1780="","",IFERROR(VALUE(SUBSTITUTE(TRIM(Input!G1780&amp;""),"%","")),0)/IF(AND(IFERROR(VALUE(SUBSTITUTE(TRIM(Input!G1780&amp;""),"%","")),0)&gt;0,IFERROR(VALUE(SUBSTITUTE(TRIM(Input!G1780&amp;""),"%","")),0)&lt;1),1,100))</f>
        <v/>
      </c>
      <c r="G1780" t="str">
        <f>IF(A1780="","",IFERROR(VALUE(SUBSTITUTE(TRIM(Input!H1780&amp;""),"%","")),0)/IF(AND(IFERROR(VALUE(SUBSTITUTE(TRIM(Input!H1780&amp;""),"%","")),0)&gt;0,IFERROR(VALUE(SUBSTITUTE(TRIM(Input!H1780&amp;""),"%","")),0)&lt;1),1,100))</f>
        <v/>
      </c>
      <c r="H1780" t="str">
        <f>IF(A1780="","",IFERROR(VALUE(SUBSTITUTE(TRIM(Input!I1780&amp;""),"%","")),0)/IF(AND(IFERROR(VALUE(SUBSTITUTE(TRIM(Input!I1780&amp;""),"%","")),0)&gt;0,IFERROR(VALUE(SUBSTITUTE(TRIM(Input!I1780&amp;""),"%","")),0)&lt;1),1,100))</f>
        <v/>
      </c>
    </row>
    <row r="1781" spans="1:8">
      <c r="A1781" t="str">
        <f>IF(TRIM(Input!B1781&amp;"")="","",UPPER(TRIM(Input!B1781&amp;"")))</f>
        <v/>
      </c>
      <c r="B1781" t="str">
        <f>IF(A1781="","",IFERROR(VALUE(RIGHT(TRIM(Input!D1781&amp;""),1)),0))</f>
        <v/>
      </c>
      <c r="C1781" t="str">
        <f t="shared" si="27"/>
        <v/>
      </c>
      <c r="D1781" t="str">
        <f>IF(A1781="","",IFERROR(VALUE(SUBSTITUTE(TRIM(Input!E1781&amp;""),"%","")),0)/IF(AND(IFERROR(VALUE(SUBSTITUTE(TRIM(Input!E1781&amp;""),"%","")),0)&gt;0,IFERROR(VALUE(SUBSTITUTE(TRIM(Input!E1781&amp;""),"%","")),0)&lt;1),1,100))</f>
        <v/>
      </c>
      <c r="E1781" t="str">
        <f>IF(A1781="","",IFERROR(VALUE(SUBSTITUTE(TRIM(Input!F1781&amp;""),"%","")),0)/IF(AND(IFERROR(VALUE(SUBSTITUTE(TRIM(Input!F1781&amp;""),"%","")),0)&gt;0,IFERROR(VALUE(SUBSTITUTE(TRIM(Input!F1781&amp;""),"%","")),0)&lt;1),1,100))</f>
        <v/>
      </c>
      <c r="F1781" t="str">
        <f>IF(A1781="","",IFERROR(VALUE(SUBSTITUTE(TRIM(Input!G1781&amp;""),"%","")),0)/IF(AND(IFERROR(VALUE(SUBSTITUTE(TRIM(Input!G1781&amp;""),"%","")),0)&gt;0,IFERROR(VALUE(SUBSTITUTE(TRIM(Input!G1781&amp;""),"%","")),0)&lt;1),1,100))</f>
        <v/>
      </c>
      <c r="G1781" t="str">
        <f>IF(A1781="","",IFERROR(VALUE(SUBSTITUTE(TRIM(Input!H1781&amp;""),"%","")),0)/IF(AND(IFERROR(VALUE(SUBSTITUTE(TRIM(Input!H1781&amp;""),"%","")),0)&gt;0,IFERROR(VALUE(SUBSTITUTE(TRIM(Input!H1781&amp;""),"%","")),0)&lt;1),1,100))</f>
        <v/>
      </c>
      <c r="H1781" t="str">
        <f>IF(A1781="","",IFERROR(VALUE(SUBSTITUTE(TRIM(Input!I1781&amp;""),"%","")),0)/IF(AND(IFERROR(VALUE(SUBSTITUTE(TRIM(Input!I1781&amp;""),"%","")),0)&gt;0,IFERROR(VALUE(SUBSTITUTE(TRIM(Input!I1781&amp;""),"%","")),0)&lt;1),1,100))</f>
        <v/>
      </c>
    </row>
    <row r="1782" spans="1:8">
      <c r="A1782" t="str">
        <f>IF(TRIM(Input!B1782&amp;"")="","",UPPER(TRIM(Input!B1782&amp;"")))</f>
        <v/>
      </c>
      <c r="B1782" t="str">
        <f>IF(A1782="","",IFERROR(VALUE(RIGHT(TRIM(Input!D1782&amp;""),1)),0))</f>
        <v/>
      </c>
      <c r="C1782" t="str">
        <f t="shared" si="27"/>
        <v/>
      </c>
      <c r="D1782" t="str">
        <f>IF(A1782="","",IFERROR(VALUE(SUBSTITUTE(TRIM(Input!E1782&amp;""),"%","")),0)/IF(AND(IFERROR(VALUE(SUBSTITUTE(TRIM(Input!E1782&amp;""),"%","")),0)&gt;0,IFERROR(VALUE(SUBSTITUTE(TRIM(Input!E1782&amp;""),"%","")),0)&lt;1),1,100))</f>
        <v/>
      </c>
      <c r="E1782" t="str">
        <f>IF(A1782="","",IFERROR(VALUE(SUBSTITUTE(TRIM(Input!F1782&amp;""),"%","")),0)/IF(AND(IFERROR(VALUE(SUBSTITUTE(TRIM(Input!F1782&amp;""),"%","")),0)&gt;0,IFERROR(VALUE(SUBSTITUTE(TRIM(Input!F1782&amp;""),"%","")),0)&lt;1),1,100))</f>
        <v/>
      </c>
      <c r="F1782" t="str">
        <f>IF(A1782="","",IFERROR(VALUE(SUBSTITUTE(TRIM(Input!G1782&amp;""),"%","")),0)/IF(AND(IFERROR(VALUE(SUBSTITUTE(TRIM(Input!G1782&amp;""),"%","")),0)&gt;0,IFERROR(VALUE(SUBSTITUTE(TRIM(Input!G1782&amp;""),"%","")),0)&lt;1),1,100))</f>
        <v/>
      </c>
      <c r="G1782" t="str">
        <f>IF(A1782="","",IFERROR(VALUE(SUBSTITUTE(TRIM(Input!H1782&amp;""),"%","")),0)/IF(AND(IFERROR(VALUE(SUBSTITUTE(TRIM(Input!H1782&amp;""),"%","")),0)&gt;0,IFERROR(VALUE(SUBSTITUTE(TRIM(Input!H1782&amp;""),"%","")),0)&lt;1),1,100))</f>
        <v/>
      </c>
      <c r="H1782" t="str">
        <f>IF(A1782="","",IFERROR(VALUE(SUBSTITUTE(TRIM(Input!I1782&amp;""),"%","")),0)/IF(AND(IFERROR(VALUE(SUBSTITUTE(TRIM(Input!I1782&amp;""),"%","")),0)&gt;0,IFERROR(VALUE(SUBSTITUTE(TRIM(Input!I1782&amp;""),"%","")),0)&lt;1),1,100))</f>
        <v/>
      </c>
    </row>
    <row r="1783" spans="1:8">
      <c r="A1783" t="str">
        <f>IF(TRIM(Input!B1783&amp;"")="","",UPPER(TRIM(Input!B1783&amp;"")))</f>
        <v/>
      </c>
      <c r="B1783" t="str">
        <f>IF(A1783="","",IFERROR(VALUE(RIGHT(TRIM(Input!D1783&amp;""),1)),0))</f>
        <v/>
      </c>
      <c r="C1783" t="str">
        <f t="shared" si="27"/>
        <v/>
      </c>
      <c r="D1783" t="str">
        <f>IF(A1783="","",IFERROR(VALUE(SUBSTITUTE(TRIM(Input!E1783&amp;""),"%","")),0)/IF(AND(IFERROR(VALUE(SUBSTITUTE(TRIM(Input!E1783&amp;""),"%","")),0)&gt;0,IFERROR(VALUE(SUBSTITUTE(TRIM(Input!E1783&amp;""),"%","")),0)&lt;1),1,100))</f>
        <v/>
      </c>
      <c r="E1783" t="str">
        <f>IF(A1783="","",IFERROR(VALUE(SUBSTITUTE(TRIM(Input!F1783&amp;""),"%","")),0)/IF(AND(IFERROR(VALUE(SUBSTITUTE(TRIM(Input!F1783&amp;""),"%","")),0)&gt;0,IFERROR(VALUE(SUBSTITUTE(TRIM(Input!F1783&amp;""),"%","")),0)&lt;1),1,100))</f>
        <v/>
      </c>
      <c r="F1783" t="str">
        <f>IF(A1783="","",IFERROR(VALUE(SUBSTITUTE(TRIM(Input!G1783&amp;""),"%","")),0)/IF(AND(IFERROR(VALUE(SUBSTITUTE(TRIM(Input!G1783&amp;""),"%","")),0)&gt;0,IFERROR(VALUE(SUBSTITUTE(TRIM(Input!G1783&amp;""),"%","")),0)&lt;1),1,100))</f>
        <v/>
      </c>
      <c r="G1783" t="str">
        <f>IF(A1783="","",IFERROR(VALUE(SUBSTITUTE(TRIM(Input!H1783&amp;""),"%","")),0)/IF(AND(IFERROR(VALUE(SUBSTITUTE(TRIM(Input!H1783&amp;""),"%","")),0)&gt;0,IFERROR(VALUE(SUBSTITUTE(TRIM(Input!H1783&amp;""),"%","")),0)&lt;1),1,100))</f>
        <v/>
      </c>
      <c r="H1783" t="str">
        <f>IF(A1783="","",IFERROR(VALUE(SUBSTITUTE(TRIM(Input!I1783&amp;""),"%","")),0)/IF(AND(IFERROR(VALUE(SUBSTITUTE(TRIM(Input!I1783&amp;""),"%","")),0)&gt;0,IFERROR(VALUE(SUBSTITUTE(TRIM(Input!I1783&amp;""),"%","")),0)&lt;1),1,100))</f>
        <v/>
      </c>
    </row>
    <row r="1784" spans="1:8">
      <c r="A1784" t="str">
        <f>IF(TRIM(Input!B1784&amp;"")="","",UPPER(TRIM(Input!B1784&amp;"")))</f>
        <v/>
      </c>
      <c r="B1784" t="str">
        <f>IF(A1784="","",IFERROR(VALUE(RIGHT(TRIM(Input!D1784&amp;""),1)),0))</f>
        <v/>
      </c>
      <c r="C1784" t="str">
        <f t="shared" si="27"/>
        <v/>
      </c>
      <c r="D1784" t="str">
        <f>IF(A1784="","",IFERROR(VALUE(SUBSTITUTE(TRIM(Input!E1784&amp;""),"%","")),0)/IF(AND(IFERROR(VALUE(SUBSTITUTE(TRIM(Input!E1784&amp;""),"%","")),0)&gt;0,IFERROR(VALUE(SUBSTITUTE(TRIM(Input!E1784&amp;""),"%","")),0)&lt;1),1,100))</f>
        <v/>
      </c>
      <c r="E1784" t="str">
        <f>IF(A1784="","",IFERROR(VALUE(SUBSTITUTE(TRIM(Input!F1784&amp;""),"%","")),0)/IF(AND(IFERROR(VALUE(SUBSTITUTE(TRIM(Input!F1784&amp;""),"%","")),0)&gt;0,IFERROR(VALUE(SUBSTITUTE(TRIM(Input!F1784&amp;""),"%","")),0)&lt;1),1,100))</f>
        <v/>
      </c>
      <c r="F1784" t="str">
        <f>IF(A1784="","",IFERROR(VALUE(SUBSTITUTE(TRIM(Input!G1784&amp;""),"%","")),0)/IF(AND(IFERROR(VALUE(SUBSTITUTE(TRIM(Input!G1784&amp;""),"%","")),0)&gt;0,IFERROR(VALUE(SUBSTITUTE(TRIM(Input!G1784&amp;""),"%","")),0)&lt;1),1,100))</f>
        <v/>
      </c>
      <c r="G1784" t="str">
        <f>IF(A1784="","",IFERROR(VALUE(SUBSTITUTE(TRIM(Input!H1784&amp;""),"%","")),0)/IF(AND(IFERROR(VALUE(SUBSTITUTE(TRIM(Input!H1784&amp;""),"%","")),0)&gt;0,IFERROR(VALUE(SUBSTITUTE(TRIM(Input!H1784&amp;""),"%","")),0)&lt;1),1,100))</f>
        <v/>
      </c>
      <c r="H1784" t="str">
        <f>IF(A1784="","",IFERROR(VALUE(SUBSTITUTE(TRIM(Input!I1784&amp;""),"%","")),0)/IF(AND(IFERROR(VALUE(SUBSTITUTE(TRIM(Input!I1784&amp;""),"%","")),0)&gt;0,IFERROR(VALUE(SUBSTITUTE(TRIM(Input!I1784&amp;""),"%","")),0)&lt;1),1,100))</f>
        <v/>
      </c>
    </row>
    <row r="1785" spans="1:8">
      <c r="A1785" t="str">
        <f>IF(TRIM(Input!B1785&amp;"")="","",UPPER(TRIM(Input!B1785&amp;"")))</f>
        <v/>
      </c>
      <c r="B1785" t="str">
        <f>IF(A1785="","",IFERROR(VALUE(RIGHT(TRIM(Input!D1785&amp;""),1)),0))</f>
        <v/>
      </c>
      <c r="C1785" t="str">
        <f t="shared" si="27"/>
        <v/>
      </c>
      <c r="D1785" t="str">
        <f>IF(A1785="","",IFERROR(VALUE(SUBSTITUTE(TRIM(Input!E1785&amp;""),"%","")),0)/IF(AND(IFERROR(VALUE(SUBSTITUTE(TRIM(Input!E1785&amp;""),"%","")),0)&gt;0,IFERROR(VALUE(SUBSTITUTE(TRIM(Input!E1785&amp;""),"%","")),0)&lt;1),1,100))</f>
        <v/>
      </c>
      <c r="E1785" t="str">
        <f>IF(A1785="","",IFERROR(VALUE(SUBSTITUTE(TRIM(Input!F1785&amp;""),"%","")),0)/IF(AND(IFERROR(VALUE(SUBSTITUTE(TRIM(Input!F1785&amp;""),"%","")),0)&gt;0,IFERROR(VALUE(SUBSTITUTE(TRIM(Input!F1785&amp;""),"%","")),0)&lt;1),1,100))</f>
        <v/>
      </c>
      <c r="F1785" t="str">
        <f>IF(A1785="","",IFERROR(VALUE(SUBSTITUTE(TRIM(Input!G1785&amp;""),"%","")),0)/IF(AND(IFERROR(VALUE(SUBSTITUTE(TRIM(Input!G1785&amp;""),"%","")),0)&gt;0,IFERROR(VALUE(SUBSTITUTE(TRIM(Input!G1785&amp;""),"%","")),0)&lt;1),1,100))</f>
        <v/>
      </c>
      <c r="G1785" t="str">
        <f>IF(A1785="","",IFERROR(VALUE(SUBSTITUTE(TRIM(Input!H1785&amp;""),"%","")),0)/IF(AND(IFERROR(VALUE(SUBSTITUTE(TRIM(Input!H1785&amp;""),"%","")),0)&gt;0,IFERROR(VALUE(SUBSTITUTE(TRIM(Input!H1785&amp;""),"%","")),0)&lt;1),1,100))</f>
        <v/>
      </c>
      <c r="H1785" t="str">
        <f>IF(A1785="","",IFERROR(VALUE(SUBSTITUTE(TRIM(Input!I1785&amp;""),"%","")),0)/IF(AND(IFERROR(VALUE(SUBSTITUTE(TRIM(Input!I1785&amp;""),"%","")),0)&gt;0,IFERROR(VALUE(SUBSTITUTE(TRIM(Input!I1785&amp;""),"%","")),0)&lt;1),1,100))</f>
        <v/>
      </c>
    </row>
    <row r="1786" spans="1:8">
      <c r="A1786" t="str">
        <f>IF(TRIM(Input!B1786&amp;"")="","",UPPER(TRIM(Input!B1786&amp;"")))</f>
        <v/>
      </c>
      <c r="B1786" t="str">
        <f>IF(A1786="","",IFERROR(VALUE(RIGHT(TRIM(Input!D1786&amp;""),1)),0))</f>
        <v/>
      </c>
      <c r="C1786" t="str">
        <f t="shared" si="27"/>
        <v/>
      </c>
      <c r="D1786" t="str">
        <f>IF(A1786="","",IFERROR(VALUE(SUBSTITUTE(TRIM(Input!E1786&amp;""),"%","")),0)/IF(AND(IFERROR(VALUE(SUBSTITUTE(TRIM(Input!E1786&amp;""),"%","")),0)&gt;0,IFERROR(VALUE(SUBSTITUTE(TRIM(Input!E1786&amp;""),"%","")),0)&lt;1),1,100))</f>
        <v/>
      </c>
      <c r="E1786" t="str">
        <f>IF(A1786="","",IFERROR(VALUE(SUBSTITUTE(TRIM(Input!F1786&amp;""),"%","")),0)/IF(AND(IFERROR(VALUE(SUBSTITUTE(TRIM(Input!F1786&amp;""),"%","")),0)&gt;0,IFERROR(VALUE(SUBSTITUTE(TRIM(Input!F1786&amp;""),"%","")),0)&lt;1),1,100))</f>
        <v/>
      </c>
      <c r="F1786" t="str">
        <f>IF(A1786="","",IFERROR(VALUE(SUBSTITUTE(TRIM(Input!G1786&amp;""),"%","")),0)/IF(AND(IFERROR(VALUE(SUBSTITUTE(TRIM(Input!G1786&amp;""),"%","")),0)&gt;0,IFERROR(VALUE(SUBSTITUTE(TRIM(Input!G1786&amp;""),"%","")),0)&lt;1),1,100))</f>
        <v/>
      </c>
      <c r="G1786" t="str">
        <f>IF(A1786="","",IFERROR(VALUE(SUBSTITUTE(TRIM(Input!H1786&amp;""),"%","")),0)/IF(AND(IFERROR(VALUE(SUBSTITUTE(TRIM(Input!H1786&amp;""),"%","")),0)&gt;0,IFERROR(VALUE(SUBSTITUTE(TRIM(Input!H1786&amp;""),"%","")),0)&lt;1),1,100))</f>
        <v/>
      </c>
      <c r="H1786" t="str">
        <f>IF(A1786="","",IFERROR(VALUE(SUBSTITUTE(TRIM(Input!I1786&amp;""),"%","")),0)/IF(AND(IFERROR(VALUE(SUBSTITUTE(TRIM(Input!I1786&amp;""),"%","")),0)&gt;0,IFERROR(VALUE(SUBSTITUTE(TRIM(Input!I1786&amp;""),"%","")),0)&lt;1),1,100))</f>
        <v/>
      </c>
    </row>
    <row r="1787" spans="1:8">
      <c r="A1787" t="str">
        <f>IF(TRIM(Input!B1787&amp;"")="","",UPPER(TRIM(Input!B1787&amp;"")))</f>
        <v/>
      </c>
      <c r="B1787" t="str">
        <f>IF(A1787="","",IFERROR(VALUE(RIGHT(TRIM(Input!D1787&amp;""),1)),0))</f>
        <v/>
      </c>
      <c r="C1787" t="str">
        <f t="shared" si="27"/>
        <v/>
      </c>
      <c r="D1787" t="str">
        <f>IF(A1787="","",IFERROR(VALUE(SUBSTITUTE(TRIM(Input!E1787&amp;""),"%","")),0)/IF(AND(IFERROR(VALUE(SUBSTITUTE(TRIM(Input!E1787&amp;""),"%","")),0)&gt;0,IFERROR(VALUE(SUBSTITUTE(TRIM(Input!E1787&amp;""),"%","")),0)&lt;1),1,100))</f>
        <v/>
      </c>
      <c r="E1787" t="str">
        <f>IF(A1787="","",IFERROR(VALUE(SUBSTITUTE(TRIM(Input!F1787&amp;""),"%","")),0)/IF(AND(IFERROR(VALUE(SUBSTITUTE(TRIM(Input!F1787&amp;""),"%","")),0)&gt;0,IFERROR(VALUE(SUBSTITUTE(TRIM(Input!F1787&amp;""),"%","")),0)&lt;1),1,100))</f>
        <v/>
      </c>
      <c r="F1787" t="str">
        <f>IF(A1787="","",IFERROR(VALUE(SUBSTITUTE(TRIM(Input!G1787&amp;""),"%","")),0)/IF(AND(IFERROR(VALUE(SUBSTITUTE(TRIM(Input!G1787&amp;""),"%","")),0)&gt;0,IFERROR(VALUE(SUBSTITUTE(TRIM(Input!G1787&amp;""),"%","")),0)&lt;1),1,100))</f>
        <v/>
      </c>
      <c r="G1787" t="str">
        <f>IF(A1787="","",IFERROR(VALUE(SUBSTITUTE(TRIM(Input!H1787&amp;""),"%","")),0)/IF(AND(IFERROR(VALUE(SUBSTITUTE(TRIM(Input!H1787&amp;""),"%","")),0)&gt;0,IFERROR(VALUE(SUBSTITUTE(TRIM(Input!H1787&amp;""),"%","")),0)&lt;1),1,100))</f>
        <v/>
      </c>
      <c r="H1787" t="str">
        <f>IF(A1787="","",IFERROR(VALUE(SUBSTITUTE(TRIM(Input!I1787&amp;""),"%","")),0)/IF(AND(IFERROR(VALUE(SUBSTITUTE(TRIM(Input!I1787&amp;""),"%","")),0)&gt;0,IFERROR(VALUE(SUBSTITUTE(TRIM(Input!I1787&amp;""),"%","")),0)&lt;1),1,100))</f>
        <v/>
      </c>
    </row>
    <row r="1788" spans="1:8">
      <c r="A1788" t="str">
        <f>IF(TRIM(Input!B1788&amp;"")="","",UPPER(TRIM(Input!B1788&amp;"")))</f>
        <v/>
      </c>
      <c r="B1788" t="str">
        <f>IF(A1788="","",IFERROR(VALUE(RIGHT(TRIM(Input!D1788&amp;""),1)),0))</f>
        <v/>
      </c>
      <c r="C1788" t="str">
        <f t="shared" si="27"/>
        <v/>
      </c>
      <c r="D1788" t="str">
        <f>IF(A1788="","",IFERROR(VALUE(SUBSTITUTE(TRIM(Input!E1788&amp;""),"%","")),0)/IF(AND(IFERROR(VALUE(SUBSTITUTE(TRIM(Input!E1788&amp;""),"%","")),0)&gt;0,IFERROR(VALUE(SUBSTITUTE(TRIM(Input!E1788&amp;""),"%","")),0)&lt;1),1,100))</f>
        <v/>
      </c>
      <c r="E1788" t="str">
        <f>IF(A1788="","",IFERROR(VALUE(SUBSTITUTE(TRIM(Input!F1788&amp;""),"%","")),0)/IF(AND(IFERROR(VALUE(SUBSTITUTE(TRIM(Input!F1788&amp;""),"%","")),0)&gt;0,IFERROR(VALUE(SUBSTITUTE(TRIM(Input!F1788&amp;""),"%","")),0)&lt;1),1,100))</f>
        <v/>
      </c>
      <c r="F1788" t="str">
        <f>IF(A1788="","",IFERROR(VALUE(SUBSTITUTE(TRIM(Input!G1788&amp;""),"%","")),0)/IF(AND(IFERROR(VALUE(SUBSTITUTE(TRIM(Input!G1788&amp;""),"%","")),0)&gt;0,IFERROR(VALUE(SUBSTITUTE(TRIM(Input!G1788&amp;""),"%","")),0)&lt;1),1,100))</f>
        <v/>
      </c>
      <c r="G1788" t="str">
        <f>IF(A1788="","",IFERROR(VALUE(SUBSTITUTE(TRIM(Input!H1788&amp;""),"%","")),0)/IF(AND(IFERROR(VALUE(SUBSTITUTE(TRIM(Input!H1788&amp;""),"%","")),0)&gt;0,IFERROR(VALUE(SUBSTITUTE(TRIM(Input!H1788&amp;""),"%","")),0)&lt;1),1,100))</f>
        <v/>
      </c>
      <c r="H1788" t="str">
        <f>IF(A1788="","",IFERROR(VALUE(SUBSTITUTE(TRIM(Input!I1788&amp;""),"%","")),0)/IF(AND(IFERROR(VALUE(SUBSTITUTE(TRIM(Input!I1788&amp;""),"%","")),0)&gt;0,IFERROR(VALUE(SUBSTITUTE(TRIM(Input!I1788&amp;""),"%","")),0)&lt;1),1,100))</f>
        <v/>
      </c>
    </row>
    <row r="1789" spans="1:8">
      <c r="A1789" t="str">
        <f>IF(TRIM(Input!B1789&amp;"")="","",UPPER(TRIM(Input!B1789&amp;"")))</f>
        <v/>
      </c>
      <c r="B1789" t="str">
        <f>IF(A1789="","",IFERROR(VALUE(RIGHT(TRIM(Input!D1789&amp;""),1)),0))</f>
        <v/>
      </c>
      <c r="C1789" t="str">
        <f t="shared" si="27"/>
        <v/>
      </c>
      <c r="D1789" t="str">
        <f>IF(A1789="","",IFERROR(VALUE(SUBSTITUTE(TRIM(Input!E1789&amp;""),"%","")),0)/IF(AND(IFERROR(VALUE(SUBSTITUTE(TRIM(Input!E1789&amp;""),"%","")),0)&gt;0,IFERROR(VALUE(SUBSTITUTE(TRIM(Input!E1789&amp;""),"%","")),0)&lt;1),1,100))</f>
        <v/>
      </c>
      <c r="E1789" t="str">
        <f>IF(A1789="","",IFERROR(VALUE(SUBSTITUTE(TRIM(Input!F1789&amp;""),"%","")),0)/IF(AND(IFERROR(VALUE(SUBSTITUTE(TRIM(Input!F1789&amp;""),"%","")),0)&gt;0,IFERROR(VALUE(SUBSTITUTE(TRIM(Input!F1789&amp;""),"%","")),0)&lt;1),1,100))</f>
        <v/>
      </c>
      <c r="F1789" t="str">
        <f>IF(A1789="","",IFERROR(VALUE(SUBSTITUTE(TRIM(Input!G1789&amp;""),"%","")),0)/IF(AND(IFERROR(VALUE(SUBSTITUTE(TRIM(Input!G1789&amp;""),"%","")),0)&gt;0,IFERROR(VALUE(SUBSTITUTE(TRIM(Input!G1789&amp;""),"%","")),0)&lt;1),1,100))</f>
        <v/>
      </c>
      <c r="G1789" t="str">
        <f>IF(A1789="","",IFERROR(VALUE(SUBSTITUTE(TRIM(Input!H1789&amp;""),"%","")),0)/IF(AND(IFERROR(VALUE(SUBSTITUTE(TRIM(Input!H1789&amp;""),"%","")),0)&gt;0,IFERROR(VALUE(SUBSTITUTE(TRIM(Input!H1789&amp;""),"%","")),0)&lt;1),1,100))</f>
        <v/>
      </c>
      <c r="H1789" t="str">
        <f>IF(A1789="","",IFERROR(VALUE(SUBSTITUTE(TRIM(Input!I1789&amp;""),"%","")),0)/IF(AND(IFERROR(VALUE(SUBSTITUTE(TRIM(Input!I1789&amp;""),"%","")),0)&gt;0,IFERROR(VALUE(SUBSTITUTE(TRIM(Input!I1789&amp;""),"%","")),0)&lt;1),1,100))</f>
        <v/>
      </c>
    </row>
    <row r="1790" spans="1:8">
      <c r="A1790" t="str">
        <f>IF(TRIM(Input!B1790&amp;"")="","",UPPER(TRIM(Input!B1790&amp;"")))</f>
        <v/>
      </c>
      <c r="B1790" t="str">
        <f>IF(A1790="","",IFERROR(VALUE(RIGHT(TRIM(Input!D1790&amp;""),1)),0))</f>
        <v/>
      </c>
      <c r="C1790" t="str">
        <f t="shared" si="27"/>
        <v/>
      </c>
      <c r="D1790" t="str">
        <f>IF(A1790="","",IFERROR(VALUE(SUBSTITUTE(TRIM(Input!E1790&amp;""),"%","")),0)/IF(AND(IFERROR(VALUE(SUBSTITUTE(TRIM(Input!E1790&amp;""),"%","")),0)&gt;0,IFERROR(VALUE(SUBSTITUTE(TRIM(Input!E1790&amp;""),"%","")),0)&lt;1),1,100))</f>
        <v/>
      </c>
      <c r="E1790" t="str">
        <f>IF(A1790="","",IFERROR(VALUE(SUBSTITUTE(TRIM(Input!F1790&amp;""),"%","")),0)/IF(AND(IFERROR(VALUE(SUBSTITUTE(TRIM(Input!F1790&amp;""),"%","")),0)&gt;0,IFERROR(VALUE(SUBSTITUTE(TRIM(Input!F1790&amp;""),"%","")),0)&lt;1),1,100))</f>
        <v/>
      </c>
      <c r="F1790" t="str">
        <f>IF(A1790="","",IFERROR(VALUE(SUBSTITUTE(TRIM(Input!G1790&amp;""),"%","")),0)/IF(AND(IFERROR(VALUE(SUBSTITUTE(TRIM(Input!G1790&amp;""),"%","")),0)&gt;0,IFERROR(VALUE(SUBSTITUTE(TRIM(Input!G1790&amp;""),"%","")),0)&lt;1),1,100))</f>
        <v/>
      </c>
      <c r="G1790" t="str">
        <f>IF(A1790="","",IFERROR(VALUE(SUBSTITUTE(TRIM(Input!H1790&amp;""),"%","")),0)/IF(AND(IFERROR(VALUE(SUBSTITUTE(TRIM(Input!H1790&amp;""),"%","")),0)&gt;0,IFERROR(VALUE(SUBSTITUTE(TRIM(Input!H1790&amp;""),"%","")),0)&lt;1),1,100))</f>
        <v/>
      </c>
      <c r="H1790" t="str">
        <f>IF(A1790="","",IFERROR(VALUE(SUBSTITUTE(TRIM(Input!I1790&amp;""),"%","")),0)/IF(AND(IFERROR(VALUE(SUBSTITUTE(TRIM(Input!I1790&amp;""),"%","")),0)&gt;0,IFERROR(VALUE(SUBSTITUTE(TRIM(Input!I1790&amp;""),"%","")),0)&lt;1),1,100))</f>
        <v/>
      </c>
    </row>
    <row r="1791" spans="1:8">
      <c r="A1791" t="str">
        <f>IF(TRIM(Input!B1791&amp;"")="","",UPPER(TRIM(Input!B1791&amp;"")))</f>
        <v/>
      </c>
      <c r="B1791" t="str">
        <f>IF(A1791="","",IFERROR(VALUE(RIGHT(TRIM(Input!D1791&amp;""),1)),0))</f>
        <v/>
      </c>
      <c r="C1791" t="str">
        <f t="shared" si="27"/>
        <v/>
      </c>
      <c r="D1791" t="str">
        <f>IF(A1791="","",IFERROR(VALUE(SUBSTITUTE(TRIM(Input!E1791&amp;""),"%","")),0)/IF(AND(IFERROR(VALUE(SUBSTITUTE(TRIM(Input!E1791&amp;""),"%","")),0)&gt;0,IFERROR(VALUE(SUBSTITUTE(TRIM(Input!E1791&amp;""),"%","")),0)&lt;1),1,100))</f>
        <v/>
      </c>
      <c r="E1791" t="str">
        <f>IF(A1791="","",IFERROR(VALUE(SUBSTITUTE(TRIM(Input!F1791&amp;""),"%","")),0)/IF(AND(IFERROR(VALUE(SUBSTITUTE(TRIM(Input!F1791&amp;""),"%","")),0)&gt;0,IFERROR(VALUE(SUBSTITUTE(TRIM(Input!F1791&amp;""),"%","")),0)&lt;1),1,100))</f>
        <v/>
      </c>
      <c r="F1791" t="str">
        <f>IF(A1791="","",IFERROR(VALUE(SUBSTITUTE(TRIM(Input!G1791&amp;""),"%","")),0)/IF(AND(IFERROR(VALUE(SUBSTITUTE(TRIM(Input!G1791&amp;""),"%","")),0)&gt;0,IFERROR(VALUE(SUBSTITUTE(TRIM(Input!G1791&amp;""),"%","")),0)&lt;1),1,100))</f>
        <v/>
      </c>
      <c r="G1791" t="str">
        <f>IF(A1791="","",IFERROR(VALUE(SUBSTITUTE(TRIM(Input!H1791&amp;""),"%","")),0)/IF(AND(IFERROR(VALUE(SUBSTITUTE(TRIM(Input!H1791&amp;""),"%","")),0)&gt;0,IFERROR(VALUE(SUBSTITUTE(TRIM(Input!H1791&amp;""),"%","")),0)&lt;1),1,100))</f>
        <v/>
      </c>
      <c r="H1791" t="str">
        <f>IF(A1791="","",IFERROR(VALUE(SUBSTITUTE(TRIM(Input!I1791&amp;""),"%","")),0)/IF(AND(IFERROR(VALUE(SUBSTITUTE(TRIM(Input!I1791&amp;""),"%","")),0)&gt;0,IFERROR(VALUE(SUBSTITUTE(TRIM(Input!I1791&amp;""),"%","")),0)&lt;1),1,100))</f>
        <v/>
      </c>
    </row>
    <row r="1792" spans="1:8">
      <c r="A1792" t="str">
        <f>IF(TRIM(Input!B1792&amp;"")="","",UPPER(TRIM(Input!B1792&amp;"")))</f>
        <v/>
      </c>
      <c r="B1792" t="str">
        <f>IF(A1792="","",IFERROR(VALUE(RIGHT(TRIM(Input!D1792&amp;""),1)),0))</f>
        <v/>
      </c>
      <c r="C1792" t="str">
        <f t="shared" si="27"/>
        <v/>
      </c>
      <c r="D1792" t="str">
        <f>IF(A1792="","",IFERROR(VALUE(SUBSTITUTE(TRIM(Input!E1792&amp;""),"%","")),0)/IF(AND(IFERROR(VALUE(SUBSTITUTE(TRIM(Input!E1792&amp;""),"%","")),0)&gt;0,IFERROR(VALUE(SUBSTITUTE(TRIM(Input!E1792&amp;""),"%","")),0)&lt;1),1,100))</f>
        <v/>
      </c>
      <c r="E1792" t="str">
        <f>IF(A1792="","",IFERROR(VALUE(SUBSTITUTE(TRIM(Input!F1792&amp;""),"%","")),0)/IF(AND(IFERROR(VALUE(SUBSTITUTE(TRIM(Input!F1792&amp;""),"%","")),0)&gt;0,IFERROR(VALUE(SUBSTITUTE(TRIM(Input!F1792&amp;""),"%","")),0)&lt;1),1,100))</f>
        <v/>
      </c>
      <c r="F1792" t="str">
        <f>IF(A1792="","",IFERROR(VALUE(SUBSTITUTE(TRIM(Input!G1792&amp;""),"%","")),0)/IF(AND(IFERROR(VALUE(SUBSTITUTE(TRIM(Input!G1792&amp;""),"%","")),0)&gt;0,IFERROR(VALUE(SUBSTITUTE(TRIM(Input!G1792&amp;""),"%","")),0)&lt;1),1,100))</f>
        <v/>
      </c>
      <c r="G1792" t="str">
        <f>IF(A1792="","",IFERROR(VALUE(SUBSTITUTE(TRIM(Input!H1792&amp;""),"%","")),0)/IF(AND(IFERROR(VALUE(SUBSTITUTE(TRIM(Input!H1792&amp;""),"%","")),0)&gt;0,IFERROR(VALUE(SUBSTITUTE(TRIM(Input!H1792&amp;""),"%","")),0)&lt;1),1,100))</f>
        <v/>
      </c>
      <c r="H1792" t="str">
        <f>IF(A1792="","",IFERROR(VALUE(SUBSTITUTE(TRIM(Input!I1792&amp;""),"%","")),0)/IF(AND(IFERROR(VALUE(SUBSTITUTE(TRIM(Input!I1792&amp;""),"%","")),0)&gt;0,IFERROR(VALUE(SUBSTITUTE(TRIM(Input!I1792&amp;""),"%","")),0)&lt;1),1,100))</f>
        <v/>
      </c>
    </row>
    <row r="1793" spans="1:8">
      <c r="A1793" t="str">
        <f>IF(TRIM(Input!B1793&amp;"")="","",UPPER(TRIM(Input!B1793&amp;"")))</f>
        <v/>
      </c>
      <c r="B1793" t="str">
        <f>IF(A1793="","",IFERROR(VALUE(RIGHT(TRIM(Input!D1793&amp;""),1)),0))</f>
        <v/>
      </c>
      <c r="C1793" t="str">
        <f t="shared" si="27"/>
        <v/>
      </c>
      <c r="D1793" t="str">
        <f>IF(A1793="","",IFERROR(VALUE(SUBSTITUTE(TRIM(Input!E1793&amp;""),"%","")),0)/IF(AND(IFERROR(VALUE(SUBSTITUTE(TRIM(Input!E1793&amp;""),"%","")),0)&gt;0,IFERROR(VALUE(SUBSTITUTE(TRIM(Input!E1793&amp;""),"%","")),0)&lt;1),1,100))</f>
        <v/>
      </c>
      <c r="E1793" t="str">
        <f>IF(A1793="","",IFERROR(VALUE(SUBSTITUTE(TRIM(Input!F1793&amp;""),"%","")),0)/IF(AND(IFERROR(VALUE(SUBSTITUTE(TRIM(Input!F1793&amp;""),"%","")),0)&gt;0,IFERROR(VALUE(SUBSTITUTE(TRIM(Input!F1793&amp;""),"%","")),0)&lt;1),1,100))</f>
        <v/>
      </c>
      <c r="F1793" t="str">
        <f>IF(A1793="","",IFERROR(VALUE(SUBSTITUTE(TRIM(Input!G1793&amp;""),"%","")),0)/IF(AND(IFERROR(VALUE(SUBSTITUTE(TRIM(Input!G1793&amp;""),"%","")),0)&gt;0,IFERROR(VALUE(SUBSTITUTE(TRIM(Input!G1793&amp;""),"%","")),0)&lt;1),1,100))</f>
        <v/>
      </c>
      <c r="G1793" t="str">
        <f>IF(A1793="","",IFERROR(VALUE(SUBSTITUTE(TRIM(Input!H1793&amp;""),"%","")),0)/IF(AND(IFERROR(VALUE(SUBSTITUTE(TRIM(Input!H1793&amp;""),"%","")),0)&gt;0,IFERROR(VALUE(SUBSTITUTE(TRIM(Input!H1793&amp;""),"%","")),0)&lt;1),1,100))</f>
        <v/>
      </c>
      <c r="H1793" t="str">
        <f>IF(A1793="","",IFERROR(VALUE(SUBSTITUTE(TRIM(Input!I1793&amp;""),"%","")),0)/IF(AND(IFERROR(VALUE(SUBSTITUTE(TRIM(Input!I1793&amp;""),"%","")),0)&gt;0,IFERROR(VALUE(SUBSTITUTE(TRIM(Input!I1793&amp;""),"%","")),0)&lt;1),1,100))</f>
        <v/>
      </c>
    </row>
    <row r="1794" spans="1:8">
      <c r="A1794" t="str">
        <f>IF(TRIM(Input!B1794&amp;"")="","",UPPER(TRIM(Input!B1794&amp;"")))</f>
        <v/>
      </c>
      <c r="B1794" t="str">
        <f>IF(A1794="","",IFERROR(VALUE(RIGHT(TRIM(Input!D1794&amp;""),1)),0))</f>
        <v/>
      </c>
      <c r="C1794" t="str">
        <f t="shared" ref="C1794:C1857" si="28">IF(A1794="","",A1794&amp;"|"&amp;B1794)</f>
        <v/>
      </c>
      <c r="D1794" t="str">
        <f>IF(A1794="","",IFERROR(VALUE(SUBSTITUTE(TRIM(Input!E1794&amp;""),"%","")),0)/IF(AND(IFERROR(VALUE(SUBSTITUTE(TRIM(Input!E1794&amp;""),"%","")),0)&gt;0,IFERROR(VALUE(SUBSTITUTE(TRIM(Input!E1794&amp;""),"%","")),0)&lt;1),1,100))</f>
        <v/>
      </c>
      <c r="E1794" t="str">
        <f>IF(A1794="","",IFERROR(VALUE(SUBSTITUTE(TRIM(Input!F1794&amp;""),"%","")),0)/IF(AND(IFERROR(VALUE(SUBSTITUTE(TRIM(Input!F1794&amp;""),"%","")),0)&gt;0,IFERROR(VALUE(SUBSTITUTE(TRIM(Input!F1794&amp;""),"%","")),0)&lt;1),1,100))</f>
        <v/>
      </c>
      <c r="F1794" t="str">
        <f>IF(A1794="","",IFERROR(VALUE(SUBSTITUTE(TRIM(Input!G1794&amp;""),"%","")),0)/IF(AND(IFERROR(VALUE(SUBSTITUTE(TRIM(Input!G1794&amp;""),"%","")),0)&gt;0,IFERROR(VALUE(SUBSTITUTE(TRIM(Input!G1794&amp;""),"%","")),0)&lt;1),1,100))</f>
        <v/>
      </c>
      <c r="G1794" t="str">
        <f>IF(A1794="","",IFERROR(VALUE(SUBSTITUTE(TRIM(Input!H1794&amp;""),"%","")),0)/IF(AND(IFERROR(VALUE(SUBSTITUTE(TRIM(Input!H1794&amp;""),"%","")),0)&gt;0,IFERROR(VALUE(SUBSTITUTE(TRIM(Input!H1794&amp;""),"%","")),0)&lt;1),1,100))</f>
        <v/>
      </c>
      <c r="H1794" t="str">
        <f>IF(A1794="","",IFERROR(VALUE(SUBSTITUTE(TRIM(Input!I1794&amp;""),"%","")),0)/IF(AND(IFERROR(VALUE(SUBSTITUTE(TRIM(Input!I1794&amp;""),"%","")),0)&gt;0,IFERROR(VALUE(SUBSTITUTE(TRIM(Input!I1794&amp;""),"%","")),0)&lt;1),1,100))</f>
        <v/>
      </c>
    </row>
    <row r="1795" spans="1:8">
      <c r="A1795" t="str">
        <f>IF(TRIM(Input!B1795&amp;"")="","",UPPER(TRIM(Input!B1795&amp;"")))</f>
        <v/>
      </c>
      <c r="B1795" t="str">
        <f>IF(A1795="","",IFERROR(VALUE(RIGHT(TRIM(Input!D1795&amp;""),1)),0))</f>
        <v/>
      </c>
      <c r="C1795" t="str">
        <f t="shared" si="28"/>
        <v/>
      </c>
      <c r="D1795" t="str">
        <f>IF(A1795="","",IFERROR(VALUE(SUBSTITUTE(TRIM(Input!E1795&amp;""),"%","")),0)/IF(AND(IFERROR(VALUE(SUBSTITUTE(TRIM(Input!E1795&amp;""),"%","")),0)&gt;0,IFERROR(VALUE(SUBSTITUTE(TRIM(Input!E1795&amp;""),"%","")),0)&lt;1),1,100))</f>
        <v/>
      </c>
      <c r="E1795" t="str">
        <f>IF(A1795="","",IFERROR(VALUE(SUBSTITUTE(TRIM(Input!F1795&amp;""),"%","")),0)/IF(AND(IFERROR(VALUE(SUBSTITUTE(TRIM(Input!F1795&amp;""),"%","")),0)&gt;0,IFERROR(VALUE(SUBSTITUTE(TRIM(Input!F1795&amp;""),"%","")),0)&lt;1),1,100))</f>
        <v/>
      </c>
      <c r="F1795" t="str">
        <f>IF(A1795="","",IFERROR(VALUE(SUBSTITUTE(TRIM(Input!G1795&amp;""),"%","")),0)/IF(AND(IFERROR(VALUE(SUBSTITUTE(TRIM(Input!G1795&amp;""),"%","")),0)&gt;0,IFERROR(VALUE(SUBSTITUTE(TRIM(Input!G1795&amp;""),"%","")),0)&lt;1),1,100))</f>
        <v/>
      </c>
      <c r="G1795" t="str">
        <f>IF(A1795="","",IFERROR(VALUE(SUBSTITUTE(TRIM(Input!H1795&amp;""),"%","")),0)/IF(AND(IFERROR(VALUE(SUBSTITUTE(TRIM(Input!H1795&amp;""),"%","")),0)&gt;0,IFERROR(VALUE(SUBSTITUTE(TRIM(Input!H1795&amp;""),"%","")),0)&lt;1),1,100))</f>
        <v/>
      </c>
      <c r="H1795" t="str">
        <f>IF(A1795="","",IFERROR(VALUE(SUBSTITUTE(TRIM(Input!I1795&amp;""),"%","")),0)/IF(AND(IFERROR(VALUE(SUBSTITUTE(TRIM(Input!I1795&amp;""),"%","")),0)&gt;0,IFERROR(VALUE(SUBSTITUTE(TRIM(Input!I1795&amp;""),"%","")),0)&lt;1),1,100))</f>
        <v/>
      </c>
    </row>
    <row r="1796" spans="1:8">
      <c r="A1796" t="str">
        <f>IF(TRIM(Input!B1796&amp;"")="","",UPPER(TRIM(Input!B1796&amp;"")))</f>
        <v/>
      </c>
      <c r="B1796" t="str">
        <f>IF(A1796="","",IFERROR(VALUE(RIGHT(TRIM(Input!D1796&amp;""),1)),0))</f>
        <v/>
      </c>
      <c r="C1796" t="str">
        <f t="shared" si="28"/>
        <v/>
      </c>
      <c r="D1796" t="str">
        <f>IF(A1796="","",IFERROR(VALUE(SUBSTITUTE(TRIM(Input!E1796&amp;""),"%","")),0)/IF(AND(IFERROR(VALUE(SUBSTITUTE(TRIM(Input!E1796&amp;""),"%","")),0)&gt;0,IFERROR(VALUE(SUBSTITUTE(TRIM(Input!E1796&amp;""),"%","")),0)&lt;1),1,100))</f>
        <v/>
      </c>
      <c r="E1796" t="str">
        <f>IF(A1796="","",IFERROR(VALUE(SUBSTITUTE(TRIM(Input!F1796&amp;""),"%","")),0)/IF(AND(IFERROR(VALUE(SUBSTITUTE(TRIM(Input!F1796&amp;""),"%","")),0)&gt;0,IFERROR(VALUE(SUBSTITUTE(TRIM(Input!F1796&amp;""),"%","")),0)&lt;1),1,100))</f>
        <v/>
      </c>
      <c r="F1796" t="str">
        <f>IF(A1796="","",IFERROR(VALUE(SUBSTITUTE(TRIM(Input!G1796&amp;""),"%","")),0)/IF(AND(IFERROR(VALUE(SUBSTITUTE(TRIM(Input!G1796&amp;""),"%","")),0)&gt;0,IFERROR(VALUE(SUBSTITUTE(TRIM(Input!G1796&amp;""),"%","")),0)&lt;1),1,100))</f>
        <v/>
      </c>
      <c r="G1796" t="str">
        <f>IF(A1796="","",IFERROR(VALUE(SUBSTITUTE(TRIM(Input!H1796&amp;""),"%","")),0)/IF(AND(IFERROR(VALUE(SUBSTITUTE(TRIM(Input!H1796&amp;""),"%","")),0)&gt;0,IFERROR(VALUE(SUBSTITUTE(TRIM(Input!H1796&amp;""),"%","")),0)&lt;1),1,100))</f>
        <v/>
      </c>
      <c r="H1796" t="str">
        <f>IF(A1796="","",IFERROR(VALUE(SUBSTITUTE(TRIM(Input!I1796&amp;""),"%","")),0)/IF(AND(IFERROR(VALUE(SUBSTITUTE(TRIM(Input!I1796&amp;""),"%","")),0)&gt;0,IFERROR(VALUE(SUBSTITUTE(TRIM(Input!I1796&amp;""),"%","")),0)&lt;1),1,100))</f>
        <v/>
      </c>
    </row>
    <row r="1797" spans="1:8">
      <c r="A1797" t="str">
        <f>IF(TRIM(Input!B1797&amp;"")="","",UPPER(TRIM(Input!B1797&amp;"")))</f>
        <v/>
      </c>
      <c r="B1797" t="str">
        <f>IF(A1797="","",IFERROR(VALUE(RIGHT(TRIM(Input!D1797&amp;""),1)),0))</f>
        <v/>
      </c>
      <c r="C1797" t="str">
        <f t="shared" si="28"/>
        <v/>
      </c>
      <c r="D1797" t="str">
        <f>IF(A1797="","",IFERROR(VALUE(SUBSTITUTE(TRIM(Input!E1797&amp;""),"%","")),0)/IF(AND(IFERROR(VALUE(SUBSTITUTE(TRIM(Input!E1797&amp;""),"%","")),0)&gt;0,IFERROR(VALUE(SUBSTITUTE(TRIM(Input!E1797&amp;""),"%","")),0)&lt;1),1,100))</f>
        <v/>
      </c>
      <c r="E1797" t="str">
        <f>IF(A1797="","",IFERROR(VALUE(SUBSTITUTE(TRIM(Input!F1797&amp;""),"%","")),0)/IF(AND(IFERROR(VALUE(SUBSTITUTE(TRIM(Input!F1797&amp;""),"%","")),0)&gt;0,IFERROR(VALUE(SUBSTITUTE(TRIM(Input!F1797&amp;""),"%","")),0)&lt;1),1,100))</f>
        <v/>
      </c>
      <c r="F1797" t="str">
        <f>IF(A1797="","",IFERROR(VALUE(SUBSTITUTE(TRIM(Input!G1797&amp;""),"%","")),0)/IF(AND(IFERROR(VALUE(SUBSTITUTE(TRIM(Input!G1797&amp;""),"%","")),0)&gt;0,IFERROR(VALUE(SUBSTITUTE(TRIM(Input!G1797&amp;""),"%","")),0)&lt;1),1,100))</f>
        <v/>
      </c>
      <c r="G1797" t="str">
        <f>IF(A1797="","",IFERROR(VALUE(SUBSTITUTE(TRIM(Input!H1797&amp;""),"%","")),0)/IF(AND(IFERROR(VALUE(SUBSTITUTE(TRIM(Input!H1797&amp;""),"%","")),0)&gt;0,IFERROR(VALUE(SUBSTITUTE(TRIM(Input!H1797&amp;""),"%","")),0)&lt;1),1,100))</f>
        <v/>
      </c>
      <c r="H1797" t="str">
        <f>IF(A1797="","",IFERROR(VALUE(SUBSTITUTE(TRIM(Input!I1797&amp;""),"%","")),0)/IF(AND(IFERROR(VALUE(SUBSTITUTE(TRIM(Input!I1797&amp;""),"%","")),0)&gt;0,IFERROR(VALUE(SUBSTITUTE(TRIM(Input!I1797&amp;""),"%","")),0)&lt;1),1,100))</f>
        <v/>
      </c>
    </row>
    <row r="1798" spans="1:8">
      <c r="A1798" t="str">
        <f>IF(TRIM(Input!B1798&amp;"")="","",UPPER(TRIM(Input!B1798&amp;"")))</f>
        <v/>
      </c>
      <c r="B1798" t="str">
        <f>IF(A1798="","",IFERROR(VALUE(RIGHT(TRIM(Input!D1798&amp;""),1)),0))</f>
        <v/>
      </c>
      <c r="C1798" t="str">
        <f t="shared" si="28"/>
        <v/>
      </c>
      <c r="D1798" t="str">
        <f>IF(A1798="","",IFERROR(VALUE(SUBSTITUTE(TRIM(Input!E1798&amp;""),"%","")),0)/IF(AND(IFERROR(VALUE(SUBSTITUTE(TRIM(Input!E1798&amp;""),"%","")),0)&gt;0,IFERROR(VALUE(SUBSTITUTE(TRIM(Input!E1798&amp;""),"%","")),0)&lt;1),1,100))</f>
        <v/>
      </c>
      <c r="E1798" t="str">
        <f>IF(A1798="","",IFERROR(VALUE(SUBSTITUTE(TRIM(Input!F1798&amp;""),"%","")),0)/IF(AND(IFERROR(VALUE(SUBSTITUTE(TRIM(Input!F1798&amp;""),"%","")),0)&gt;0,IFERROR(VALUE(SUBSTITUTE(TRIM(Input!F1798&amp;""),"%","")),0)&lt;1),1,100))</f>
        <v/>
      </c>
      <c r="F1798" t="str">
        <f>IF(A1798="","",IFERROR(VALUE(SUBSTITUTE(TRIM(Input!G1798&amp;""),"%","")),0)/IF(AND(IFERROR(VALUE(SUBSTITUTE(TRIM(Input!G1798&amp;""),"%","")),0)&gt;0,IFERROR(VALUE(SUBSTITUTE(TRIM(Input!G1798&amp;""),"%","")),0)&lt;1),1,100))</f>
        <v/>
      </c>
      <c r="G1798" t="str">
        <f>IF(A1798="","",IFERROR(VALUE(SUBSTITUTE(TRIM(Input!H1798&amp;""),"%","")),0)/IF(AND(IFERROR(VALUE(SUBSTITUTE(TRIM(Input!H1798&amp;""),"%","")),0)&gt;0,IFERROR(VALUE(SUBSTITUTE(TRIM(Input!H1798&amp;""),"%","")),0)&lt;1),1,100))</f>
        <v/>
      </c>
      <c r="H1798" t="str">
        <f>IF(A1798="","",IFERROR(VALUE(SUBSTITUTE(TRIM(Input!I1798&amp;""),"%","")),0)/IF(AND(IFERROR(VALUE(SUBSTITUTE(TRIM(Input!I1798&amp;""),"%","")),0)&gt;0,IFERROR(VALUE(SUBSTITUTE(TRIM(Input!I1798&amp;""),"%","")),0)&lt;1),1,100))</f>
        <v/>
      </c>
    </row>
    <row r="1799" spans="1:8">
      <c r="A1799" t="str">
        <f>IF(TRIM(Input!B1799&amp;"")="","",UPPER(TRIM(Input!B1799&amp;"")))</f>
        <v/>
      </c>
      <c r="B1799" t="str">
        <f>IF(A1799="","",IFERROR(VALUE(RIGHT(TRIM(Input!D1799&amp;""),1)),0))</f>
        <v/>
      </c>
      <c r="C1799" t="str">
        <f t="shared" si="28"/>
        <v/>
      </c>
      <c r="D1799" t="str">
        <f>IF(A1799="","",IFERROR(VALUE(SUBSTITUTE(TRIM(Input!E1799&amp;""),"%","")),0)/IF(AND(IFERROR(VALUE(SUBSTITUTE(TRIM(Input!E1799&amp;""),"%","")),0)&gt;0,IFERROR(VALUE(SUBSTITUTE(TRIM(Input!E1799&amp;""),"%","")),0)&lt;1),1,100))</f>
        <v/>
      </c>
      <c r="E1799" t="str">
        <f>IF(A1799="","",IFERROR(VALUE(SUBSTITUTE(TRIM(Input!F1799&amp;""),"%","")),0)/IF(AND(IFERROR(VALUE(SUBSTITUTE(TRIM(Input!F1799&amp;""),"%","")),0)&gt;0,IFERROR(VALUE(SUBSTITUTE(TRIM(Input!F1799&amp;""),"%","")),0)&lt;1),1,100))</f>
        <v/>
      </c>
      <c r="F1799" t="str">
        <f>IF(A1799="","",IFERROR(VALUE(SUBSTITUTE(TRIM(Input!G1799&amp;""),"%","")),0)/IF(AND(IFERROR(VALUE(SUBSTITUTE(TRIM(Input!G1799&amp;""),"%","")),0)&gt;0,IFERROR(VALUE(SUBSTITUTE(TRIM(Input!G1799&amp;""),"%","")),0)&lt;1),1,100))</f>
        <v/>
      </c>
      <c r="G1799" t="str">
        <f>IF(A1799="","",IFERROR(VALUE(SUBSTITUTE(TRIM(Input!H1799&amp;""),"%","")),0)/IF(AND(IFERROR(VALUE(SUBSTITUTE(TRIM(Input!H1799&amp;""),"%","")),0)&gt;0,IFERROR(VALUE(SUBSTITUTE(TRIM(Input!H1799&amp;""),"%","")),0)&lt;1),1,100))</f>
        <v/>
      </c>
      <c r="H1799" t="str">
        <f>IF(A1799="","",IFERROR(VALUE(SUBSTITUTE(TRIM(Input!I1799&amp;""),"%","")),0)/IF(AND(IFERROR(VALUE(SUBSTITUTE(TRIM(Input!I1799&amp;""),"%","")),0)&gt;0,IFERROR(VALUE(SUBSTITUTE(TRIM(Input!I1799&amp;""),"%","")),0)&lt;1),1,100))</f>
        <v/>
      </c>
    </row>
    <row r="1800" spans="1:8">
      <c r="A1800" t="str">
        <f>IF(TRIM(Input!B1800&amp;"")="","",UPPER(TRIM(Input!B1800&amp;"")))</f>
        <v/>
      </c>
      <c r="B1800" t="str">
        <f>IF(A1800="","",IFERROR(VALUE(RIGHT(TRIM(Input!D1800&amp;""),1)),0))</f>
        <v/>
      </c>
      <c r="C1800" t="str">
        <f t="shared" si="28"/>
        <v/>
      </c>
      <c r="D1800" t="str">
        <f>IF(A1800="","",IFERROR(VALUE(SUBSTITUTE(TRIM(Input!E1800&amp;""),"%","")),0)/IF(AND(IFERROR(VALUE(SUBSTITUTE(TRIM(Input!E1800&amp;""),"%","")),0)&gt;0,IFERROR(VALUE(SUBSTITUTE(TRIM(Input!E1800&amp;""),"%","")),0)&lt;1),1,100))</f>
        <v/>
      </c>
      <c r="E1800" t="str">
        <f>IF(A1800="","",IFERROR(VALUE(SUBSTITUTE(TRIM(Input!F1800&amp;""),"%","")),0)/IF(AND(IFERROR(VALUE(SUBSTITUTE(TRIM(Input!F1800&amp;""),"%","")),0)&gt;0,IFERROR(VALUE(SUBSTITUTE(TRIM(Input!F1800&amp;""),"%","")),0)&lt;1),1,100))</f>
        <v/>
      </c>
      <c r="F1800" t="str">
        <f>IF(A1800="","",IFERROR(VALUE(SUBSTITUTE(TRIM(Input!G1800&amp;""),"%","")),0)/IF(AND(IFERROR(VALUE(SUBSTITUTE(TRIM(Input!G1800&amp;""),"%","")),0)&gt;0,IFERROR(VALUE(SUBSTITUTE(TRIM(Input!G1800&amp;""),"%","")),0)&lt;1),1,100))</f>
        <v/>
      </c>
      <c r="G1800" t="str">
        <f>IF(A1800="","",IFERROR(VALUE(SUBSTITUTE(TRIM(Input!H1800&amp;""),"%","")),0)/IF(AND(IFERROR(VALUE(SUBSTITUTE(TRIM(Input!H1800&amp;""),"%","")),0)&gt;0,IFERROR(VALUE(SUBSTITUTE(TRIM(Input!H1800&amp;""),"%","")),0)&lt;1),1,100))</f>
        <v/>
      </c>
      <c r="H1800" t="str">
        <f>IF(A1800="","",IFERROR(VALUE(SUBSTITUTE(TRIM(Input!I1800&amp;""),"%","")),0)/IF(AND(IFERROR(VALUE(SUBSTITUTE(TRIM(Input!I1800&amp;""),"%","")),0)&gt;0,IFERROR(VALUE(SUBSTITUTE(TRIM(Input!I1800&amp;""),"%","")),0)&lt;1),1,100))</f>
        <v/>
      </c>
    </row>
    <row r="1801" spans="1:8">
      <c r="A1801" t="str">
        <f>IF(TRIM(Input!B1801&amp;"")="","",UPPER(TRIM(Input!B1801&amp;"")))</f>
        <v/>
      </c>
      <c r="B1801" t="str">
        <f>IF(A1801="","",IFERROR(VALUE(RIGHT(TRIM(Input!D1801&amp;""),1)),0))</f>
        <v/>
      </c>
      <c r="C1801" t="str">
        <f t="shared" si="28"/>
        <v/>
      </c>
      <c r="D1801" t="str">
        <f>IF(A1801="","",IFERROR(VALUE(SUBSTITUTE(TRIM(Input!E1801&amp;""),"%","")),0)/IF(AND(IFERROR(VALUE(SUBSTITUTE(TRIM(Input!E1801&amp;""),"%","")),0)&gt;0,IFERROR(VALUE(SUBSTITUTE(TRIM(Input!E1801&amp;""),"%","")),0)&lt;1),1,100))</f>
        <v/>
      </c>
      <c r="E1801" t="str">
        <f>IF(A1801="","",IFERROR(VALUE(SUBSTITUTE(TRIM(Input!F1801&amp;""),"%","")),0)/IF(AND(IFERROR(VALUE(SUBSTITUTE(TRIM(Input!F1801&amp;""),"%","")),0)&gt;0,IFERROR(VALUE(SUBSTITUTE(TRIM(Input!F1801&amp;""),"%","")),0)&lt;1),1,100))</f>
        <v/>
      </c>
      <c r="F1801" t="str">
        <f>IF(A1801="","",IFERROR(VALUE(SUBSTITUTE(TRIM(Input!G1801&amp;""),"%","")),0)/IF(AND(IFERROR(VALUE(SUBSTITUTE(TRIM(Input!G1801&amp;""),"%","")),0)&gt;0,IFERROR(VALUE(SUBSTITUTE(TRIM(Input!G1801&amp;""),"%","")),0)&lt;1),1,100))</f>
        <v/>
      </c>
      <c r="G1801" t="str">
        <f>IF(A1801="","",IFERROR(VALUE(SUBSTITUTE(TRIM(Input!H1801&amp;""),"%","")),0)/IF(AND(IFERROR(VALUE(SUBSTITUTE(TRIM(Input!H1801&amp;""),"%","")),0)&gt;0,IFERROR(VALUE(SUBSTITUTE(TRIM(Input!H1801&amp;""),"%","")),0)&lt;1),1,100))</f>
        <v/>
      </c>
      <c r="H1801" t="str">
        <f>IF(A1801="","",IFERROR(VALUE(SUBSTITUTE(TRIM(Input!I1801&amp;""),"%","")),0)/IF(AND(IFERROR(VALUE(SUBSTITUTE(TRIM(Input!I1801&amp;""),"%","")),0)&gt;0,IFERROR(VALUE(SUBSTITUTE(TRIM(Input!I1801&amp;""),"%","")),0)&lt;1),1,100))</f>
        <v/>
      </c>
    </row>
    <row r="1802" spans="1:8">
      <c r="A1802" t="str">
        <f>IF(TRIM(Input!B1802&amp;"")="","",UPPER(TRIM(Input!B1802&amp;"")))</f>
        <v/>
      </c>
      <c r="B1802" t="str">
        <f>IF(A1802="","",IFERROR(VALUE(RIGHT(TRIM(Input!D1802&amp;""),1)),0))</f>
        <v/>
      </c>
      <c r="C1802" t="str">
        <f t="shared" si="28"/>
        <v/>
      </c>
      <c r="D1802" t="str">
        <f>IF(A1802="","",IFERROR(VALUE(SUBSTITUTE(TRIM(Input!E1802&amp;""),"%","")),0)/IF(AND(IFERROR(VALUE(SUBSTITUTE(TRIM(Input!E1802&amp;""),"%","")),0)&gt;0,IFERROR(VALUE(SUBSTITUTE(TRIM(Input!E1802&amp;""),"%","")),0)&lt;1),1,100))</f>
        <v/>
      </c>
      <c r="E1802" t="str">
        <f>IF(A1802="","",IFERROR(VALUE(SUBSTITUTE(TRIM(Input!F1802&amp;""),"%","")),0)/IF(AND(IFERROR(VALUE(SUBSTITUTE(TRIM(Input!F1802&amp;""),"%","")),0)&gt;0,IFERROR(VALUE(SUBSTITUTE(TRIM(Input!F1802&amp;""),"%","")),0)&lt;1),1,100))</f>
        <v/>
      </c>
      <c r="F1802" t="str">
        <f>IF(A1802="","",IFERROR(VALUE(SUBSTITUTE(TRIM(Input!G1802&amp;""),"%","")),0)/IF(AND(IFERROR(VALUE(SUBSTITUTE(TRIM(Input!G1802&amp;""),"%","")),0)&gt;0,IFERROR(VALUE(SUBSTITUTE(TRIM(Input!G1802&amp;""),"%","")),0)&lt;1),1,100))</f>
        <v/>
      </c>
      <c r="G1802" t="str">
        <f>IF(A1802="","",IFERROR(VALUE(SUBSTITUTE(TRIM(Input!H1802&amp;""),"%","")),0)/IF(AND(IFERROR(VALUE(SUBSTITUTE(TRIM(Input!H1802&amp;""),"%","")),0)&gt;0,IFERROR(VALUE(SUBSTITUTE(TRIM(Input!H1802&amp;""),"%","")),0)&lt;1),1,100))</f>
        <v/>
      </c>
      <c r="H1802" t="str">
        <f>IF(A1802="","",IFERROR(VALUE(SUBSTITUTE(TRIM(Input!I1802&amp;""),"%","")),0)/IF(AND(IFERROR(VALUE(SUBSTITUTE(TRIM(Input!I1802&amp;""),"%","")),0)&gt;0,IFERROR(VALUE(SUBSTITUTE(TRIM(Input!I1802&amp;""),"%","")),0)&lt;1),1,100))</f>
        <v/>
      </c>
    </row>
    <row r="1803" spans="1:8">
      <c r="A1803" t="str">
        <f>IF(TRIM(Input!B1803&amp;"")="","",UPPER(TRIM(Input!B1803&amp;"")))</f>
        <v/>
      </c>
      <c r="B1803" t="str">
        <f>IF(A1803="","",IFERROR(VALUE(RIGHT(TRIM(Input!D1803&amp;""),1)),0))</f>
        <v/>
      </c>
      <c r="C1803" t="str">
        <f t="shared" si="28"/>
        <v/>
      </c>
      <c r="D1803" t="str">
        <f>IF(A1803="","",IFERROR(VALUE(SUBSTITUTE(TRIM(Input!E1803&amp;""),"%","")),0)/IF(AND(IFERROR(VALUE(SUBSTITUTE(TRIM(Input!E1803&amp;""),"%","")),0)&gt;0,IFERROR(VALUE(SUBSTITUTE(TRIM(Input!E1803&amp;""),"%","")),0)&lt;1),1,100))</f>
        <v/>
      </c>
      <c r="E1803" t="str">
        <f>IF(A1803="","",IFERROR(VALUE(SUBSTITUTE(TRIM(Input!F1803&amp;""),"%","")),0)/IF(AND(IFERROR(VALUE(SUBSTITUTE(TRIM(Input!F1803&amp;""),"%","")),0)&gt;0,IFERROR(VALUE(SUBSTITUTE(TRIM(Input!F1803&amp;""),"%","")),0)&lt;1),1,100))</f>
        <v/>
      </c>
      <c r="F1803" t="str">
        <f>IF(A1803="","",IFERROR(VALUE(SUBSTITUTE(TRIM(Input!G1803&amp;""),"%","")),0)/IF(AND(IFERROR(VALUE(SUBSTITUTE(TRIM(Input!G1803&amp;""),"%","")),0)&gt;0,IFERROR(VALUE(SUBSTITUTE(TRIM(Input!G1803&amp;""),"%","")),0)&lt;1),1,100))</f>
        <v/>
      </c>
      <c r="G1803" t="str">
        <f>IF(A1803="","",IFERROR(VALUE(SUBSTITUTE(TRIM(Input!H1803&amp;""),"%","")),0)/IF(AND(IFERROR(VALUE(SUBSTITUTE(TRIM(Input!H1803&amp;""),"%","")),0)&gt;0,IFERROR(VALUE(SUBSTITUTE(TRIM(Input!H1803&amp;""),"%","")),0)&lt;1),1,100))</f>
        <v/>
      </c>
      <c r="H1803" t="str">
        <f>IF(A1803="","",IFERROR(VALUE(SUBSTITUTE(TRIM(Input!I1803&amp;""),"%","")),0)/IF(AND(IFERROR(VALUE(SUBSTITUTE(TRIM(Input!I1803&amp;""),"%","")),0)&gt;0,IFERROR(VALUE(SUBSTITUTE(TRIM(Input!I1803&amp;""),"%","")),0)&lt;1),1,100))</f>
        <v/>
      </c>
    </row>
    <row r="1804" spans="1:8">
      <c r="A1804" t="str">
        <f>IF(TRIM(Input!B1804&amp;"")="","",UPPER(TRIM(Input!B1804&amp;"")))</f>
        <v/>
      </c>
      <c r="B1804" t="str">
        <f>IF(A1804="","",IFERROR(VALUE(RIGHT(TRIM(Input!D1804&amp;""),1)),0))</f>
        <v/>
      </c>
      <c r="C1804" t="str">
        <f t="shared" si="28"/>
        <v/>
      </c>
      <c r="D1804" t="str">
        <f>IF(A1804="","",IFERROR(VALUE(SUBSTITUTE(TRIM(Input!E1804&amp;""),"%","")),0)/IF(AND(IFERROR(VALUE(SUBSTITUTE(TRIM(Input!E1804&amp;""),"%","")),0)&gt;0,IFERROR(VALUE(SUBSTITUTE(TRIM(Input!E1804&amp;""),"%","")),0)&lt;1),1,100))</f>
        <v/>
      </c>
      <c r="E1804" t="str">
        <f>IF(A1804="","",IFERROR(VALUE(SUBSTITUTE(TRIM(Input!F1804&amp;""),"%","")),0)/IF(AND(IFERROR(VALUE(SUBSTITUTE(TRIM(Input!F1804&amp;""),"%","")),0)&gt;0,IFERROR(VALUE(SUBSTITUTE(TRIM(Input!F1804&amp;""),"%","")),0)&lt;1),1,100))</f>
        <v/>
      </c>
      <c r="F1804" t="str">
        <f>IF(A1804="","",IFERROR(VALUE(SUBSTITUTE(TRIM(Input!G1804&amp;""),"%","")),0)/IF(AND(IFERROR(VALUE(SUBSTITUTE(TRIM(Input!G1804&amp;""),"%","")),0)&gt;0,IFERROR(VALUE(SUBSTITUTE(TRIM(Input!G1804&amp;""),"%","")),0)&lt;1),1,100))</f>
        <v/>
      </c>
      <c r="G1804" t="str">
        <f>IF(A1804="","",IFERROR(VALUE(SUBSTITUTE(TRIM(Input!H1804&amp;""),"%","")),0)/IF(AND(IFERROR(VALUE(SUBSTITUTE(TRIM(Input!H1804&amp;""),"%","")),0)&gt;0,IFERROR(VALUE(SUBSTITUTE(TRIM(Input!H1804&amp;""),"%","")),0)&lt;1),1,100))</f>
        <v/>
      </c>
      <c r="H1804" t="str">
        <f>IF(A1804="","",IFERROR(VALUE(SUBSTITUTE(TRIM(Input!I1804&amp;""),"%","")),0)/IF(AND(IFERROR(VALUE(SUBSTITUTE(TRIM(Input!I1804&amp;""),"%","")),0)&gt;0,IFERROR(VALUE(SUBSTITUTE(TRIM(Input!I1804&amp;""),"%","")),0)&lt;1),1,100))</f>
        <v/>
      </c>
    </row>
    <row r="1805" spans="1:8">
      <c r="A1805" t="str">
        <f>IF(TRIM(Input!B1805&amp;"")="","",UPPER(TRIM(Input!B1805&amp;"")))</f>
        <v/>
      </c>
      <c r="B1805" t="str">
        <f>IF(A1805="","",IFERROR(VALUE(RIGHT(TRIM(Input!D1805&amp;""),1)),0))</f>
        <v/>
      </c>
      <c r="C1805" t="str">
        <f t="shared" si="28"/>
        <v/>
      </c>
      <c r="D1805" t="str">
        <f>IF(A1805="","",IFERROR(VALUE(SUBSTITUTE(TRIM(Input!E1805&amp;""),"%","")),0)/IF(AND(IFERROR(VALUE(SUBSTITUTE(TRIM(Input!E1805&amp;""),"%","")),0)&gt;0,IFERROR(VALUE(SUBSTITUTE(TRIM(Input!E1805&amp;""),"%","")),0)&lt;1),1,100))</f>
        <v/>
      </c>
      <c r="E1805" t="str">
        <f>IF(A1805="","",IFERROR(VALUE(SUBSTITUTE(TRIM(Input!F1805&amp;""),"%","")),0)/IF(AND(IFERROR(VALUE(SUBSTITUTE(TRIM(Input!F1805&amp;""),"%","")),0)&gt;0,IFERROR(VALUE(SUBSTITUTE(TRIM(Input!F1805&amp;""),"%","")),0)&lt;1),1,100))</f>
        <v/>
      </c>
      <c r="F1805" t="str">
        <f>IF(A1805="","",IFERROR(VALUE(SUBSTITUTE(TRIM(Input!G1805&amp;""),"%","")),0)/IF(AND(IFERROR(VALUE(SUBSTITUTE(TRIM(Input!G1805&amp;""),"%","")),0)&gt;0,IFERROR(VALUE(SUBSTITUTE(TRIM(Input!G1805&amp;""),"%","")),0)&lt;1),1,100))</f>
        <v/>
      </c>
      <c r="G1805" t="str">
        <f>IF(A1805="","",IFERROR(VALUE(SUBSTITUTE(TRIM(Input!H1805&amp;""),"%","")),0)/IF(AND(IFERROR(VALUE(SUBSTITUTE(TRIM(Input!H1805&amp;""),"%","")),0)&gt;0,IFERROR(VALUE(SUBSTITUTE(TRIM(Input!H1805&amp;""),"%","")),0)&lt;1),1,100))</f>
        <v/>
      </c>
      <c r="H1805" t="str">
        <f>IF(A1805="","",IFERROR(VALUE(SUBSTITUTE(TRIM(Input!I1805&amp;""),"%","")),0)/IF(AND(IFERROR(VALUE(SUBSTITUTE(TRIM(Input!I1805&amp;""),"%","")),0)&gt;0,IFERROR(VALUE(SUBSTITUTE(TRIM(Input!I1805&amp;""),"%","")),0)&lt;1),1,100))</f>
        <v/>
      </c>
    </row>
    <row r="1806" spans="1:8">
      <c r="A1806" t="str">
        <f>IF(TRIM(Input!B1806&amp;"")="","",UPPER(TRIM(Input!B1806&amp;"")))</f>
        <v/>
      </c>
      <c r="B1806" t="str">
        <f>IF(A1806="","",IFERROR(VALUE(RIGHT(TRIM(Input!D1806&amp;""),1)),0))</f>
        <v/>
      </c>
      <c r="C1806" t="str">
        <f t="shared" si="28"/>
        <v/>
      </c>
      <c r="D1806" t="str">
        <f>IF(A1806="","",IFERROR(VALUE(SUBSTITUTE(TRIM(Input!E1806&amp;""),"%","")),0)/IF(AND(IFERROR(VALUE(SUBSTITUTE(TRIM(Input!E1806&amp;""),"%","")),0)&gt;0,IFERROR(VALUE(SUBSTITUTE(TRIM(Input!E1806&amp;""),"%","")),0)&lt;1),1,100))</f>
        <v/>
      </c>
      <c r="E1806" t="str">
        <f>IF(A1806="","",IFERROR(VALUE(SUBSTITUTE(TRIM(Input!F1806&amp;""),"%","")),0)/IF(AND(IFERROR(VALUE(SUBSTITUTE(TRIM(Input!F1806&amp;""),"%","")),0)&gt;0,IFERROR(VALUE(SUBSTITUTE(TRIM(Input!F1806&amp;""),"%","")),0)&lt;1),1,100))</f>
        <v/>
      </c>
      <c r="F1806" t="str">
        <f>IF(A1806="","",IFERROR(VALUE(SUBSTITUTE(TRIM(Input!G1806&amp;""),"%","")),0)/IF(AND(IFERROR(VALUE(SUBSTITUTE(TRIM(Input!G1806&amp;""),"%","")),0)&gt;0,IFERROR(VALUE(SUBSTITUTE(TRIM(Input!G1806&amp;""),"%","")),0)&lt;1),1,100))</f>
        <v/>
      </c>
      <c r="G1806" t="str">
        <f>IF(A1806="","",IFERROR(VALUE(SUBSTITUTE(TRIM(Input!H1806&amp;""),"%","")),0)/IF(AND(IFERROR(VALUE(SUBSTITUTE(TRIM(Input!H1806&amp;""),"%","")),0)&gt;0,IFERROR(VALUE(SUBSTITUTE(TRIM(Input!H1806&amp;""),"%","")),0)&lt;1),1,100))</f>
        <v/>
      </c>
      <c r="H1806" t="str">
        <f>IF(A1806="","",IFERROR(VALUE(SUBSTITUTE(TRIM(Input!I1806&amp;""),"%","")),0)/IF(AND(IFERROR(VALUE(SUBSTITUTE(TRIM(Input!I1806&amp;""),"%","")),0)&gt;0,IFERROR(VALUE(SUBSTITUTE(TRIM(Input!I1806&amp;""),"%","")),0)&lt;1),1,100))</f>
        <v/>
      </c>
    </row>
    <row r="1807" spans="1:8">
      <c r="A1807" t="str">
        <f>IF(TRIM(Input!B1807&amp;"")="","",UPPER(TRIM(Input!B1807&amp;"")))</f>
        <v/>
      </c>
      <c r="B1807" t="str">
        <f>IF(A1807="","",IFERROR(VALUE(RIGHT(TRIM(Input!D1807&amp;""),1)),0))</f>
        <v/>
      </c>
      <c r="C1807" t="str">
        <f t="shared" si="28"/>
        <v/>
      </c>
      <c r="D1807" t="str">
        <f>IF(A1807="","",IFERROR(VALUE(SUBSTITUTE(TRIM(Input!E1807&amp;""),"%","")),0)/IF(AND(IFERROR(VALUE(SUBSTITUTE(TRIM(Input!E1807&amp;""),"%","")),0)&gt;0,IFERROR(VALUE(SUBSTITUTE(TRIM(Input!E1807&amp;""),"%","")),0)&lt;1),1,100))</f>
        <v/>
      </c>
      <c r="E1807" t="str">
        <f>IF(A1807="","",IFERROR(VALUE(SUBSTITUTE(TRIM(Input!F1807&amp;""),"%","")),0)/IF(AND(IFERROR(VALUE(SUBSTITUTE(TRIM(Input!F1807&amp;""),"%","")),0)&gt;0,IFERROR(VALUE(SUBSTITUTE(TRIM(Input!F1807&amp;""),"%","")),0)&lt;1),1,100))</f>
        <v/>
      </c>
      <c r="F1807" t="str">
        <f>IF(A1807="","",IFERROR(VALUE(SUBSTITUTE(TRIM(Input!G1807&amp;""),"%","")),0)/IF(AND(IFERROR(VALUE(SUBSTITUTE(TRIM(Input!G1807&amp;""),"%","")),0)&gt;0,IFERROR(VALUE(SUBSTITUTE(TRIM(Input!G1807&amp;""),"%","")),0)&lt;1),1,100))</f>
        <v/>
      </c>
      <c r="G1807" t="str">
        <f>IF(A1807="","",IFERROR(VALUE(SUBSTITUTE(TRIM(Input!H1807&amp;""),"%","")),0)/IF(AND(IFERROR(VALUE(SUBSTITUTE(TRIM(Input!H1807&amp;""),"%","")),0)&gt;0,IFERROR(VALUE(SUBSTITUTE(TRIM(Input!H1807&amp;""),"%","")),0)&lt;1),1,100))</f>
        <v/>
      </c>
      <c r="H1807" t="str">
        <f>IF(A1807="","",IFERROR(VALUE(SUBSTITUTE(TRIM(Input!I1807&amp;""),"%","")),0)/IF(AND(IFERROR(VALUE(SUBSTITUTE(TRIM(Input!I1807&amp;""),"%","")),0)&gt;0,IFERROR(VALUE(SUBSTITUTE(TRIM(Input!I1807&amp;""),"%","")),0)&lt;1),1,100))</f>
        <v/>
      </c>
    </row>
    <row r="1808" spans="1:8">
      <c r="A1808" t="str">
        <f>IF(TRIM(Input!B1808&amp;"")="","",UPPER(TRIM(Input!B1808&amp;"")))</f>
        <v/>
      </c>
      <c r="B1808" t="str">
        <f>IF(A1808="","",IFERROR(VALUE(RIGHT(TRIM(Input!D1808&amp;""),1)),0))</f>
        <v/>
      </c>
      <c r="C1808" t="str">
        <f t="shared" si="28"/>
        <v/>
      </c>
      <c r="D1808" t="str">
        <f>IF(A1808="","",IFERROR(VALUE(SUBSTITUTE(TRIM(Input!E1808&amp;""),"%","")),0)/IF(AND(IFERROR(VALUE(SUBSTITUTE(TRIM(Input!E1808&amp;""),"%","")),0)&gt;0,IFERROR(VALUE(SUBSTITUTE(TRIM(Input!E1808&amp;""),"%","")),0)&lt;1),1,100))</f>
        <v/>
      </c>
      <c r="E1808" t="str">
        <f>IF(A1808="","",IFERROR(VALUE(SUBSTITUTE(TRIM(Input!F1808&amp;""),"%","")),0)/IF(AND(IFERROR(VALUE(SUBSTITUTE(TRIM(Input!F1808&amp;""),"%","")),0)&gt;0,IFERROR(VALUE(SUBSTITUTE(TRIM(Input!F1808&amp;""),"%","")),0)&lt;1),1,100))</f>
        <v/>
      </c>
      <c r="F1808" t="str">
        <f>IF(A1808="","",IFERROR(VALUE(SUBSTITUTE(TRIM(Input!G1808&amp;""),"%","")),0)/IF(AND(IFERROR(VALUE(SUBSTITUTE(TRIM(Input!G1808&amp;""),"%","")),0)&gt;0,IFERROR(VALUE(SUBSTITUTE(TRIM(Input!G1808&amp;""),"%","")),0)&lt;1),1,100))</f>
        <v/>
      </c>
      <c r="G1808" t="str">
        <f>IF(A1808="","",IFERROR(VALUE(SUBSTITUTE(TRIM(Input!H1808&amp;""),"%","")),0)/IF(AND(IFERROR(VALUE(SUBSTITUTE(TRIM(Input!H1808&amp;""),"%","")),0)&gt;0,IFERROR(VALUE(SUBSTITUTE(TRIM(Input!H1808&amp;""),"%","")),0)&lt;1),1,100))</f>
        <v/>
      </c>
      <c r="H1808" t="str">
        <f>IF(A1808="","",IFERROR(VALUE(SUBSTITUTE(TRIM(Input!I1808&amp;""),"%","")),0)/IF(AND(IFERROR(VALUE(SUBSTITUTE(TRIM(Input!I1808&amp;""),"%","")),0)&gt;0,IFERROR(VALUE(SUBSTITUTE(TRIM(Input!I1808&amp;""),"%","")),0)&lt;1),1,100))</f>
        <v/>
      </c>
    </row>
    <row r="1809" spans="1:8">
      <c r="A1809" t="str">
        <f>IF(TRIM(Input!B1809&amp;"")="","",UPPER(TRIM(Input!B1809&amp;"")))</f>
        <v/>
      </c>
      <c r="B1809" t="str">
        <f>IF(A1809="","",IFERROR(VALUE(RIGHT(TRIM(Input!D1809&amp;""),1)),0))</f>
        <v/>
      </c>
      <c r="C1809" t="str">
        <f t="shared" si="28"/>
        <v/>
      </c>
      <c r="D1809" t="str">
        <f>IF(A1809="","",IFERROR(VALUE(SUBSTITUTE(TRIM(Input!E1809&amp;""),"%","")),0)/IF(AND(IFERROR(VALUE(SUBSTITUTE(TRIM(Input!E1809&amp;""),"%","")),0)&gt;0,IFERROR(VALUE(SUBSTITUTE(TRIM(Input!E1809&amp;""),"%","")),0)&lt;1),1,100))</f>
        <v/>
      </c>
      <c r="E1809" t="str">
        <f>IF(A1809="","",IFERROR(VALUE(SUBSTITUTE(TRIM(Input!F1809&amp;""),"%","")),0)/IF(AND(IFERROR(VALUE(SUBSTITUTE(TRIM(Input!F1809&amp;""),"%","")),0)&gt;0,IFERROR(VALUE(SUBSTITUTE(TRIM(Input!F1809&amp;""),"%","")),0)&lt;1),1,100))</f>
        <v/>
      </c>
      <c r="F1809" t="str">
        <f>IF(A1809="","",IFERROR(VALUE(SUBSTITUTE(TRIM(Input!G1809&amp;""),"%","")),0)/IF(AND(IFERROR(VALUE(SUBSTITUTE(TRIM(Input!G1809&amp;""),"%","")),0)&gt;0,IFERROR(VALUE(SUBSTITUTE(TRIM(Input!G1809&amp;""),"%","")),0)&lt;1),1,100))</f>
        <v/>
      </c>
      <c r="G1809" t="str">
        <f>IF(A1809="","",IFERROR(VALUE(SUBSTITUTE(TRIM(Input!H1809&amp;""),"%","")),0)/IF(AND(IFERROR(VALUE(SUBSTITUTE(TRIM(Input!H1809&amp;""),"%","")),0)&gt;0,IFERROR(VALUE(SUBSTITUTE(TRIM(Input!H1809&amp;""),"%","")),0)&lt;1),1,100))</f>
        <v/>
      </c>
      <c r="H1809" t="str">
        <f>IF(A1809="","",IFERROR(VALUE(SUBSTITUTE(TRIM(Input!I1809&amp;""),"%","")),0)/IF(AND(IFERROR(VALUE(SUBSTITUTE(TRIM(Input!I1809&amp;""),"%","")),0)&gt;0,IFERROR(VALUE(SUBSTITUTE(TRIM(Input!I1809&amp;""),"%","")),0)&lt;1),1,100))</f>
        <v/>
      </c>
    </row>
    <row r="1810" spans="1:8">
      <c r="A1810" t="str">
        <f>IF(TRIM(Input!B1810&amp;"")="","",UPPER(TRIM(Input!B1810&amp;"")))</f>
        <v/>
      </c>
      <c r="B1810" t="str">
        <f>IF(A1810="","",IFERROR(VALUE(RIGHT(TRIM(Input!D1810&amp;""),1)),0))</f>
        <v/>
      </c>
      <c r="C1810" t="str">
        <f t="shared" si="28"/>
        <v/>
      </c>
      <c r="D1810" t="str">
        <f>IF(A1810="","",IFERROR(VALUE(SUBSTITUTE(TRIM(Input!E1810&amp;""),"%","")),0)/IF(AND(IFERROR(VALUE(SUBSTITUTE(TRIM(Input!E1810&amp;""),"%","")),0)&gt;0,IFERROR(VALUE(SUBSTITUTE(TRIM(Input!E1810&amp;""),"%","")),0)&lt;1),1,100))</f>
        <v/>
      </c>
      <c r="E1810" t="str">
        <f>IF(A1810="","",IFERROR(VALUE(SUBSTITUTE(TRIM(Input!F1810&amp;""),"%","")),0)/IF(AND(IFERROR(VALUE(SUBSTITUTE(TRIM(Input!F1810&amp;""),"%","")),0)&gt;0,IFERROR(VALUE(SUBSTITUTE(TRIM(Input!F1810&amp;""),"%","")),0)&lt;1),1,100))</f>
        <v/>
      </c>
      <c r="F1810" t="str">
        <f>IF(A1810="","",IFERROR(VALUE(SUBSTITUTE(TRIM(Input!G1810&amp;""),"%","")),0)/IF(AND(IFERROR(VALUE(SUBSTITUTE(TRIM(Input!G1810&amp;""),"%","")),0)&gt;0,IFERROR(VALUE(SUBSTITUTE(TRIM(Input!G1810&amp;""),"%","")),0)&lt;1),1,100))</f>
        <v/>
      </c>
      <c r="G1810" t="str">
        <f>IF(A1810="","",IFERROR(VALUE(SUBSTITUTE(TRIM(Input!H1810&amp;""),"%","")),0)/IF(AND(IFERROR(VALUE(SUBSTITUTE(TRIM(Input!H1810&amp;""),"%","")),0)&gt;0,IFERROR(VALUE(SUBSTITUTE(TRIM(Input!H1810&amp;""),"%","")),0)&lt;1),1,100))</f>
        <v/>
      </c>
      <c r="H1810" t="str">
        <f>IF(A1810="","",IFERROR(VALUE(SUBSTITUTE(TRIM(Input!I1810&amp;""),"%","")),0)/IF(AND(IFERROR(VALUE(SUBSTITUTE(TRIM(Input!I1810&amp;""),"%","")),0)&gt;0,IFERROR(VALUE(SUBSTITUTE(TRIM(Input!I1810&amp;""),"%","")),0)&lt;1),1,100))</f>
        <v/>
      </c>
    </row>
    <row r="1811" spans="1:8">
      <c r="A1811" t="str">
        <f>IF(TRIM(Input!B1811&amp;"")="","",UPPER(TRIM(Input!B1811&amp;"")))</f>
        <v/>
      </c>
      <c r="B1811" t="str">
        <f>IF(A1811="","",IFERROR(VALUE(RIGHT(TRIM(Input!D1811&amp;""),1)),0))</f>
        <v/>
      </c>
      <c r="C1811" t="str">
        <f t="shared" si="28"/>
        <v/>
      </c>
      <c r="D1811" t="str">
        <f>IF(A1811="","",IFERROR(VALUE(SUBSTITUTE(TRIM(Input!E1811&amp;""),"%","")),0)/IF(AND(IFERROR(VALUE(SUBSTITUTE(TRIM(Input!E1811&amp;""),"%","")),0)&gt;0,IFERROR(VALUE(SUBSTITUTE(TRIM(Input!E1811&amp;""),"%","")),0)&lt;1),1,100))</f>
        <v/>
      </c>
      <c r="E1811" t="str">
        <f>IF(A1811="","",IFERROR(VALUE(SUBSTITUTE(TRIM(Input!F1811&amp;""),"%","")),0)/IF(AND(IFERROR(VALUE(SUBSTITUTE(TRIM(Input!F1811&amp;""),"%","")),0)&gt;0,IFERROR(VALUE(SUBSTITUTE(TRIM(Input!F1811&amp;""),"%","")),0)&lt;1),1,100))</f>
        <v/>
      </c>
      <c r="F1811" t="str">
        <f>IF(A1811="","",IFERROR(VALUE(SUBSTITUTE(TRIM(Input!G1811&amp;""),"%","")),0)/IF(AND(IFERROR(VALUE(SUBSTITUTE(TRIM(Input!G1811&amp;""),"%","")),0)&gt;0,IFERROR(VALUE(SUBSTITUTE(TRIM(Input!G1811&amp;""),"%","")),0)&lt;1),1,100))</f>
        <v/>
      </c>
      <c r="G1811" t="str">
        <f>IF(A1811="","",IFERROR(VALUE(SUBSTITUTE(TRIM(Input!H1811&amp;""),"%","")),0)/IF(AND(IFERROR(VALUE(SUBSTITUTE(TRIM(Input!H1811&amp;""),"%","")),0)&gt;0,IFERROR(VALUE(SUBSTITUTE(TRIM(Input!H1811&amp;""),"%","")),0)&lt;1),1,100))</f>
        <v/>
      </c>
      <c r="H1811" t="str">
        <f>IF(A1811="","",IFERROR(VALUE(SUBSTITUTE(TRIM(Input!I1811&amp;""),"%","")),0)/IF(AND(IFERROR(VALUE(SUBSTITUTE(TRIM(Input!I1811&amp;""),"%","")),0)&gt;0,IFERROR(VALUE(SUBSTITUTE(TRIM(Input!I1811&amp;""),"%","")),0)&lt;1),1,100))</f>
        <v/>
      </c>
    </row>
    <row r="1812" spans="1:8">
      <c r="A1812" t="str">
        <f>IF(TRIM(Input!B1812&amp;"")="","",UPPER(TRIM(Input!B1812&amp;"")))</f>
        <v/>
      </c>
      <c r="B1812" t="str">
        <f>IF(A1812="","",IFERROR(VALUE(RIGHT(TRIM(Input!D1812&amp;""),1)),0))</f>
        <v/>
      </c>
      <c r="C1812" t="str">
        <f t="shared" si="28"/>
        <v/>
      </c>
      <c r="D1812" t="str">
        <f>IF(A1812="","",IFERROR(VALUE(SUBSTITUTE(TRIM(Input!E1812&amp;""),"%","")),0)/IF(AND(IFERROR(VALUE(SUBSTITUTE(TRIM(Input!E1812&amp;""),"%","")),0)&gt;0,IFERROR(VALUE(SUBSTITUTE(TRIM(Input!E1812&amp;""),"%","")),0)&lt;1),1,100))</f>
        <v/>
      </c>
      <c r="E1812" t="str">
        <f>IF(A1812="","",IFERROR(VALUE(SUBSTITUTE(TRIM(Input!F1812&amp;""),"%","")),0)/IF(AND(IFERROR(VALUE(SUBSTITUTE(TRIM(Input!F1812&amp;""),"%","")),0)&gt;0,IFERROR(VALUE(SUBSTITUTE(TRIM(Input!F1812&amp;""),"%","")),0)&lt;1),1,100))</f>
        <v/>
      </c>
      <c r="F1812" t="str">
        <f>IF(A1812="","",IFERROR(VALUE(SUBSTITUTE(TRIM(Input!G1812&amp;""),"%","")),0)/IF(AND(IFERROR(VALUE(SUBSTITUTE(TRIM(Input!G1812&amp;""),"%","")),0)&gt;0,IFERROR(VALUE(SUBSTITUTE(TRIM(Input!G1812&amp;""),"%","")),0)&lt;1),1,100))</f>
        <v/>
      </c>
      <c r="G1812" t="str">
        <f>IF(A1812="","",IFERROR(VALUE(SUBSTITUTE(TRIM(Input!H1812&amp;""),"%","")),0)/IF(AND(IFERROR(VALUE(SUBSTITUTE(TRIM(Input!H1812&amp;""),"%","")),0)&gt;0,IFERROR(VALUE(SUBSTITUTE(TRIM(Input!H1812&amp;""),"%","")),0)&lt;1),1,100))</f>
        <v/>
      </c>
      <c r="H1812" t="str">
        <f>IF(A1812="","",IFERROR(VALUE(SUBSTITUTE(TRIM(Input!I1812&amp;""),"%","")),0)/IF(AND(IFERROR(VALUE(SUBSTITUTE(TRIM(Input!I1812&amp;""),"%","")),0)&gt;0,IFERROR(VALUE(SUBSTITUTE(TRIM(Input!I1812&amp;""),"%","")),0)&lt;1),1,100))</f>
        <v/>
      </c>
    </row>
    <row r="1813" spans="1:8">
      <c r="A1813" t="str">
        <f>IF(TRIM(Input!B1813&amp;"")="","",UPPER(TRIM(Input!B1813&amp;"")))</f>
        <v/>
      </c>
      <c r="B1813" t="str">
        <f>IF(A1813="","",IFERROR(VALUE(RIGHT(TRIM(Input!D1813&amp;""),1)),0))</f>
        <v/>
      </c>
      <c r="C1813" t="str">
        <f t="shared" si="28"/>
        <v/>
      </c>
      <c r="D1813" t="str">
        <f>IF(A1813="","",IFERROR(VALUE(SUBSTITUTE(TRIM(Input!E1813&amp;""),"%","")),0)/IF(AND(IFERROR(VALUE(SUBSTITUTE(TRIM(Input!E1813&amp;""),"%","")),0)&gt;0,IFERROR(VALUE(SUBSTITUTE(TRIM(Input!E1813&amp;""),"%","")),0)&lt;1),1,100))</f>
        <v/>
      </c>
      <c r="E1813" t="str">
        <f>IF(A1813="","",IFERROR(VALUE(SUBSTITUTE(TRIM(Input!F1813&amp;""),"%","")),0)/IF(AND(IFERROR(VALUE(SUBSTITUTE(TRIM(Input!F1813&amp;""),"%","")),0)&gt;0,IFERROR(VALUE(SUBSTITUTE(TRIM(Input!F1813&amp;""),"%","")),0)&lt;1),1,100))</f>
        <v/>
      </c>
      <c r="F1813" t="str">
        <f>IF(A1813="","",IFERROR(VALUE(SUBSTITUTE(TRIM(Input!G1813&amp;""),"%","")),0)/IF(AND(IFERROR(VALUE(SUBSTITUTE(TRIM(Input!G1813&amp;""),"%","")),0)&gt;0,IFERROR(VALUE(SUBSTITUTE(TRIM(Input!G1813&amp;""),"%","")),0)&lt;1),1,100))</f>
        <v/>
      </c>
      <c r="G1813" t="str">
        <f>IF(A1813="","",IFERROR(VALUE(SUBSTITUTE(TRIM(Input!H1813&amp;""),"%","")),0)/IF(AND(IFERROR(VALUE(SUBSTITUTE(TRIM(Input!H1813&amp;""),"%","")),0)&gt;0,IFERROR(VALUE(SUBSTITUTE(TRIM(Input!H1813&amp;""),"%","")),0)&lt;1),1,100))</f>
        <v/>
      </c>
      <c r="H1813" t="str">
        <f>IF(A1813="","",IFERROR(VALUE(SUBSTITUTE(TRIM(Input!I1813&amp;""),"%","")),0)/IF(AND(IFERROR(VALUE(SUBSTITUTE(TRIM(Input!I1813&amp;""),"%","")),0)&gt;0,IFERROR(VALUE(SUBSTITUTE(TRIM(Input!I1813&amp;""),"%","")),0)&lt;1),1,100))</f>
        <v/>
      </c>
    </row>
    <row r="1814" spans="1:8">
      <c r="A1814" t="str">
        <f>IF(TRIM(Input!B1814&amp;"")="","",UPPER(TRIM(Input!B1814&amp;"")))</f>
        <v/>
      </c>
      <c r="B1814" t="str">
        <f>IF(A1814="","",IFERROR(VALUE(RIGHT(TRIM(Input!D1814&amp;""),1)),0))</f>
        <v/>
      </c>
      <c r="C1814" t="str">
        <f t="shared" si="28"/>
        <v/>
      </c>
      <c r="D1814" t="str">
        <f>IF(A1814="","",IFERROR(VALUE(SUBSTITUTE(TRIM(Input!E1814&amp;""),"%","")),0)/IF(AND(IFERROR(VALUE(SUBSTITUTE(TRIM(Input!E1814&amp;""),"%","")),0)&gt;0,IFERROR(VALUE(SUBSTITUTE(TRIM(Input!E1814&amp;""),"%","")),0)&lt;1),1,100))</f>
        <v/>
      </c>
      <c r="E1814" t="str">
        <f>IF(A1814="","",IFERROR(VALUE(SUBSTITUTE(TRIM(Input!F1814&amp;""),"%","")),0)/IF(AND(IFERROR(VALUE(SUBSTITUTE(TRIM(Input!F1814&amp;""),"%","")),0)&gt;0,IFERROR(VALUE(SUBSTITUTE(TRIM(Input!F1814&amp;""),"%","")),0)&lt;1),1,100))</f>
        <v/>
      </c>
      <c r="F1814" t="str">
        <f>IF(A1814="","",IFERROR(VALUE(SUBSTITUTE(TRIM(Input!G1814&amp;""),"%","")),0)/IF(AND(IFERROR(VALUE(SUBSTITUTE(TRIM(Input!G1814&amp;""),"%","")),0)&gt;0,IFERROR(VALUE(SUBSTITUTE(TRIM(Input!G1814&amp;""),"%","")),0)&lt;1),1,100))</f>
        <v/>
      </c>
      <c r="G1814" t="str">
        <f>IF(A1814="","",IFERROR(VALUE(SUBSTITUTE(TRIM(Input!H1814&amp;""),"%","")),0)/IF(AND(IFERROR(VALUE(SUBSTITUTE(TRIM(Input!H1814&amp;""),"%","")),0)&gt;0,IFERROR(VALUE(SUBSTITUTE(TRIM(Input!H1814&amp;""),"%","")),0)&lt;1),1,100))</f>
        <v/>
      </c>
      <c r="H1814" t="str">
        <f>IF(A1814="","",IFERROR(VALUE(SUBSTITUTE(TRIM(Input!I1814&amp;""),"%","")),0)/IF(AND(IFERROR(VALUE(SUBSTITUTE(TRIM(Input!I1814&amp;""),"%","")),0)&gt;0,IFERROR(VALUE(SUBSTITUTE(TRIM(Input!I1814&amp;""),"%","")),0)&lt;1),1,100))</f>
        <v/>
      </c>
    </row>
    <row r="1815" spans="1:8">
      <c r="A1815" t="str">
        <f>IF(TRIM(Input!B1815&amp;"")="","",UPPER(TRIM(Input!B1815&amp;"")))</f>
        <v/>
      </c>
      <c r="B1815" t="str">
        <f>IF(A1815="","",IFERROR(VALUE(RIGHT(TRIM(Input!D1815&amp;""),1)),0))</f>
        <v/>
      </c>
      <c r="C1815" t="str">
        <f t="shared" si="28"/>
        <v/>
      </c>
      <c r="D1815" t="str">
        <f>IF(A1815="","",IFERROR(VALUE(SUBSTITUTE(TRIM(Input!E1815&amp;""),"%","")),0)/IF(AND(IFERROR(VALUE(SUBSTITUTE(TRIM(Input!E1815&amp;""),"%","")),0)&gt;0,IFERROR(VALUE(SUBSTITUTE(TRIM(Input!E1815&amp;""),"%","")),0)&lt;1),1,100))</f>
        <v/>
      </c>
      <c r="E1815" t="str">
        <f>IF(A1815="","",IFERROR(VALUE(SUBSTITUTE(TRIM(Input!F1815&amp;""),"%","")),0)/IF(AND(IFERROR(VALUE(SUBSTITUTE(TRIM(Input!F1815&amp;""),"%","")),0)&gt;0,IFERROR(VALUE(SUBSTITUTE(TRIM(Input!F1815&amp;""),"%","")),0)&lt;1),1,100))</f>
        <v/>
      </c>
      <c r="F1815" t="str">
        <f>IF(A1815="","",IFERROR(VALUE(SUBSTITUTE(TRIM(Input!G1815&amp;""),"%","")),0)/IF(AND(IFERROR(VALUE(SUBSTITUTE(TRIM(Input!G1815&amp;""),"%","")),0)&gt;0,IFERROR(VALUE(SUBSTITUTE(TRIM(Input!G1815&amp;""),"%","")),0)&lt;1),1,100))</f>
        <v/>
      </c>
      <c r="G1815" t="str">
        <f>IF(A1815="","",IFERROR(VALUE(SUBSTITUTE(TRIM(Input!H1815&amp;""),"%","")),0)/IF(AND(IFERROR(VALUE(SUBSTITUTE(TRIM(Input!H1815&amp;""),"%","")),0)&gt;0,IFERROR(VALUE(SUBSTITUTE(TRIM(Input!H1815&amp;""),"%","")),0)&lt;1),1,100))</f>
        <v/>
      </c>
      <c r="H1815" t="str">
        <f>IF(A1815="","",IFERROR(VALUE(SUBSTITUTE(TRIM(Input!I1815&amp;""),"%","")),0)/IF(AND(IFERROR(VALUE(SUBSTITUTE(TRIM(Input!I1815&amp;""),"%","")),0)&gt;0,IFERROR(VALUE(SUBSTITUTE(TRIM(Input!I1815&amp;""),"%","")),0)&lt;1),1,100))</f>
        <v/>
      </c>
    </row>
    <row r="1816" spans="1:8">
      <c r="A1816" t="str">
        <f>IF(TRIM(Input!B1816&amp;"")="","",UPPER(TRIM(Input!B1816&amp;"")))</f>
        <v/>
      </c>
      <c r="B1816" t="str">
        <f>IF(A1816="","",IFERROR(VALUE(RIGHT(TRIM(Input!D1816&amp;""),1)),0))</f>
        <v/>
      </c>
      <c r="C1816" t="str">
        <f t="shared" si="28"/>
        <v/>
      </c>
      <c r="D1816" t="str">
        <f>IF(A1816="","",IFERROR(VALUE(SUBSTITUTE(TRIM(Input!E1816&amp;""),"%","")),0)/IF(AND(IFERROR(VALUE(SUBSTITUTE(TRIM(Input!E1816&amp;""),"%","")),0)&gt;0,IFERROR(VALUE(SUBSTITUTE(TRIM(Input!E1816&amp;""),"%","")),0)&lt;1),1,100))</f>
        <v/>
      </c>
      <c r="E1816" t="str">
        <f>IF(A1816="","",IFERROR(VALUE(SUBSTITUTE(TRIM(Input!F1816&amp;""),"%","")),0)/IF(AND(IFERROR(VALUE(SUBSTITUTE(TRIM(Input!F1816&amp;""),"%","")),0)&gt;0,IFERROR(VALUE(SUBSTITUTE(TRIM(Input!F1816&amp;""),"%","")),0)&lt;1),1,100))</f>
        <v/>
      </c>
      <c r="F1816" t="str">
        <f>IF(A1816="","",IFERROR(VALUE(SUBSTITUTE(TRIM(Input!G1816&amp;""),"%","")),0)/IF(AND(IFERROR(VALUE(SUBSTITUTE(TRIM(Input!G1816&amp;""),"%","")),0)&gt;0,IFERROR(VALUE(SUBSTITUTE(TRIM(Input!G1816&amp;""),"%","")),0)&lt;1),1,100))</f>
        <v/>
      </c>
      <c r="G1816" t="str">
        <f>IF(A1816="","",IFERROR(VALUE(SUBSTITUTE(TRIM(Input!H1816&amp;""),"%","")),0)/IF(AND(IFERROR(VALUE(SUBSTITUTE(TRIM(Input!H1816&amp;""),"%","")),0)&gt;0,IFERROR(VALUE(SUBSTITUTE(TRIM(Input!H1816&amp;""),"%","")),0)&lt;1),1,100))</f>
        <v/>
      </c>
      <c r="H1816" t="str">
        <f>IF(A1816="","",IFERROR(VALUE(SUBSTITUTE(TRIM(Input!I1816&amp;""),"%","")),0)/IF(AND(IFERROR(VALUE(SUBSTITUTE(TRIM(Input!I1816&amp;""),"%","")),0)&gt;0,IFERROR(VALUE(SUBSTITUTE(TRIM(Input!I1816&amp;""),"%","")),0)&lt;1),1,100))</f>
        <v/>
      </c>
    </row>
    <row r="1817" spans="1:8">
      <c r="A1817" t="str">
        <f>IF(TRIM(Input!B1817&amp;"")="","",UPPER(TRIM(Input!B1817&amp;"")))</f>
        <v/>
      </c>
      <c r="B1817" t="str">
        <f>IF(A1817="","",IFERROR(VALUE(RIGHT(TRIM(Input!D1817&amp;""),1)),0))</f>
        <v/>
      </c>
      <c r="C1817" t="str">
        <f t="shared" si="28"/>
        <v/>
      </c>
      <c r="D1817" t="str">
        <f>IF(A1817="","",IFERROR(VALUE(SUBSTITUTE(TRIM(Input!E1817&amp;""),"%","")),0)/IF(AND(IFERROR(VALUE(SUBSTITUTE(TRIM(Input!E1817&amp;""),"%","")),0)&gt;0,IFERROR(VALUE(SUBSTITUTE(TRIM(Input!E1817&amp;""),"%","")),0)&lt;1),1,100))</f>
        <v/>
      </c>
      <c r="E1817" t="str">
        <f>IF(A1817="","",IFERROR(VALUE(SUBSTITUTE(TRIM(Input!F1817&amp;""),"%","")),0)/IF(AND(IFERROR(VALUE(SUBSTITUTE(TRIM(Input!F1817&amp;""),"%","")),0)&gt;0,IFERROR(VALUE(SUBSTITUTE(TRIM(Input!F1817&amp;""),"%","")),0)&lt;1),1,100))</f>
        <v/>
      </c>
      <c r="F1817" t="str">
        <f>IF(A1817="","",IFERROR(VALUE(SUBSTITUTE(TRIM(Input!G1817&amp;""),"%","")),0)/IF(AND(IFERROR(VALUE(SUBSTITUTE(TRIM(Input!G1817&amp;""),"%","")),0)&gt;0,IFERROR(VALUE(SUBSTITUTE(TRIM(Input!G1817&amp;""),"%","")),0)&lt;1),1,100))</f>
        <v/>
      </c>
      <c r="G1817" t="str">
        <f>IF(A1817="","",IFERROR(VALUE(SUBSTITUTE(TRIM(Input!H1817&amp;""),"%","")),0)/IF(AND(IFERROR(VALUE(SUBSTITUTE(TRIM(Input!H1817&amp;""),"%","")),0)&gt;0,IFERROR(VALUE(SUBSTITUTE(TRIM(Input!H1817&amp;""),"%","")),0)&lt;1),1,100))</f>
        <v/>
      </c>
      <c r="H1817" t="str">
        <f>IF(A1817="","",IFERROR(VALUE(SUBSTITUTE(TRIM(Input!I1817&amp;""),"%","")),0)/IF(AND(IFERROR(VALUE(SUBSTITUTE(TRIM(Input!I1817&amp;""),"%","")),0)&gt;0,IFERROR(VALUE(SUBSTITUTE(TRIM(Input!I1817&amp;""),"%","")),0)&lt;1),1,100))</f>
        <v/>
      </c>
    </row>
    <row r="1818" spans="1:8">
      <c r="A1818" t="str">
        <f>IF(TRIM(Input!B1818&amp;"")="","",UPPER(TRIM(Input!B1818&amp;"")))</f>
        <v/>
      </c>
      <c r="B1818" t="str">
        <f>IF(A1818="","",IFERROR(VALUE(RIGHT(TRIM(Input!D1818&amp;""),1)),0))</f>
        <v/>
      </c>
      <c r="C1818" t="str">
        <f t="shared" si="28"/>
        <v/>
      </c>
      <c r="D1818" t="str">
        <f>IF(A1818="","",IFERROR(VALUE(SUBSTITUTE(TRIM(Input!E1818&amp;""),"%","")),0)/IF(AND(IFERROR(VALUE(SUBSTITUTE(TRIM(Input!E1818&amp;""),"%","")),0)&gt;0,IFERROR(VALUE(SUBSTITUTE(TRIM(Input!E1818&amp;""),"%","")),0)&lt;1),1,100))</f>
        <v/>
      </c>
      <c r="E1818" t="str">
        <f>IF(A1818="","",IFERROR(VALUE(SUBSTITUTE(TRIM(Input!F1818&amp;""),"%","")),0)/IF(AND(IFERROR(VALUE(SUBSTITUTE(TRIM(Input!F1818&amp;""),"%","")),0)&gt;0,IFERROR(VALUE(SUBSTITUTE(TRIM(Input!F1818&amp;""),"%","")),0)&lt;1),1,100))</f>
        <v/>
      </c>
      <c r="F1818" t="str">
        <f>IF(A1818="","",IFERROR(VALUE(SUBSTITUTE(TRIM(Input!G1818&amp;""),"%","")),0)/IF(AND(IFERROR(VALUE(SUBSTITUTE(TRIM(Input!G1818&amp;""),"%","")),0)&gt;0,IFERROR(VALUE(SUBSTITUTE(TRIM(Input!G1818&amp;""),"%","")),0)&lt;1),1,100))</f>
        <v/>
      </c>
      <c r="G1818" t="str">
        <f>IF(A1818="","",IFERROR(VALUE(SUBSTITUTE(TRIM(Input!H1818&amp;""),"%","")),0)/IF(AND(IFERROR(VALUE(SUBSTITUTE(TRIM(Input!H1818&amp;""),"%","")),0)&gt;0,IFERROR(VALUE(SUBSTITUTE(TRIM(Input!H1818&amp;""),"%","")),0)&lt;1),1,100))</f>
        <v/>
      </c>
      <c r="H1818" t="str">
        <f>IF(A1818="","",IFERROR(VALUE(SUBSTITUTE(TRIM(Input!I1818&amp;""),"%","")),0)/IF(AND(IFERROR(VALUE(SUBSTITUTE(TRIM(Input!I1818&amp;""),"%","")),0)&gt;0,IFERROR(VALUE(SUBSTITUTE(TRIM(Input!I1818&amp;""),"%","")),0)&lt;1),1,100))</f>
        <v/>
      </c>
    </row>
    <row r="1819" spans="1:8">
      <c r="A1819" t="str">
        <f>IF(TRIM(Input!B1819&amp;"")="","",UPPER(TRIM(Input!B1819&amp;"")))</f>
        <v/>
      </c>
      <c r="B1819" t="str">
        <f>IF(A1819="","",IFERROR(VALUE(RIGHT(TRIM(Input!D1819&amp;""),1)),0))</f>
        <v/>
      </c>
      <c r="C1819" t="str">
        <f t="shared" si="28"/>
        <v/>
      </c>
      <c r="D1819" t="str">
        <f>IF(A1819="","",IFERROR(VALUE(SUBSTITUTE(TRIM(Input!E1819&amp;""),"%","")),0)/IF(AND(IFERROR(VALUE(SUBSTITUTE(TRIM(Input!E1819&amp;""),"%","")),0)&gt;0,IFERROR(VALUE(SUBSTITUTE(TRIM(Input!E1819&amp;""),"%","")),0)&lt;1),1,100))</f>
        <v/>
      </c>
      <c r="E1819" t="str">
        <f>IF(A1819="","",IFERROR(VALUE(SUBSTITUTE(TRIM(Input!F1819&amp;""),"%","")),0)/IF(AND(IFERROR(VALUE(SUBSTITUTE(TRIM(Input!F1819&amp;""),"%","")),0)&gt;0,IFERROR(VALUE(SUBSTITUTE(TRIM(Input!F1819&amp;""),"%","")),0)&lt;1),1,100))</f>
        <v/>
      </c>
      <c r="F1819" t="str">
        <f>IF(A1819="","",IFERROR(VALUE(SUBSTITUTE(TRIM(Input!G1819&amp;""),"%","")),0)/IF(AND(IFERROR(VALUE(SUBSTITUTE(TRIM(Input!G1819&amp;""),"%","")),0)&gt;0,IFERROR(VALUE(SUBSTITUTE(TRIM(Input!G1819&amp;""),"%","")),0)&lt;1),1,100))</f>
        <v/>
      </c>
      <c r="G1819" t="str">
        <f>IF(A1819="","",IFERROR(VALUE(SUBSTITUTE(TRIM(Input!H1819&amp;""),"%","")),0)/IF(AND(IFERROR(VALUE(SUBSTITUTE(TRIM(Input!H1819&amp;""),"%","")),0)&gt;0,IFERROR(VALUE(SUBSTITUTE(TRIM(Input!H1819&amp;""),"%","")),0)&lt;1),1,100))</f>
        <v/>
      </c>
      <c r="H1819" t="str">
        <f>IF(A1819="","",IFERROR(VALUE(SUBSTITUTE(TRIM(Input!I1819&amp;""),"%","")),0)/IF(AND(IFERROR(VALUE(SUBSTITUTE(TRIM(Input!I1819&amp;""),"%","")),0)&gt;0,IFERROR(VALUE(SUBSTITUTE(TRIM(Input!I1819&amp;""),"%","")),0)&lt;1),1,100))</f>
        <v/>
      </c>
    </row>
    <row r="1820" spans="1:8">
      <c r="A1820" t="str">
        <f>IF(TRIM(Input!B1820&amp;"")="","",UPPER(TRIM(Input!B1820&amp;"")))</f>
        <v/>
      </c>
      <c r="B1820" t="str">
        <f>IF(A1820="","",IFERROR(VALUE(RIGHT(TRIM(Input!D1820&amp;""),1)),0))</f>
        <v/>
      </c>
      <c r="C1820" t="str">
        <f t="shared" si="28"/>
        <v/>
      </c>
      <c r="D1820" t="str">
        <f>IF(A1820="","",IFERROR(VALUE(SUBSTITUTE(TRIM(Input!E1820&amp;""),"%","")),0)/IF(AND(IFERROR(VALUE(SUBSTITUTE(TRIM(Input!E1820&amp;""),"%","")),0)&gt;0,IFERROR(VALUE(SUBSTITUTE(TRIM(Input!E1820&amp;""),"%","")),0)&lt;1),1,100))</f>
        <v/>
      </c>
      <c r="E1820" t="str">
        <f>IF(A1820="","",IFERROR(VALUE(SUBSTITUTE(TRIM(Input!F1820&amp;""),"%","")),0)/IF(AND(IFERROR(VALUE(SUBSTITUTE(TRIM(Input!F1820&amp;""),"%","")),0)&gt;0,IFERROR(VALUE(SUBSTITUTE(TRIM(Input!F1820&amp;""),"%","")),0)&lt;1),1,100))</f>
        <v/>
      </c>
      <c r="F1820" t="str">
        <f>IF(A1820="","",IFERROR(VALUE(SUBSTITUTE(TRIM(Input!G1820&amp;""),"%","")),0)/IF(AND(IFERROR(VALUE(SUBSTITUTE(TRIM(Input!G1820&amp;""),"%","")),0)&gt;0,IFERROR(VALUE(SUBSTITUTE(TRIM(Input!G1820&amp;""),"%","")),0)&lt;1),1,100))</f>
        <v/>
      </c>
      <c r="G1820" t="str">
        <f>IF(A1820="","",IFERROR(VALUE(SUBSTITUTE(TRIM(Input!H1820&amp;""),"%","")),0)/IF(AND(IFERROR(VALUE(SUBSTITUTE(TRIM(Input!H1820&amp;""),"%","")),0)&gt;0,IFERROR(VALUE(SUBSTITUTE(TRIM(Input!H1820&amp;""),"%","")),0)&lt;1),1,100))</f>
        <v/>
      </c>
      <c r="H1820" t="str">
        <f>IF(A1820="","",IFERROR(VALUE(SUBSTITUTE(TRIM(Input!I1820&amp;""),"%","")),0)/IF(AND(IFERROR(VALUE(SUBSTITUTE(TRIM(Input!I1820&amp;""),"%","")),0)&gt;0,IFERROR(VALUE(SUBSTITUTE(TRIM(Input!I1820&amp;""),"%","")),0)&lt;1),1,100))</f>
        <v/>
      </c>
    </row>
    <row r="1821" spans="1:8">
      <c r="A1821" t="str">
        <f>IF(TRIM(Input!B1821&amp;"")="","",UPPER(TRIM(Input!B1821&amp;"")))</f>
        <v/>
      </c>
      <c r="B1821" t="str">
        <f>IF(A1821="","",IFERROR(VALUE(RIGHT(TRIM(Input!D1821&amp;""),1)),0))</f>
        <v/>
      </c>
      <c r="C1821" t="str">
        <f t="shared" si="28"/>
        <v/>
      </c>
      <c r="D1821" t="str">
        <f>IF(A1821="","",IFERROR(VALUE(SUBSTITUTE(TRIM(Input!E1821&amp;""),"%","")),0)/IF(AND(IFERROR(VALUE(SUBSTITUTE(TRIM(Input!E1821&amp;""),"%","")),0)&gt;0,IFERROR(VALUE(SUBSTITUTE(TRIM(Input!E1821&amp;""),"%","")),0)&lt;1),1,100))</f>
        <v/>
      </c>
      <c r="E1821" t="str">
        <f>IF(A1821="","",IFERROR(VALUE(SUBSTITUTE(TRIM(Input!F1821&amp;""),"%","")),0)/IF(AND(IFERROR(VALUE(SUBSTITUTE(TRIM(Input!F1821&amp;""),"%","")),0)&gt;0,IFERROR(VALUE(SUBSTITUTE(TRIM(Input!F1821&amp;""),"%","")),0)&lt;1),1,100))</f>
        <v/>
      </c>
      <c r="F1821" t="str">
        <f>IF(A1821="","",IFERROR(VALUE(SUBSTITUTE(TRIM(Input!G1821&amp;""),"%","")),0)/IF(AND(IFERROR(VALUE(SUBSTITUTE(TRIM(Input!G1821&amp;""),"%","")),0)&gt;0,IFERROR(VALUE(SUBSTITUTE(TRIM(Input!G1821&amp;""),"%","")),0)&lt;1),1,100))</f>
        <v/>
      </c>
      <c r="G1821" t="str">
        <f>IF(A1821="","",IFERROR(VALUE(SUBSTITUTE(TRIM(Input!H1821&amp;""),"%","")),0)/IF(AND(IFERROR(VALUE(SUBSTITUTE(TRIM(Input!H1821&amp;""),"%","")),0)&gt;0,IFERROR(VALUE(SUBSTITUTE(TRIM(Input!H1821&amp;""),"%","")),0)&lt;1),1,100))</f>
        <v/>
      </c>
      <c r="H1821" t="str">
        <f>IF(A1821="","",IFERROR(VALUE(SUBSTITUTE(TRIM(Input!I1821&amp;""),"%","")),0)/IF(AND(IFERROR(VALUE(SUBSTITUTE(TRIM(Input!I1821&amp;""),"%","")),0)&gt;0,IFERROR(VALUE(SUBSTITUTE(TRIM(Input!I1821&amp;""),"%","")),0)&lt;1),1,100))</f>
        <v/>
      </c>
    </row>
    <row r="1822" spans="1:8">
      <c r="A1822" t="str">
        <f>IF(TRIM(Input!B1822&amp;"")="","",UPPER(TRIM(Input!B1822&amp;"")))</f>
        <v/>
      </c>
      <c r="B1822" t="str">
        <f>IF(A1822="","",IFERROR(VALUE(RIGHT(TRIM(Input!D1822&amp;""),1)),0))</f>
        <v/>
      </c>
      <c r="C1822" t="str">
        <f t="shared" si="28"/>
        <v/>
      </c>
      <c r="D1822" t="str">
        <f>IF(A1822="","",IFERROR(VALUE(SUBSTITUTE(TRIM(Input!E1822&amp;""),"%","")),0)/IF(AND(IFERROR(VALUE(SUBSTITUTE(TRIM(Input!E1822&amp;""),"%","")),0)&gt;0,IFERROR(VALUE(SUBSTITUTE(TRIM(Input!E1822&amp;""),"%","")),0)&lt;1),1,100))</f>
        <v/>
      </c>
      <c r="E1822" t="str">
        <f>IF(A1822="","",IFERROR(VALUE(SUBSTITUTE(TRIM(Input!F1822&amp;""),"%","")),0)/IF(AND(IFERROR(VALUE(SUBSTITUTE(TRIM(Input!F1822&amp;""),"%","")),0)&gt;0,IFERROR(VALUE(SUBSTITUTE(TRIM(Input!F1822&amp;""),"%","")),0)&lt;1),1,100))</f>
        <v/>
      </c>
      <c r="F1822" t="str">
        <f>IF(A1822="","",IFERROR(VALUE(SUBSTITUTE(TRIM(Input!G1822&amp;""),"%","")),0)/IF(AND(IFERROR(VALUE(SUBSTITUTE(TRIM(Input!G1822&amp;""),"%","")),0)&gt;0,IFERROR(VALUE(SUBSTITUTE(TRIM(Input!G1822&amp;""),"%","")),0)&lt;1),1,100))</f>
        <v/>
      </c>
      <c r="G1822" t="str">
        <f>IF(A1822="","",IFERROR(VALUE(SUBSTITUTE(TRIM(Input!H1822&amp;""),"%","")),0)/IF(AND(IFERROR(VALUE(SUBSTITUTE(TRIM(Input!H1822&amp;""),"%","")),0)&gt;0,IFERROR(VALUE(SUBSTITUTE(TRIM(Input!H1822&amp;""),"%","")),0)&lt;1),1,100))</f>
        <v/>
      </c>
      <c r="H1822" t="str">
        <f>IF(A1822="","",IFERROR(VALUE(SUBSTITUTE(TRIM(Input!I1822&amp;""),"%","")),0)/IF(AND(IFERROR(VALUE(SUBSTITUTE(TRIM(Input!I1822&amp;""),"%","")),0)&gt;0,IFERROR(VALUE(SUBSTITUTE(TRIM(Input!I1822&amp;""),"%","")),0)&lt;1),1,100))</f>
        <v/>
      </c>
    </row>
    <row r="1823" spans="1:8">
      <c r="A1823" t="str">
        <f>IF(TRIM(Input!B1823&amp;"")="","",UPPER(TRIM(Input!B1823&amp;"")))</f>
        <v/>
      </c>
      <c r="B1823" t="str">
        <f>IF(A1823="","",IFERROR(VALUE(RIGHT(TRIM(Input!D1823&amp;""),1)),0))</f>
        <v/>
      </c>
      <c r="C1823" t="str">
        <f t="shared" si="28"/>
        <v/>
      </c>
      <c r="D1823" t="str">
        <f>IF(A1823="","",IFERROR(VALUE(SUBSTITUTE(TRIM(Input!E1823&amp;""),"%","")),0)/IF(AND(IFERROR(VALUE(SUBSTITUTE(TRIM(Input!E1823&amp;""),"%","")),0)&gt;0,IFERROR(VALUE(SUBSTITUTE(TRIM(Input!E1823&amp;""),"%","")),0)&lt;1),1,100))</f>
        <v/>
      </c>
      <c r="E1823" t="str">
        <f>IF(A1823="","",IFERROR(VALUE(SUBSTITUTE(TRIM(Input!F1823&amp;""),"%","")),0)/IF(AND(IFERROR(VALUE(SUBSTITUTE(TRIM(Input!F1823&amp;""),"%","")),0)&gt;0,IFERROR(VALUE(SUBSTITUTE(TRIM(Input!F1823&amp;""),"%","")),0)&lt;1),1,100))</f>
        <v/>
      </c>
      <c r="F1823" t="str">
        <f>IF(A1823="","",IFERROR(VALUE(SUBSTITUTE(TRIM(Input!G1823&amp;""),"%","")),0)/IF(AND(IFERROR(VALUE(SUBSTITUTE(TRIM(Input!G1823&amp;""),"%","")),0)&gt;0,IFERROR(VALUE(SUBSTITUTE(TRIM(Input!G1823&amp;""),"%","")),0)&lt;1),1,100))</f>
        <v/>
      </c>
      <c r="G1823" t="str">
        <f>IF(A1823="","",IFERROR(VALUE(SUBSTITUTE(TRIM(Input!H1823&amp;""),"%","")),0)/IF(AND(IFERROR(VALUE(SUBSTITUTE(TRIM(Input!H1823&amp;""),"%","")),0)&gt;0,IFERROR(VALUE(SUBSTITUTE(TRIM(Input!H1823&amp;""),"%","")),0)&lt;1),1,100))</f>
        <v/>
      </c>
      <c r="H1823" t="str">
        <f>IF(A1823="","",IFERROR(VALUE(SUBSTITUTE(TRIM(Input!I1823&amp;""),"%","")),0)/IF(AND(IFERROR(VALUE(SUBSTITUTE(TRIM(Input!I1823&amp;""),"%","")),0)&gt;0,IFERROR(VALUE(SUBSTITUTE(TRIM(Input!I1823&amp;""),"%","")),0)&lt;1),1,100))</f>
        <v/>
      </c>
    </row>
    <row r="1824" spans="1:8">
      <c r="A1824" t="str">
        <f>IF(TRIM(Input!B1824&amp;"")="","",UPPER(TRIM(Input!B1824&amp;"")))</f>
        <v/>
      </c>
      <c r="B1824" t="str">
        <f>IF(A1824="","",IFERROR(VALUE(RIGHT(TRIM(Input!D1824&amp;""),1)),0))</f>
        <v/>
      </c>
      <c r="C1824" t="str">
        <f t="shared" si="28"/>
        <v/>
      </c>
      <c r="D1824" t="str">
        <f>IF(A1824="","",IFERROR(VALUE(SUBSTITUTE(TRIM(Input!E1824&amp;""),"%","")),0)/IF(AND(IFERROR(VALUE(SUBSTITUTE(TRIM(Input!E1824&amp;""),"%","")),0)&gt;0,IFERROR(VALUE(SUBSTITUTE(TRIM(Input!E1824&amp;""),"%","")),0)&lt;1),1,100))</f>
        <v/>
      </c>
      <c r="E1824" t="str">
        <f>IF(A1824="","",IFERROR(VALUE(SUBSTITUTE(TRIM(Input!F1824&amp;""),"%","")),0)/IF(AND(IFERROR(VALUE(SUBSTITUTE(TRIM(Input!F1824&amp;""),"%","")),0)&gt;0,IFERROR(VALUE(SUBSTITUTE(TRIM(Input!F1824&amp;""),"%","")),0)&lt;1),1,100))</f>
        <v/>
      </c>
      <c r="F1824" t="str">
        <f>IF(A1824="","",IFERROR(VALUE(SUBSTITUTE(TRIM(Input!G1824&amp;""),"%","")),0)/IF(AND(IFERROR(VALUE(SUBSTITUTE(TRIM(Input!G1824&amp;""),"%","")),0)&gt;0,IFERROR(VALUE(SUBSTITUTE(TRIM(Input!G1824&amp;""),"%","")),0)&lt;1),1,100))</f>
        <v/>
      </c>
      <c r="G1824" t="str">
        <f>IF(A1824="","",IFERROR(VALUE(SUBSTITUTE(TRIM(Input!H1824&amp;""),"%","")),0)/IF(AND(IFERROR(VALUE(SUBSTITUTE(TRIM(Input!H1824&amp;""),"%","")),0)&gt;0,IFERROR(VALUE(SUBSTITUTE(TRIM(Input!H1824&amp;""),"%","")),0)&lt;1),1,100))</f>
        <v/>
      </c>
      <c r="H1824" t="str">
        <f>IF(A1824="","",IFERROR(VALUE(SUBSTITUTE(TRIM(Input!I1824&amp;""),"%","")),0)/IF(AND(IFERROR(VALUE(SUBSTITUTE(TRIM(Input!I1824&amp;""),"%","")),0)&gt;0,IFERROR(VALUE(SUBSTITUTE(TRIM(Input!I1824&amp;""),"%","")),0)&lt;1),1,100))</f>
        <v/>
      </c>
    </row>
    <row r="1825" spans="1:8">
      <c r="A1825" t="str">
        <f>IF(TRIM(Input!B1825&amp;"")="","",UPPER(TRIM(Input!B1825&amp;"")))</f>
        <v/>
      </c>
      <c r="B1825" t="str">
        <f>IF(A1825="","",IFERROR(VALUE(RIGHT(TRIM(Input!D1825&amp;""),1)),0))</f>
        <v/>
      </c>
      <c r="C1825" t="str">
        <f t="shared" si="28"/>
        <v/>
      </c>
      <c r="D1825" t="str">
        <f>IF(A1825="","",IFERROR(VALUE(SUBSTITUTE(TRIM(Input!E1825&amp;""),"%","")),0)/IF(AND(IFERROR(VALUE(SUBSTITUTE(TRIM(Input!E1825&amp;""),"%","")),0)&gt;0,IFERROR(VALUE(SUBSTITUTE(TRIM(Input!E1825&amp;""),"%","")),0)&lt;1),1,100))</f>
        <v/>
      </c>
      <c r="E1825" t="str">
        <f>IF(A1825="","",IFERROR(VALUE(SUBSTITUTE(TRIM(Input!F1825&amp;""),"%","")),0)/IF(AND(IFERROR(VALUE(SUBSTITUTE(TRIM(Input!F1825&amp;""),"%","")),0)&gt;0,IFERROR(VALUE(SUBSTITUTE(TRIM(Input!F1825&amp;""),"%","")),0)&lt;1),1,100))</f>
        <v/>
      </c>
      <c r="F1825" t="str">
        <f>IF(A1825="","",IFERROR(VALUE(SUBSTITUTE(TRIM(Input!G1825&amp;""),"%","")),0)/IF(AND(IFERROR(VALUE(SUBSTITUTE(TRIM(Input!G1825&amp;""),"%","")),0)&gt;0,IFERROR(VALUE(SUBSTITUTE(TRIM(Input!G1825&amp;""),"%","")),0)&lt;1),1,100))</f>
        <v/>
      </c>
      <c r="G1825" t="str">
        <f>IF(A1825="","",IFERROR(VALUE(SUBSTITUTE(TRIM(Input!H1825&amp;""),"%","")),0)/IF(AND(IFERROR(VALUE(SUBSTITUTE(TRIM(Input!H1825&amp;""),"%","")),0)&gt;0,IFERROR(VALUE(SUBSTITUTE(TRIM(Input!H1825&amp;""),"%","")),0)&lt;1),1,100))</f>
        <v/>
      </c>
      <c r="H1825" t="str">
        <f>IF(A1825="","",IFERROR(VALUE(SUBSTITUTE(TRIM(Input!I1825&amp;""),"%","")),0)/IF(AND(IFERROR(VALUE(SUBSTITUTE(TRIM(Input!I1825&amp;""),"%","")),0)&gt;0,IFERROR(VALUE(SUBSTITUTE(TRIM(Input!I1825&amp;""),"%","")),0)&lt;1),1,100))</f>
        <v/>
      </c>
    </row>
    <row r="1826" spans="1:8">
      <c r="A1826" t="str">
        <f>IF(TRIM(Input!B1826&amp;"")="","",UPPER(TRIM(Input!B1826&amp;"")))</f>
        <v/>
      </c>
      <c r="B1826" t="str">
        <f>IF(A1826="","",IFERROR(VALUE(RIGHT(TRIM(Input!D1826&amp;""),1)),0))</f>
        <v/>
      </c>
      <c r="C1826" t="str">
        <f t="shared" si="28"/>
        <v/>
      </c>
      <c r="D1826" t="str">
        <f>IF(A1826="","",IFERROR(VALUE(SUBSTITUTE(TRIM(Input!E1826&amp;""),"%","")),0)/IF(AND(IFERROR(VALUE(SUBSTITUTE(TRIM(Input!E1826&amp;""),"%","")),0)&gt;0,IFERROR(VALUE(SUBSTITUTE(TRIM(Input!E1826&amp;""),"%","")),0)&lt;1),1,100))</f>
        <v/>
      </c>
      <c r="E1826" t="str">
        <f>IF(A1826="","",IFERROR(VALUE(SUBSTITUTE(TRIM(Input!F1826&amp;""),"%","")),0)/IF(AND(IFERROR(VALUE(SUBSTITUTE(TRIM(Input!F1826&amp;""),"%","")),0)&gt;0,IFERROR(VALUE(SUBSTITUTE(TRIM(Input!F1826&amp;""),"%","")),0)&lt;1),1,100))</f>
        <v/>
      </c>
      <c r="F1826" t="str">
        <f>IF(A1826="","",IFERROR(VALUE(SUBSTITUTE(TRIM(Input!G1826&amp;""),"%","")),0)/IF(AND(IFERROR(VALUE(SUBSTITUTE(TRIM(Input!G1826&amp;""),"%","")),0)&gt;0,IFERROR(VALUE(SUBSTITUTE(TRIM(Input!G1826&amp;""),"%","")),0)&lt;1),1,100))</f>
        <v/>
      </c>
      <c r="G1826" t="str">
        <f>IF(A1826="","",IFERROR(VALUE(SUBSTITUTE(TRIM(Input!H1826&amp;""),"%","")),0)/IF(AND(IFERROR(VALUE(SUBSTITUTE(TRIM(Input!H1826&amp;""),"%","")),0)&gt;0,IFERROR(VALUE(SUBSTITUTE(TRIM(Input!H1826&amp;""),"%","")),0)&lt;1),1,100))</f>
        <v/>
      </c>
      <c r="H1826" t="str">
        <f>IF(A1826="","",IFERROR(VALUE(SUBSTITUTE(TRIM(Input!I1826&amp;""),"%","")),0)/IF(AND(IFERROR(VALUE(SUBSTITUTE(TRIM(Input!I1826&amp;""),"%","")),0)&gt;0,IFERROR(VALUE(SUBSTITUTE(TRIM(Input!I1826&amp;""),"%","")),0)&lt;1),1,100))</f>
        <v/>
      </c>
    </row>
    <row r="1827" spans="1:8">
      <c r="A1827" t="str">
        <f>IF(TRIM(Input!B1827&amp;"")="","",UPPER(TRIM(Input!B1827&amp;"")))</f>
        <v/>
      </c>
      <c r="B1827" t="str">
        <f>IF(A1827="","",IFERROR(VALUE(RIGHT(TRIM(Input!D1827&amp;""),1)),0))</f>
        <v/>
      </c>
      <c r="C1827" t="str">
        <f t="shared" si="28"/>
        <v/>
      </c>
      <c r="D1827" t="str">
        <f>IF(A1827="","",IFERROR(VALUE(SUBSTITUTE(TRIM(Input!E1827&amp;""),"%","")),0)/IF(AND(IFERROR(VALUE(SUBSTITUTE(TRIM(Input!E1827&amp;""),"%","")),0)&gt;0,IFERROR(VALUE(SUBSTITUTE(TRIM(Input!E1827&amp;""),"%","")),0)&lt;1),1,100))</f>
        <v/>
      </c>
      <c r="E1827" t="str">
        <f>IF(A1827="","",IFERROR(VALUE(SUBSTITUTE(TRIM(Input!F1827&amp;""),"%","")),0)/IF(AND(IFERROR(VALUE(SUBSTITUTE(TRIM(Input!F1827&amp;""),"%","")),0)&gt;0,IFERROR(VALUE(SUBSTITUTE(TRIM(Input!F1827&amp;""),"%","")),0)&lt;1),1,100))</f>
        <v/>
      </c>
      <c r="F1827" t="str">
        <f>IF(A1827="","",IFERROR(VALUE(SUBSTITUTE(TRIM(Input!G1827&amp;""),"%","")),0)/IF(AND(IFERROR(VALUE(SUBSTITUTE(TRIM(Input!G1827&amp;""),"%","")),0)&gt;0,IFERROR(VALUE(SUBSTITUTE(TRIM(Input!G1827&amp;""),"%","")),0)&lt;1),1,100))</f>
        <v/>
      </c>
      <c r="G1827" t="str">
        <f>IF(A1827="","",IFERROR(VALUE(SUBSTITUTE(TRIM(Input!H1827&amp;""),"%","")),0)/IF(AND(IFERROR(VALUE(SUBSTITUTE(TRIM(Input!H1827&amp;""),"%","")),0)&gt;0,IFERROR(VALUE(SUBSTITUTE(TRIM(Input!H1827&amp;""),"%","")),0)&lt;1),1,100))</f>
        <v/>
      </c>
      <c r="H1827" t="str">
        <f>IF(A1827="","",IFERROR(VALUE(SUBSTITUTE(TRIM(Input!I1827&amp;""),"%","")),0)/IF(AND(IFERROR(VALUE(SUBSTITUTE(TRIM(Input!I1827&amp;""),"%","")),0)&gt;0,IFERROR(VALUE(SUBSTITUTE(TRIM(Input!I1827&amp;""),"%","")),0)&lt;1),1,100))</f>
        <v/>
      </c>
    </row>
    <row r="1828" spans="1:8">
      <c r="A1828" t="str">
        <f>IF(TRIM(Input!B1828&amp;"")="","",UPPER(TRIM(Input!B1828&amp;"")))</f>
        <v/>
      </c>
      <c r="B1828" t="str">
        <f>IF(A1828="","",IFERROR(VALUE(RIGHT(TRIM(Input!D1828&amp;""),1)),0))</f>
        <v/>
      </c>
      <c r="C1828" t="str">
        <f t="shared" si="28"/>
        <v/>
      </c>
      <c r="D1828" t="str">
        <f>IF(A1828="","",IFERROR(VALUE(SUBSTITUTE(TRIM(Input!E1828&amp;""),"%","")),0)/IF(AND(IFERROR(VALUE(SUBSTITUTE(TRIM(Input!E1828&amp;""),"%","")),0)&gt;0,IFERROR(VALUE(SUBSTITUTE(TRIM(Input!E1828&amp;""),"%","")),0)&lt;1),1,100))</f>
        <v/>
      </c>
      <c r="E1828" t="str">
        <f>IF(A1828="","",IFERROR(VALUE(SUBSTITUTE(TRIM(Input!F1828&amp;""),"%","")),0)/IF(AND(IFERROR(VALUE(SUBSTITUTE(TRIM(Input!F1828&amp;""),"%","")),0)&gt;0,IFERROR(VALUE(SUBSTITUTE(TRIM(Input!F1828&amp;""),"%","")),0)&lt;1),1,100))</f>
        <v/>
      </c>
      <c r="F1828" t="str">
        <f>IF(A1828="","",IFERROR(VALUE(SUBSTITUTE(TRIM(Input!G1828&amp;""),"%","")),0)/IF(AND(IFERROR(VALUE(SUBSTITUTE(TRIM(Input!G1828&amp;""),"%","")),0)&gt;0,IFERROR(VALUE(SUBSTITUTE(TRIM(Input!G1828&amp;""),"%","")),0)&lt;1),1,100))</f>
        <v/>
      </c>
      <c r="G1828" t="str">
        <f>IF(A1828="","",IFERROR(VALUE(SUBSTITUTE(TRIM(Input!H1828&amp;""),"%","")),0)/IF(AND(IFERROR(VALUE(SUBSTITUTE(TRIM(Input!H1828&amp;""),"%","")),0)&gt;0,IFERROR(VALUE(SUBSTITUTE(TRIM(Input!H1828&amp;""),"%","")),0)&lt;1),1,100))</f>
        <v/>
      </c>
      <c r="H1828" t="str">
        <f>IF(A1828="","",IFERROR(VALUE(SUBSTITUTE(TRIM(Input!I1828&amp;""),"%","")),0)/IF(AND(IFERROR(VALUE(SUBSTITUTE(TRIM(Input!I1828&amp;""),"%","")),0)&gt;0,IFERROR(VALUE(SUBSTITUTE(TRIM(Input!I1828&amp;""),"%","")),0)&lt;1),1,100))</f>
        <v/>
      </c>
    </row>
    <row r="1829" spans="1:8">
      <c r="A1829" t="str">
        <f>IF(TRIM(Input!B1829&amp;"")="","",UPPER(TRIM(Input!B1829&amp;"")))</f>
        <v/>
      </c>
      <c r="B1829" t="str">
        <f>IF(A1829="","",IFERROR(VALUE(RIGHT(TRIM(Input!D1829&amp;""),1)),0))</f>
        <v/>
      </c>
      <c r="C1829" t="str">
        <f t="shared" si="28"/>
        <v/>
      </c>
      <c r="D1829" t="str">
        <f>IF(A1829="","",IFERROR(VALUE(SUBSTITUTE(TRIM(Input!E1829&amp;""),"%","")),0)/IF(AND(IFERROR(VALUE(SUBSTITUTE(TRIM(Input!E1829&amp;""),"%","")),0)&gt;0,IFERROR(VALUE(SUBSTITUTE(TRIM(Input!E1829&amp;""),"%","")),0)&lt;1),1,100))</f>
        <v/>
      </c>
      <c r="E1829" t="str">
        <f>IF(A1829="","",IFERROR(VALUE(SUBSTITUTE(TRIM(Input!F1829&amp;""),"%","")),0)/IF(AND(IFERROR(VALUE(SUBSTITUTE(TRIM(Input!F1829&amp;""),"%","")),0)&gt;0,IFERROR(VALUE(SUBSTITUTE(TRIM(Input!F1829&amp;""),"%","")),0)&lt;1),1,100))</f>
        <v/>
      </c>
      <c r="F1829" t="str">
        <f>IF(A1829="","",IFERROR(VALUE(SUBSTITUTE(TRIM(Input!G1829&amp;""),"%","")),0)/IF(AND(IFERROR(VALUE(SUBSTITUTE(TRIM(Input!G1829&amp;""),"%","")),0)&gt;0,IFERROR(VALUE(SUBSTITUTE(TRIM(Input!G1829&amp;""),"%","")),0)&lt;1),1,100))</f>
        <v/>
      </c>
      <c r="G1829" t="str">
        <f>IF(A1829="","",IFERROR(VALUE(SUBSTITUTE(TRIM(Input!H1829&amp;""),"%","")),0)/IF(AND(IFERROR(VALUE(SUBSTITUTE(TRIM(Input!H1829&amp;""),"%","")),0)&gt;0,IFERROR(VALUE(SUBSTITUTE(TRIM(Input!H1829&amp;""),"%","")),0)&lt;1),1,100))</f>
        <v/>
      </c>
      <c r="H1829" t="str">
        <f>IF(A1829="","",IFERROR(VALUE(SUBSTITUTE(TRIM(Input!I1829&amp;""),"%","")),0)/IF(AND(IFERROR(VALUE(SUBSTITUTE(TRIM(Input!I1829&amp;""),"%","")),0)&gt;0,IFERROR(VALUE(SUBSTITUTE(TRIM(Input!I1829&amp;""),"%","")),0)&lt;1),1,100))</f>
        <v/>
      </c>
    </row>
    <row r="1830" spans="1:8">
      <c r="A1830" t="str">
        <f>IF(TRIM(Input!B1830&amp;"")="","",UPPER(TRIM(Input!B1830&amp;"")))</f>
        <v/>
      </c>
      <c r="B1830" t="str">
        <f>IF(A1830="","",IFERROR(VALUE(RIGHT(TRIM(Input!D1830&amp;""),1)),0))</f>
        <v/>
      </c>
      <c r="C1830" t="str">
        <f t="shared" si="28"/>
        <v/>
      </c>
      <c r="D1830" t="str">
        <f>IF(A1830="","",IFERROR(VALUE(SUBSTITUTE(TRIM(Input!E1830&amp;""),"%","")),0)/IF(AND(IFERROR(VALUE(SUBSTITUTE(TRIM(Input!E1830&amp;""),"%","")),0)&gt;0,IFERROR(VALUE(SUBSTITUTE(TRIM(Input!E1830&amp;""),"%","")),0)&lt;1),1,100))</f>
        <v/>
      </c>
      <c r="E1830" t="str">
        <f>IF(A1830="","",IFERROR(VALUE(SUBSTITUTE(TRIM(Input!F1830&amp;""),"%","")),0)/IF(AND(IFERROR(VALUE(SUBSTITUTE(TRIM(Input!F1830&amp;""),"%","")),0)&gt;0,IFERROR(VALUE(SUBSTITUTE(TRIM(Input!F1830&amp;""),"%","")),0)&lt;1),1,100))</f>
        <v/>
      </c>
      <c r="F1830" t="str">
        <f>IF(A1830="","",IFERROR(VALUE(SUBSTITUTE(TRIM(Input!G1830&amp;""),"%","")),0)/IF(AND(IFERROR(VALUE(SUBSTITUTE(TRIM(Input!G1830&amp;""),"%","")),0)&gt;0,IFERROR(VALUE(SUBSTITUTE(TRIM(Input!G1830&amp;""),"%","")),0)&lt;1),1,100))</f>
        <v/>
      </c>
      <c r="G1830" t="str">
        <f>IF(A1830="","",IFERROR(VALUE(SUBSTITUTE(TRIM(Input!H1830&amp;""),"%","")),0)/IF(AND(IFERROR(VALUE(SUBSTITUTE(TRIM(Input!H1830&amp;""),"%","")),0)&gt;0,IFERROR(VALUE(SUBSTITUTE(TRIM(Input!H1830&amp;""),"%","")),0)&lt;1),1,100))</f>
        <v/>
      </c>
      <c r="H1830" t="str">
        <f>IF(A1830="","",IFERROR(VALUE(SUBSTITUTE(TRIM(Input!I1830&amp;""),"%","")),0)/IF(AND(IFERROR(VALUE(SUBSTITUTE(TRIM(Input!I1830&amp;""),"%","")),0)&gt;0,IFERROR(VALUE(SUBSTITUTE(TRIM(Input!I1830&amp;""),"%","")),0)&lt;1),1,100))</f>
        <v/>
      </c>
    </row>
    <row r="1831" spans="1:8">
      <c r="A1831" t="str">
        <f>IF(TRIM(Input!B1831&amp;"")="","",UPPER(TRIM(Input!B1831&amp;"")))</f>
        <v/>
      </c>
      <c r="B1831" t="str">
        <f>IF(A1831="","",IFERROR(VALUE(RIGHT(TRIM(Input!D1831&amp;""),1)),0))</f>
        <v/>
      </c>
      <c r="C1831" t="str">
        <f t="shared" si="28"/>
        <v/>
      </c>
      <c r="D1831" t="str">
        <f>IF(A1831="","",IFERROR(VALUE(SUBSTITUTE(TRIM(Input!E1831&amp;""),"%","")),0)/IF(AND(IFERROR(VALUE(SUBSTITUTE(TRIM(Input!E1831&amp;""),"%","")),0)&gt;0,IFERROR(VALUE(SUBSTITUTE(TRIM(Input!E1831&amp;""),"%","")),0)&lt;1),1,100))</f>
        <v/>
      </c>
      <c r="E1831" t="str">
        <f>IF(A1831="","",IFERROR(VALUE(SUBSTITUTE(TRIM(Input!F1831&amp;""),"%","")),0)/IF(AND(IFERROR(VALUE(SUBSTITUTE(TRIM(Input!F1831&amp;""),"%","")),0)&gt;0,IFERROR(VALUE(SUBSTITUTE(TRIM(Input!F1831&amp;""),"%","")),0)&lt;1),1,100))</f>
        <v/>
      </c>
      <c r="F1831" t="str">
        <f>IF(A1831="","",IFERROR(VALUE(SUBSTITUTE(TRIM(Input!G1831&amp;""),"%","")),0)/IF(AND(IFERROR(VALUE(SUBSTITUTE(TRIM(Input!G1831&amp;""),"%","")),0)&gt;0,IFERROR(VALUE(SUBSTITUTE(TRIM(Input!G1831&amp;""),"%","")),0)&lt;1),1,100))</f>
        <v/>
      </c>
      <c r="G1831" t="str">
        <f>IF(A1831="","",IFERROR(VALUE(SUBSTITUTE(TRIM(Input!H1831&amp;""),"%","")),0)/IF(AND(IFERROR(VALUE(SUBSTITUTE(TRIM(Input!H1831&amp;""),"%","")),0)&gt;0,IFERROR(VALUE(SUBSTITUTE(TRIM(Input!H1831&amp;""),"%","")),0)&lt;1),1,100))</f>
        <v/>
      </c>
      <c r="H1831" t="str">
        <f>IF(A1831="","",IFERROR(VALUE(SUBSTITUTE(TRIM(Input!I1831&amp;""),"%","")),0)/IF(AND(IFERROR(VALUE(SUBSTITUTE(TRIM(Input!I1831&amp;""),"%","")),0)&gt;0,IFERROR(VALUE(SUBSTITUTE(TRIM(Input!I1831&amp;""),"%","")),0)&lt;1),1,100))</f>
        <v/>
      </c>
    </row>
    <row r="1832" spans="1:8">
      <c r="A1832" t="str">
        <f>IF(TRIM(Input!B1832&amp;"")="","",UPPER(TRIM(Input!B1832&amp;"")))</f>
        <v/>
      </c>
      <c r="B1832" t="str">
        <f>IF(A1832="","",IFERROR(VALUE(RIGHT(TRIM(Input!D1832&amp;""),1)),0))</f>
        <v/>
      </c>
      <c r="C1832" t="str">
        <f t="shared" si="28"/>
        <v/>
      </c>
      <c r="D1832" t="str">
        <f>IF(A1832="","",IFERROR(VALUE(SUBSTITUTE(TRIM(Input!E1832&amp;""),"%","")),0)/IF(AND(IFERROR(VALUE(SUBSTITUTE(TRIM(Input!E1832&amp;""),"%","")),0)&gt;0,IFERROR(VALUE(SUBSTITUTE(TRIM(Input!E1832&amp;""),"%","")),0)&lt;1),1,100))</f>
        <v/>
      </c>
      <c r="E1832" t="str">
        <f>IF(A1832="","",IFERROR(VALUE(SUBSTITUTE(TRIM(Input!F1832&amp;""),"%","")),0)/IF(AND(IFERROR(VALUE(SUBSTITUTE(TRIM(Input!F1832&amp;""),"%","")),0)&gt;0,IFERROR(VALUE(SUBSTITUTE(TRIM(Input!F1832&amp;""),"%","")),0)&lt;1),1,100))</f>
        <v/>
      </c>
      <c r="F1832" t="str">
        <f>IF(A1832="","",IFERROR(VALUE(SUBSTITUTE(TRIM(Input!G1832&amp;""),"%","")),0)/IF(AND(IFERROR(VALUE(SUBSTITUTE(TRIM(Input!G1832&amp;""),"%","")),0)&gt;0,IFERROR(VALUE(SUBSTITUTE(TRIM(Input!G1832&amp;""),"%","")),0)&lt;1),1,100))</f>
        <v/>
      </c>
      <c r="G1832" t="str">
        <f>IF(A1832="","",IFERROR(VALUE(SUBSTITUTE(TRIM(Input!H1832&amp;""),"%","")),0)/IF(AND(IFERROR(VALUE(SUBSTITUTE(TRIM(Input!H1832&amp;""),"%","")),0)&gt;0,IFERROR(VALUE(SUBSTITUTE(TRIM(Input!H1832&amp;""),"%","")),0)&lt;1),1,100))</f>
        <v/>
      </c>
      <c r="H1832" t="str">
        <f>IF(A1832="","",IFERROR(VALUE(SUBSTITUTE(TRIM(Input!I1832&amp;""),"%","")),0)/IF(AND(IFERROR(VALUE(SUBSTITUTE(TRIM(Input!I1832&amp;""),"%","")),0)&gt;0,IFERROR(VALUE(SUBSTITUTE(TRIM(Input!I1832&amp;""),"%","")),0)&lt;1),1,100))</f>
        <v/>
      </c>
    </row>
    <row r="1833" spans="1:8">
      <c r="A1833" t="str">
        <f>IF(TRIM(Input!B1833&amp;"")="","",UPPER(TRIM(Input!B1833&amp;"")))</f>
        <v/>
      </c>
      <c r="B1833" t="str">
        <f>IF(A1833="","",IFERROR(VALUE(RIGHT(TRIM(Input!D1833&amp;""),1)),0))</f>
        <v/>
      </c>
      <c r="C1833" t="str">
        <f t="shared" si="28"/>
        <v/>
      </c>
      <c r="D1833" t="str">
        <f>IF(A1833="","",IFERROR(VALUE(SUBSTITUTE(TRIM(Input!E1833&amp;""),"%","")),0)/IF(AND(IFERROR(VALUE(SUBSTITUTE(TRIM(Input!E1833&amp;""),"%","")),0)&gt;0,IFERROR(VALUE(SUBSTITUTE(TRIM(Input!E1833&amp;""),"%","")),0)&lt;1),1,100))</f>
        <v/>
      </c>
      <c r="E1833" t="str">
        <f>IF(A1833="","",IFERROR(VALUE(SUBSTITUTE(TRIM(Input!F1833&amp;""),"%","")),0)/IF(AND(IFERROR(VALUE(SUBSTITUTE(TRIM(Input!F1833&amp;""),"%","")),0)&gt;0,IFERROR(VALUE(SUBSTITUTE(TRIM(Input!F1833&amp;""),"%","")),0)&lt;1),1,100))</f>
        <v/>
      </c>
      <c r="F1833" t="str">
        <f>IF(A1833="","",IFERROR(VALUE(SUBSTITUTE(TRIM(Input!G1833&amp;""),"%","")),0)/IF(AND(IFERROR(VALUE(SUBSTITUTE(TRIM(Input!G1833&amp;""),"%","")),0)&gt;0,IFERROR(VALUE(SUBSTITUTE(TRIM(Input!G1833&amp;""),"%","")),0)&lt;1),1,100))</f>
        <v/>
      </c>
      <c r="G1833" t="str">
        <f>IF(A1833="","",IFERROR(VALUE(SUBSTITUTE(TRIM(Input!H1833&amp;""),"%","")),0)/IF(AND(IFERROR(VALUE(SUBSTITUTE(TRIM(Input!H1833&amp;""),"%","")),0)&gt;0,IFERROR(VALUE(SUBSTITUTE(TRIM(Input!H1833&amp;""),"%","")),0)&lt;1),1,100))</f>
        <v/>
      </c>
      <c r="H1833" t="str">
        <f>IF(A1833="","",IFERROR(VALUE(SUBSTITUTE(TRIM(Input!I1833&amp;""),"%","")),0)/IF(AND(IFERROR(VALUE(SUBSTITUTE(TRIM(Input!I1833&amp;""),"%","")),0)&gt;0,IFERROR(VALUE(SUBSTITUTE(TRIM(Input!I1833&amp;""),"%","")),0)&lt;1),1,100))</f>
        <v/>
      </c>
    </row>
    <row r="1834" spans="1:8">
      <c r="A1834" t="str">
        <f>IF(TRIM(Input!B1834&amp;"")="","",UPPER(TRIM(Input!B1834&amp;"")))</f>
        <v/>
      </c>
      <c r="B1834" t="str">
        <f>IF(A1834="","",IFERROR(VALUE(RIGHT(TRIM(Input!D1834&amp;""),1)),0))</f>
        <v/>
      </c>
      <c r="C1834" t="str">
        <f t="shared" si="28"/>
        <v/>
      </c>
      <c r="D1834" t="str">
        <f>IF(A1834="","",IFERROR(VALUE(SUBSTITUTE(TRIM(Input!E1834&amp;""),"%","")),0)/IF(AND(IFERROR(VALUE(SUBSTITUTE(TRIM(Input!E1834&amp;""),"%","")),0)&gt;0,IFERROR(VALUE(SUBSTITUTE(TRIM(Input!E1834&amp;""),"%","")),0)&lt;1),1,100))</f>
        <v/>
      </c>
      <c r="E1834" t="str">
        <f>IF(A1834="","",IFERROR(VALUE(SUBSTITUTE(TRIM(Input!F1834&amp;""),"%","")),0)/IF(AND(IFERROR(VALUE(SUBSTITUTE(TRIM(Input!F1834&amp;""),"%","")),0)&gt;0,IFERROR(VALUE(SUBSTITUTE(TRIM(Input!F1834&amp;""),"%","")),0)&lt;1),1,100))</f>
        <v/>
      </c>
      <c r="F1834" t="str">
        <f>IF(A1834="","",IFERROR(VALUE(SUBSTITUTE(TRIM(Input!G1834&amp;""),"%","")),0)/IF(AND(IFERROR(VALUE(SUBSTITUTE(TRIM(Input!G1834&amp;""),"%","")),0)&gt;0,IFERROR(VALUE(SUBSTITUTE(TRIM(Input!G1834&amp;""),"%","")),0)&lt;1),1,100))</f>
        <v/>
      </c>
      <c r="G1834" t="str">
        <f>IF(A1834="","",IFERROR(VALUE(SUBSTITUTE(TRIM(Input!H1834&amp;""),"%","")),0)/IF(AND(IFERROR(VALUE(SUBSTITUTE(TRIM(Input!H1834&amp;""),"%","")),0)&gt;0,IFERROR(VALUE(SUBSTITUTE(TRIM(Input!H1834&amp;""),"%","")),0)&lt;1),1,100))</f>
        <v/>
      </c>
      <c r="H1834" t="str">
        <f>IF(A1834="","",IFERROR(VALUE(SUBSTITUTE(TRIM(Input!I1834&amp;""),"%","")),0)/IF(AND(IFERROR(VALUE(SUBSTITUTE(TRIM(Input!I1834&amp;""),"%","")),0)&gt;0,IFERROR(VALUE(SUBSTITUTE(TRIM(Input!I1834&amp;""),"%","")),0)&lt;1),1,100))</f>
        <v/>
      </c>
    </row>
    <row r="1835" spans="1:8">
      <c r="A1835" t="str">
        <f>IF(TRIM(Input!B1835&amp;"")="","",UPPER(TRIM(Input!B1835&amp;"")))</f>
        <v/>
      </c>
      <c r="B1835" t="str">
        <f>IF(A1835="","",IFERROR(VALUE(RIGHT(TRIM(Input!D1835&amp;""),1)),0))</f>
        <v/>
      </c>
      <c r="C1835" t="str">
        <f t="shared" si="28"/>
        <v/>
      </c>
      <c r="D1835" t="str">
        <f>IF(A1835="","",IFERROR(VALUE(SUBSTITUTE(TRIM(Input!E1835&amp;""),"%","")),0)/IF(AND(IFERROR(VALUE(SUBSTITUTE(TRIM(Input!E1835&amp;""),"%","")),0)&gt;0,IFERROR(VALUE(SUBSTITUTE(TRIM(Input!E1835&amp;""),"%","")),0)&lt;1),1,100))</f>
        <v/>
      </c>
      <c r="E1835" t="str">
        <f>IF(A1835="","",IFERROR(VALUE(SUBSTITUTE(TRIM(Input!F1835&amp;""),"%","")),0)/IF(AND(IFERROR(VALUE(SUBSTITUTE(TRIM(Input!F1835&amp;""),"%","")),0)&gt;0,IFERROR(VALUE(SUBSTITUTE(TRIM(Input!F1835&amp;""),"%","")),0)&lt;1),1,100))</f>
        <v/>
      </c>
      <c r="F1835" t="str">
        <f>IF(A1835="","",IFERROR(VALUE(SUBSTITUTE(TRIM(Input!G1835&amp;""),"%","")),0)/IF(AND(IFERROR(VALUE(SUBSTITUTE(TRIM(Input!G1835&amp;""),"%","")),0)&gt;0,IFERROR(VALUE(SUBSTITUTE(TRIM(Input!G1835&amp;""),"%","")),0)&lt;1),1,100))</f>
        <v/>
      </c>
      <c r="G1835" t="str">
        <f>IF(A1835="","",IFERROR(VALUE(SUBSTITUTE(TRIM(Input!H1835&amp;""),"%","")),0)/IF(AND(IFERROR(VALUE(SUBSTITUTE(TRIM(Input!H1835&amp;""),"%","")),0)&gt;0,IFERROR(VALUE(SUBSTITUTE(TRIM(Input!H1835&amp;""),"%","")),0)&lt;1),1,100))</f>
        <v/>
      </c>
      <c r="H1835" t="str">
        <f>IF(A1835="","",IFERROR(VALUE(SUBSTITUTE(TRIM(Input!I1835&amp;""),"%","")),0)/IF(AND(IFERROR(VALUE(SUBSTITUTE(TRIM(Input!I1835&amp;""),"%","")),0)&gt;0,IFERROR(VALUE(SUBSTITUTE(TRIM(Input!I1835&amp;""),"%","")),0)&lt;1),1,100))</f>
        <v/>
      </c>
    </row>
    <row r="1836" spans="1:8">
      <c r="A1836" t="str">
        <f>IF(TRIM(Input!B1836&amp;"")="","",UPPER(TRIM(Input!B1836&amp;"")))</f>
        <v/>
      </c>
      <c r="B1836" t="str">
        <f>IF(A1836="","",IFERROR(VALUE(RIGHT(TRIM(Input!D1836&amp;""),1)),0))</f>
        <v/>
      </c>
      <c r="C1836" t="str">
        <f t="shared" si="28"/>
        <v/>
      </c>
      <c r="D1836" t="str">
        <f>IF(A1836="","",IFERROR(VALUE(SUBSTITUTE(TRIM(Input!E1836&amp;""),"%","")),0)/IF(AND(IFERROR(VALUE(SUBSTITUTE(TRIM(Input!E1836&amp;""),"%","")),0)&gt;0,IFERROR(VALUE(SUBSTITUTE(TRIM(Input!E1836&amp;""),"%","")),0)&lt;1),1,100))</f>
        <v/>
      </c>
      <c r="E1836" t="str">
        <f>IF(A1836="","",IFERROR(VALUE(SUBSTITUTE(TRIM(Input!F1836&amp;""),"%","")),0)/IF(AND(IFERROR(VALUE(SUBSTITUTE(TRIM(Input!F1836&amp;""),"%","")),0)&gt;0,IFERROR(VALUE(SUBSTITUTE(TRIM(Input!F1836&amp;""),"%","")),0)&lt;1),1,100))</f>
        <v/>
      </c>
      <c r="F1836" t="str">
        <f>IF(A1836="","",IFERROR(VALUE(SUBSTITUTE(TRIM(Input!G1836&amp;""),"%","")),0)/IF(AND(IFERROR(VALUE(SUBSTITUTE(TRIM(Input!G1836&amp;""),"%","")),0)&gt;0,IFERROR(VALUE(SUBSTITUTE(TRIM(Input!G1836&amp;""),"%","")),0)&lt;1),1,100))</f>
        <v/>
      </c>
      <c r="G1836" t="str">
        <f>IF(A1836="","",IFERROR(VALUE(SUBSTITUTE(TRIM(Input!H1836&amp;""),"%","")),0)/IF(AND(IFERROR(VALUE(SUBSTITUTE(TRIM(Input!H1836&amp;""),"%","")),0)&gt;0,IFERROR(VALUE(SUBSTITUTE(TRIM(Input!H1836&amp;""),"%","")),0)&lt;1),1,100))</f>
        <v/>
      </c>
      <c r="H1836" t="str">
        <f>IF(A1836="","",IFERROR(VALUE(SUBSTITUTE(TRIM(Input!I1836&amp;""),"%","")),0)/IF(AND(IFERROR(VALUE(SUBSTITUTE(TRIM(Input!I1836&amp;""),"%","")),0)&gt;0,IFERROR(VALUE(SUBSTITUTE(TRIM(Input!I1836&amp;""),"%","")),0)&lt;1),1,100))</f>
        <v/>
      </c>
    </row>
    <row r="1837" spans="1:8">
      <c r="A1837" t="str">
        <f>IF(TRIM(Input!B1837&amp;"")="","",UPPER(TRIM(Input!B1837&amp;"")))</f>
        <v/>
      </c>
      <c r="B1837" t="str">
        <f>IF(A1837="","",IFERROR(VALUE(RIGHT(TRIM(Input!D1837&amp;""),1)),0))</f>
        <v/>
      </c>
      <c r="C1837" t="str">
        <f t="shared" si="28"/>
        <v/>
      </c>
      <c r="D1837" t="str">
        <f>IF(A1837="","",IFERROR(VALUE(SUBSTITUTE(TRIM(Input!E1837&amp;""),"%","")),0)/IF(AND(IFERROR(VALUE(SUBSTITUTE(TRIM(Input!E1837&amp;""),"%","")),0)&gt;0,IFERROR(VALUE(SUBSTITUTE(TRIM(Input!E1837&amp;""),"%","")),0)&lt;1),1,100))</f>
        <v/>
      </c>
      <c r="E1837" t="str">
        <f>IF(A1837="","",IFERROR(VALUE(SUBSTITUTE(TRIM(Input!F1837&amp;""),"%","")),0)/IF(AND(IFERROR(VALUE(SUBSTITUTE(TRIM(Input!F1837&amp;""),"%","")),0)&gt;0,IFERROR(VALUE(SUBSTITUTE(TRIM(Input!F1837&amp;""),"%","")),0)&lt;1),1,100))</f>
        <v/>
      </c>
      <c r="F1837" t="str">
        <f>IF(A1837="","",IFERROR(VALUE(SUBSTITUTE(TRIM(Input!G1837&amp;""),"%","")),0)/IF(AND(IFERROR(VALUE(SUBSTITUTE(TRIM(Input!G1837&amp;""),"%","")),0)&gt;0,IFERROR(VALUE(SUBSTITUTE(TRIM(Input!G1837&amp;""),"%","")),0)&lt;1),1,100))</f>
        <v/>
      </c>
      <c r="G1837" t="str">
        <f>IF(A1837="","",IFERROR(VALUE(SUBSTITUTE(TRIM(Input!H1837&amp;""),"%","")),0)/IF(AND(IFERROR(VALUE(SUBSTITUTE(TRIM(Input!H1837&amp;""),"%","")),0)&gt;0,IFERROR(VALUE(SUBSTITUTE(TRIM(Input!H1837&amp;""),"%","")),0)&lt;1),1,100))</f>
        <v/>
      </c>
      <c r="H1837" t="str">
        <f>IF(A1837="","",IFERROR(VALUE(SUBSTITUTE(TRIM(Input!I1837&amp;""),"%","")),0)/IF(AND(IFERROR(VALUE(SUBSTITUTE(TRIM(Input!I1837&amp;""),"%","")),0)&gt;0,IFERROR(VALUE(SUBSTITUTE(TRIM(Input!I1837&amp;""),"%","")),0)&lt;1),1,100))</f>
        <v/>
      </c>
    </row>
    <row r="1838" spans="1:8">
      <c r="A1838" t="str">
        <f>IF(TRIM(Input!B1838&amp;"")="","",UPPER(TRIM(Input!B1838&amp;"")))</f>
        <v/>
      </c>
      <c r="B1838" t="str">
        <f>IF(A1838="","",IFERROR(VALUE(RIGHT(TRIM(Input!D1838&amp;""),1)),0))</f>
        <v/>
      </c>
      <c r="C1838" t="str">
        <f t="shared" si="28"/>
        <v/>
      </c>
      <c r="D1838" t="str">
        <f>IF(A1838="","",IFERROR(VALUE(SUBSTITUTE(TRIM(Input!E1838&amp;""),"%","")),0)/IF(AND(IFERROR(VALUE(SUBSTITUTE(TRIM(Input!E1838&amp;""),"%","")),0)&gt;0,IFERROR(VALUE(SUBSTITUTE(TRIM(Input!E1838&amp;""),"%","")),0)&lt;1),1,100))</f>
        <v/>
      </c>
      <c r="E1838" t="str">
        <f>IF(A1838="","",IFERROR(VALUE(SUBSTITUTE(TRIM(Input!F1838&amp;""),"%","")),0)/IF(AND(IFERROR(VALUE(SUBSTITUTE(TRIM(Input!F1838&amp;""),"%","")),0)&gt;0,IFERROR(VALUE(SUBSTITUTE(TRIM(Input!F1838&amp;""),"%","")),0)&lt;1),1,100))</f>
        <v/>
      </c>
      <c r="F1838" t="str">
        <f>IF(A1838="","",IFERROR(VALUE(SUBSTITUTE(TRIM(Input!G1838&amp;""),"%","")),0)/IF(AND(IFERROR(VALUE(SUBSTITUTE(TRIM(Input!G1838&amp;""),"%","")),0)&gt;0,IFERROR(VALUE(SUBSTITUTE(TRIM(Input!G1838&amp;""),"%","")),0)&lt;1),1,100))</f>
        <v/>
      </c>
      <c r="G1838" t="str">
        <f>IF(A1838="","",IFERROR(VALUE(SUBSTITUTE(TRIM(Input!H1838&amp;""),"%","")),0)/IF(AND(IFERROR(VALUE(SUBSTITUTE(TRIM(Input!H1838&amp;""),"%","")),0)&gt;0,IFERROR(VALUE(SUBSTITUTE(TRIM(Input!H1838&amp;""),"%","")),0)&lt;1),1,100))</f>
        <v/>
      </c>
      <c r="H1838" t="str">
        <f>IF(A1838="","",IFERROR(VALUE(SUBSTITUTE(TRIM(Input!I1838&amp;""),"%","")),0)/IF(AND(IFERROR(VALUE(SUBSTITUTE(TRIM(Input!I1838&amp;""),"%","")),0)&gt;0,IFERROR(VALUE(SUBSTITUTE(TRIM(Input!I1838&amp;""),"%","")),0)&lt;1),1,100))</f>
        <v/>
      </c>
    </row>
    <row r="1839" spans="1:8">
      <c r="A1839" t="str">
        <f>IF(TRIM(Input!B1839&amp;"")="","",UPPER(TRIM(Input!B1839&amp;"")))</f>
        <v/>
      </c>
      <c r="B1839" t="str">
        <f>IF(A1839="","",IFERROR(VALUE(RIGHT(TRIM(Input!D1839&amp;""),1)),0))</f>
        <v/>
      </c>
      <c r="C1839" t="str">
        <f t="shared" si="28"/>
        <v/>
      </c>
      <c r="D1839" t="str">
        <f>IF(A1839="","",IFERROR(VALUE(SUBSTITUTE(TRIM(Input!E1839&amp;""),"%","")),0)/IF(AND(IFERROR(VALUE(SUBSTITUTE(TRIM(Input!E1839&amp;""),"%","")),0)&gt;0,IFERROR(VALUE(SUBSTITUTE(TRIM(Input!E1839&amp;""),"%","")),0)&lt;1),1,100))</f>
        <v/>
      </c>
      <c r="E1839" t="str">
        <f>IF(A1839="","",IFERROR(VALUE(SUBSTITUTE(TRIM(Input!F1839&amp;""),"%","")),0)/IF(AND(IFERROR(VALUE(SUBSTITUTE(TRIM(Input!F1839&amp;""),"%","")),0)&gt;0,IFERROR(VALUE(SUBSTITUTE(TRIM(Input!F1839&amp;""),"%","")),0)&lt;1),1,100))</f>
        <v/>
      </c>
      <c r="F1839" t="str">
        <f>IF(A1839="","",IFERROR(VALUE(SUBSTITUTE(TRIM(Input!G1839&amp;""),"%","")),0)/IF(AND(IFERROR(VALUE(SUBSTITUTE(TRIM(Input!G1839&amp;""),"%","")),0)&gt;0,IFERROR(VALUE(SUBSTITUTE(TRIM(Input!G1839&amp;""),"%","")),0)&lt;1),1,100))</f>
        <v/>
      </c>
      <c r="G1839" t="str">
        <f>IF(A1839="","",IFERROR(VALUE(SUBSTITUTE(TRIM(Input!H1839&amp;""),"%","")),0)/IF(AND(IFERROR(VALUE(SUBSTITUTE(TRIM(Input!H1839&amp;""),"%","")),0)&gt;0,IFERROR(VALUE(SUBSTITUTE(TRIM(Input!H1839&amp;""),"%","")),0)&lt;1),1,100))</f>
        <v/>
      </c>
      <c r="H1839" t="str">
        <f>IF(A1839="","",IFERROR(VALUE(SUBSTITUTE(TRIM(Input!I1839&amp;""),"%","")),0)/IF(AND(IFERROR(VALUE(SUBSTITUTE(TRIM(Input!I1839&amp;""),"%","")),0)&gt;0,IFERROR(VALUE(SUBSTITUTE(TRIM(Input!I1839&amp;""),"%","")),0)&lt;1),1,100))</f>
        <v/>
      </c>
    </row>
    <row r="1840" spans="1:8">
      <c r="A1840" t="str">
        <f>IF(TRIM(Input!B1840&amp;"")="","",UPPER(TRIM(Input!B1840&amp;"")))</f>
        <v/>
      </c>
      <c r="B1840" t="str">
        <f>IF(A1840="","",IFERROR(VALUE(RIGHT(TRIM(Input!D1840&amp;""),1)),0))</f>
        <v/>
      </c>
      <c r="C1840" t="str">
        <f t="shared" si="28"/>
        <v/>
      </c>
      <c r="D1840" t="str">
        <f>IF(A1840="","",IFERROR(VALUE(SUBSTITUTE(TRIM(Input!E1840&amp;""),"%","")),0)/IF(AND(IFERROR(VALUE(SUBSTITUTE(TRIM(Input!E1840&amp;""),"%","")),0)&gt;0,IFERROR(VALUE(SUBSTITUTE(TRIM(Input!E1840&amp;""),"%","")),0)&lt;1),1,100))</f>
        <v/>
      </c>
      <c r="E1840" t="str">
        <f>IF(A1840="","",IFERROR(VALUE(SUBSTITUTE(TRIM(Input!F1840&amp;""),"%","")),0)/IF(AND(IFERROR(VALUE(SUBSTITUTE(TRIM(Input!F1840&amp;""),"%","")),0)&gt;0,IFERROR(VALUE(SUBSTITUTE(TRIM(Input!F1840&amp;""),"%","")),0)&lt;1),1,100))</f>
        <v/>
      </c>
      <c r="F1840" t="str">
        <f>IF(A1840="","",IFERROR(VALUE(SUBSTITUTE(TRIM(Input!G1840&amp;""),"%","")),0)/IF(AND(IFERROR(VALUE(SUBSTITUTE(TRIM(Input!G1840&amp;""),"%","")),0)&gt;0,IFERROR(VALUE(SUBSTITUTE(TRIM(Input!G1840&amp;""),"%","")),0)&lt;1),1,100))</f>
        <v/>
      </c>
      <c r="G1840" t="str">
        <f>IF(A1840="","",IFERROR(VALUE(SUBSTITUTE(TRIM(Input!H1840&amp;""),"%","")),0)/IF(AND(IFERROR(VALUE(SUBSTITUTE(TRIM(Input!H1840&amp;""),"%","")),0)&gt;0,IFERROR(VALUE(SUBSTITUTE(TRIM(Input!H1840&amp;""),"%","")),0)&lt;1),1,100))</f>
        <v/>
      </c>
      <c r="H1840" t="str">
        <f>IF(A1840="","",IFERROR(VALUE(SUBSTITUTE(TRIM(Input!I1840&amp;""),"%","")),0)/IF(AND(IFERROR(VALUE(SUBSTITUTE(TRIM(Input!I1840&amp;""),"%","")),0)&gt;0,IFERROR(VALUE(SUBSTITUTE(TRIM(Input!I1840&amp;""),"%","")),0)&lt;1),1,100))</f>
        <v/>
      </c>
    </row>
    <row r="1841" spans="1:8">
      <c r="A1841" t="str">
        <f>IF(TRIM(Input!B1841&amp;"")="","",UPPER(TRIM(Input!B1841&amp;"")))</f>
        <v/>
      </c>
      <c r="B1841" t="str">
        <f>IF(A1841="","",IFERROR(VALUE(RIGHT(TRIM(Input!D1841&amp;""),1)),0))</f>
        <v/>
      </c>
      <c r="C1841" t="str">
        <f t="shared" si="28"/>
        <v/>
      </c>
      <c r="D1841" t="str">
        <f>IF(A1841="","",IFERROR(VALUE(SUBSTITUTE(TRIM(Input!E1841&amp;""),"%","")),0)/IF(AND(IFERROR(VALUE(SUBSTITUTE(TRIM(Input!E1841&amp;""),"%","")),0)&gt;0,IFERROR(VALUE(SUBSTITUTE(TRIM(Input!E1841&amp;""),"%","")),0)&lt;1),1,100))</f>
        <v/>
      </c>
      <c r="E1841" t="str">
        <f>IF(A1841="","",IFERROR(VALUE(SUBSTITUTE(TRIM(Input!F1841&amp;""),"%","")),0)/IF(AND(IFERROR(VALUE(SUBSTITUTE(TRIM(Input!F1841&amp;""),"%","")),0)&gt;0,IFERROR(VALUE(SUBSTITUTE(TRIM(Input!F1841&amp;""),"%","")),0)&lt;1),1,100))</f>
        <v/>
      </c>
      <c r="F1841" t="str">
        <f>IF(A1841="","",IFERROR(VALUE(SUBSTITUTE(TRIM(Input!G1841&amp;""),"%","")),0)/IF(AND(IFERROR(VALUE(SUBSTITUTE(TRIM(Input!G1841&amp;""),"%","")),0)&gt;0,IFERROR(VALUE(SUBSTITUTE(TRIM(Input!G1841&amp;""),"%","")),0)&lt;1),1,100))</f>
        <v/>
      </c>
      <c r="G1841" t="str">
        <f>IF(A1841="","",IFERROR(VALUE(SUBSTITUTE(TRIM(Input!H1841&amp;""),"%","")),0)/IF(AND(IFERROR(VALUE(SUBSTITUTE(TRIM(Input!H1841&amp;""),"%","")),0)&gt;0,IFERROR(VALUE(SUBSTITUTE(TRIM(Input!H1841&amp;""),"%","")),0)&lt;1),1,100))</f>
        <v/>
      </c>
      <c r="H1841" t="str">
        <f>IF(A1841="","",IFERROR(VALUE(SUBSTITUTE(TRIM(Input!I1841&amp;""),"%","")),0)/IF(AND(IFERROR(VALUE(SUBSTITUTE(TRIM(Input!I1841&amp;""),"%","")),0)&gt;0,IFERROR(VALUE(SUBSTITUTE(TRIM(Input!I1841&amp;""),"%","")),0)&lt;1),1,100))</f>
        <v/>
      </c>
    </row>
    <row r="1842" spans="1:8">
      <c r="A1842" t="str">
        <f>IF(TRIM(Input!B1842&amp;"")="","",UPPER(TRIM(Input!B1842&amp;"")))</f>
        <v/>
      </c>
      <c r="B1842" t="str">
        <f>IF(A1842="","",IFERROR(VALUE(RIGHT(TRIM(Input!D1842&amp;""),1)),0))</f>
        <v/>
      </c>
      <c r="C1842" t="str">
        <f t="shared" si="28"/>
        <v/>
      </c>
      <c r="D1842" t="str">
        <f>IF(A1842="","",IFERROR(VALUE(SUBSTITUTE(TRIM(Input!E1842&amp;""),"%","")),0)/IF(AND(IFERROR(VALUE(SUBSTITUTE(TRIM(Input!E1842&amp;""),"%","")),0)&gt;0,IFERROR(VALUE(SUBSTITUTE(TRIM(Input!E1842&amp;""),"%","")),0)&lt;1),1,100))</f>
        <v/>
      </c>
      <c r="E1842" t="str">
        <f>IF(A1842="","",IFERROR(VALUE(SUBSTITUTE(TRIM(Input!F1842&amp;""),"%","")),0)/IF(AND(IFERROR(VALUE(SUBSTITUTE(TRIM(Input!F1842&amp;""),"%","")),0)&gt;0,IFERROR(VALUE(SUBSTITUTE(TRIM(Input!F1842&amp;""),"%","")),0)&lt;1),1,100))</f>
        <v/>
      </c>
      <c r="F1842" t="str">
        <f>IF(A1842="","",IFERROR(VALUE(SUBSTITUTE(TRIM(Input!G1842&amp;""),"%","")),0)/IF(AND(IFERROR(VALUE(SUBSTITUTE(TRIM(Input!G1842&amp;""),"%","")),0)&gt;0,IFERROR(VALUE(SUBSTITUTE(TRIM(Input!G1842&amp;""),"%","")),0)&lt;1),1,100))</f>
        <v/>
      </c>
      <c r="G1842" t="str">
        <f>IF(A1842="","",IFERROR(VALUE(SUBSTITUTE(TRIM(Input!H1842&amp;""),"%","")),0)/IF(AND(IFERROR(VALUE(SUBSTITUTE(TRIM(Input!H1842&amp;""),"%","")),0)&gt;0,IFERROR(VALUE(SUBSTITUTE(TRIM(Input!H1842&amp;""),"%","")),0)&lt;1),1,100))</f>
        <v/>
      </c>
      <c r="H1842" t="str">
        <f>IF(A1842="","",IFERROR(VALUE(SUBSTITUTE(TRIM(Input!I1842&amp;""),"%","")),0)/IF(AND(IFERROR(VALUE(SUBSTITUTE(TRIM(Input!I1842&amp;""),"%","")),0)&gt;0,IFERROR(VALUE(SUBSTITUTE(TRIM(Input!I1842&amp;""),"%","")),0)&lt;1),1,100))</f>
        <v/>
      </c>
    </row>
    <row r="1843" spans="1:8">
      <c r="A1843" t="str">
        <f>IF(TRIM(Input!B1843&amp;"")="","",UPPER(TRIM(Input!B1843&amp;"")))</f>
        <v/>
      </c>
      <c r="B1843" t="str">
        <f>IF(A1843="","",IFERROR(VALUE(RIGHT(TRIM(Input!D1843&amp;""),1)),0))</f>
        <v/>
      </c>
      <c r="C1843" t="str">
        <f t="shared" si="28"/>
        <v/>
      </c>
      <c r="D1843" t="str">
        <f>IF(A1843="","",IFERROR(VALUE(SUBSTITUTE(TRIM(Input!E1843&amp;""),"%","")),0)/IF(AND(IFERROR(VALUE(SUBSTITUTE(TRIM(Input!E1843&amp;""),"%","")),0)&gt;0,IFERROR(VALUE(SUBSTITUTE(TRIM(Input!E1843&amp;""),"%","")),0)&lt;1),1,100))</f>
        <v/>
      </c>
      <c r="E1843" t="str">
        <f>IF(A1843="","",IFERROR(VALUE(SUBSTITUTE(TRIM(Input!F1843&amp;""),"%","")),0)/IF(AND(IFERROR(VALUE(SUBSTITUTE(TRIM(Input!F1843&amp;""),"%","")),0)&gt;0,IFERROR(VALUE(SUBSTITUTE(TRIM(Input!F1843&amp;""),"%","")),0)&lt;1),1,100))</f>
        <v/>
      </c>
      <c r="F1843" t="str">
        <f>IF(A1843="","",IFERROR(VALUE(SUBSTITUTE(TRIM(Input!G1843&amp;""),"%","")),0)/IF(AND(IFERROR(VALUE(SUBSTITUTE(TRIM(Input!G1843&amp;""),"%","")),0)&gt;0,IFERROR(VALUE(SUBSTITUTE(TRIM(Input!G1843&amp;""),"%","")),0)&lt;1),1,100))</f>
        <v/>
      </c>
      <c r="G1843" t="str">
        <f>IF(A1843="","",IFERROR(VALUE(SUBSTITUTE(TRIM(Input!H1843&amp;""),"%","")),0)/IF(AND(IFERROR(VALUE(SUBSTITUTE(TRIM(Input!H1843&amp;""),"%","")),0)&gt;0,IFERROR(VALUE(SUBSTITUTE(TRIM(Input!H1843&amp;""),"%","")),0)&lt;1),1,100))</f>
        <v/>
      </c>
      <c r="H1843" t="str">
        <f>IF(A1843="","",IFERROR(VALUE(SUBSTITUTE(TRIM(Input!I1843&amp;""),"%","")),0)/IF(AND(IFERROR(VALUE(SUBSTITUTE(TRIM(Input!I1843&amp;""),"%","")),0)&gt;0,IFERROR(VALUE(SUBSTITUTE(TRIM(Input!I1843&amp;""),"%","")),0)&lt;1),1,100))</f>
        <v/>
      </c>
    </row>
    <row r="1844" spans="1:8">
      <c r="A1844" t="str">
        <f>IF(TRIM(Input!B1844&amp;"")="","",UPPER(TRIM(Input!B1844&amp;"")))</f>
        <v/>
      </c>
      <c r="B1844" t="str">
        <f>IF(A1844="","",IFERROR(VALUE(RIGHT(TRIM(Input!D1844&amp;""),1)),0))</f>
        <v/>
      </c>
      <c r="C1844" t="str">
        <f t="shared" si="28"/>
        <v/>
      </c>
      <c r="D1844" t="str">
        <f>IF(A1844="","",IFERROR(VALUE(SUBSTITUTE(TRIM(Input!E1844&amp;""),"%","")),0)/IF(AND(IFERROR(VALUE(SUBSTITUTE(TRIM(Input!E1844&amp;""),"%","")),0)&gt;0,IFERROR(VALUE(SUBSTITUTE(TRIM(Input!E1844&amp;""),"%","")),0)&lt;1),1,100))</f>
        <v/>
      </c>
      <c r="E1844" t="str">
        <f>IF(A1844="","",IFERROR(VALUE(SUBSTITUTE(TRIM(Input!F1844&amp;""),"%","")),0)/IF(AND(IFERROR(VALUE(SUBSTITUTE(TRIM(Input!F1844&amp;""),"%","")),0)&gt;0,IFERROR(VALUE(SUBSTITUTE(TRIM(Input!F1844&amp;""),"%","")),0)&lt;1),1,100))</f>
        <v/>
      </c>
      <c r="F1844" t="str">
        <f>IF(A1844="","",IFERROR(VALUE(SUBSTITUTE(TRIM(Input!G1844&amp;""),"%","")),0)/IF(AND(IFERROR(VALUE(SUBSTITUTE(TRIM(Input!G1844&amp;""),"%","")),0)&gt;0,IFERROR(VALUE(SUBSTITUTE(TRIM(Input!G1844&amp;""),"%","")),0)&lt;1),1,100))</f>
        <v/>
      </c>
      <c r="G1844" t="str">
        <f>IF(A1844="","",IFERROR(VALUE(SUBSTITUTE(TRIM(Input!H1844&amp;""),"%","")),0)/IF(AND(IFERROR(VALUE(SUBSTITUTE(TRIM(Input!H1844&amp;""),"%","")),0)&gt;0,IFERROR(VALUE(SUBSTITUTE(TRIM(Input!H1844&amp;""),"%","")),0)&lt;1),1,100))</f>
        <v/>
      </c>
      <c r="H1844" t="str">
        <f>IF(A1844="","",IFERROR(VALUE(SUBSTITUTE(TRIM(Input!I1844&amp;""),"%","")),0)/IF(AND(IFERROR(VALUE(SUBSTITUTE(TRIM(Input!I1844&amp;""),"%","")),0)&gt;0,IFERROR(VALUE(SUBSTITUTE(TRIM(Input!I1844&amp;""),"%","")),0)&lt;1),1,100))</f>
        <v/>
      </c>
    </row>
    <row r="1845" spans="1:8">
      <c r="A1845" t="str">
        <f>IF(TRIM(Input!B1845&amp;"")="","",UPPER(TRIM(Input!B1845&amp;"")))</f>
        <v/>
      </c>
      <c r="B1845" t="str">
        <f>IF(A1845="","",IFERROR(VALUE(RIGHT(TRIM(Input!D1845&amp;""),1)),0))</f>
        <v/>
      </c>
      <c r="C1845" t="str">
        <f t="shared" si="28"/>
        <v/>
      </c>
      <c r="D1845" t="str">
        <f>IF(A1845="","",IFERROR(VALUE(SUBSTITUTE(TRIM(Input!E1845&amp;""),"%","")),0)/IF(AND(IFERROR(VALUE(SUBSTITUTE(TRIM(Input!E1845&amp;""),"%","")),0)&gt;0,IFERROR(VALUE(SUBSTITUTE(TRIM(Input!E1845&amp;""),"%","")),0)&lt;1),1,100))</f>
        <v/>
      </c>
      <c r="E1845" t="str">
        <f>IF(A1845="","",IFERROR(VALUE(SUBSTITUTE(TRIM(Input!F1845&amp;""),"%","")),0)/IF(AND(IFERROR(VALUE(SUBSTITUTE(TRIM(Input!F1845&amp;""),"%","")),0)&gt;0,IFERROR(VALUE(SUBSTITUTE(TRIM(Input!F1845&amp;""),"%","")),0)&lt;1),1,100))</f>
        <v/>
      </c>
      <c r="F1845" t="str">
        <f>IF(A1845="","",IFERROR(VALUE(SUBSTITUTE(TRIM(Input!G1845&amp;""),"%","")),0)/IF(AND(IFERROR(VALUE(SUBSTITUTE(TRIM(Input!G1845&amp;""),"%","")),0)&gt;0,IFERROR(VALUE(SUBSTITUTE(TRIM(Input!G1845&amp;""),"%","")),0)&lt;1),1,100))</f>
        <v/>
      </c>
      <c r="G1845" t="str">
        <f>IF(A1845="","",IFERROR(VALUE(SUBSTITUTE(TRIM(Input!H1845&amp;""),"%","")),0)/IF(AND(IFERROR(VALUE(SUBSTITUTE(TRIM(Input!H1845&amp;""),"%","")),0)&gt;0,IFERROR(VALUE(SUBSTITUTE(TRIM(Input!H1845&amp;""),"%","")),0)&lt;1),1,100))</f>
        <v/>
      </c>
      <c r="H1845" t="str">
        <f>IF(A1845="","",IFERROR(VALUE(SUBSTITUTE(TRIM(Input!I1845&amp;""),"%","")),0)/IF(AND(IFERROR(VALUE(SUBSTITUTE(TRIM(Input!I1845&amp;""),"%","")),0)&gt;0,IFERROR(VALUE(SUBSTITUTE(TRIM(Input!I1845&amp;""),"%","")),0)&lt;1),1,100))</f>
        <v/>
      </c>
    </row>
    <row r="1846" spans="1:8">
      <c r="A1846" t="str">
        <f>IF(TRIM(Input!B1846&amp;"")="","",UPPER(TRIM(Input!B1846&amp;"")))</f>
        <v/>
      </c>
      <c r="B1846" t="str">
        <f>IF(A1846="","",IFERROR(VALUE(RIGHT(TRIM(Input!D1846&amp;""),1)),0))</f>
        <v/>
      </c>
      <c r="C1846" t="str">
        <f t="shared" si="28"/>
        <v/>
      </c>
      <c r="D1846" t="str">
        <f>IF(A1846="","",IFERROR(VALUE(SUBSTITUTE(TRIM(Input!E1846&amp;""),"%","")),0)/IF(AND(IFERROR(VALUE(SUBSTITUTE(TRIM(Input!E1846&amp;""),"%","")),0)&gt;0,IFERROR(VALUE(SUBSTITUTE(TRIM(Input!E1846&amp;""),"%","")),0)&lt;1),1,100))</f>
        <v/>
      </c>
      <c r="E1846" t="str">
        <f>IF(A1846="","",IFERROR(VALUE(SUBSTITUTE(TRIM(Input!F1846&amp;""),"%","")),0)/IF(AND(IFERROR(VALUE(SUBSTITUTE(TRIM(Input!F1846&amp;""),"%","")),0)&gt;0,IFERROR(VALUE(SUBSTITUTE(TRIM(Input!F1846&amp;""),"%","")),0)&lt;1),1,100))</f>
        <v/>
      </c>
      <c r="F1846" t="str">
        <f>IF(A1846="","",IFERROR(VALUE(SUBSTITUTE(TRIM(Input!G1846&amp;""),"%","")),0)/IF(AND(IFERROR(VALUE(SUBSTITUTE(TRIM(Input!G1846&amp;""),"%","")),0)&gt;0,IFERROR(VALUE(SUBSTITUTE(TRIM(Input!G1846&amp;""),"%","")),0)&lt;1),1,100))</f>
        <v/>
      </c>
      <c r="G1846" t="str">
        <f>IF(A1846="","",IFERROR(VALUE(SUBSTITUTE(TRIM(Input!H1846&amp;""),"%","")),0)/IF(AND(IFERROR(VALUE(SUBSTITUTE(TRIM(Input!H1846&amp;""),"%","")),0)&gt;0,IFERROR(VALUE(SUBSTITUTE(TRIM(Input!H1846&amp;""),"%","")),0)&lt;1),1,100))</f>
        <v/>
      </c>
      <c r="H1846" t="str">
        <f>IF(A1846="","",IFERROR(VALUE(SUBSTITUTE(TRIM(Input!I1846&amp;""),"%","")),0)/IF(AND(IFERROR(VALUE(SUBSTITUTE(TRIM(Input!I1846&amp;""),"%","")),0)&gt;0,IFERROR(VALUE(SUBSTITUTE(TRIM(Input!I1846&amp;""),"%","")),0)&lt;1),1,100))</f>
        <v/>
      </c>
    </row>
    <row r="1847" spans="1:8">
      <c r="A1847" t="str">
        <f>IF(TRIM(Input!B1847&amp;"")="","",UPPER(TRIM(Input!B1847&amp;"")))</f>
        <v/>
      </c>
      <c r="B1847" t="str">
        <f>IF(A1847="","",IFERROR(VALUE(RIGHT(TRIM(Input!D1847&amp;""),1)),0))</f>
        <v/>
      </c>
      <c r="C1847" t="str">
        <f t="shared" si="28"/>
        <v/>
      </c>
      <c r="D1847" t="str">
        <f>IF(A1847="","",IFERROR(VALUE(SUBSTITUTE(TRIM(Input!E1847&amp;""),"%","")),0)/IF(AND(IFERROR(VALUE(SUBSTITUTE(TRIM(Input!E1847&amp;""),"%","")),0)&gt;0,IFERROR(VALUE(SUBSTITUTE(TRIM(Input!E1847&amp;""),"%","")),0)&lt;1),1,100))</f>
        <v/>
      </c>
      <c r="E1847" t="str">
        <f>IF(A1847="","",IFERROR(VALUE(SUBSTITUTE(TRIM(Input!F1847&amp;""),"%","")),0)/IF(AND(IFERROR(VALUE(SUBSTITUTE(TRIM(Input!F1847&amp;""),"%","")),0)&gt;0,IFERROR(VALUE(SUBSTITUTE(TRIM(Input!F1847&amp;""),"%","")),0)&lt;1),1,100))</f>
        <v/>
      </c>
      <c r="F1847" t="str">
        <f>IF(A1847="","",IFERROR(VALUE(SUBSTITUTE(TRIM(Input!G1847&amp;""),"%","")),0)/IF(AND(IFERROR(VALUE(SUBSTITUTE(TRIM(Input!G1847&amp;""),"%","")),0)&gt;0,IFERROR(VALUE(SUBSTITUTE(TRIM(Input!G1847&amp;""),"%","")),0)&lt;1),1,100))</f>
        <v/>
      </c>
      <c r="G1847" t="str">
        <f>IF(A1847="","",IFERROR(VALUE(SUBSTITUTE(TRIM(Input!H1847&amp;""),"%","")),0)/IF(AND(IFERROR(VALUE(SUBSTITUTE(TRIM(Input!H1847&amp;""),"%","")),0)&gt;0,IFERROR(VALUE(SUBSTITUTE(TRIM(Input!H1847&amp;""),"%","")),0)&lt;1),1,100))</f>
        <v/>
      </c>
      <c r="H1847" t="str">
        <f>IF(A1847="","",IFERROR(VALUE(SUBSTITUTE(TRIM(Input!I1847&amp;""),"%","")),0)/IF(AND(IFERROR(VALUE(SUBSTITUTE(TRIM(Input!I1847&amp;""),"%","")),0)&gt;0,IFERROR(VALUE(SUBSTITUTE(TRIM(Input!I1847&amp;""),"%","")),0)&lt;1),1,100))</f>
        <v/>
      </c>
    </row>
    <row r="1848" spans="1:8">
      <c r="A1848" t="str">
        <f>IF(TRIM(Input!B1848&amp;"")="","",UPPER(TRIM(Input!B1848&amp;"")))</f>
        <v/>
      </c>
      <c r="B1848" t="str">
        <f>IF(A1848="","",IFERROR(VALUE(RIGHT(TRIM(Input!D1848&amp;""),1)),0))</f>
        <v/>
      </c>
      <c r="C1848" t="str">
        <f t="shared" si="28"/>
        <v/>
      </c>
      <c r="D1848" t="str">
        <f>IF(A1848="","",IFERROR(VALUE(SUBSTITUTE(TRIM(Input!E1848&amp;""),"%","")),0)/IF(AND(IFERROR(VALUE(SUBSTITUTE(TRIM(Input!E1848&amp;""),"%","")),0)&gt;0,IFERROR(VALUE(SUBSTITUTE(TRIM(Input!E1848&amp;""),"%","")),0)&lt;1),1,100))</f>
        <v/>
      </c>
      <c r="E1848" t="str">
        <f>IF(A1848="","",IFERROR(VALUE(SUBSTITUTE(TRIM(Input!F1848&amp;""),"%","")),0)/IF(AND(IFERROR(VALUE(SUBSTITUTE(TRIM(Input!F1848&amp;""),"%","")),0)&gt;0,IFERROR(VALUE(SUBSTITUTE(TRIM(Input!F1848&amp;""),"%","")),0)&lt;1),1,100))</f>
        <v/>
      </c>
      <c r="F1848" t="str">
        <f>IF(A1848="","",IFERROR(VALUE(SUBSTITUTE(TRIM(Input!G1848&amp;""),"%","")),0)/IF(AND(IFERROR(VALUE(SUBSTITUTE(TRIM(Input!G1848&amp;""),"%","")),0)&gt;0,IFERROR(VALUE(SUBSTITUTE(TRIM(Input!G1848&amp;""),"%","")),0)&lt;1),1,100))</f>
        <v/>
      </c>
      <c r="G1848" t="str">
        <f>IF(A1848="","",IFERROR(VALUE(SUBSTITUTE(TRIM(Input!H1848&amp;""),"%","")),0)/IF(AND(IFERROR(VALUE(SUBSTITUTE(TRIM(Input!H1848&amp;""),"%","")),0)&gt;0,IFERROR(VALUE(SUBSTITUTE(TRIM(Input!H1848&amp;""),"%","")),0)&lt;1),1,100))</f>
        <v/>
      </c>
      <c r="H1848" t="str">
        <f>IF(A1848="","",IFERROR(VALUE(SUBSTITUTE(TRIM(Input!I1848&amp;""),"%","")),0)/IF(AND(IFERROR(VALUE(SUBSTITUTE(TRIM(Input!I1848&amp;""),"%","")),0)&gt;0,IFERROR(VALUE(SUBSTITUTE(TRIM(Input!I1848&amp;""),"%","")),0)&lt;1),1,100))</f>
        <v/>
      </c>
    </row>
    <row r="1849" spans="1:8">
      <c r="A1849" t="str">
        <f>IF(TRIM(Input!B1849&amp;"")="","",UPPER(TRIM(Input!B1849&amp;"")))</f>
        <v/>
      </c>
      <c r="B1849" t="str">
        <f>IF(A1849="","",IFERROR(VALUE(RIGHT(TRIM(Input!D1849&amp;""),1)),0))</f>
        <v/>
      </c>
      <c r="C1849" t="str">
        <f t="shared" si="28"/>
        <v/>
      </c>
      <c r="D1849" t="str">
        <f>IF(A1849="","",IFERROR(VALUE(SUBSTITUTE(TRIM(Input!E1849&amp;""),"%","")),0)/IF(AND(IFERROR(VALUE(SUBSTITUTE(TRIM(Input!E1849&amp;""),"%","")),0)&gt;0,IFERROR(VALUE(SUBSTITUTE(TRIM(Input!E1849&amp;""),"%","")),0)&lt;1),1,100))</f>
        <v/>
      </c>
      <c r="E1849" t="str">
        <f>IF(A1849="","",IFERROR(VALUE(SUBSTITUTE(TRIM(Input!F1849&amp;""),"%","")),0)/IF(AND(IFERROR(VALUE(SUBSTITUTE(TRIM(Input!F1849&amp;""),"%","")),0)&gt;0,IFERROR(VALUE(SUBSTITUTE(TRIM(Input!F1849&amp;""),"%","")),0)&lt;1),1,100))</f>
        <v/>
      </c>
      <c r="F1849" t="str">
        <f>IF(A1849="","",IFERROR(VALUE(SUBSTITUTE(TRIM(Input!G1849&amp;""),"%","")),0)/IF(AND(IFERROR(VALUE(SUBSTITUTE(TRIM(Input!G1849&amp;""),"%","")),0)&gt;0,IFERROR(VALUE(SUBSTITUTE(TRIM(Input!G1849&amp;""),"%","")),0)&lt;1),1,100))</f>
        <v/>
      </c>
      <c r="G1849" t="str">
        <f>IF(A1849="","",IFERROR(VALUE(SUBSTITUTE(TRIM(Input!H1849&amp;""),"%","")),0)/IF(AND(IFERROR(VALUE(SUBSTITUTE(TRIM(Input!H1849&amp;""),"%","")),0)&gt;0,IFERROR(VALUE(SUBSTITUTE(TRIM(Input!H1849&amp;""),"%","")),0)&lt;1),1,100))</f>
        <v/>
      </c>
      <c r="H1849" t="str">
        <f>IF(A1849="","",IFERROR(VALUE(SUBSTITUTE(TRIM(Input!I1849&amp;""),"%","")),0)/IF(AND(IFERROR(VALUE(SUBSTITUTE(TRIM(Input!I1849&amp;""),"%","")),0)&gt;0,IFERROR(VALUE(SUBSTITUTE(TRIM(Input!I1849&amp;""),"%","")),0)&lt;1),1,100))</f>
        <v/>
      </c>
    </row>
    <row r="1850" spans="1:8">
      <c r="A1850" t="str">
        <f>IF(TRIM(Input!B1850&amp;"")="","",UPPER(TRIM(Input!B1850&amp;"")))</f>
        <v/>
      </c>
      <c r="B1850" t="str">
        <f>IF(A1850="","",IFERROR(VALUE(RIGHT(TRIM(Input!D1850&amp;""),1)),0))</f>
        <v/>
      </c>
      <c r="C1850" t="str">
        <f t="shared" si="28"/>
        <v/>
      </c>
      <c r="D1850" t="str">
        <f>IF(A1850="","",IFERROR(VALUE(SUBSTITUTE(TRIM(Input!E1850&amp;""),"%","")),0)/IF(AND(IFERROR(VALUE(SUBSTITUTE(TRIM(Input!E1850&amp;""),"%","")),0)&gt;0,IFERROR(VALUE(SUBSTITUTE(TRIM(Input!E1850&amp;""),"%","")),0)&lt;1),1,100))</f>
        <v/>
      </c>
      <c r="E1850" t="str">
        <f>IF(A1850="","",IFERROR(VALUE(SUBSTITUTE(TRIM(Input!F1850&amp;""),"%","")),0)/IF(AND(IFERROR(VALUE(SUBSTITUTE(TRIM(Input!F1850&amp;""),"%","")),0)&gt;0,IFERROR(VALUE(SUBSTITUTE(TRIM(Input!F1850&amp;""),"%","")),0)&lt;1),1,100))</f>
        <v/>
      </c>
      <c r="F1850" t="str">
        <f>IF(A1850="","",IFERROR(VALUE(SUBSTITUTE(TRIM(Input!G1850&amp;""),"%","")),0)/IF(AND(IFERROR(VALUE(SUBSTITUTE(TRIM(Input!G1850&amp;""),"%","")),0)&gt;0,IFERROR(VALUE(SUBSTITUTE(TRIM(Input!G1850&amp;""),"%","")),0)&lt;1),1,100))</f>
        <v/>
      </c>
      <c r="G1850" t="str">
        <f>IF(A1850="","",IFERROR(VALUE(SUBSTITUTE(TRIM(Input!H1850&amp;""),"%","")),0)/IF(AND(IFERROR(VALUE(SUBSTITUTE(TRIM(Input!H1850&amp;""),"%","")),0)&gt;0,IFERROR(VALUE(SUBSTITUTE(TRIM(Input!H1850&amp;""),"%","")),0)&lt;1),1,100))</f>
        <v/>
      </c>
      <c r="H1850" t="str">
        <f>IF(A1850="","",IFERROR(VALUE(SUBSTITUTE(TRIM(Input!I1850&amp;""),"%","")),0)/IF(AND(IFERROR(VALUE(SUBSTITUTE(TRIM(Input!I1850&amp;""),"%","")),0)&gt;0,IFERROR(VALUE(SUBSTITUTE(TRIM(Input!I1850&amp;""),"%","")),0)&lt;1),1,100))</f>
        <v/>
      </c>
    </row>
    <row r="1851" spans="1:8">
      <c r="A1851" t="str">
        <f>IF(TRIM(Input!B1851&amp;"")="","",UPPER(TRIM(Input!B1851&amp;"")))</f>
        <v/>
      </c>
      <c r="B1851" t="str">
        <f>IF(A1851="","",IFERROR(VALUE(RIGHT(TRIM(Input!D1851&amp;""),1)),0))</f>
        <v/>
      </c>
      <c r="C1851" t="str">
        <f t="shared" si="28"/>
        <v/>
      </c>
      <c r="D1851" t="str">
        <f>IF(A1851="","",IFERROR(VALUE(SUBSTITUTE(TRIM(Input!E1851&amp;""),"%","")),0)/IF(AND(IFERROR(VALUE(SUBSTITUTE(TRIM(Input!E1851&amp;""),"%","")),0)&gt;0,IFERROR(VALUE(SUBSTITUTE(TRIM(Input!E1851&amp;""),"%","")),0)&lt;1),1,100))</f>
        <v/>
      </c>
      <c r="E1851" t="str">
        <f>IF(A1851="","",IFERROR(VALUE(SUBSTITUTE(TRIM(Input!F1851&amp;""),"%","")),0)/IF(AND(IFERROR(VALUE(SUBSTITUTE(TRIM(Input!F1851&amp;""),"%","")),0)&gt;0,IFERROR(VALUE(SUBSTITUTE(TRIM(Input!F1851&amp;""),"%","")),0)&lt;1),1,100))</f>
        <v/>
      </c>
      <c r="F1851" t="str">
        <f>IF(A1851="","",IFERROR(VALUE(SUBSTITUTE(TRIM(Input!G1851&amp;""),"%","")),0)/IF(AND(IFERROR(VALUE(SUBSTITUTE(TRIM(Input!G1851&amp;""),"%","")),0)&gt;0,IFERROR(VALUE(SUBSTITUTE(TRIM(Input!G1851&amp;""),"%","")),0)&lt;1),1,100))</f>
        <v/>
      </c>
      <c r="G1851" t="str">
        <f>IF(A1851="","",IFERROR(VALUE(SUBSTITUTE(TRIM(Input!H1851&amp;""),"%","")),0)/IF(AND(IFERROR(VALUE(SUBSTITUTE(TRIM(Input!H1851&amp;""),"%","")),0)&gt;0,IFERROR(VALUE(SUBSTITUTE(TRIM(Input!H1851&amp;""),"%","")),0)&lt;1),1,100))</f>
        <v/>
      </c>
      <c r="H1851" t="str">
        <f>IF(A1851="","",IFERROR(VALUE(SUBSTITUTE(TRIM(Input!I1851&amp;""),"%","")),0)/IF(AND(IFERROR(VALUE(SUBSTITUTE(TRIM(Input!I1851&amp;""),"%","")),0)&gt;0,IFERROR(VALUE(SUBSTITUTE(TRIM(Input!I1851&amp;""),"%","")),0)&lt;1),1,100))</f>
        <v/>
      </c>
    </row>
    <row r="1852" spans="1:8">
      <c r="A1852" t="str">
        <f>IF(TRIM(Input!B1852&amp;"")="","",UPPER(TRIM(Input!B1852&amp;"")))</f>
        <v/>
      </c>
      <c r="B1852" t="str">
        <f>IF(A1852="","",IFERROR(VALUE(RIGHT(TRIM(Input!D1852&amp;""),1)),0))</f>
        <v/>
      </c>
      <c r="C1852" t="str">
        <f t="shared" si="28"/>
        <v/>
      </c>
      <c r="D1852" t="str">
        <f>IF(A1852="","",IFERROR(VALUE(SUBSTITUTE(TRIM(Input!E1852&amp;""),"%","")),0)/IF(AND(IFERROR(VALUE(SUBSTITUTE(TRIM(Input!E1852&amp;""),"%","")),0)&gt;0,IFERROR(VALUE(SUBSTITUTE(TRIM(Input!E1852&amp;""),"%","")),0)&lt;1),1,100))</f>
        <v/>
      </c>
      <c r="E1852" t="str">
        <f>IF(A1852="","",IFERROR(VALUE(SUBSTITUTE(TRIM(Input!F1852&amp;""),"%","")),0)/IF(AND(IFERROR(VALUE(SUBSTITUTE(TRIM(Input!F1852&amp;""),"%","")),0)&gt;0,IFERROR(VALUE(SUBSTITUTE(TRIM(Input!F1852&amp;""),"%","")),0)&lt;1),1,100))</f>
        <v/>
      </c>
      <c r="F1852" t="str">
        <f>IF(A1852="","",IFERROR(VALUE(SUBSTITUTE(TRIM(Input!G1852&amp;""),"%","")),0)/IF(AND(IFERROR(VALUE(SUBSTITUTE(TRIM(Input!G1852&amp;""),"%","")),0)&gt;0,IFERROR(VALUE(SUBSTITUTE(TRIM(Input!G1852&amp;""),"%","")),0)&lt;1),1,100))</f>
        <v/>
      </c>
      <c r="G1852" t="str">
        <f>IF(A1852="","",IFERROR(VALUE(SUBSTITUTE(TRIM(Input!H1852&amp;""),"%","")),0)/IF(AND(IFERROR(VALUE(SUBSTITUTE(TRIM(Input!H1852&amp;""),"%","")),0)&gt;0,IFERROR(VALUE(SUBSTITUTE(TRIM(Input!H1852&amp;""),"%","")),0)&lt;1),1,100))</f>
        <v/>
      </c>
      <c r="H1852" t="str">
        <f>IF(A1852="","",IFERROR(VALUE(SUBSTITUTE(TRIM(Input!I1852&amp;""),"%","")),0)/IF(AND(IFERROR(VALUE(SUBSTITUTE(TRIM(Input!I1852&amp;""),"%","")),0)&gt;0,IFERROR(VALUE(SUBSTITUTE(TRIM(Input!I1852&amp;""),"%","")),0)&lt;1),1,100))</f>
        <v/>
      </c>
    </row>
    <row r="1853" spans="1:8">
      <c r="A1853" t="str">
        <f>IF(TRIM(Input!B1853&amp;"")="","",UPPER(TRIM(Input!B1853&amp;"")))</f>
        <v/>
      </c>
      <c r="B1853" t="str">
        <f>IF(A1853="","",IFERROR(VALUE(RIGHT(TRIM(Input!D1853&amp;""),1)),0))</f>
        <v/>
      </c>
      <c r="C1853" t="str">
        <f t="shared" si="28"/>
        <v/>
      </c>
      <c r="D1853" t="str">
        <f>IF(A1853="","",IFERROR(VALUE(SUBSTITUTE(TRIM(Input!E1853&amp;""),"%","")),0)/IF(AND(IFERROR(VALUE(SUBSTITUTE(TRIM(Input!E1853&amp;""),"%","")),0)&gt;0,IFERROR(VALUE(SUBSTITUTE(TRIM(Input!E1853&amp;""),"%","")),0)&lt;1),1,100))</f>
        <v/>
      </c>
      <c r="E1853" t="str">
        <f>IF(A1853="","",IFERROR(VALUE(SUBSTITUTE(TRIM(Input!F1853&amp;""),"%","")),0)/IF(AND(IFERROR(VALUE(SUBSTITUTE(TRIM(Input!F1853&amp;""),"%","")),0)&gt;0,IFERROR(VALUE(SUBSTITUTE(TRIM(Input!F1853&amp;""),"%","")),0)&lt;1),1,100))</f>
        <v/>
      </c>
      <c r="F1853" t="str">
        <f>IF(A1853="","",IFERROR(VALUE(SUBSTITUTE(TRIM(Input!G1853&amp;""),"%","")),0)/IF(AND(IFERROR(VALUE(SUBSTITUTE(TRIM(Input!G1853&amp;""),"%","")),0)&gt;0,IFERROR(VALUE(SUBSTITUTE(TRIM(Input!G1853&amp;""),"%","")),0)&lt;1),1,100))</f>
        <v/>
      </c>
      <c r="G1853" t="str">
        <f>IF(A1853="","",IFERROR(VALUE(SUBSTITUTE(TRIM(Input!H1853&amp;""),"%","")),0)/IF(AND(IFERROR(VALUE(SUBSTITUTE(TRIM(Input!H1853&amp;""),"%","")),0)&gt;0,IFERROR(VALUE(SUBSTITUTE(TRIM(Input!H1853&amp;""),"%","")),0)&lt;1),1,100))</f>
        <v/>
      </c>
      <c r="H1853" t="str">
        <f>IF(A1853="","",IFERROR(VALUE(SUBSTITUTE(TRIM(Input!I1853&amp;""),"%","")),0)/IF(AND(IFERROR(VALUE(SUBSTITUTE(TRIM(Input!I1853&amp;""),"%","")),0)&gt;0,IFERROR(VALUE(SUBSTITUTE(TRIM(Input!I1853&amp;""),"%","")),0)&lt;1),1,100))</f>
        <v/>
      </c>
    </row>
    <row r="1854" spans="1:8">
      <c r="A1854" t="str">
        <f>IF(TRIM(Input!B1854&amp;"")="","",UPPER(TRIM(Input!B1854&amp;"")))</f>
        <v/>
      </c>
      <c r="B1854" t="str">
        <f>IF(A1854="","",IFERROR(VALUE(RIGHT(TRIM(Input!D1854&amp;""),1)),0))</f>
        <v/>
      </c>
      <c r="C1854" t="str">
        <f t="shared" si="28"/>
        <v/>
      </c>
      <c r="D1854" t="str">
        <f>IF(A1854="","",IFERROR(VALUE(SUBSTITUTE(TRIM(Input!E1854&amp;""),"%","")),0)/IF(AND(IFERROR(VALUE(SUBSTITUTE(TRIM(Input!E1854&amp;""),"%","")),0)&gt;0,IFERROR(VALUE(SUBSTITUTE(TRIM(Input!E1854&amp;""),"%","")),0)&lt;1),1,100))</f>
        <v/>
      </c>
      <c r="E1854" t="str">
        <f>IF(A1854="","",IFERROR(VALUE(SUBSTITUTE(TRIM(Input!F1854&amp;""),"%","")),0)/IF(AND(IFERROR(VALUE(SUBSTITUTE(TRIM(Input!F1854&amp;""),"%","")),0)&gt;0,IFERROR(VALUE(SUBSTITUTE(TRIM(Input!F1854&amp;""),"%","")),0)&lt;1),1,100))</f>
        <v/>
      </c>
      <c r="F1854" t="str">
        <f>IF(A1854="","",IFERROR(VALUE(SUBSTITUTE(TRIM(Input!G1854&amp;""),"%","")),0)/IF(AND(IFERROR(VALUE(SUBSTITUTE(TRIM(Input!G1854&amp;""),"%","")),0)&gt;0,IFERROR(VALUE(SUBSTITUTE(TRIM(Input!G1854&amp;""),"%","")),0)&lt;1),1,100))</f>
        <v/>
      </c>
      <c r="G1854" t="str">
        <f>IF(A1854="","",IFERROR(VALUE(SUBSTITUTE(TRIM(Input!H1854&amp;""),"%","")),0)/IF(AND(IFERROR(VALUE(SUBSTITUTE(TRIM(Input!H1854&amp;""),"%","")),0)&gt;0,IFERROR(VALUE(SUBSTITUTE(TRIM(Input!H1854&amp;""),"%","")),0)&lt;1),1,100))</f>
        <v/>
      </c>
      <c r="H1854" t="str">
        <f>IF(A1854="","",IFERROR(VALUE(SUBSTITUTE(TRIM(Input!I1854&amp;""),"%","")),0)/IF(AND(IFERROR(VALUE(SUBSTITUTE(TRIM(Input!I1854&amp;""),"%","")),0)&gt;0,IFERROR(VALUE(SUBSTITUTE(TRIM(Input!I1854&amp;""),"%","")),0)&lt;1),1,100))</f>
        <v/>
      </c>
    </row>
    <row r="1855" spans="1:8">
      <c r="A1855" t="str">
        <f>IF(TRIM(Input!B1855&amp;"")="","",UPPER(TRIM(Input!B1855&amp;"")))</f>
        <v/>
      </c>
      <c r="B1855" t="str">
        <f>IF(A1855="","",IFERROR(VALUE(RIGHT(TRIM(Input!D1855&amp;""),1)),0))</f>
        <v/>
      </c>
      <c r="C1855" t="str">
        <f t="shared" si="28"/>
        <v/>
      </c>
      <c r="D1855" t="str">
        <f>IF(A1855="","",IFERROR(VALUE(SUBSTITUTE(TRIM(Input!E1855&amp;""),"%","")),0)/IF(AND(IFERROR(VALUE(SUBSTITUTE(TRIM(Input!E1855&amp;""),"%","")),0)&gt;0,IFERROR(VALUE(SUBSTITUTE(TRIM(Input!E1855&amp;""),"%","")),0)&lt;1),1,100))</f>
        <v/>
      </c>
      <c r="E1855" t="str">
        <f>IF(A1855="","",IFERROR(VALUE(SUBSTITUTE(TRIM(Input!F1855&amp;""),"%","")),0)/IF(AND(IFERROR(VALUE(SUBSTITUTE(TRIM(Input!F1855&amp;""),"%","")),0)&gt;0,IFERROR(VALUE(SUBSTITUTE(TRIM(Input!F1855&amp;""),"%","")),0)&lt;1),1,100))</f>
        <v/>
      </c>
      <c r="F1855" t="str">
        <f>IF(A1855="","",IFERROR(VALUE(SUBSTITUTE(TRIM(Input!G1855&amp;""),"%","")),0)/IF(AND(IFERROR(VALUE(SUBSTITUTE(TRIM(Input!G1855&amp;""),"%","")),0)&gt;0,IFERROR(VALUE(SUBSTITUTE(TRIM(Input!G1855&amp;""),"%","")),0)&lt;1),1,100))</f>
        <v/>
      </c>
      <c r="G1855" t="str">
        <f>IF(A1855="","",IFERROR(VALUE(SUBSTITUTE(TRIM(Input!H1855&amp;""),"%","")),0)/IF(AND(IFERROR(VALUE(SUBSTITUTE(TRIM(Input!H1855&amp;""),"%","")),0)&gt;0,IFERROR(VALUE(SUBSTITUTE(TRIM(Input!H1855&amp;""),"%","")),0)&lt;1),1,100))</f>
        <v/>
      </c>
      <c r="H1855" t="str">
        <f>IF(A1855="","",IFERROR(VALUE(SUBSTITUTE(TRIM(Input!I1855&amp;""),"%","")),0)/IF(AND(IFERROR(VALUE(SUBSTITUTE(TRIM(Input!I1855&amp;""),"%","")),0)&gt;0,IFERROR(VALUE(SUBSTITUTE(TRIM(Input!I1855&amp;""),"%","")),0)&lt;1),1,100))</f>
        <v/>
      </c>
    </row>
    <row r="1856" spans="1:8">
      <c r="A1856" t="str">
        <f>IF(TRIM(Input!B1856&amp;"")="","",UPPER(TRIM(Input!B1856&amp;"")))</f>
        <v/>
      </c>
      <c r="B1856" t="str">
        <f>IF(A1856="","",IFERROR(VALUE(RIGHT(TRIM(Input!D1856&amp;""),1)),0))</f>
        <v/>
      </c>
      <c r="C1856" t="str">
        <f t="shared" si="28"/>
        <v/>
      </c>
      <c r="D1856" t="str">
        <f>IF(A1856="","",IFERROR(VALUE(SUBSTITUTE(TRIM(Input!E1856&amp;""),"%","")),0)/IF(AND(IFERROR(VALUE(SUBSTITUTE(TRIM(Input!E1856&amp;""),"%","")),0)&gt;0,IFERROR(VALUE(SUBSTITUTE(TRIM(Input!E1856&amp;""),"%","")),0)&lt;1),1,100))</f>
        <v/>
      </c>
      <c r="E1856" t="str">
        <f>IF(A1856="","",IFERROR(VALUE(SUBSTITUTE(TRIM(Input!F1856&amp;""),"%","")),0)/IF(AND(IFERROR(VALUE(SUBSTITUTE(TRIM(Input!F1856&amp;""),"%","")),0)&gt;0,IFERROR(VALUE(SUBSTITUTE(TRIM(Input!F1856&amp;""),"%","")),0)&lt;1),1,100))</f>
        <v/>
      </c>
      <c r="F1856" t="str">
        <f>IF(A1856="","",IFERROR(VALUE(SUBSTITUTE(TRIM(Input!G1856&amp;""),"%","")),0)/IF(AND(IFERROR(VALUE(SUBSTITUTE(TRIM(Input!G1856&amp;""),"%","")),0)&gt;0,IFERROR(VALUE(SUBSTITUTE(TRIM(Input!G1856&amp;""),"%","")),0)&lt;1),1,100))</f>
        <v/>
      </c>
      <c r="G1856" t="str">
        <f>IF(A1856="","",IFERROR(VALUE(SUBSTITUTE(TRIM(Input!H1856&amp;""),"%","")),0)/IF(AND(IFERROR(VALUE(SUBSTITUTE(TRIM(Input!H1856&amp;""),"%","")),0)&gt;0,IFERROR(VALUE(SUBSTITUTE(TRIM(Input!H1856&amp;""),"%","")),0)&lt;1),1,100))</f>
        <v/>
      </c>
      <c r="H1856" t="str">
        <f>IF(A1856="","",IFERROR(VALUE(SUBSTITUTE(TRIM(Input!I1856&amp;""),"%","")),0)/IF(AND(IFERROR(VALUE(SUBSTITUTE(TRIM(Input!I1856&amp;""),"%","")),0)&gt;0,IFERROR(VALUE(SUBSTITUTE(TRIM(Input!I1856&amp;""),"%","")),0)&lt;1),1,100))</f>
        <v/>
      </c>
    </row>
    <row r="1857" spans="1:8">
      <c r="A1857" t="str">
        <f>IF(TRIM(Input!B1857&amp;"")="","",UPPER(TRIM(Input!B1857&amp;"")))</f>
        <v/>
      </c>
      <c r="B1857" t="str">
        <f>IF(A1857="","",IFERROR(VALUE(RIGHT(TRIM(Input!D1857&amp;""),1)),0))</f>
        <v/>
      </c>
      <c r="C1857" t="str">
        <f t="shared" si="28"/>
        <v/>
      </c>
      <c r="D1857" t="str">
        <f>IF(A1857="","",IFERROR(VALUE(SUBSTITUTE(TRIM(Input!E1857&amp;""),"%","")),0)/IF(AND(IFERROR(VALUE(SUBSTITUTE(TRIM(Input!E1857&amp;""),"%","")),0)&gt;0,IFERROR(VALUE(SUBSTITUTE(TRIM(Input!E1857&amp;""),"%","")),0)&lt;1),1,100))</f>
        <v/>
      </c>
      <c r="E1857" t="str">
        <f>IF(A1857="","",IFERROR(VALUE(SUBSTITUTE(TRIM(Input!F1857&amp;""),"%","")),0)/IF(AND(IFERROR(VALUE(SUBSTITUTE(TRIM(Input!F1857&amp;""),"%","")),0)&gt;0,IFERROR(VALUE(SUBSTITUTE(TRIM(Input!F1857&amp;""),"%","")),0)&lt;1),1,100))</f>
        <v/>
      </c>
      <c r="F1857" t="str">
        <f>IF(A1857="","",IFERROR(VALUE(SUBSTITUTE(TRIM(Input!G1857&amp;""),"%","")),0)/IF(AND(IFERROR(VALUE(SUBSTITUTE(TRIM(Input!G1857&amp;""),"%","")),0)&gt;0,IFERROR(VALUE(SUBSTITUTE(TRIM(Input!G1857&amp;""),"%","")),0)&lt;1),1,100))</f>
        <v/>
      </c>
      <c r="G1857" t="str">
        <f>IF(A1857="","",IFERROR(VALUE(SUBSTITUTE(TRIM(Input!H1857&amp;""),"%","")),0)/IF(AND(IFERROR(VALUE(SUBSTITUTE(TRIM(Input!H1857&amp;""),"%","")),0)&gt;0,IFERROR(VALUE(SUBSTITUTE(TRIM(Input!H1857&amp;""),"%","")),0)&lt;1),1,100))</f>
        <v/>
      </c>
      <c r="H1857" t="str">
        <f>IF(A1857="","",IFERROR(VALUE(SUBSTITUTE(TRIM(Input!I1857&amp;""),"%","")),0)/IF(AND(IFERROR(VALUE(SUBSTITUTE(TRIM(Input!I1857&amp;""),"%","")),0)&gt;0,IFERROR(VALUE(SUBSTITUTE(TRIM(Input!I1857&amp;""),"%","")),0)&lt;1),1,100))</f>
        <v/>
      </c>
    </row>
    <row r="1858" spans="1:8">
      <c r="A1858" t="str">
        <f>IF(TRIM(Input!B1858&amp;"")="","",UPPER(TRIM(Input!B1858&amp;"")))</f>
        <v/>
      </c>
      <c r="B1858" t="str">
        <f>IF(A1858="","",IFERROR(VALUE(RIGHT(TRIM(Input!D1858&amp;""),1)),0))</f>
        <v/>
      </c>
      <c r="C1858" t="str">
        <f t="shared" ref="C1858:C1921" si="29">IF(A1858="","",A1858&amp;"|"&amp;B1858)</f>
        <v/>
      </c>
      <c r="D1858" t="str">
        <f>IF(A1858="","",IFERROR(VALUE(SUBSTITUTE(TRIM(Input!E1858&amp;""),"%","")),0)/IF(AND(IFERROR(VALUE(SUBSTITUTE(TRIM(Input!E1858&amp;""),"%","")),0)&gt;0,IFERROR(VALUE(SUBSTITUTE(TRIM(Input!E1858&amp;""),"%","")),0)&lt;1),1,100))</f>
        <v/>
      </c>
      <c r="E1858" t="str">
        <f>IF(A1858="","",IFERROR(VALUE(SUBSTITUTE(TRIM(Input!F1858&amp;""),"%","")),0)/IF(AND(IFERROR(VALUE(SUBSTITUTE(TRIM(Input!F1858&amp;""),"%","")),0)&gt;0,IFERROR(VALUE(SUBSTITUTE(TRIM(Input!F1858&amp;""),"%","")),0)&lt;1),1,100))</f>
        <v/>
      </c>
      <c r="F1858" t="str">
        <f>IF(A1858="","",IFERROR(VALUE(SUBSTITUTE(TRIM(Input!G1858&amp;""),"%","")),0)/IF(AND(IFERROR(VALUE(SUBSTITUTE(TRIM(Input!G1858&amp;""),"%","")),0)&gt;0,IFERROR(VALUE(SUBSTITUTE(TRIM(Input!G1858&amp;""),"%","")),0)&lt;1),1,100))</f>
        <v/>
      </c>
      <c r="G1858" t="str">
        <f>IF(A1858="","",IFERROR(VALUE(SUBSTITUTE(TRIM(Input!H1858&amp;""),"%","")),0)/IF(AND(IFERROR(VALUE(SUBSTITUTE(TRIM(Input!H1858&amp;""),"%","")),0)&gt;0,IFERROR(VALUE(SUBSTITUTE(TRIM(Input!H1858&amp;""),"%","")),0)&lt;1),1,100))</f>
        <v/>
      </c>
      <c r="H1858" t="str">
        <f>IF(A1858="","",IFERROR(VALUE(SUBSTITUTE(TRIM(Input!I1858&amp;""),"%","")),0)/IF(AND(IFERROR(VALUE(SUBSTITUTE(TRIM(Input!I1858&amp;""),"%","")),0)&gt;0,IFERROR(VALUE(SUBSTITUTE(TRIM(Input!I1858&amp;""),"%","")),0)&lt;1),1,100))</f>
        <v/>
      </c>
    </row>
    <row r="1859" spans="1:8">
      <c r="A1859" t="str">
        <f>IF(TRIM(Input!B1859&amp;"")="","",UPPER(TRIM(Input!B1859&amp;"")))</f>
        <v/>
      </c>
      <c r="B1859" t="str">
        <f>IF(A1859="","",IFERROR(VALUE(RIGHT(TRIM(Input!D1859&amp;""),1)),0))</f>
        <v/>
      </c>
      <c r="C1859" t="str">
        <f t="shared" si="29"/>
        <v/>
      </c>
      <c r="D1859" t="str">
        <f>IF(A1859="","",IFERROR(VALUE(SUBSTITUTE(TRIM(Input!E1859&amp;""),"%","")),0)/IF(AND(IFERROR(VALUE(SUBSTITUTE(TRIM(Input!E1859&amp;""),"%","")),0)&gt;0,IFERROR(VALUE(SUBSTITUTE(TRIM(Input!E1859&amp;""),"%","")),0)&lt;1),1,100))</f>
        <v/>
      </c>
      <c r="E1859" t="str">
        <f>IF(A1859="","",IFERROR(VALUE(SUBSTITUTE(TRIM(Input!F1859&amp;""),"%","")),0)/IF(AND(IFERROR(VALUE(SUBSTITUTE(TRIM(Input!F1859&amp;""),"%","")),0)&gt;0,IFERROR(VALUE(SUBSTITUTE(TRIM(Input!F1859&amp;""),"%","")),0)&lt;1),1,100))</f>
        <v/>
      </c>
      <c r="F1859" t="str">
        <f>IF(A1859="","",IFERROR(VALUE(SUBSTITUTE(TRIM(Input!G1859&amp;""),"%","")),0)/IF(AND(IFERROR(VALUE(SUBSTITUTE(TRIM(Input!G1859&amp;""),"%","")),0)&gt;0,IFERROR(VALUE(SUBSTITUTE(TRIM(Input!G1859&amp;""),"%","")),0)&lt;1),1,100))</f>
        <v/>
      </c>
      <c r="G1859" t="str">
        <f>IF(A1859="","",IFERROR(VALUE(SUBSTITUTE(TRIM(Input!H1859&amp;""),"%","")),0)/IF(AND(IFERROR(VALUE(SUBSTITUTE(TRIM(Input!H1859&amp;""),"%","")),0)&gt;0,IFERROR(VALUE(SUBSTITUTE(TRIM(Input!H1859&amp;""),"%","")),0)&lt;1),1,100))</f>
        <v/>
      </c>
      <c r="H1859" t="str">
        <f>IF(A1859="","",IFERROR(VALUE(SUBSTITUTE(TRIM(Input!I1859&amp;""),"%","")),0)/IF(AND(IFERROR(VALUE(SUBSTITUTE(TRIM(Input!I1859&amp;""),"%","")),0)&gt;0,IFERROR(VALUE(SUBSTITUTE(TRIM(Input!I1859&amp;""),"%","")),0)&lt;1),1,100))</f>
        <v/>
      </c>
    </row>
    <row r="1860" spans="1:8">
      <c r="A1860" t="str">
        <f>IF(TRIM(Input!B1860&amp;"")="","",UPPER(TRIM(Input!B1860&amp;"")))</f>
        <v/>
      </c>
      <c r="B1860" t="str">
        <f>IF(A1860="","",IFERROR(VALUE(RIGHT(TRIM(Input!D1860&amp;""),1)),0))</f>
        <v/>
      </c>
      <c r="C1860" t="str">
        <f t="shared" si="29"/>
        <v/>
      </c>
      <c r="D1860" t="str">
        <f>IF(A1860="","",IFERROR(VALUE(SUBSTITUTE(TRIM(Input!E1860&amp;""),"%","")),0)/IF(AND(IFERROR(VALUE(SUBSTITUTE(TRIM(Input!E1860&amp;""),"%","")),0)&gt;0,IFERROR(VALUE(SUBSTITUTE(TRIM(Input!E1860&amp;""),"%","")),0)&lt;1),1,100))</f>
        <v/>
      </c>
      <c r="E1860" t="str">
        <f>IF(A1860="","",IFERROR(VALUE(SUBSTITUTE(TRIM(Input!F1860&amp;""),"%","")),0)/IF(AND(IFERROR(VALUE(SUBSTITUTE(TRIM(Input!F1860&amp;""),"%","")),0)&gt;0,IFERROR(VALUE(SUBSTITUTE(TRIM(Input!F1860&amp;""),"%","")),0)&lt;1),1,100))</f>
        <v/>
      </c>
      <c r="F1860" t="str">
        <f>IF(A1860="","",IFERROR(VALUE(SUBSTITUTE(TRIM(Input!G1860&amp;""),"%","")),0)/IF(AND(IFERROR(VALUE(SUBSTITUTE(TRIM(Input!G1860&amp;""),"%","")),0)&gt;0,IFERROR(VALUE(SUBSTITUTE(TRIM(Input!G1860&amp;""),"%","")),0)&lt;1),1,100))</f>
        <v/>
      </c>
      <c r="G1860" t="str">
        <f>IF(A1860="","",IFERROR(VALUE(SUBSTITUTE(TRIM(Input!H1860&amp;""),"%","")),0)/IF(AND(IFERROR(VALUE(SUBSTITUTE(TRIM(Input!H1860&amp;""),"%","")),0)&gt;0,IFERROR(VALUE(SUBSTITUTE(TRIM(Input!H1860&amp;""),"%","")),0)&lt;1),1,100))</f>
        <v/>
      </c>
      <c r="H1860" t="str">
        <f>IF(A1860="","",IFERROR(VALUE(SUBSTITUTE(TRIM(Input!I1860&amp;""),"%","")),0)/IF(AND(IFERROR(VALUE(SUBSTITUTE(TRIM(Input!I1860&amp;""),"%","")),0)&gt;0,IFERROR(VALUE(SUBSTITUTE(TRIM(Input!I1860&amp;""),"%","")),0)&lt;1),1,100))</f>
        <v/>
      </c>
    </row>
    <row r="1861" spans="1:8">
      <c r="A1861" t="str">
        <f>IF(TRIM(Input!B1861&amp;"")="","",UPPER(TRIM(Input!B1861&amp;"")))</f>
        <v/>
      </c>
      <c r="B1861" t="str">
        <f>IF(A1861="","",IFERROR(VALUE(RIGHT(TRIM(Input!D1861&amp;""),1)),0))</f>
        <v/>
      </c>
      <c r="C1861" t="str">
        <f t="shared" si="29"/>
        <v/>
      </c>
      <c r="D1861" t="str">
        <f>IF(A1861="","",IFERROR(VALUE(SUBSTITUTE(TRIM(Input!E1861&amp;""),"%","")),0)/IF(AND(IFERROR(VALUE(SUBSTITUTE(TRIM(Input!E1861&amp;""),"%","")),0)&gt;0,IFERROR(VALUE(SUBSTITUTE(TRIM(Input!E1861&amp;""),"%","")),0)&lt;1),1,100))</f>
        <v/>
      </c>
      <c r="E1861" t="str">
        <f>IF(A1861="","",IFERROR(VALUE(SUBSTITUTE(TRIM(Input!F1861&amp;""),"%","")),0)/IF(AND(IFERROR(VALUE(SUBSTITUTE(TRIM(Input!F1861&amp;""),"%","")),0)&gt;0,IFERROR(VALUE(SUBSTITUTE(TRIM(Input!F1861&amp;""),"%","")),0)&lt;1),1,100))</f>
        <v/>
      </c>
      <c r="F1861" t="str">
        <f>IF(A1861="","",IFERROR(VALUE(SUBSTITUTE(TRIM(Input!G1861&amp;""),"%","")),0)/IF(AND(IFERROR(VALUE(SUBSTITUTE(TRIM(Input!G1861&amp;""),"%","")),0)&gt;0,IFERROR(VALUE(SUBSTITUTE(TRIM(Input!G1861&amp;""),"%","")),0)&lt;1),1,100))</f>
        <v/>
      </c>
      <c r="G1861" t="str">
        <f>IF(A1861="","",IFERROR(VALUE(SUBSTITUTE(TRIM(Input!H1861&amp;""),"%","")),0)/IF(AND(IFERROR(VALUE(SUBSTITUTE(TRIM(Input!H1861&amp;""),"%","")),0)&gt;0,IFERROR(VALUE(SUBSTITUTE(TRIM(Input!H1861&amp;""),"%","")),0)&lt;1),1,100))</f>
        <v/>
      </c>
      <c r="H1861" t="str">
        <f>IF(A1861="","",IFERROR(VALUE(SUBSTITUTE(TRIM(Input!I1861&amp;""),"%","")),0)/IF(AND(IFERROR(VALUE(SUBSTITUTE(TRIM(Input!I1861&amp;""),"%","")),0)&gt;0,IFERROR(VALUE(SUBSTITUTE(TRIM(Input!I1861&amp;""),"%","")),0)&lt;1),1,100))</f>
        <v/>
      </c>
    </row>
    <row r="1862" spans="1:8">
      <c r="A1862" t="str">
        <f>IF(TRIM(Input!B1862&amp;"")="","",UPPER(TRIM(Input!B1862&amp;"")))</f>
        <v/>
      </c>
      <c r="B1862" t="str">
        <f>IF(A1862="","",IFERROR(VALUE(RIGHT(TRIM(Input!D1862&amp;""),1)),0))</f>
        <v/>
      </c>
      <c r="C1862" t="str">
        <f t="shared" si="29"/>
        <v/>
      </c>
      <c r="D1862" t="str">
        <f>IF(A1862="","",IFERROR(VALUE(SUBSTITUTE(TRIM(Input!E1862&amp;""),"%","")),0)/IF(AND(IFERROR(VALUE(SUBSTITUTE(TRIM(Input!E1862&amp;""),"%","")),0)&gt;0,IFERROR(VALUE(SUBSTITUTE(TRIM(Input!E1862&amp;""),"%","")),0)&lt;1),1,100))</f>
        <v/>
      </c>
      <c r="E1862" t="str">
        <f>IF(A1862="","",IFERROR(VALUE(SUBSTITUTE(TRIM(Input!F1862&amp;""),"%","")),0)/IF(AND(IFERROR(VALUE(SUBSTITUTE(TRIM(Input!F1862&amp;""),"%","")),0)&gt;0,IFERROR(VALUE(SUBSTITUTE(TRIM(Input!F1862&amp;""),"%","")),0)&lt;1),1,100))</f>
        <v/>
      </c>
      <c r="F1862" t="str">
        <f>IF(A1862="","",IFERROR(VALUE(SUBSTITUTE(TRIM(Input!G1862&amp;""),"%","")),0)/IF(AND(IFERROR(VALUE(SUBSTITUTE(TRIM(Input!G1862&amp;""),"%","")),0)&gt;0,IFERROR(VALUE(SUBSTITUTE(TRIM(Input!G1862&amp;""),"%","")),0)&lt;1),1,100))</f>
        <v/>
      </c>
      <c r="G1862" t="str">
        <f>IF(A1862="","",IFERROR(VALUE(SUBSTITUTE(TRIM(Input!H1862&amp;""),"%","")),0)/IF(AND(IFERROR(VALUE(SUBSTITUTE(TRIM(Input!H1862&amp;""),"%","")),0)&gt;0,IFERROR(VALUE(SUBSTITUTE(TRIM(Input!H1862&amp;""),"%","")),0)&lt;1),1,100))</f>
        <v/>
      </c>
      <c r="H1862" t="str">
        <f>IF(A1862="","",IFERROR(VALUE(SUBSTITUTE(TRIM(Input!I1862&amp;""),"%","")),0)/IF(AND(IFERROR(VALUE(SUBSTITUTE(TRIM(Input!I1862&amp;""),"%","")),0)&gt;0,IFERROR(VALUE(SUBSTITUTE(TRIM(Input!I1862&amp;""),"%","")),0)&lt;1),1,100))</f>
        <v/>
      </c>
    </row>
    <row r="1863" spans="1:8">
      <c r="A1863" t="str">
        <f>IF(TRIM(Input!B1863&amp;"")="","",UPPER(TRIM(Input!B1863&amp;"")))</f>
        <v/>
      </c>
      <c r="B1863" t="str">
        <f>IF(A1863="","",IFERROR(VALUE(RIGHT(TRIM(Input!D1863&amp;""),1)),0))</f>
        <v/>
      </c>
      <c r="C1863" t="str">
        <f t="shared" si="29"/>
        <v/>
      </c>
      <c r="D1863" t="str">
        <f>IF(A1863="","",IFERROR(VALUE(SUBSTITUTE(TRIM(Input!E1863&amp;""),"%","")),0)/IF(AND(IFERROR(VALUE(SUBSTITUTE(TRIM(Input!E1863&amp;""),"%","")),0)&gt;0,IFERROR(VALUE(SUBSTITUTE(TRIM(Input!E1863&amp;""),"%","")),0)&lt;1),1,100))</f>
        <v/>
      </c>
      <c r="E1863" t="str">
        <f>IF(A1863="","",IFERROR(VALUE(SUBSTITUTE(TRIM(Input!F1863&amp;""),"%","")),0)/IF(AND(IFERROR(VALUE(SUBSTITUTE(TRIM(Input!F1863&amp;""),"%","")),0)&gt;0,IFERROR(VALUE(SUBSTITUTE(TRIM(Input!F1863&amp;""),"%","")),0)&lt;1),1,100))</f>
        <v/>
      </c>
      <c r="F1863" t="str">
        <f>IF(A1863="","",IFERROR(VALUE(SUBSTITUTE(TRIM(Input!G1863&amp;""),"%","")),0)/IF(AND(IFERROR(VALUE(SUBSTITUTE(TRIM(Input!G1863&amp;""),"%","")),0)&gt;0,IFERROR(VALUE(SUBSTITUTE(TRIM(Input!G1863&amp;""),"%","")),0)&lt;1),1,100))</f>
        <v/>
      </c>
      <c r="G1863" t="str">
        <f>IF(A1863="","",IFERROR(VALUE(SUBSTITUTE(TRIM(Input!H1863&amp;""),"%","")),0)/IF(AND(IFERROR(VALUE(SUBSTITUTE(TRIM(Input!H1863&amp;""),"%","")),0)&gt;0,IFERROR(VALUE(SUBSTITUTE(TRIM(Input!H1863&amp;""),"%","")),0)&lt;1),1,100))</f>
        <v/>
      </c>
      <c r="H1863" t="str">
        <f>IF(A1863="","",IFERROR(VALUE(SUBSTITUTE(TRIM(Input!I1863&amp;""),"%","")),0)/IF(AND(IFERROR(VALUE(SUBSTITUTE(TRIM(Input!I1863&amp;""),"%","")),0)&gt;0,IFERROR(VALUE(SUBSTITUTE(TRIM(Input!I1863&amp;""),"%","")),0)&lt;1),1,100))</f>
        <v/>
      </c>
    </row>
    <row r="1864" spans="1:8">
      <c r="A1864" t="str">
        <f>IF(TRIM(Input!B1864&amp;"")="","",UPPER(TRIM(Input!B1864&amp;"")))</f>
        <v/>
      </c>
      <c r="B1864" t="str">
        <f>IF(A1864="","",IFERROR(VALUE(RIGHT(TRIM(Input!D1864&amp;""),1)),0))</f>
        <v/>
      </c>
      <c r="C1864" t="str">
        <f t="shared" si="29"/>
        <v/>
      </c>
      <c r="D1864" t="str">
        <f>IF(A1864="","",IFERROR(VALUE(SUBSTITUTE(TRIM(Input!E1864&amp;""),"%","")),0)/IF(AND(IFERROR(VALUE(SUBSTITUTE(TRIM(Input!E1864&amp;""),"%","")),0)&gt;0,IFERROR(VALUE(SUBSTITUTE(TRIM(Input!E1864&amp;""),"%","")),0)&lt;1),1,100))</f>
        <v/>
      </c>
      <c r="E1864" t="str">
        <f>IF(A1864="","",IFERROR(VALUE(SUBSTITUTE(TRIM(Input!F1864&amp;""),"%","")),0)/IF(AND(IFERROR(VALUE(SUBSTITUTE(TRIM(Input!F1864&amp;""),"%","")),0)&gt;0,IFERROR(VALUE(SUBSTITUTE(TRIM(Input!F1864&amp;""),"%","")),0)&lt;1),1,100))</f>
        <v/>
      </c>
      <c r="F1864" t="str">
        <f>IF(A1864="","",IFERROR(VALUE(SUBSTITUTE(TRIM(Input!G1864&amp;""),"%","")),0)/IF(AND(IFERROR(VALUE(SUBSTITUTE(TRIM(Input!G1864&amp;""),"%","")),0)&gt;0,IFERROR(VALUE(SUBSTITUTE(TRIM(Input!G1864&amp;""),"%","")),0)&lt;1),1,100))</f>
        <v/>
      </c>
      <c r="G1864" t="str">
        <f>IF(A1864="","",IFERROR(VALUE(SUBSTITUTE(TRIM(Input!H1864&amp;""),"%","")),0)/IF(AND(IFERROR(VALUE(SUBSTITUTE(TRIM(Input!H1864&amp;""),"%","")),0)&gt;0,IFERROR(VALUE(SUBSTITUTE(TRIM(Input!H1864&amp;""),"%","")),0)&lt;1),1,100))</f>
        <v/>
      </c>
      <c r="H1864" t="str">
        <f>IF(A1864="","",IFERROR(VALUE(SUBSTITUTE(TRIM(Input!I1864&amp;""),"%","")),0)/IF(AND(IFERROR(VALUE(SUBSTITUTE(TRIM(Input!I1864&amp;""),"%","")),0)&gt;0,IFERROR(VALUE(SUBSTITUTE(TRIM(Input!I1864&amp;""),"%","")),0)&lt;1),1,100))</f>
        <v/>
      </c>
    </row>
    <row r="1865" spans="1:8">
      <c r="A1865" t="str">
        <f>IF(TRIM(Input!B1865&amp;"")="","",UPPER(TRIM(Input!B1865&amp;"")))</f>
        <v/>
      </c>
      <c r="B1865" t="str">
        <f>IF(A1865="","",IFERROR(VALUE(RIGHT(TRIM(Input!D1865&amp;""),1)),0))</f>
        <v/>
      </c>
      <c r="C1865" t="str">
        <f t="shared" si="29"/>
        <v/>
      </c>
      <c r="D1865" t="str">
        <f>IF(A1865="","",IFERROR(VALUE(SUBSTITUTE(TRIM(Input!E1865&amp;""),"%","")),0)/IF(AND(IFERROR(VALUE(SUBSTITUTE(TRIM(Input!E1865&amp;""),"%","")),0)&gt;0,IFERROR(VALUE(SUBSTITUTE(TRIM(Input!E1865&amp;""),"%","")),0)&lt;1),1,100))</f>
        <v/>
      </c>
      <c r="E1865" t="str">
        <f>IF(A1865="","",IFERROR(VALUE(SUBSTITUTE(TRIM(Input!F1865&amp;""),"%","")),0)/IF(AND(IFERROR(VALUE(SUBSTITUTE(TRIM(Input!F1865&amp;""),"%","")),0)&gt;0,IFERROR(VALUE(SUBSTITUTE(TRIM(Input!F1865&amp;""),"%","")),0)&lt;1),1,100))</f>
        <v/>
      </c>
      <c r="F1865" t="str">
        <f>IF(A1865="","",IFERROR(VALUE(SUBSTITUTE(TRIM(Input!G1865&amp;""),"%","")),0)/IF(AND(IFERROR(VALUE(SUBSTITUTE(TRIM(Input!G1865&amp;""),"%","")),0)&gt;0,IFERROR(VALUE(SUBSTITUTE(TRIM(Input!G1865&amp;""),"%","")),0)&lt;1),1,100))</f>
        <v/>
      </c>
      <c r="G1865" t="str">
        <f>IF(A1865="","",IFERROR(VALUE(SUBSTITUTE(TRIM(Input!H1865&amp;""),"%","")),0)/IF(AND(IFERROR(VALUE(SUBSTITUTE(TRIM(Input!H1865&amp;""),"%","")),0)&gt;0,IFERROR(VALUE(SUBSTITUTE(TRIM(Input!H1865&amp;""),"%","")),0)&lt;1),1,100))</f>
        <v/>
      </c>
      <c r="H1865" t="str">
        <f>IF(A1865="","",IFERROR(VALUE(SUBSTITUTE(TRIM(Input!I1865&amp;""),"%","")),0)/IF(AND(IFERROR(VALUE(SUBSTITUTE(TRIM(Input!I1865&amp;""),"%","")),0)&gt;0,IFERROR(VALUE(SUBSTITUTE(TRIM(Input!I1865&amp;""),"%","")),0)&lt;1),1,100))</f>
        <v/>
      </c>
    </row>
    <row r="1866" spans="1:8">
      <c r="A1866" t="str">
        <f>IF(TRIM(Input!B1866&amp;"")="","",UPPER(TRIM(Input!B1866&amp;"")))</f>
        <v/>
      </c>
      <c r="B1866" t="str">
        <f>IF(A1866="","",IFERROR(VALUE(RIGHT(TRIM(Input!D1866&amp;""),1)),0))</f>
        <v/>
      </c>
      <c r="C1866" t="str">
        <f t="shared" si="29"/>
        <v/>
      </c>
      <c r="D1866" t="str">
        <f>IF(A1866="","",IFERROR(VALUE(SUBSTITUTE(TRIM(Input!E1866&amp;""),"%","")),0)/IF(AND(IFERROR(VALUE(SUBSTITUTE(TRIM(Input!E1866&amp;""),"%","")),0)&gt;0,IFERROR(VALUE(SUBSTITUTE(TRIM(Input!E1866&amp;""),"%","")),0)&lt;1),1,100))</f>
        <v/>
      </c>
      <c r="E1866" t="str">
        <f>IF(A1866="","",IFERROR(VALUE(SUBSTITUTE(TRIM(Input!F1866&amp;""),"%","")),0)/IF(AND(IFERROR(VALUE(SUBSTITUTE(TRIM(Input!F1866&amp;""),"%","")),0)&gt;0,IFERROR(VALUE(SUBSTITUTE(TRIM(Input!F1866&amp;""),"%","")),0)&lt;1),1,100))</f>
        <v/>
      </c>
      <c r="F1866" t="str">
        <f>IF(A1866="","",IFERROR(VALUE(SUBSTITUTE(TRIM(Input!G1866&amp;""),"%","")),0)/IF(AND(IFERROR(VALUE(SUBSTITUTE(TRIM(Input!G1866&amp;""),"%","")),0)&gt;0,IFERROR(VALUE(SUBSTITUTE(TRIM(Input!G1866&amp;""),"%","")),0)&lt;1),1,100))</f>
        <v/>
      </c>
      <c r="G1866" t="str">
        <f>IF(A1866="","",IFERROR(VALUE(SUBSTITUTE(TRIM(Input!H1866&amp;""),"%","")),0)/IF(AND(IFERROR(VALUE(SUBSTITUTE(TRIM(Input!H1866&amp;""),"%","")),0)&gt;0,IFERROR(VALUE(SUBSTITUTE(TRIM(Input!H1866&amp;""),"%","")),0)&lt;1),1,100))</f>
        <v/>
      </c>
      <c r="H1866" t="str">
        <f>IF(A1866="","",IFERROR(VALUE(SUBSTITUTE(TRIM(Input!I1866&amp;""),"%","")),0)/IF(AND(IFERROR(VALUE(SUBSTITUTE(TRIM(Input!I1866&amp;""),"%","")),0)&gt;0,IFERROR(VALUE(SUBSTITUTE(TRIM(Input!I1866&amp;""),"%","")),0)&lt;1),1,100))</f>
        <v/>
      </c>
    </row>
    <row r="1867" spans="1:8">
      <c r="A1867" t="str">
        <f>IF(TRIM(Input!B1867&amp;"")="","",UPPER(TRIM(Input!B1867&amp;"")))</f>
        <v/>
      </c>
      <c r="B1867" t="str">
        <f>IF(A1867="","",IFERROR(VALUE(RIGHT(TRIM(Input!D1867&amp;""),1)),0))</f>
        <v/>
      </c>
      <c r="C1867" t="str">
        <f t="shared" si="29"/>
        <v/>
      </c>
      <c r="D1867" t="str">
        <f>IF(A1867="","",IFERROR(VALUE(SUBSTITUTE(TRIM(Input!E1867&amp;""),"%","")),0)/IF(AND(IFERROR(VALUE(SUBSTITUTE(TRIM(Input!E1867&amp;""),"%","")),0)&gt;0,IFERROR(VALUE(SUBSTITUTE(TRIM(Input!E1867&amp;""),"%","")),0)&lt;1),1,100))</f>
        <v/>
      </c>
      <c r="E1867" t="str">
        <f>IF(A1867="","",IFERROR(VALUE(SUBSTITUTE(TRIM(Input!F1867&amp;""),"%","")),0)/IF(AND(IFERROR(VALUE(SUBSTITUTE(TRIM(Input!F1867&amp;""),"%","")),0)&gt;0,IFERROR(VALUE(SUBSTITUTE(TRIM(Input!F1867&amp;""),"%","")),0)&lt;1),1,100))</f>
        <v/>
      </c>
      <c r="F1867" t="str">
        <f>IF(A1867="","",IFERROR(VALUE(SUBSTITUTE(TRIM(Input!G1867&amp;""),"%","")),0)/IF(AND(IFERROR(VALUE(SUBSTITUTE(TRIM(Input!G1867&amp;""),"%","")),0)&gt;0,IFERROR(VALUE(SUBSTITUTE(TRIM(Input!G1867&amp;""),"%","")),0)&lt;1),1,100))</f>
        <v/>
      </c>
      <c r="G1867" t="str">
        <f>IF(A1867="","",IFERROR(VALUE(SUBSTITUTE(TRIM(Input!H1867&amp;""),"%","")),0)/IF(AND(IFERROR(VALUE(SUBSTITUTE(TRIM(Input!H1867&amp;""),"%","")),0)&gt;0,IFERROR(VALUE(SUBSTITUTE(TRIM(Input!H1867&amp;""),"%","")),0)&lt;1),1,100))</f>
        <v/>
      </c>
      <c r="H1867" t="str">
        <f>IF(A1867="","",IFERROR(VALUE(SUBSTITUTE(TRIM(Input!I1867&amp;""),"%","")),0)/IF(AND(IFERROR(VALUE(SUBSTITUTE(TRIM(Input!I1867&amp;""),"%","")),0)&gt;0,IFERROR(VALUE(SUBSTITUTE(TRIM(Input!I1867&amp;""),"%","")),0)&lt;1),1,100))</f>
        <v/>
      </c>
    </row>
    <row r="1868" spans="1:8">
      <c r="A1868" t="str">
        <f>IF(TRIM(Input!B1868&amp;"")="","",UPPER(TRIM(Input!B1868&amp;"")))</f>
        <v/>
      </c>
      <c r="B1868" t="str">
        <f>IF(A1868="","",IFERROR(VALUE(RIGHT(TRIM(Input!D1868&amp;""),1)),0))</f>
        <v/>
      </c>
      <c r="C1868" t="str">
        <f t="shared" si="29"/>
        <v/>
      </c>
      <c r="D1868" t="str">
        <f>IF(A1868="","",IFERROR(VALUE(SUBSTITUTE(TRIM(Input!E1868&amp;""),"%","")),0)/IF(AND(IFERROR(VALUE(SUBSTITUTE(TRIM(Input!E1868&amp;""),"%","")),0)&gt;0,IFERROR(VALUE(SUBSTITUTE(TRIM(Input!E1868&amp;""),"%","")),0)&lt;1),1,100))</f>
        <v/>
      </c>
      <c r="E1868" t="str">
        <f>IF(A1868="","",IFERROR(VALUE(SUBSTITUTE(TRIM(Input!F1868&amp;""),"%","")),0)/IF(AND(IFERROR(VALUE(SUBSTITUTE(TRIM(Input!F1868&amp;""),"%","")),0)&gt;0,IFERROR(VALUE(SUBSTITUTE(TRIM(Input!F1868&amp;""),"%","")),0)&lt;1),1,100))</f>
        <v/>
      </c>
      <c r="F1868" t="str">
        <f>IF(A1868="","",IFERROR(VALUE(SUBSTITUTE(TRIM(Input!G1868&amp;""),"%","")),0)/IF(AND(IFERROR(VALUE(SUBSTITUTE(TRIM(Input!G1868&amp;""),"%","")),0)&gt;0,IFERROR(VALUE(SUBSTITUTE(TRIM(Input!G1868&amp;""),"%","")),0)&lt;1),1,100))</f>
        <v/>
      </c>
      <c r="G1868" t="str">
        <f>IF(A1868="","",IFERROR(VALUE(SUBSTITUTE(TRIM(Input!H1868&amp;""),"%","")),0)/IF(AND(IFERROR(VALUE(SUBSTITUTE(TRIM(Input!H1868&amp;""),"%","")),0)&gt;0,IFERROR(VALUE(SUBSTITUTE(TRIM(Input!H1868&amp;""),"%","")),0)&lt;1),1,100))</f>
        <v/>
      </c>
      <c r="H1868" t="str">
        <f>IF(A1868="","",IFERROR(VALUE(SUBSTITUTE(TRIM(Input!I1868&amp;""),"%","")),0)/IF(AND(IFERROR(VALUE(SUBSTITUTE(TRIM(Input!I1868&amp;""),"%","")),0)&gt;0,IFERROR(VALUE(SUBSTITUTE(TRIM(Input!I1868&amp;""),"%","")),0)&lt;1),1,100))</f>
        <v/>
      </c>
    </row>
    <row r="1869" spans="1:8">
      <c r="A1869" t="str">
        <f>IF(TRIM(Input!B1869&amp;"")="","",UPPER(TRIM(Input!B1869&amp;"")))</f>
        <v/>
      </c>
      <c r="B1869" t="str">
        <f>IF(A1869="","",IFERROR(VALUE(RIGHT(TRIM(Input!D1869&amp;""),1)),0))</f>
        <v/>
      </c>
      <c r="C1869" t="str">
        <f t="shared" si="29"/>
        <v/>
      </c>
      <c r="D1869" t="str">
        <f>IF(A1869="","",IFERROR(VALUE(SUBSTITUTE(TRIM(Input!E1869&amp;""),"%","")),0)/IF(AND(IFERROR(VALUE(SUBSTITUTE(TRIM(Input!E1869&amp;""),"%","")),0)&gt;0,IFERROR(VALUE(SUBSTITUTE(TRIM(Input!E1869&amp;""),"%","")),0)&lt;1),1,100))</f>
        <v/>
      </c>
      <c r="E1869" t="str">
        <f>IF(A1869="","",IFERROR(VALUE(SUBSTITUTE(TRIM(Input!F1869&amp;""),"%","")),0)/IF(AND(IFERROR(VALUE(SUBSTITUTE(TRIM(Input!F1869&amp;""),"%","")),0)&gt;0,IFERROR(VALUE(SUBSTITUTE(TRIM(Input!F1869&amp;""),"%","")),0)&lt;1),1,100))</f>
        <v/>
      </c>
      <c r="F1869" t="str">
        <f>IF(A1869="","",IFERROR(VALUE(SUBSTITUTE(TRIM(Input!G1869&amp;""),"%","")),0)/IF(AND(IFERROR(VALUE(SUBSTITUTE(TRIM(Input!G1869&amp;""),"%","")),0)&gt;0,IFERROR(VALUE(SUBSTITUTE(TRIM(Input!G1869&amp;""),"%","")),0)&lt;1),1,100))</f>
        <v/>
      </c>
      <c r="G1869" t="str">
        <f>IF(A1869="","",IFERROR(VALUE(SUBSTITUTE(TRIM(Input!H1869&amp;""),"%","")),0)/IF(AND(IFERROR(VALUE(SUBSTITUTE(TRIM(Input!H1869&amp;""),"%","")),0)&gt;0,IFERROR(VALUE(SUBSTITUTE(TRIM(Input!H1869&amp;""),"%","")),0)&lt;1),1,100))</f>
        <v/>
      </c>
      <c r="H1869" t="str">
        <f>IF(A1869="","",IFERROR(VALUE(SUBSTITUTE(TRIM(Input!I1869&amp;""),"%","")),0)/IF(AND(IFERROR(VALUE(SUBSTITUTE(TRIM(Input!I1869&amp;""),"%","")),0)&gt;0,IFERROR(VALUE(SUBSTITUTE(TRIM(Input!I1869&amp;""),"%","")),0)&lt;1),1,100))</f>
        <v/>
      </c>
    </row>
    <row r="1870" spans="1:8">
      <c r="A1870" t="str">
        <f>IF(TRIM(Input!B1870&amp;"")="","",UPPER(TRIM(Input!B1870&amp;"")))</f>
        <v/>
      </c>
      <c r="B1870" t="str">
        <f>IF(A1870="","",IFERROR(VALUE(RIGHT(TRIM(Input!D1870&amp;""),1)),0))</f>
        <v/>
      </c>
      <c r="C1870" t="str">
        <f t="shared" si="29"/>
        <v/>
      </c>
      <c r="D1870" t="str">
        <f>IF(A1870="","",IFERROR(VALUE(SUBSTITUTE(TRIM(Input!E1870&amp;""),"%","")),0)/IF(AND(IFERROR(VALUE(SUBSTITUTE(TRIM(Input!E1870&amp;""),"%","")),0)&gt;0,IFERROR(VALUE(SUBSTITUTE(TRIM(Input!E1870&amp;""),"%","")),0)&lt;1),1,100))</f>
        <v/>
      </c>
      <c r="E1870" t="str">
        <f>IF(A1870="","",IFERROR(VALUE(SUBSTITUTE(TRIM(Input!F1870&amp;""),"%","")),0)/IF(AND(IFERROR(VALUE(SUBSTITUTE(TRIM(Input!F1870&amp;""),"%","")),0)&gt;0,IFERROR(VALUE(SUBSTITUTE(TRIM(Input!F1870&amp;""),"%","")),0)&lt;1),1,100))</f>
        <v/>
      </c>
      <c r="F1870" t="str">
        <f>IF(A1870="","",IFERROR(VALUE(SUBSTITUTE(TRIM(Input!G1870&amp;""),"%","")),0)/IF(AND(IFERROR(VALUE(SUBSTITUTE(TRIM(Input!G1870&amp;""),"%","")),0)&gt;0,IFERROR(VALUE(SUBSTITUTE(TRIM(Input!G1870&amp;""),"%","")),0)&lt;1),1,100))</f>
        <v/>
      </c>
      <c r="G1870" t="str">
        <f>IF(A1870="","",IFERROR(VALUE(SUBSTITUTE(TRIM(Input!H1870&amp;""),"%","")),0)/IF(AND(IFERROR(VALUE(SUBSTITUTE(TRIM(Input!H1870&amp;""),"%","")),0)&gt;0,IFERROR(VALUE(SUBSTITUTE(TRIM(Input!H1870&amp;""),"%","")),0)&lt;1),1,100))</f>
        <v/>
      </c>
      <c r="H1870" t="str">
        <f>IF(A1870="","",IFERROR(VALUE(SUBSTITUTE(TRIM(Input!I1870&amp;""),"%","")),0)/IF(AND(IFERROR(VALUE(SUBSTITUTE(TRIM(Input!I1870&amp;""),"%","")),0)&gt;0,IFERROR(VALUE(SUBSTITUTE(TRIM(Input!I1870&amp;""),"%","")),0)&lt;1),1,100))</f>
        <v/>
      </c>
    </row>
    <row r="1871" spans="1:8">
      <c r="A1871" t="str">
        <f>IF(TRIM(Input!B1871&amp;"")="","",UPPER(TRIM(Input!B1871&amp;"")))</f>
        <v/>
      </c>
      <c r="B1871" t="str">
        <f>IF(A1871="","",IFERROR(VALUE(RIGHT(TRIM(Input!D1871&amp;""),1)),0))</f>
        <v/>
      </c>
      <c r="C1871" t="str">
        <f t="shared" si="29"/>
        <v/>
      </c>
      <c r="D1871" t="str">
        <f>IF(A1871="","",IFERROR(VALUE(SUBSTITUTE(TRIM(Input!E1871&amp;""),"%","")),0)/IF(AND(IFERROR(VALUE(SUBSTITUTE(TRIM(Input!E1871&amp;""),"%","")),0)&gt;0,IFERROR(VALUE(SUBSTITUTE(TRIM(Input!E1871&amp;""),"%","")),0)&lt;1),1,100))</f>
        <v/>
      </c>
      <c r="E1871" t="str">
        <f>IF(A1871="","",IFERROR(VALUE(SUBSTITUTE(TRIM(Input!F1871&amp;""),"%","")),0)/IF(AND(IFERROR(VALUE(SUBSTITUTE(TRIM(Input!F1871&amp;""),"%","")),0)&gt;0,IFERROR(VALUE(SUBSTITUTE(TRIM(Input!F1871&amp;""),"%","")),0)&lt;1),1,100))</f>
        <v/>
      </c>
      <c r="F1871" t="str">
        <f>IF(A1871="","",IFERROR(VALUE(SUBSTITUTE(TRIM(Input!G1871&amp;""),"%","")),0)/IF(AND(IFERROR(VALUE(SUBSTITUTE(TRIM(Input!G1871&amp;""),"%","")),0)&gt;0,IFERROR(VALUE(SUBSTITUTE(TRIM(Input!G1871&amp;""),"%","")),0)&lt;1),1,100))</f>
        <v/>
      </c>
      <c r="G1871" t="str">
        <f>IF(A1871="","",IFERROR(VALUE(SUBSTITUTE(TRIM(Input!H1871&amp;""),"%","")),0)/IF(AND(IFERROR(VALUE(SUBSTITUTE(TRIM(Input!H1871&amp;""),"%","")),0)&gt;0,IFERROR(VALUE(SUBSTITUTE(TRIM(Input!H1871&amp;""),"%","")),0)&lt;1),1,100))</f>
        <v/>
      </c>
      <c r="H1871" t="str">
        <f>IF(A1871="","",IFERROR(VALUE(SUBSTITUTE(TRIM(Input!I1871&amp;""),"%","")),0)/IF(AND(IFERROR(VALUE(SUBSTITUTE(TRIM(Input!I1871&amp;""),"%","")),0)&gt;0,IFERROR(VALUE(SUBSTITUTE(TRIM(Input!I1871&amp;""),"%","")),0)&lt;1),1,100))</f>
        <v/>
      </c>
    </row>
    <row r="1872" spans="1:8">
      <c r="A1872" t="str">
        <f>IF(TRIM(Input!B1872&amp;"")="","",UPPER(TRIM(Input!B1872&amp;"")))</f>
        <v/>
      </c>
      <c r="B1872" t="str">
        <f>IF(A1872="","",IFERROR(VALUE(RIGHT(TRIM(Input!D1872&amp;""),1)),0))</f>
        <v/>
      </c>
      <c r="C1872" t="str">
        <f t="shared" si="29"/>
        <v/>
      </c>
      <c r="D1872" t="str">
        <f>IF(A1872="","",IFERROR(VALUE(SUBSTITUTE(TRIM(Input!E1872&amp;""),"%","")),0)/IF(AND(IFERROR(VALUE(SUBSTITUTE(TRIM(Input!E1872&amp;""),"%","")),0)&gt;0,IFERROR(VALUE(SUBSTITUTE(TRIM(Input!E1872&amp;""),"%","")),0)&lt;1),1,100))</f>
        <v/>
      </c>
      <c r="E1872" t="str">
        <f>IF(A1872="","",IFERROR(VALUE(SUBSTITUTE(TRIM(Input!F1872&amp;""),"%","")),0)/IF(AND(IFERROR(VALUE(SUBSTITUTE(TRIM(Input!F1872&amp;""),"%","")),0)&gt;0,IFERROR(VALUE(SUBSTITUTE(TRIM(Input!F1872&amp;""),"%","")),0)&lt;1),1,100))</f>
        <v/>
      </c>
      <c r="F1872" t="str">
        <f>IF(A1872="","",IFERROR(VALUE(SUBSTITUTE(TRIM(Input!G1872&amp;""),"%","")),0)/IF(AND(IFERROR(VALUE(SUBSTITUTE(TRIM(Input!G1872&amp;""),"%","")),0)&gt;0,IFERROR(VALUE(SUBSTITUTE(TRIM(Input!G1872&amp;""),"%","")),0)&lt;1),1,100))</f>
        <v/>
      </c>
      <c r="G1872" t="str">
        <f>IF(A1872="","",IFERROR(VALUE(SUBSTITUTE(TRIM(Input!H1872&amp;""),"%","")),0)/IF(AND(IFERROR(VALUE(SUBSTITUTE(TRIM(Input!H1872&amp;""),"%","")),0)&gt;0,IFERROR(VALUE(SUBSTITUTE(TRIM(Input!H1872&amp;""),"%","")),0)&lt;1),1,100))</f>
        <v/>
      </c>
      <c r="H1872" t="str">
        <f>IF(A1872="","",IFERROR(VALUE(SUBSTITUTE(TRIM(Input!I1872&amp;""),"%","")),0)/IF(AND(IFERROR(VALUE(SUBSTITUTE(TRIM(Input!I1872&amp;""),"%","")),0)&gt;0,IFERROR(VALUE(SUBSTITUTE(TRIM(Input!I1872&amp;""),"%","")),0)&lt;1),1,100))</f>
        <v/>
      </c>
    </row>
    <row r="1873" spans="1:8">
      <c r="A1873" t="str">
        <f>IF(TRIM(Input!B1873&amp;"")="","",UPPER(TRIM(Input!B1873&amp;"")))</f>
        <v/>
      </c>
      <c r="B1873" t="str">
        <f>IF(A1873="","",IFERROR(VALUE(RIGHT(TRIM(Input!D1873&amp;""),1)),0))</f>
        <v/>
      </c>
      <c r="C1873" t="str">
        <f t="shared" si="29"/>
        <v/>
      </c>
      <c r="D1873" t="str">
        <f>IF(A1873="","",IFERROR(VALUE(SUBSTITUTE(TRIM(Input!E1873&amp;""),"%","")),0)/IF(AND(IFERROR(VALUE(SUBSTITUTE(TRIM(Input!E1873&amp;""),"%","")),0)&gt;0,IFERROR(VALUE(SUBSTITUTE(TRIM(Input!E1873&amp;""),"%","")),0)&lt;1),1,100))</f>
        <v/>
      </c>
      <c r="E1873" t="str">
        <f>IF(A1873="","",IFERROR(VALUE(SUBSTITUTE(TRIM(Input!F1873&amp;""),"%","")),0)/IF(AND(IFERROR(VALUE(SUBSTITUTE(TRIM(Input!F1873&amp;""),"%","")),0)&gt;0,IFERROR(VALUE(SUBSTITUTE(TRIM(Input!F1873&amp;""),"%","")),0)&lt;1),1,100))</f>
        <v/>
      </c>
      <c r="F1873" t="str">
        <f>IF(A1873="","",IFERROR(VALUE(SUBSTITUTE(TRIM(Input!G1873&amp;""),"%","")),0)/IF(AND(IFERROR(VALUE(SUBSTITUTE(TRIM(Input!G1873&amp;""),"%","")),0)&gt;0,IFERROR(VALUE(SUBSTITUTE(TRIM(Input!G1873&amp;""),"%","")),0)&lt;1),1,100))</f>
        <v/>
      </c>
      <c r="G1873" t="str">
        <f>IF(A1873="","",IFERROR(VALUE(SUBSTITUTE(TRIM(Input!H1873&amp;""),"%","")),0)/IF(AND(IFERROR(VALUE(SUBSTITUTE(TRIM(Input!H1873&amp;""),"%","")),0)&gt;0,IFERROR(VALUE(SUBSTITUTE(TRIM(Input!H1873&amp;""),"%","")),0)&lt;1),1,100))</f>
        <v/>
      </c>
      <c r="H1873" t="str">
        <f>IF(A1873="","",IFERROR(VALUE(SUBSTITUTE(TRIM(Input!I1873&amp;""),"%","")),0)/IF(AND(IFERROR(VALUE(SUBSTITUTE(TRIM(Input!I1873&amp;""),"%","")),0)&gt;0,IFERROR(VALUE(SUBSTITUTE(TRIM(Input!I1873&amp;""),"%","")),0)&lt;1),1,100))</f>
        <v/>
      </c>
    </row>
    <row r="1874" spans="1:8">
      <c r="A1874" t="str">
        <f>IF(TRIM(Input!B1874&amp;"")="","",UPPER(TRIM(Input!B1874&amp;"")))</f>
        <v/>
      </c>
      <c r="B1874" t="str">
        <f>IF(A1874="","",IFERROR(VALUE(RIGHT(TRIM(Input!D1874&amp;""),1)),0))</f>
        <v/>
      </c>
      <c r="C1874" t="str">
        <f t="shared" si="29"/>
        <v/>
      </c>
      <c r="D1874" t="str">
        <f>IF(A1874="","",IFERROR(VALUE(SUBSTITUTE(TRIM(Input!E1874&amp;""),"%","")),0)/IF(AND(IFERROR(VALUE(SUBSTITUTE(TRIM(Input!E1874&amp;""),"%","")),0)&gt;0,IFERROR(VALUE(SUBSTITUTE(TRIM(Input!E1874&amp;""),"%","")),0)&lt;1),1,100))</f>
        <v/>
      </c>
      <c r="E1874" t="str">
        <f>IF(A1874="","",IFERROR(VALUE(SUBSTITUTE(TRIM(Input!F1874&amp;""),"%","")),0)/IF(AND(IFERROR(VALUE(SUBSTITUTE(TRIM(Input!F1874&amp;""),"%","")),0)&gt;0,IFERROR(VALUE(SUBSTITUTE(TRIM(Input!F1874&amp;""),"%","")),0)&lt;1),1,100))</f>
        <v/>
      </c>
      <c r="F1874" t="str">
        <f>IF(A1874="","",IFERROR(VALUE(SUBSTITUTE(TRIM(Input!G1874&amp;""),"%","")),0)/IF(AND(IFERROR(VALUE(SUBSTITUTE(TRIM(Input!G1874&amp;""),"%","")),0)&gt;0,IFERROR(VALUE(SUBSTITUTE(TRIM(Input!G1874&amp;""),"%","")),0)&lt;1),1,100))</f>
        <v/>
      </c>
      <c r="G1874" t="str">
        <f>IF(A1874="","",IFERROR(VALUE(SUBSTITUTE(TRIM(Input!H1874&amp;""),"%","")),0)/IF(AND(IFERROR(VALUE(SUBSTITUTE(TRIM(Input!H1874&amp;""),"%","")),0)&gt;0,IFERROR(VALUE(SUBSTITUTE(TRIM(Input!H1874&amp;""),"%","")),0)&lt;1),1,100))</f>
        <v/>
      </c>
      <c r="H1874" t="str">
        <f>IF(A1874="","",IFERROR(VALUE(SUBSTITUTE(TRIM(Input!I1874&amp;""),"%","")),0)/IF(AND(IFERROR(VALUE(SUBSTITUTE(TRIM(Input!I1874&amp;""),"%","")),0)&gt;0,IFERROR(VALUE(SUBSTITUTE(TRIM(Input!I1874&amp;""),"%","")),0)&lt;1),1,100))</f>
        <v/>
      </c>
    </row>
    <row r="1875" spans="1:8">
      <c r="A1875" t="str">
        <f>IF(TRIM(Input!B1875&amp;"")="","",UPPER(TRIM(Input!B1875&amp;"")))</f>
        <v/>
      </c>
      <c r="B1875" t="str">
        <f>IF(A1875="","",IFERROR(VALUE(RIGHT(TRIM(Input!D1875&amp;""),1)),0))</f>
        <v/>
      </c>
      <c r="C1875" t="str">
        <f t="shared" si="29"/>
        <v/>
      </c>
      <c r="D1875" t="str">
        <f>IF(A1875="","",IFERROR(VALUE(SUBSTITUTE(TRIM(Input!E1875&amp;""),"%","")),0)/IF(AND(IFERROR(VALUE(SUBSTITUTE(TRIM(Input!E1875&amp;""),"%","")),0)&gt;0,IFERROR(VALUE(SUBSTITUTE(TRIM(Input!E1875&amp;""),"%","")),0)&lt;1),1,100))</f>
        <v/>
      </c>
      <c r="E1875" t="str">
        <f>IF(A1875="","",IFERROR(VALUE(SUBSTITUTE(TRIM(Input!F1875&amp;""),"%","")),0)/IF(AND(IFERROR(VALUE(SUBSTITUTE(TRIM(Input!F1875&amp;""),"%","")),0)&gt;0,IFERROR(VALUE(SUBSTITUTE(TRIM(Input!F1875&amp;""),"%","")),0)&lt;1),1,100))</f>
        <v/>
      </c>
      <c r="F1875" t="str">
        <f>IF(A1875="","",IFERROR(VALUE(SUBSTITUTE(TRIM(Input!G1875&amp;""),"%","")),0)/IF(AND(IFERROR(VALUE(SUBSTITUTE(TRIM(Input!G1875&amp;""),"%","")),0)&gt;0,IFERROR(VALUE(SUBSTITUTE(TRIM(Input!G1875&amp;""),"%","")),0)&lt;1),1,100))</f>
        <v/>
      </c>
      <c r="G1875" t="str">
        <f>IF(A1875="","",IFERROR(VALUE(SUBSTITUTE(TRIM(Input!H1875&amp;""),"%","")),0)/IF(AND(IFERROR(VALUE(SUBSTITUTE(TRIM(Input!H1875&amp;""),"%","")),0)&gt;0,IFERROR(VALUE(SUBSTITUTE(TRIM(Input!H1875&amp;""),"%","")),0)&lt;1),1,100))</f>
        <v/>
      </c>
      <c r="H1875" t="str">
        <f>IF(A1875="","",IFERROR(VALUE(SUBSTITUTE(TRIM(Input!I1875&amp;""),"%","")),0)/IF(AND(IFERROR(VALUE(SUBSTITUTE(TRIM(Input!I1875&amp;""),"%","")),0)&gt;0,IFERROR(VALUE(SUBSTITUTE(TRIM(Input!I1875&amp;""),"%","")),0)&lt;1),1,100))</f>
        <v/>
      </c>
    </row>
    <row r="1876" spans="1:8">
      <c r="A1876" t="str">
        <f>IF(TRIM(Input!B1876&amp;"")="","",UPPER(TRIM(Input!B1876&amp;"")))</f>
        <v/>
      </c>
      <c r="B1876" t="str">
        <f>IF(A1876="","",IFERROR(VALUE(RIGHT(TRIM(Input!D1876&amp;""),1)),0))</f>
        <v/>
      </c>
      <c r="C1876" t="str">
        <f t="shared" si="29"/>
        <v/>
      </c>
      <c r="D1876" t="str">
        <f>IF(A1876="","",IFERROR(VALUE(SUBSTITUTE(TRIM(Input!E1876&amp;""),"%","")),0)/IF(AND(IFERROR(VALUE(SUBSTITUTE(TRIM(Input!E1876&amp;""),"%","")),0)&gt;0,IFERROR(VALUE(SUBSTITUTE(TRIM(Input!E1876&amp;""),"%","")),0)&lt;1),1,100))</f>
        <v/>
      </c>
      <c r="E1876" t="str">
        <f>IF(A1876="","",IFERROR(VALUE(SUBSTITUTE(TRIM(Input!F1876&amp;""),"%","")),0)/IF(AND(IFERROR(VALUE(SUBSTITUTE(TRIM(Input!F1876&amp;""),"%","")),0)&gt;0,IFERROR(VALUE(SUBSTITUTE(TRIM(Input!F1876&amp;""),"%","")),0)&lt;1),1,100))</f>
        <v/>
      </c>
      <c r="F1876" t="str">
        <f>IF(A1876="","",IFERROR(VALUE(SUBSTITUTE(TRIM(Input!G1876&amp;""),"%","")),0)/IF(AND(IFERROR(VALUE(SUBSTITUTE(TRIM(Input!G1876&amp;""),"%","")),0)&gt;0,IFERROR(VALUE(SUBSTITUTE(TRIM(Input!G1876&amp;""),"%","")),0)&lt;1),1,100))</f>
        <v/>
      </c>
      <c r="G1876" t="str">
        <f>IF(A1876="","",IFERROR(VALUE(SUBSTITUTE(TRIM(Input!H1876&amp;""),"%","")),0)/IF(AND(IFERROR(VALUE(SUBSTITUTE(TRIM(Input!H1876&amp;""),"%","")),0)&gt;0,IFERROR(VALUE(SUBSTITUTE(TRIM(Input!H1876&amp;""),"%","")),0)&lt;1),1,100))</f>
        <v/>
      </c>
      <c r="H1876" t="str">
        <f>IF(A1876="","",IFERROR(VALUE(SUBSTITUTE(TRIM(Input!I1876&amp;""),"%","")),0)/IF(AND(IFERROR(VALUE(SUBSTITUTE(TRIM(Input!I1876&amp;""),"%","")),0)&gt;0,IFERROR(VALUE(SUBSTITUTE(TRIM(Input!I1876&amp;""),"%","")),0)&lt;1),1,100))</f>
        <v/>
      </c>
    </row>
    <row r="1877" spans="1:8">
      <c r="A1877" t="str">
        <f>IF(TRIM(Input!B1877&amp;"")="","",UPPER(TRIM(Input!B1877&amp;"")))</f>
        <v/>
      </c>
      <c r="B1877" t="str">
        <f>IF(A1877="","",IFERROR(VALUE(RIGHT(TRIM(Input!D1877&amp;""),1)),0))</f>
        <v/>
      </c>
      <c r="C1877" t="str">
        <f t="shared" si="29"/>
        <v/>
      </c>
      <c r="D1877" t="str">
        <f>IF(A1877="","",IFERROR(VALUE(SUBSTITUTE(TRIM(Input!E1877&amp;""),"%","")),0)/IF(AND(IFERROR(VALUE(SUBSTITUTE(TRIM(Input!E1877&amp;""),"%","")),0)&gt;0,IFERROR(VALUE(SUBSTITUTE(TRIM(Input!E1877&amp;""),"%","")),0)&lt;1),1,100))</f>
        <v/>
      </c>
      <c r="E1877" t="str">
        <f>IF(A1877="","",IFERROR(VALUE(SUBSTITUTE(TRIM(Input!F1877&amp;""),"%","")),0)/IF(AND(IFERROR(VALUE(SUBSTITUTE(TRIM(Input!F1877&amp;""),"%","")),0)&gt;0,IFERROR(VALUE(SUBSTITUTE(TRIM(Input!F1877&amp;""),"%","")),0)&lt;1),1,100))</f>
        <v/>
      </c>
      <c r="F1877" t="str">
        <f>IF(A1877="","",IFERROR(VALUE(SUBSTITUTE(TRIM(Input!G1877&amp;""),"%","")),0)/IF(AND(IFERROR(VALUE(SUBSTITUTE(TRIM(Input!G1877&amp;""),"%","")),0)&gt;0,IFERROR(VALUE(SUBSTITUTE(TRIM(Input!G1877&amp;""),"%","")),0)&lt;1),1,100))</f>
        <v/>
      </c>
      <c r="G1877" t="str">
        <f>IF(A1877="","",IFERROR(VALUE(SUBSTITUTE(TRIM(Input!H1877&amp;""),"%","")),0)/IF(AND(IFERROR(VALUE(SUBSTITUTE(TRIM(Input!H1877&amp;""),"%","")),0)&gt;0,IFERROR(VALUE(SUBSTITUTE(TRIM(Input!H1877&amp;""),"%","")),0)&lt;1),1,100))</f>
        <v/>
      </c>
      <c r="H1877" t="str">
        <f>IF(A1877="","",IFERROR(VALUE(SUBSTITUTE(TRIM(Input!I1877&amp;""),"%","")),0)/IF(AND(IFERROR(VALUE(SUBSTITUTE(TRIM(Input!I1877&amp;""),"%","")),0)&gt;0,IFERROR(VALUE(SUBSTITUTE(TRIM(Input!I1877&amp;""),"%","")),0)&lt;1),1,100))</f>
        <v/>
      </c>
    </row>
    <row r="1878" spans="1:8">
      <c r="A1878" t="str">
        <f>IF(TRIM(Input!B1878&amp;"")="","",UPPER(TRIM(Input!B1878&amp;"")))</f>
        <v/>
      </c>
      <c r="B1878" t="str">
        <f>IF(A1878="","",IFERROR(VALUE(RIGHT(TRIM(Input!D1878&amp;""),1)),0))</f>
        <v/>
      </c>
      <c r="C1878" t="str">
        <f t="shared" si="29"/>
        <v/>
      </c>
      <c r="D1878" t="str">
        <f>IF(A1878="","",IFERROR(VALUE(SUBSTITUTE(TRIM(Input!E1878&amp;""),"%","")),0)/IF(AND(IFERROR(VALUE(SUBSTITUTE(TRIM(Input!E1878&amp;""),"%","")),0)&gt;0,IFERROR(VALUE(SUBSTITUTE(TRIM(Input!E1878&amp;""),"%","")),0)&lt;1),1,100))</f>
        <v/>
      </c>
      <c r="E1878" t="str">
        <f>IF(A1878="","",IFERROR(VALUE(SUBSTITUTE(TRIM(Input!F1878&amp;""),"%","")),0)/IF(AND(IFERROR(VALUE(SUBSTITUTE(TRIM(Input!F1878&amp;""),"%","")),0)&gt;0,IFERROR(VALUE(SUBSTITUTE(TRIM(Input!F1878&amp;""),"%","")),0)&lt;1),1,100))</f>
        <v/>
      </c>
      <c r="F1878" t="str">
        <f>IF(A1878="","",IFERROR(VALUE(SUBSTITUTE(TRIM(Input!G1878&amp;""),"%","")),0)/IF(AND(IFERROR(VALUE(SUBSTITUTE(TRIM(Input!G1878&amp;""),"%","")),0)&gt;0,IFERROR(VALUE(SUBSTITUTE(TRIM(Input!G1878&amp;""),"%","")),0)&lt;1),1,100))</f>
        <v/>
      </c>
      <c r="G1878" t="str">
        <f>IF(A1878="","",IFERROR(VALUE(SUBSTITUTE(TRIM(Input!H1878&amp;""),"%","")),0)/IF(AND(IFERROR(VALUE(SUBSTITUTE(TRIM(Input!H1878&amp;""),"%","")),0)&gt;0,IFERROR(VALUE(SUBSTITUTE(TRIM(Input!H1878&amp;""),"%","")),0)&lt;1),1,100))</f>
        <v/>
      </c>
      <c r="H1878" t="str">
        <f>IF(A1878="","",IFERROR(VALUE(SUBSTITUTE(TRIM(Input!I1878&amp;""),"%","")),0)/IF(AND(IFERROR(VALUE(SUBSTITUTE(TRIM(Input!I1878&amp;""),"%","")),0)&gt;0,IFERROR(VALUE(SUBSTITUTE(TRIM(Input!I1878&amp;""),"%","")),0)&lt;1),1,100))</f>
        <v/>
      </c>
    </row>
    <row r="1879" spans="1:8">
      <c r="A1879" t="str">
        <f>IF(TRIM(Input!B1879&amp;"")="","",UPPER(TRIM(Input!B1879&amp;"")))</f>
        <v/>
      </c>
      <c r="B1879" t="str">
        <f>IF(A1879="","",IFERROR(VALUE(RIGHT(TRIM(Input!D1879&amp;""),1)),0))</f>
        <v/>
      </c>
      <c r="C1879" t="str">
        <f t="shared" si="29"/>
        <v/>
      </c>
      <c r="D1879" t="str">
        <f>IF(A1879="","",IFERROR(VALUE(SUBSTITUTE(TRIM(Input!E1879&amp;""),"%","")),0)/IF(AND(IFERROR(VALUE(SUBSTITUTE(TRIM(Input!E1879&amp;""),"%","")),0)&gt;0,IFERROR(VALUE(SUBSTITUTE(TRIM(Input!E1879&amp;""),"%","")),0)&lt;1),1,100))</f>
        <v/>
      </c>
      <c r="E1879" t="str">
        <f>IF(A1879="","",IFERROR(VALUE(SUBSTITUTE(TRIM(Input!F1879&amp;""),"%","")),0)/IF(AND(IFERROR(VALUE(SUBSTITUTE(TRIM(Input!F1879&amp;""),"%","")),0)&gt;0,IFERROR(VALUE(SUBSTITUTE(TRIM(Input!F1879&amp;""),"%","")),0)&lt;1),1,100))</f>
        <v/>
      </c>
      <c r="F1879" t="str">
        <f>IF(A1879="","",IFERROR(VALUE(SUBSTITUTE(TRIM(Input!G1879&amp;""),"%","")),0)/IF(AND(IFERROR(VALUE(SUBSTITUTE(TRIM(Input!G1879&amp;""),"%","")),0)&gt;0,IFERROR(VALUE(SUBSTITUTE(TRIM(Input!G1879&amp;""),"%","")),0)&lt;1),1,100))</f>
        <v/>
      </c>
      <c r="G1879" t="str">
        <f>IF(A1879="","",IFERROR(VALUE(SUBSTITUTE(TRIM(Input!H1879&amp;""),"%","")),0)/IF(AND(IFERROR(VALUE(SUBSTITUTE(TRIM(Input!H1879&amp;""),"%","")),0)&gt;0,IFERROR(VALUE(SUBSTITUTE(TRIM(Input!H1879&amp;""),"%","")),0)&lt;1),1,100))</f>
        <v/>
      </c>
      <c r="H1879" t="str">
        <f>IF(A1879="","",IFERROR(VALUE(SUBSTITUTE(TRIM(Input!I1879&amp;""),"%","")),0)/IF(AND(IFERROR(VALUE(SUBSTITUTE(TRIM(Input!I1879&amp;""),"%","")),0)&gt;0,IFERROR(VALUE(SUBSTITUTE(TRIM(Input!I1879&amp;""),"%","")),0)&lt;1),1,100))</f>
        <v/>
      </c>
    </row>
    <row r="1880" spans="1:8">
      <c r="A1880" t="str">
        <f>IF(TRIM(Input!B1880&amp;"")="","",UPPER(TRIM(Input!B1880&amp;"")))</f>
        <v/>
      </c>
      <c r="B1880" t="str">
        <f>IF(A1880="","",IFERROR(VALUE(RIGHT(TRIM(Input!D1880&amp;""),1)),0))</f>
        <v/>
      </c>
      <c r="C1880" t="str">
        <f t="shared" si="29"/>
        <v/>
      </c>
      <c r="D1880" t="str">
        <f>IF(A1880="","",IFERROR(VALUE(SUBSTITUTE(TRIM(Input!E1880&amp;""),"%","")),0)/IF(AND(IFERROR(VALUE(SUBSTITUTE(TRIM(Input!E1880&amp;""),"%","")),0)&gt;0,IFERROR(VALUE(SUBSTITUTE(TRIM(Input!E1880&amp;""),"%","")),0)&lt;1),1,100))</f>
        <v/>
      </c>
      <c r="E1880" t="str">
        <f>IF(A1880="","",IFERROR(VALUE(SUBSTITUTE(TRIM(Input!F1880&amp;""),"%","")),0)/IF(AND(IFERROR(VALUE(SUBSTITUTE(TRIM(Input!F1880&amp;""),"%","")),0)&gt;0,IFERROR(VALUE(SUBSTITUTE(TRIM(Input!F1880&amp;""),"%","")),0)&lt;1),1,100))</f>
        <v/>
      </c>
      <c r="F1880" t="str">
        <f>IF(A1880="","",IFERROR(VALUE(SUBSTITUTE(TRIM(Input!G1880&amp;""),"%","")),0)/IF(AND(IFERROR(VALUE(SUBSTITUTE(TRIM(Input!G1880&amp;""),"%","")),0)&gt;0,IFERROR(VALUE(SUBSTITUTE(TRIM(Input!G1880&amp;""),"%","")),0)&lt;1),1,100))</f>
        <v/>
      </c>
      <c r="G1880" t="str">
        <f>IF(A1880="","",IFERROR(VALUE(SUBSTITUTE(TRIM(Input!H1880&amp;""),"%","")),0)/IF(AND(IFERROR(VALUE(SUBSTITUTE(TRIM(Input!H1880&amp;""),"%","")),0)&gt;0,IFERROR(VALUE(SUBSTITUTE(TRIM(Input!H1880&amp;""),"%","")),0)&lt;1),1,100))</f>
        <v/>
      </c>
      <c r="H1880" t="str">
        <f>IF(A1880="","",IFERROR(VALUE(SUBSTITUTE(TRIM(Input!I1880&amp;""),"%","")),0)/IF(AND(IFERROR(VALUE(SUBSTITUTE(TRIM(Input!I1880&amp;""),"%","")),0)&gt;0,IFERROR(VALUE(SUBSTITUTE(TRIM(Input!I1880&amp;""),"%","")),0)&lt;1),1,100))</f>
        <v/>
      </c>
    </row>
    <row r="1881" spans="1:8">
      <c r="A1881" t="str">
        <f>IF(TRIM(Input!B1881&amp;"")="","",UPPER(TRIM(Input!B1881&amp;"")))</f>
        <v/>
      </c>
      <c r="B1881" t="str">
        <f>IF(A1881="","",IFERROR(VALUE(RIGHT(TRIM(Input!D1881&amp;""),1)),0))</f>
        <v/>
      </c>
      <c r="C1881" t="str">
        <f t="shared" si="29"/>
        <v/>
      </c>
      <c r="D1881" t="str">
        <f>IF(A1881="","",IFERROR(VALUE(SUBSTITUTE(TRIM(Input!E1881&amp;""),"%","")),0)/IF(AND(IFERROR(VALUE(SUBSTITUTE(TRIM(Input!E1881&amp;""),"%","")),0)&gt;0,IFERROR(VALUE(SUBSTITUTE(TRIM(Input!E1881&amp;""),"%","")),0)&lt;1),1,100))</f>
        <v/>
      </c>
      <c r="E1881" t="str">
        <f>IF(A1881="","",IFERROR(VALUE(SUBSTITUTE(TRIM(Input!F1881&amp;""),"%","")),0)/IF(AND(IFERROR(VALUE(SUBSTITUTE(TRIM(Input!F1881&amp;""),"%","")),0)&gt;0,IFERROR(VALUE(SUBSTITUTE(TRIM(Input!F1881&amp;""),"%","")),0)&lt;1),1,100))</f>
        <v/>
      </c>
      <c r="F1881" t="str">
        <f>IF(A1881="","",IFERROR(VALUE(SUBSTITUTE(TRIM(Input!G1881&amp;""),"%","")),0)/IF(AND(IFERROR(VALUE(SUBSTITUTE(TRIM(Input!G1881&amp;""),"%","")),0)&gt;0,IFERROR(VALUE(SUBSTITUTE(TRIM(Input!G1881&amp;""),"%","")),0)&lt;1),1,100))</f>
        <v/>
      </c>
      <c r="G1881" t="str">
        <f>IF(A1881="","",IFERROR(VALUE(SUBSTITUTE(TRIM(Input!H1881&amp;""),"%","")),0)/IF(AND(IFERROR(VALUE(SUBSTITUTE(TRIM(Input!H1881&amp;""),"%","")),0)&gt;0,IFERROR(VALUE(SUBSTITUTE(TRIM(Input!H1881&amp;""),"%","")),0)&lt;1),1,100))</f>
        <v/>
      </c>
      <c r="H1881" t="str">
        <f>IF(A1881="","",IFERROR(VALUE(SUBSTITUTE(TRIM(Input!I1881&amp;""),"%","")),0)/IF(AND(IFERROR(VALUE(SUBSTITUTE(TRIM(Input!I1881&amp;""),"%","")),0)&gt;0,IFERROR(VALUE(SUBSTITUTE(TRIM(Input!I1881&amp;""),"%","")),0)&lt;1),1,100))</f>
        <v/>
      </c>
    </row>
    <row r="1882" spans="1:8">
      <c r="A1882" t="str">
        <f>IF(TRIM(Input!B1882&amp;"")="","",UPPER(TRIM(Input!B1882&amp;"")))</f>
        <v/>
      </c>
      <c r="B1882" t="str">
        <f>IF(A1882="","",IFERROR(VALUE(RIGHT(TRIM(Input!D1882&amp;""),1)),0))</f>
        <v/>
      </c>
      <c r="C1882" t="str">
        <f t="shared" si="29"/>
        <v/>
      </c>
      <c r="D1882" t="str">
        <f>IF(A1882="","",IFERROR(VALUE(SUBSTITUTE(TRIM(Input!E1882&amp;""),"%","")),0)/IF(AND(IFERROR(VALUE(SUBSTITUTE(TRIM(Input!E1882&amp;""),"%","")),0)&gt;0,IFERROR(VALUE(SUBSTITUTE(TRIM(Input!E1882&amp;""),"%","")),0)&lt;1),1,100))</f>
        <v/>
      </c>
      <c r="E1882" t="str">
        <f>IF(A1882="","",IFERROR(VALUE(SUBSTITUTE(TRIM(Input!F1882&amp;""),"%","")),0)/IF(AND(IFERROR(VALUE(SUBSTITUTE(TRIM(Input!F1882&amp;""),"%","")),0)&gt;0,IFERROR(VALUE(SUBSTITUTE(TRIM(Input!F1882&amp;""),"%","")),0)&lt;1),1,100))</f>
        <v/>
      </c>
      <c r="F1882" t="str">
        <f>IF(A1882="","",IFERROR(VALUE(SUBSTITUTE(TRIM(Input!G1882&amp;""),"%","")),0)/IF(AND(IFERROR(VALUE(SUBSTITUTE(TRIM(Input!G1882&amp;""),"%","")),0)&gt;0,IFERROR(VALUE(SUBSTITUTE(TRIM(Input!G1882&amp;""),"%","")),0)&lt;1),1,100))</f>
        <v/>
      </c>
      <c r="G1882" t="str">
        <f>IF(A1882="","",IFERROR(VALUE(SUBSTITUTE(TRIM(Input!H1882&amp;""),"%","")),0)/IF(AND(IFERROR(VALUE(SUBSTITUTE(TRIM(Input!H1882&amp;""),"%","")),0)&gt;0,IFERROR(VALUE(SUBSTITUTE(TRIM(Input!H1882&amp;""),"%","")),0)&lt;1),1,100))</f>
        <v/>
      </c>
      <c r="H1882" t="str">
        <f>IF(A1882="","",IFERROR(VALUE(SUBSTITUTE(TRIM(Input!I1882&amp;""),"%","")),0)/IF(AND(IFERROR(VALUE(SUBSTITUTE(TRIM(Input!I1882&amp;""),"%","")),0)&gt;0,IFERROR(VALUE(SUBSTITUTE(TRIM(Input!I1882&amp;""),"%","")),0)&lt;1),1,100))</f>
        <v/>
      </c>
    </row>
    <row r="1883" spans="1:8">
      <c r="A1883" t="str">
        <f>IF(TRIM(Input!B1883&amp;"")="","",UPPER(TRIM(Input!B1883&amp;"")))</f>
        <v/>
      </c>
      <c r="B1883" t="str">
        <f>IF(A1883="","",IFERROR(VALUE(RIGHT(TRIM(Input!D1883&amp;""),1)),0))</f>
        <v/>
      </c>
      <c r="C1883" t="str">
        <f t="shared" si="29"/>
        <v/>
      </c>
      <c r="D1883" t="str">
        <f>IF(A1883="","",IFERROR(VALUE(SUBSTITUTE(TRIM(Input!E1883&amp;""),"%","")),0)/IF(AND(IFERROR(VALUE(SUBSTITUTE(TRIM(Input!E1883&amp;""),"%","")),0)&gt;0,IFERROR(VALUE(SUBSTITUTE(TRIM(Input!E1883&amp;""),"%","")),0)&lt;1),1,100))</f>
        <v/>
      </c>
      <c r="E1883" t="str">
        <f>IF(A1883="","",IFERROR(VALUE(SUBSTITUTE(TRIM(Input!F1883&amp;""),"%","")),0)/IF(AND(IFERROR(VALUE(SUBSTITUTE(TRIM(Input!F1883&amp;""),"%","")),0)&gt;0,IFERROR(VALUE(SUBSTITUTE(TRIM(Input!F1883&amp;""),"%","")),0)&lt;1),1,100))</f>
        <v/>
      </c>
      <c r="F1883" t="str">
        <f>IF(A1883="","",IFERROR(VALUE(SUBSTITUTE(TRIM(Input!G1883&amp;""),"%","")),0)/IF(AND(IFERROR(VALUE(SUBSTITUTE(TRIM(Input!G1883&amp;""),"%","")),0)&gt;0,IFERROR(VALUE(SUBSTITUTE(TRIM(Input!G1883&amp;""),"%","")),0)&lt;1),1,100))</f>
        <v/>
      </c>
      <c r="G1883" t="str">
        <f>IF(A1883="","",IFERROR(VALUE(SUBSTITUTE(TRIM(Input!H1883&amp;""),"%","")),0)/IF(AND(IFERROR(VALUE(SUBSTITUTE(TRIM(Input!H1883&amp;""),"%","")),0)&gt;0,IFERROR(VALUE(SUBSTITUTE(TRIM(Input!H1883&amp;""),"%","")),0)&lt;1),1,100))</f>
        <v/>
      </c>
      <c r="H1883" t="str">
        <f>IF(A1883="","",IFERROR(VALUE(SUBSTITUTE(TRIM(Input!I1883&amp;""),"%","")),0)/IF(AND(IFERROR(VALUE(SUBSTITUTE(TRIM(Input!I1883&amp;""),"%","")),0)&gt;0,IFERROR(VALUE(SUBSTITUTE(TRIM(Input!I1883&amp;""),"%","")),0)&lt;1),1,100))</f>
        <v/>
      </c>
    </row>
    <row r="1884" spans="1:8">
      <c r="A1884" t="str">
        <f>IF(TRIM(Input!B1884&amp;"")="","",UPPER(TRIM(Input!B1884&amp;"")))</f>
        <v/>
      </c>
      <c r="B1884" t="str">
        <f>IF(A1884="","",IFERROR(VALUE(RIGHT(TRIM(Input!D1884&amp;""),1)),0))</f>
        <v/>
      </c>
      <c r="C1884" t="str">
        <f t="shared" si="29"/>
        <v/>
      </c>
      <c r="D1884" t="str">
        <f>IF(A1884="","",IFERROR(VALUE(SUBSTITUTE(TRIM(Input!E1884&amp;""),"%","")),0)/IF(AND(IFERROR(VALUE(SUBSTITUTE(TRIM(Input!E1884&amp;""),"%","")),0)&gt;0,IFERROR(VALUE(SUBSTITUTE(TRIM(Input!E1884&amp;""),"%","")),0)&lt;1),1,100))</f>
        <v/>
      </c>
      <c r="E1884" t="str">
        <f>IF(A1884="","",IFERROR(VALUE(SUBSTITUTE(TRIM(Input!F1884&amp;""),"%","")),0)/IF(AND(IFERROR(VALUE(SUBSTITUTE(TRIM(Input!F1884&amp;""),"%","")),0)&gt;0,IFERROR(VALUE(SUBSTITUTE(TRIM(Input!F1884&amp;""),"%","")),0)&lt;1),1,100))</f>
        <v/>
      </c>
      <c r="F1884" t="str">
        <f>IF(A1884="","",IFERROR(VALUE(SUBSTITUTE(TRIM(Input!G1884&amp;""),"%","")),0)/IF(AND(IFERROR(VALUE(SUBSTITUTE(TRIM(Input!G1884&amp;""),"%","")),0)&gt;0,IFERROR(VALUE(SUBSTITUTE(TRIM(Input!G1884&amp;""),"%","")),0)&lt;1),1,100))</f>
        <v/>
      </c>
      <c r="G1884" t="str">
        <f>IF(A1884="","",IFERROR(VALUE(SUBSTITUTE(TRIM(Input!H1884&amp;""),"%","")),0)/IF(AND(IFERROR(VALUE(SUBSTITUTE(TRIM(Input!H1884&amp;""),"%","")),0)&gt;0,IFERROR(VALUE(SUBSTITUTE(TRIM(Input!H1884&amp;""),"%","")),0)&lt;1),1,100))</f>
        <v/>
      </c>
      <c r="H1884" t="str">
        <f>IF(A1884="","",IFERROR(VALUE(SUBSTITUTE(TRIM(Input!I1884&amp;""),"%","")),0)/IF(AND(IFERROR(VALUE(SUBSTITUTE(TRIM(Input!I1884&amp;""),"%","")),0)&gt;0,IFERROR(VALUE(SUBSTITUTE(TRIM(Input!I1884&amp;""),"%","")),0)&lt;1),1,100))</f>
        <v/>
      </c>
    </row>
    <row r="1885" spans="1:8">
      <c r="A1885" t="str">
        <f>IF(TRIM(Input!B1885&amp;"")="","",UPPER(TRIM(Input!B1885&amp;"")))</f>
        <v/>
      </c>
      <c r="B1885" t="str">
        <f>IF(A1885="","",IFERROR(VALUE(RIGHT(TRIM(Input!D1885&amp;""),1)),0))</f>
        <v/>
      </c>
      <c r="C1885" t="str">
        <f t="shared" si="29"/>
        <v/>
      </c>
      <c r="D1885" t="str">
        <f>IF(A1885="","",IFERROR(VALUE(SUBSTITUTE(TRIM(Input!E1885&amp;""),"%","")),0)/IF(AND(IFERROR(VALUE(SUBSTITUTE(TRIM(Input!E1885&amp;""),"%","")),0)&gt;0,IFERROR(VALUE(SUBSTITUTE(TRIM(Input!E1885&amp;""),"%","")),0)&lt;1),1,100))</f>
        <v/>
      </c>
      <c r="E1885" t="str">
        <f>IF(A1885="","",IFERROR(VALUE(SUBSTITUTE(TRIM(Input!F1885&amp;""),"%","")),0)/IF(AND(IFERROR(VALUE(SUBSTITUTE(TRIM(Input!F1885&amp;""),"%","")),0)&gt;0,IFERROR(VALUE(SUBSTITUTE(TRIM(Input!F1885&amp;""),"%","")),0)&lt;1),1,100))</f>
        <v/>
      </c>
      <c r="F1885" t="str">
        <f>IF(A1885="","",IFERROR(VALUE(SUBSTITUTE(TRIM(Input!G1885&amp;""),"%","")),0)/IF(AND(IFERROR(VALUE(SUBSTITUTE(TRIM(Input!G1885&amp;""),"%","")),0)&gt;0,IFERROR(VALUE(SUBSTITUTE(TRIM(Input!G1885&amp;""),"%","")),0)&lt;1),1,100))</f>
        <v/>
      </c>
      <c r="G1885" t="str">
        <f>IF(A1885="","",IFERROR(VALUE(SUBSTITUTE(TRIM(Input!H1885&amp;""),"%","")),0)/IF(AND(IFERROR(VALUE(SUBSTITUTE(TRIM(Input!H1885&amp;""),"%","")),0)&gt;0,IFERROR(VALUE(SUBSTITUTE(TRIM(Input!H1885&amp;""),"%","")),0)&lt;1),1,100))</f>
        <v/>
      </c>
      <c r="H1885" t="str">
        <f>IF(A1885="","",IFERROR(VALUE(SUBSTITUTE(TRIM(Input!I1885&amp;""),"%","")),0)/IF(AND(IFERROR(VALUE(SUBSTITUTE(TRIM(Input!I1885&amp;""),"%","")),0)&gt;0,IFERROR(VALUE(SUBSTITUTE(TRIM(Input!I1885&amp;""),"%","")),0)&lt;1),1,100))</f>
        <v/>
      </c>
    </row>
    <row r="1886" spans="1:8">
      <c r="A1886" t="str">
        <f>IF(TRIM(Input!B1886&amp;"")="","",UPPER(TRIM(Input!B1886&amp;"")))</f>
        <v/>
      </c>
      <c r="B1886" t="str">
        <f>IF(A1886="","",IFERROR(VALUE(RIGHT(TRIM(Input!D1886&amp;""),1)),0))</f>
        <v/>
      </c>
      <c r="C1886" t="str">
        <f t="shared" si="29"/>
        <v/>
      </c>
      <c r="D1886" t="str">
        <f>IF(A1886="","",IFERROR(VALUE(SUBSTITUTE(TRIM(Input!E1886&amp;""),"%","")),0)/IF(AND(IFERROR(VALUE(SUBSTITUTE(TRIM(Input!E1886&amp;""),"%","")),0)&gt;0,IFERROR(VALUE(SUBSTITUTE(TRIM(Input!E1886&amp;""),"%","")),0)&lt;1),1,100))</f>
        <v/>
      </c>
      <c r="E1886" t="str">
        <f>IF(A1886="","",IFERROR(VALUE(SUBSTITUTE(TRIM(Input!F1886&amp;""),"%","")),0)/IF(AND(IFERROR(VALUE(SUBSTITUTE(TRIM(Input!F1886&amp;""),"%","")),0)&gt;0,IFERROR(VALUE(SUBSTITUTE(TRIM(Input!F1886&amp;""),"%","")),0)&lt;1),1,100))</f>
        <v/>
      </c>
      <c r="F1886" t="str">
        <f>IF(A1886="","",IFERROR(VALUE(SUBSTITUTE(TRIM(Input!G1886&amp;""),"%","")),0)/IF(AND(IFERROR(VALUE(SUBSTITUTE(TRIM(Input!G1886&amp;""),"%","")),0)&gt;0,IFERROR(VALUE(SUBSTITUTE(TRIM(Input!G1886&amp;""),"%","")),0)&lt;1),1,100))</f>
        <v/>
      </c>
      <c r="G1886" t="str">
        <f>IF(A1886="","",IFERROR(VALUE(SUBSTITUTE(TRIM(Input!H1886&amp;""),"%","")),0)/IF(AND(IFERROR(VALUE(SUBSTITUTE(TRIM(Input!H1886&amp;""),"%","")),0)&gt;0,IFERROR(VALUE(SUBSTITUTE(TRIM(Input!H1886&amp;""),"%","")),0)&lt;1),1,100))</f>
        <v/>
      </c>
      <c r="H1886" t="str">
        <f>IF(A1886="","",IFERROR(VALUE(SUBSTITUTE(TRIM(Input!I1886&amp;""),"%","")),0)/IF(AND(IFERROR(VALUE(SUBSTITUTE(TRIM(Input!I1886&amp;""),"%","")),0)&gt;0,IFERROR(VALUE(SUBSTITUTE(TRIM(Input!I1886&amp;""),"%","")),0)&lt;1),1,100))</f>
        <v/>
      </c>
    </row>
    <row r="1887" spans="1:8">
      <c r="A1887" t="str">
        <f>IF(TRIM(Input!B1887&amp;"")="","",UPPER(TRIM(Input!B1887&amp;"")))</f>
        <v/>
      </c>
      <c r="B1887" t="str">
        <f>IF(A1887="","",IFERROR(VALUE(RIGHT(TRIM(Input!D1887&amp;""),1)),0))</f>
        <v/>
      </c>
      <c r="C1887" t="str">
        <f t="shared" si="29"/>
        <v/>
      </c>
      <c r="D1887" t="str">
        <f>IF(A1887="","",IFERROR(VALUE(SUBSTITUTE(TRIM(Input!E1887&amp;""),"%","")),0)/IF(AND(IFERROR(VALUE(SUBSTITUTE(TRIM(Input!E1887&amp;""),"%","")),0)&gt;0,IFERROR(VALUE(SUBSTITUTE(TRIM(Input!E1887&amp;""),"%","")),0)&lt;1),1,100))</f>
        <v/>
      </c>
      <c r="E1887" t="str">
        <f>IF(A1887="","",IFERROR(VALUE(SUBSTITUTE(TRIM(Input!F1887&amp;""),"%","")),0)/IF(AND(IFERROR(VALUE(SUBSTITUTE(TRIM(Input!F1887&amp;""),"%","")),0)&gt;0,IFERROR(VALUE(SUBSTITUTE(TRIM(Input!F1887&amp;""),"%","")),0)&lt;1),1,100))</f>
        <v/>
      </c>
      <c r="F1887" t="str">
        <f>IF(A1887="","",IFERROR(VALUE(SUBSTITUTE(TRIM(Input!G1887&amp;""),"%","")),0)/IF(AND(IFERROR(VALUE(SUBSTITUTE(TRIM(Input!G1887&amp;""),"%","")),0)&gt;0,IFERROR(VALUE(SUBSTITUTE(TRIM(Input!G1887&amp;""),"%","")),0)&lt;1),1,100))</f>
        <v/>
      </c>
      <c r="G1887" t="str">
        <f>IF(A1887="","",IFERROR(VALUE(SUBSTITUTE(TRIM(Input!H1887&amp;""),"%","")),0)/IF(AND(IFERROR(VALUE(SUBSTITUTE(TRIM(Input!H1887&amp;""),"%","")),0)&gt;0,IFERROR(VALUE(SUBSTITUTE(TRIM(Input!H1887&amp;""),"%","")),0)&lt;1),1,100))</f>
        <v/>
      </c>
      <c r="H1887" t="str">
        <f>IF(A1887="","",IFERROR(VALUE(SUBSTITUTE(TRIM(Input!I1887&amp;""),"%","")),0)/IF(AND(IFERROR(VALUE(SUBSTITUTE(TRIM(Input!I1887&amp;""),"%","")),0)&gt;0,IFERROR(VALUE(SUBSTITUTE(TRIM(Input!I1887&amp;""),"%","")),0)&lt;1),1,100))</f>
        <v/>
      </c>
    </row>
    <row r="1888" spans="1:8">
      <c r="A1888" t="str">
        <f>IF(TRIM(Input!B1888&amp;"")="","",UPPER(TRIM(Input!B1888&amp;"")))</f>
        <v/>
      </c>
      <c r="B1888" t="str">
        <f>IF(A1888="","",IFERROR(VALUE(RIGHT(TRIM(Input!D1888&amp;""),1)),0))</f>
        <v/>
      </c>
      <c r="C1888" t="str">
        <f t="shared" si="29"/>
        <v/>
      </c>
      <c r="D1888" t="str">
        <f>IF(A1888="","",IFERROR(VALUE(SUBSTITUTE(TRIM(Input!E1888&amp;""),"%","")),0)/IF(AND(IFERROR(VALUE(SUBSTITUTE(TRIM(Input!E1888&amp;""),"%","")),0)&gt;0,IFERROR(VALUE(SUBSTITUTE(TRIM(Input!E1888&amp;""),"%","")),0)&lt;1),1,100))</f>
        <v/>
      </c>
      <c r="E1888" t="str">
        <f>IF(A1888="","",IFERROR(VALUE(SUBSTITUTE(TRIM(Input!F1888&amp;""),"%","")),0)/IF(AND(IFERROR(VALUE(SUBSTITUTE(TRIM(Input!F1888&amp;""),"%","")),0)&gt;0,IFERROR(VALUE(SUBSTITUTE(TRIM(Input!F1888&amp;""),"%","")),0)&lt;1),1,100))</f>
        <v/>
      </c>
      <c r="F1888" t="str">
        <f>IF(A1888="","",IFERROR(VALUE(SUBSTITUTE(TRIM(Input!G1888&amp;""),"%","")),0)/IF(AND(IFERROR(VALUE(SUBSTITUTE(TRIM(Input!G1888&amp;""),"%","")),0)&gt;0,IFERROR(VALUE(SUBSTITUTE(TRIM(Input!G1888&amp;""),"%","")),0)&lt;1),1,100))</f>
        <v/>
      </c>
      <c r="G1888" t="str">
        <f>IF(A1888="","",IFERROR(VALUE(SUBSTITUTE(TRIM(Input!H1888&amp;""),"%","")),0)/IF(AND(IFERROR(VALUE(SUBSTITUTE(TRIM(Input!H1888&amp;""),"%","")),0)&gt;0,IFERROR(VALUE(SUBSTITUTE(TRIM(Input!H1888&amp;""),"%","")),0)&lt;1),1,100))</f>
        <v/>
      </c>
      <c r="H1888" t="str">
        <f>IF(A1888="","",IFERROR(VALUE(SUBSTITUTE(TRIM(Input!I1888&amp;""),"%","")),0)/IF(AND(IFERROR(VALUE(SUBSTITUTE(TRIM(Input!I1888&amp;""),"%","")),0)&gt;0,IFERROR(VALUE(SUBSTITUTE(TRIM(Input!I1888&amp;""),"%","")),0)&lt;1),1,100))</f>
        <v/>
      </c>
    </row>
    <row r="1889" spans="1:8">
      <c r="A1889" t="str">
        <f>IF(TRIM(Input!B1889&amp;"")="","",UPPER(TRIM(Input!B1889&amp;"")))</f>
        <v/>
      </c>
      <c r="B1889" t="str">
        <f>IF(A1889="","",IFERROR(VALUE(RIGHT(TRIM(Input!D1889&amp;""),1)),0))</f>
        <v/>
      </c>
      <c r="C1889" t="str">
        <f t="shared" si="29"/>
        <v/>
      </c>
      <c r="D1889" t="str">
        <f>IF(A1889="","",IFERROR(VALUE(SUBSTITUTE(TRIM(Input!E1889&amp;""),"%","")),0)/IF(AND(IFERROR(VALUE(SUBSTITUTE(TRIM(Input!E1889&amp;""),"%","")),0)&gt;0,IFERROR(VALUE(SUBSTITUTE(TRIM(Input!E1889&amp;""),"%","")),0)&lt;1),1,100))</f>
        <v/>
      </c>
      <c r="E1889" t="str">
        <f>IF(A1889="","",IFERROR(VALUE(SUBSTITUTE(TRIM(Input!F1889&amp;""),"%","")),0)/IF(AND(IFERROR(VALUE(SUBSTITUTE(TRIM(Input!F1889&amp;""),"%","")),0)&gt;0,IFERROR(VALUE(SUBSTITUTE(TRIM(Input!F1889&amp;""),"%","")),0)&lt;1),1,100))</f>
        <v/>
      </c>
      <c r="F1889" t="str">
        <f>IF(A1889="","",IFERROR(VALUE(SUBSTITUTE(TRIM(Input!G1889&amp;""),"%","")),0)/IF(AND(IFERROR(VALUE(SUBSTITUTE(TRIM(Input!G1889&amp;""),"%","")),0)&gt;0,IFERROR(VALUE(SUBSTITUTE(TRIM(Input!G1889&amp;""),"%","")),0)&lt;1),1,100))</f>
        <v/>
      </c>
      <c r="G1889" t="str">
        <f>IF(A1889="","",IFERROR(VALUE(SUBSTITUTE(TRIM(Input!H1889&amp;""),"%","")),0)/IF(AND(IFERROR(VALUE(SUBSTITUTE(TRIM(Input!H1889&amp;""),"%","")),0)&gt;0,IFERROR(VALUE(SUBSTITUTE(TRIM(Input!H1889&amp;""),"%","")),0)&lt;1),1,100))</f>
        <v/>
      </c>
      <c r="H1889" t="str">
        <f>IF(A1889="","",IFERROR(VALUE(SUBSTITUTE(TRIM(Input!I1889&amp;""),"%","")),0)/IF(AND(IFERROR(VALUE(SUBSTITUTE(TRIM(Input!I1889&amp;""),"%","")),0)&gt;0,IFERROR(VALUE(SUBSTITUTE(TRIM(Input!I1889&amp;""),"%","")),0)&lt;1),1,100))</f>
        <v/>
      </c>
    </row>
    <row r="1890" spans="1:8">
      <c r="A1890" t="str">
        <f>IF(TRIM(Input!B1890&amp;"")="","",UPPER(TRIM(Input!B1890&amp;"")))</f>
        <v/>
      </c>
      <c r="B1890" t="str">
        <f>IF(A1890="","",IFERROR(VALUE(RIGHT(TRIM(Input!D1890&amp;""),1)),0))</f>
        <v/>
      </c>
      <c r="C1890" t="str">
        <f t="shared" si="29"/>
        <v/>
      </c>
      <c r="D1890" t="str">
        <f>IF(A1890="","",IFERROR(VALUE(SUBSTITUTE(TRIM(Input!E1890&amp;""),"%","")),0)/IF(AND(IFERROR(VALUE(SUBSTITUTE(TRIM(Input!E1890&amp;""),"%","")),0)&gt;0,IFERROR(VALUE(SUBSTITUTE(TRIM(Input!E1890&amp;""),"%","")),0)&lt;1),1,100))</f>
        <v/>
      </c>
      <c r="E1890" t="str">
        <f>IF(A1890="","",IFERROR(VALUE(SUBSTITUTE(TRIM(Input!F1890&amp;""),"%","")),0)/IF(AND(IFERROR(VALUE(SUBSTITUTE(TRIM(Input!F1890&amp;""),"%","")),0)&gt;0,IFERROR(VALUE(SUBSTITUTE(TRIM(Input!F1890&amp;""),"%","")),0)&lt;1),1,100))</f>
        <v/>
      </c>
      <c r="F1890" t="str">
        <f>IF(A1890="","",IFERROR(VALUE(SUBSTITUTE(TRIM(Input!G1890&amp;""),"%","")),0)/IF(AND(IFERROR(VALUE(SUBSTITUTE(TRIM(Input!G1890&amp;""),"%","")),0)&gt;0,IFERROR(VALUE(SUBSTITUTE(TRIM(Input!G1890&amp;""),"%","")),0)&lt;1),1,100))</f>
        <v/>
      </c>
      <c r="G1890" t="str">
        <f>IF(A1890="","",IFERROR(VALUE(SUBSTITUTE(TRIM(Input!H1890&amp;""),"%","")),0)/IF(AND(IFERROR(VALUE(SUBSTITUTE(TRIM(Input!H1890&amp;""),"%","")),0)&gt;0,IFERROR(VALUE(SUBSTITUTE(TRIM(Input!H1890&amp;""),"%","")),0)&lt;1),1,100))</f>
        <v/>
      </c>
      <c r="H1890" t="str">
        <f>IF(A1890="","",IFERROR(VALUE(SUBSTITUTE(TRIM(Input!I1890&amp;""),"%","")),0)/IF(AND(IFERROR(VALUE(SUBSTITUTE(TRIM(Input!I1890&amp;""),"%","")),0)&gt;0,IFERROR(VALUE(SUBSTITUTE(TRIM(Input!I1890&amp;""),"%","")),0)&lt;1),1,100))</f>
        <v/>
      </c>
    </row>
    <row r="1891" spans="1:8">
      <c r="A1891" t="str">
        <f>IF(TRIM(Input!B1891&amp;"")="","",UPPER(TRIM(Input!B1891&amp;"")))</f>
        <v/>
      </c>
      <c r="B1891" t="str">
        <f>IF(A1891="","",IFERROR(VALUE(RIGHT(TRIM(Input!D1891&amp;""),1)),0))</f>
        <v/>
      </c>
      <c r="C1891" t="str">
        <f t="shared" si="29"/>
        <v/>
      </c>
      <c r="D1891" t="str">
        <f>IF(A1891="","",IFERROR(VALUE(SUBSTITUTE(TRIM(Input!E1891&amp;""),"%","")),0)/IF(AND(IFERROR(VALUE(SUBSTITUTE(TRIM(Input!E1891&amp;""),"%","")),0)&gt;0,IFERROR(VALUE(SUBSTITUTE(TRIM(Input!E1891&amp;""),"%","")),0)&lt;1),1,100))</f>
        <v/>
      </c>
      <c r="E1891" t="str">
        <f>IF(A1891="","",IFERROR(VALUE(SUBSTITUTE(TRIM(Input!F1891&amp;""),"%","")),0)/IF(AND(IFERROR(VALUE(SUBSTITUTE(TRIM(Input!F1891&amp;""),"%","")),0)&gt;0,IFERROR(VALUE(SUBSTITUTE(TRIM(Input!F1891&amp;""),"%","")),0)&lt;1),1,100))</f>
        <v/>
      </c>
      <c r="F1891" t="str">
        <f>IF(A1891="","",IFERROR(VALUE(SUBSTITUTE(TRIM(Input!G1891&amp;""),"%","")),0)/IF(AND(IFERROR(VALUE(SUBSTITUTE(TRIM(Input!G1891&amp;""),"%","")),0)&gt;0,IFERROR(VALUE(SUBSTITUTE(TRIM(Input!G1891&amp;""),"%","")),0)&lt;1),1,100))</f>
        <v/>
      </c>
      <c r="G1891" t="str">
        <f>IF(A1891="","",IFERROR(VALUE(SUBSTITUTE(TRIM(Input!H1891&amp;""),"%","")),0)/IF(AND(IFERROR(VALUE(SUBSTITUTE(TRIM(Input!H1891&amp;""),"%","")),0)&gt;0,IFERROR(VALUE(SUBSTITUTE(TRIM(Input!H1891&amp;""),"%","")),0)&lt;1),1,100))</f>
        <v/>
      </c>
      <c r="H1891" t="str">
        <f>IF(A1891="","",IFERROR(VALUE(SUBSTITUTE(TRIM(Input!I1891&amp;""),"%","")),0)/IF(AND(IFERROR(VALUE(SUBSTITUTE(TRIM(Input!I1891&amp;""),"%","")),0)&gt;0,IFERROR(VALUE(SUBSTITUTE(TRIM(Input!I1891&amp;""),"%","")),0)&lt;1),1,100))</f>
        <v/>
      </c>
    </row>
    <row r="1892" spans="1:8">
      <c r="A1892" t="str">
        <f>IF(TRIM(Input!B1892&amp;"")="","",UPPER(TRIM(Input!B1892&amp;"")))</f>
        <v/>
      </c>
      <c r="B1892" t="str">
        <f>IF(A1892="","",IFERROR(VALUE(RIGHT(TRIM(Input!D1892&amp;""),1)),0))</f>
        <v/>
      </c>
      <c r="C1892" t="str">
        <f t="shared" si="29"/>
        <v/>
      </c>
      <c r="D1892" t="str">
        <f>IF(A1892="","",IFERROR(VALUE(SUBSTITUTE(TRIM(Input!E1892&amp;""),"%","")),0)/IF(AND(IFERROR(VALUE(SUBSTITUTE(TRIM(Input!E1892&amp;""),"%","")),0)&gt;0,IFERROR(VALUE(SUBSTITUTE(TRIM(Input!E1892&amp;""),"%","")),0)&lt;1),1,100))</f>
        <v/>
      </c>
      <c r="E1892" t="str">
        <f>IF(A1892="","",IFERROR(VALUE(SUBSTITUTE(TRIM(Input!F1892&amp;""),"%","")),0)/IF(AND(IFERROR(VALUE(SUBSTITUTE(TRIM(Input!F1892&amp;""),"%","")),0)&gt;0,IFERROR(VALUE(SUBSTITUTE(TRIM(Input!F1892&amp;""),"%","")),0)&lt;1),1,100))</f>
        <v/>
      </c>
      <c r="F1892" t="str">
        <f>IF(A1892="","",IFERROR(VALUE(SUBSTITUTE(TRIM(Input!G1892&amp;""),"%","")),0)/IF(AND(IFERROR(VALUE(SUBSTITUTE(TRIM(Input!G1892&amp;""),"%","")),0)&gt;0,IFERROR(VALUE(SUBSTITUTE(TRIM(Input!G1892&amp;""),"%","")),0)&lt;1),1,100))</f>
        <v/>
      </c>
      <c r="G1892" t="str">
        <f>IF(A1892="","",IFERROR(VALUE(SUBSTITUTE(TRIM(Input!H1892&amp;""),"%","")),0)/IF(AND(IFERROR(VALUE(SUBSTITUTE(TRIM(Input!H1892&amp;""),"%","")),0)&gt;0,IFERROR(VALUE(SUBSTITUTE(TRIM(Input!H1892&amp;""),"%","")),0)&lt;1),1,100))</f>
        <v/>
      </c>
      <c r="H1892" t="str">
        <f>IF(A1892="","",IFERROR(VALUE(SUBSTITUTE(TRIM(Input!I1892&amp;""),"%","")),0)/IF(AND(IFERROR(VALUE(SUBSTITUTE(TRIM(Input!I1892&amp;""),"%","")),0)&gt;0,IFERROR(VALUE(SUBSTITUTE(TRIM(Input!I1892&amp;""),"%","")),0)&lt;1),1,100))</f>
        <v/>
      </c>
    </row>
    <row r="1893" spans="1:8">
      <c r="A1893" t="str">
        <f>IF(TRIM(Input!B1893&amp;"")="","",UPPER(TRIM(Input!B1893&amp;"")))</f>
        <v/>
      </c>
      <c r="B1893" t="str">
        <f>IF(A1893="","",IFERROR(VALUE(RIGHT(TRIM(Input!D1893&amp;""),1)),0))</f>
        <v/>
      </c>
      <c r="C1893" t="str">
        <f t="shared" si="29"/>
        <v/>
      </c>
      <c r="D1893" t="str">
        <f>IF(A1893="","",IFERROR(VALUE(SUBSTITUTE(TRIM(Input!E1893&amp;""),"%","")),0)/IF(AND(IFERROR(VALUE(SUBSTITUTE(TRIM(Input!E1893&amp;""),"%","")),0)&gt;0,IFERROR(VALUE(SUBSTITUTE(TRIM(Input!E1893&amp;""),"%","")),0)&lt;1),1,100))</f>
        <v/>
      </c>
      <c r="E1893" t="str">
        <f>IF(A1893="","",IFERROR(VALUE(SUBSTITUTE(TRIM(Input!F1893&amp;""),"%","")),0)/IF(AND(IFERROR(VALUE(SUBSTITUTE(TRIM(Input!F1893&amp;""),"%","")),0)&gt;0,IFERROR(VALUE(SUBSTITUTE(TRIM(Input!F1893&amp;""),"%","")),0)&lt;1),1,100))</f>
        <v/>
      </c>
      <c r="F1893" t="str">
        <f>IF(A1893="","",IFERROR(VALUE(SUBSTITUTE(TRIM(Input!G1893&amp;""),"%","")),0)/IF(AND(IFERROR(VALUE(SUBSTITUTE(TRIM(Input!G1893&amp;""),"%","")),0)&gt;0,IFERROR(VALUE(SUBSTITUTE(TRIM(Input!G1893&amp;""),"%","")),0)&lt;1),1,100))</f>
        <v/>
      </c>
      <c r="G1893" t="str">
        <f>IF(A1893="","",IFERROR(VALUE(SUBSTITUTE(TRIM(Input!H1893&amp;""),"%","")),0)/IF(AND(IFERROR(VALUE(SUBSTITUTE(TRIM(Input!H1893&amp;""),"%","")),0)&gt;0,IFERROR(VALUE(SUBSTITUTE(TRIM(Input!H1893&amp;""),"%","")),0)&lt;1),1,100))</f>
        <v/>
      </c>
      <c r="H1893" t="str">
        <f>IF(A1893="","",IFERROR(VALUE(SUBSTITUTE(TRIM(Input!I1893&amp;""),"%","")),0)/IF(AND(IFERROR(VALUE(SUBSTITUTE(TRIM(Input!I1893&amp;""),"%","")),0)&gt;0,IFERROR(VALUE(SUBSTITUTE(TRIM(Input!I1893&amp;""),"%","")),0)&lt;1),1,100))</f>
        <v/>
      </c>
    </row>
    <row r="1894" spans="1:8">
      <c r="A1894" t="str">
        <f>IF(TRIM(Input!B1894&amp;"")="","",UPPER(TRIM(Input!B1894&amp;"")))</f>
        <v/>
      </c>
      <c r="B1894" t="str">
        <f>IF(A1894="","",IFERROR(VALUE(RIGHT(TRIM(Input!D1894&amp;""),1)),0))</f>
        <v/>
      </c>
      <c r="C1894" t="str">
        <f t="shared" si="29"/>
        <v/>
      </c>
      <c r="D1894" t="str">
        <f>IF(A1894="","",IFERROR(VALUE(SUBSTITUTE(TRIM(Input!E1894&amp;""),"%","")),0)/IF(AND(IFERROR(VALUE(SUBSTITUTE(TRIM(Input!E1894&amp;""),"%","")),0)&gt;0,IFERROR(VALUE(SUBSTITUTE(TRIM(Input!E1894&amp;""),"%","")),0)&lt;1),1,100))</f>
        <v/>
      </c>
      <c r="E1894" t="str">
        <f>IF(A1894="","",IFERROR(VALUE(SUBSTITUTE(TRIM(Input!F1894&amp;""),"%","")),0)/IF(AND(IFERROR(VALUE(SUBSTITUTE(TRIM(Input!F1894&amp;""),"%","")),0)&gt;0,IFERROR(VALUE(SUBSTITUTE(TRIM(Input!F1894&amp;""),"%","")),0)&lt;1),1,100))</f>
        <v/>
      </c>
      <c r="F1894" t="str">
        <f>IF(A1894="","",IFERROR(VALUE(SUBSTITUTE(TRIM(Input!G1894&amp;""),"%","")),0)/IF(AND(IFERROR(VALUE(SUBSTITUTE(TRIM(Input!G1894&amp;""),"%","")),0)&gt;0,IFERROR(VALUE(SUBSTITUTE(TRIM(Input!G1894&amp;""),"%","")),0)&lt;1),1,100))</f>
        <v/>
      </c>
      <c r="G1894" t="str">
        <f>IF(A1894="","",IFERROR(VALUE(SUBSTITUTE(TRIM(Input!H1894&amp;""),"%","")),0)/IF(AND(IFERROR(VALUE(SUBSTITUTE(TRIM(Input!H1894&amp;""),"%","")),0)&gt;0,IFERROR(VALUE(SUBSTITUTE(TRIM(Input!H1894&amp;""),"%","")),0)&lt;1),1,100))</f>
        <v/>
      </c>
      <c r="H1894" t="str">
        <f>IF(A1894="","",IFERROR(VALUE(SUBSTITUTE(TRIM(Input!I1894&amp;""),"%","")),0)/IF(AND(IFERROR(VALUE(SUBSTITUTE(TRIM(Input!I1894&amp;""),"%","")),0)&gt;0,IFERROR(VALUE(SUBSTITUTE(TRIM(Input!I1894&amp;""),"%","")),0)&lt;1),1,100))</f>
        <v/>
      </c>
    </row>
    <row r="1895" spans="1:8">
      <c r="A1895" t="str">
        <f>IF(TRIM(Input!B1895&amp;"")="","",UPPER(TRIM(Input!B1895&amp;"")))</f>
        <v/>
      </c>
      <c r="B1895" t="str">
        <f>IF(A1895="","",IFERROR(VALUE(RIGHT(TRIM(Input!D1895&amp;""),1)),0))</f>
        <v/>
      </c>
      <c r="C1895" t="str">
        <f t="shared" si="29"/>
        <v/>
      </c>
      <c r="D1895" t="str">
        <f>IF(A1895="","",IFERROR(VALUE(SUBSTITUTE(TRIM(Input!E1895&amp;""),"%","")),0)/IF(AND(IFERROR(VALUE(SUBSTITUTE(TRIM(Input!E1895&amp;""),"%","")),0)&gt;0,IFERROR(VALUE(SUBSTITUTE(TRIM(Input!E1895&amp;""),"%","")),0)&lt;1),1,100))</f>
        <v/>
      </c>
      <c r="E1895" t="str">
        <f>IF(A1895="","",IFERROR(VALUE(SUBSTITUTE(TRIM(Input!F1895&amp;""),"%","")),0)/IF(AND(IFERROR(VALUE(SUBSTITUTE(TRIM(Input!F1895&amp;""),"%","")),0)&gt;0,IFERROR(VALUE(SUBSTITUTE(TRIM(Input!F1895&amp;""),"%","")),0)&lt;1),1,100))</f>
        <v/>
      </c>
      <c r="F1895" t="str">
        <f>IF(A1895="","",IFERROR(VALUE(SUBSTITUTE(TRIM(Input!G1895&amp;""),"%","")),0)/IF(AND(IFERROR(VALUE(SUBSTITUTE(TRIM(Input!G1895&amp;""),"%","")),0)&gt;0,IFERROR(VALUE(SUBSTITUTE(TRIM(Input!G1895&amp;""),"%","")),0)&lt;1),1,100))</f>
        <v/>
      </c>
      <c r="G1895" t="str">
        <f>IF(A1895="","",IFERROR(VALUE(SUBSTITUTE(TRIM(Input!H1895&amp;""),"%","")),0)/IF(AND(IFERROR(VALUE(SUBSTITUTE(TRIM(Input!H1895&amp;""),"%","")),0)&gt;0,IFERROR(VALUE(SUBSTITUTE(TRIM(Input!H1895&amp;""),"%","")),0)&lt;1),1,100))</f>
        <v/>
      </c>
      <c r="H1895" t="str">
        <f>IF(A1895="","",IFERROR(VALUE(SUBSTITUTE(TRIM(Input!I1895&amp;""),"%","")),0)/IF(AND(IFERROR(VALUE(SUBSTITUTE(TRIM(Input!I1895&amp;""),"%","")),0)&gt;0,IFERROR(VALUE(SUBSTITUTE(TRIM(Input!I1895&amp;""),"%","")),0)&lt;1),1,100))</f>
        <v/>
      </c>
    </row>
    <row r="1896" spans="1:8">
      <c r="A1896" t="str">
        <f>IF(TRIM(Input!B1896&amp;"")="","",UPPER(TRIM(Input!B1896&amp;"")))</f>
        <v/>
      </c>
      <c r="B1896" t="str">
        <f>IF(A1896="","",IFERROR(VALUE(RIGHT(TRIM(Input!D1896&amp;""),1)),0))</f>
        <v/>
      </c>
      <c r="C1896" t="str">
        <f t="shared" si="29"/>
        <v/>
      </c>
      <c r="D1896" t="str">
        <f>IF(A1896="","",IFERROR(VALUE(SUBSTITUTE(TRIM(Input!E1896&amp;""),"%","")),0)/IF(AND(IFERROR(VALUE(SUBSTITUTE(TRIM(Input!E1896&amp;""),"%","")),0)&gt;0,IFERROR(VALUE(SUBSTITUTE(TRIM(Input!E1896&amp;""),"%","")),0)&lt;1),1,100))</f>
        <v/>
      </c>
      <c r="E1896" t="str">
        <f>IF(A1896="","",IFERROR(VALUE(SUBSTITUTE(TRIM(Input!F1896&amp;""),"%","")),0)/IF(AND(IFERROR(VALUE(SUBSTITUTE(TRIM(Input!F1896&amp;""),"%","")),0)&gt;0,IFERROR(VALUE(SUBSTITUTE(TRIM(Input!F1896&amp;""),"%","")),0)&lt;1),1,100))</f>
        <v/>
      </c>
      <c r="F1896" t="str">
        <f>IF(A1896="","",IFERROR(VALUE(SUBSTITUTE(TRIM(Input!G1896&amp;""),"%","")),0)/IF(AND(IFERROR(VALUE(SUBSTITUTE(TRIM(Input!G1896&amp;""),"%","")),0)&gt;0,IFERROR(VALUE(SUBSTITUTE(TRIM(Input!G1896&amp;""),"%","")),0)&lt;1),1,100))</f>
        <v/>
      </c>
      <c r="G1896" t="str">
        <f>IF(A1896="","",IFERROR(VALUE(SUBSTITUTE(TRIM(Input!H1896&amp;""),"%","")),0)/IF(AND(IFERROR(VALUE(SUBSTITUTE(TRIM(Input!H1896&amp;""),"%","")),0)&gt;0,IFERROR(VALUE(SUBSTITUTE(TRIM(Input!H1896&amp;""),"%","")),0)&lt;1),1,100))</f>
        <v/>
      </c>
      <c r="H1896" t="str">
        <f>IF(A1896="","",IFERROR(VALUE(SUBSTITUTE(TRIM(Input!I1896&amp;""),"%","")),0)/IF(AND(IFERROR(VALUE(SUBSTITUTE(TRIM(Input!I1896&amp;""),"%","")),0)&gt;0,IFERROR(VALUE(SUBSTITUTE(TRIM(Input!I1896&amp;""),"%","")),0)&lt;1),1,100))</f>
        <v/>
      </c>
    </row>
    <row r="1897" spans="1:8">
      <c r="A1897" t="str">
        <f>IF(TRIM(Input!B1897&amp;"")="","",UPPER(TRIM(Input!B1897&amp;"")))</f>
        <v/>
      </c>
      <c r="B1897" t="str">
        <f>IF(A1897="","",IFERROR(VALUE(RIGHT(TRIM(Input!D1897&amp;""),1)),0))</f>
        <v/>
      </c>
      <c r="C1897" t="str">
        <f t="shared" si="29"/>
        <v/>
      </c>
      <c r="D1897" t="str">
        <f>IF(A1897="","",IFERROR(VALUE(SUBSTITUTE(TRIM(Input!E1897&amp;""),"%","")),0)/IF(AND(IFERROR(VALUE(SUBSTITUTE(TRIM(Input!E1897&amp;""),"%","")),0)&gt;0,IFERROR(VALUE(SUBSTITUTE(TRIM(Input!E1897&amp;""),"%","")),0)&lt;1),1,100))</f>
        <v/>
      </c>
      <c r="E1897" t="str">
        <f>IF(A1897="","",IFERROR(VALUE(SUBSTITUTE(TRIM(Input!F1897&amp;""),"%","")),0)/IF(AND(IFERROR(VALUE(SUBSTITUTE(TRIM(Input!F1897&amp;""),"%","")),0)&gt;0,IFERROR(VALUE(SUBSTITUTE(TRIM(Input!F1897&amp;""),"%","")),0)&lt;1),1,100))</f>
        <v/>
      </c>
      <c r="F1897" t="str">
        <f>IF(A1897="","",IFERROR(VALUE(SUBSTITUTE(TRIM(Input!G1897&amp;""),"%","")),0)/IF(AND(IFERROR(VALUE(SUBSTITUTE(TRIM(Input!G1897&amp;""),"%","")),0)&gt;0,IFERROR(VALUE(SUBSTITUTE(TRIM(Input!G1897&amp;""),"%","")),0)&lt;1),1,100))</f>
        <v/>
      </c>
      <c r="G1897" t="str">
        <f>IF(A1897="","",IFERROR(VALUE(SUBSTITUTE(TRIM(Input!H1897&amp;""),"%","")),0)/IF(AND(IFERROR(VALUE(SUBSTITUTE(TRIM(Input!H1897&amp;""),"%","")),0)&gt;0,IFERROR(VALUE(SUBSTITUTE(TRIM(Input!H1897&amp;""),"%","")),0)&lt;1),1,100))</f>
        <v/>
      </c>
      <c r="H1897" t="str">
        <f>IF(A1897="","",IFERROR(VALUE(SUBSTITUTE(TRIM(Input!I1897&amp;""),"%","")),0)/IF(AND(IFERROR(VALUE(SUBSTITUTE(TRIM(Input!I1897&amp;""),"%","")),0)&gt;0,IFERROR(VALUE(SUBSTITUTE(TRIM(Input!I1897&amp;""),"%","")),0)&lt;1),1,100))</f>
        <v/>
      </c>
    </row>
    <row r="1898" spans="1:8">
      <c r="A1898" t="str">
        <f>IF(TRIM(Input!B1898&amp;"")="","",UPPER(TRIM(Input!B1898&amp;"")))</f>
        <v/>
      </c>
      <c r="B1898" t="str">
        <f>IF(A1898="","",IFERROR(VALUE(RIGHT(TRIM(Input!D1898&amp;""),1)),0))</f>
        <v/>
      </c>
      <c r="C1898" t="str">
        <f t="shared" si="29"/>
        <v/>
      </c>
      <c r="D1898" t="str">
        <f>IF(A1898="","",IFERROR(VALUE(SUBSTITUTE(TRIM(Input!E1898&amp;""),"%","")),0)/IF(AND(IFERROR(VALUE(SUBSTITUTE(TRIM(Input!E1898&amp;""),"%","")),0)&gt;0,IFERROR(VALUE(SUBSTITUTE(TRIM(Input!E1898&amp;""),"%","")),0)&lt;1),1,100))</f>
        <v/>
      </c>
      <c r="E1898" t="str">
        <f>IF(A1898="","",IFERROR(VALUE(SUBSTITUTE(TRIM(Input!F1898&amp;""),"%","")),0)/IF(AND(IFERROR(VALUE(SUBSTITUTE(TRIM(Input!F1898&amp;""),"%","")),0)&gt;0,IFERROR(VALUE(SUBSTITUTE(TRIM(Input!F1898&amp;""),"%","")),0)&lt;1),1,100))</f>
        <v/>
      </c>
      <c r="F1898" t="str">
        <f>IF(A1898="","",IFERROR(VALUE(SUBSTITUTE(TRIM(Input!G1898&amp;""),"%","")),0)/IF(AND(IFERROR(VALUE(SUBSTITUTE(TRIM(Input!G1898&amp;""),"%","")),0)&gt;0,IFERROR(VALUE(SUBSTITUTE(TRIM(Input!G1898&amp;""),"%","")),0)&lt;1),1,100))</f>
        <v/>
      </c>
      <c r="G1898" t="str">
        <f>IF(A1898="","",IFERROR(VALUE(SUBSTITUTE(TRIM(Input!H1898&amp;""),"%","")),0)/IF(AND(IFERROR(VALUE(SUBSTITUTE(TRIM(Input!H1898&amp;""),"%","")),0)&gt;0,IFERROR(VALUE(SUBSTITUTE(TRIM(Input!H1898&amp;""),"%","")),0)&lt;1),1,100))</f>
        <v/>
      </c>
      <c r="H1898" t="str">
        <f>IF(A1898="","",IFERROR(VALUE(SUBSTITUTE(TRIM(Input!I1898&amp;""),"%","")),0)/IF(AND(IFERROR(VALUE(SUBSTITUTE(TRIM(Input!I1898&amp;""),"%","")),0)&gt;0,IFERROR(VALUE(SUBSTITUTE(TRIM(Input!I1898&amp;""),"%","")),0)&lt;1),1,100))</f>
        <v/>
      </c>
    </row>
    <row r="1899" spans="1:8">
      <c r="A1899" t="str">
        <f>IF(TRIM(Input!B1899&amp;"")="","",UPPER(TRIM(Input!B1899&amp;"")))</f>
        <v/>
      </c>
      <c r="B1899" t="str">
        <f>IF(A1899="","",IFERROR(VALUE(RIGHT(TRIM(Input!D1899&amp;""),1)),0))</f>
        <v/>
      </c>
      <c r="C1899" t="str">
        <f t="shared" si="29"/>
        <v/>
      </c>
      <c r="D1899" t="str">
        <f>IF(A1899="","",IFERROR(VALUE(SUBSTITUTE(TRIM(Input!E1899&amp;""),"%","")),0)/IF(AND(IFERROR(VALUE(SUBSTITUTE(TRIM(Input!E1899&amp;""),"%","")),0)&gt;0,IFERROR(VALUE(SUBSTITUTE(TRIM(Input!E1899&amp;""),"%","")),0)&lt;1),1,100))</f>
        <v/>
      </c>
      <c r="E1899" t="str">
        <f>IF(A1899="","",IFERROR(VALUE(SUBSTITUTE(TRIM(Input!F1899&amp;""),"%","")),0)/IF(AND(IFERROR(VALUE(SUBSTITUTE(TRIM(Input!F1899&amp;""),"%","")),0)&gt;0,IFERROR(VALUE(SUBSTITUTE(TRIM(Input!F1899&amp;""),"%","")),0)&lt;1),1,100))</f>
        <v/>
      </c>
      <c r="F1899" t="str">
        <f>IF(A1899="","",IFERROR(VALUE(SUBSTITUTE(TRIM(Input!G1899&amp;""),"%","")),0)/IF(AND(IFERROR(VALUE(SUBSTITUTE(TRIM(Input!G1899&amp;""),"%","")),0)&gt;0,IFERROR(VALUE(SUBSTITUTE(TRIM(Input!G1899&amp;""),"%","")),0)&lt;1),1,100))</f>
        <v/>
      </c>
      <c r="G1899" t="str">
        <f>IF(A1899="","",IFERROR(VALUE(SUBSTITUTE(TRIM(Input!H1899&amp;""),"%","")),0)/IF(AND(IFERROR(VALUE(SUBSTITUTE(TRIM(Input!H1899&amp;""),"%","")),0)&gt;0,IFERROR(VALUE(SUBSTITUTE(TRIM(Input!H1899&amp;""),"%","")),0)&lt;1),1,100))</f>
        <v/>
      </c>
      <c r="H1899" t="str">
        <f>IF(A1899="","",IFERROR(VALUE(SUBSTITUTE(TRIM(Input!I1899&amp;""),"%","")),0)/IF(AND(IFERROR(VALUE(SUBSTITUTE(TRIM(Input!I1899&amp;""),"%","")),0)&gt;0,IFERROR(VALUE(SUBSTITUTE(TRIM(Input!I1899&amp;""),"%","")),0)&lt;1),1,100))</f>
        <v/>
      </c>
    </row>
    <row r="1900" spans="1:8">
      <c r="A1900" t="str">
        <f>IF(TRIM(Input!B1900&amp;"")="","",UPPER(TRIM(Input!B1900&amp;"")))</f>
        <v/>
      </c>
      <c r="B1900" t="str">
        <f>IF(A1900="","",IFERROR(VALUE(RIGHT(TRIM(Input!D1900&amp;""),1)),0))</f>
        <v/>
      </c>
      <c r="C1900" t="str">
        <f t="shared" si="29"/>
        <v/>
      </c>
      <c r="D1900" t="str">
        <f>IF(A1900="","",IFERROR(VALUE(SUBSTITUTE(TRIM(Input!E1900&amp;""),"%","")),0)/IF(AND(IFERROR(VALUE(SUBSTITUTE(TRIM(Input!E1900&amp;""),"%","")),0)&gt;0,IFERROR(VALUE(SUBSTITUTE(TRIM(Input!E1900&amp;""),"%","")),0)&lt;1),1,100))</f>
        <v/>
      </c>
      <c r="E1900" t="str">
        <f>IF(A1900="","",IFERROR(VALUE(SUBSTITUTE(TRIM(Input!F1900&amp;""),"%","")),0)/IF(AND(IFERROR(VALUE(SUBSTITUTE(TRIM(Input!F1900&amp;""),"%","")),0)&gt;0,IFERROR(VALUE(SUBSTITUTE(TRIM(Input!F1900&amp;""),"%","")),0)&lt;1),1,100))</f>
        <v/>
      </c>
      <c r="F1900" t="str">
        <f>IF(A1900="","",IFERROR(VALUE(SUBSTITUTE(TRIM(Input!G1900&amp;""),"%","")),0)/IF(AND(IFERROR(VALUE(SUBSTITUTE(TRIM(Input!G1900&amp;""),"%","")),0)&gt;0,IFERROR(VALUE(SUBSTITUTE(TRIM(Input!G1900&amp;""),"%","")),0)&lt;1),1,100))</f>
        <v/>
      </c>
      <c r="G1900" t="str">
        <f>IF(A1900="","",IFERROR(VALUE(SUBSTITUTE(TRIM(Input!H1900&amp;""),"%","")),0)/IF(AND(IFERROR(VALUE(SUBSTITUTE(TRIM(Input!H1900&amp;""),"%","")),0)&gt;0,IFERROR(VALUE(SUBSTITUTE(TRIM(Input!H1900&amp;""),"%","")),0)&lt;1),1,100))</f>
        <v/>
      </c>
      <c r="H1900" t="str">
        <f>IF(A1900="","",IFERROR(VALUE(SUBSTITUTE(TRIM(Input!I1900&amp;""),"%","")),0)/IF(AND(IFERROR(VALUE(SUBSTITUTE(TRIM(Input!I1900&amp;""),"%","")),0)&gt;0,IFERROR(VALUE(SUBSTITUTE(TRIM(Input!I1900&amp;""),"%","")),0)&lt;1),1,100))</f>
        <v/>
      </c>
    </row>
    <row r="1901" spans="1:8">
      <c r="A1901" t="str">
        <f>IF(TRIM(Input!B1901&amp;"")="","",UPPER(TRIM(Input!B1901&amp;"")))</f>
        <v/>
      </c>
      <c r="B1901" t="str">
        <f>IF(A1901="","",IFERROR(VALUE(RIGHT(TRIM(Input!D1901&amp;""),1)),0))</f>
        <v/>
      </c>
      <c r="C1901" t="str">
        <f t="shared" si="29"/>
        <v/>
      </c>
      <c r="D1901" t="str">
        <f>IF(A1901="","",IFERROR(VALUE(SUBSTITUTE(TRIM(Input!E1901&amp;""),"%","")),0)/IF(AND(IFERROR(VALUE(SUBSTITUTE(TRIM(Input!E1901&amp;""),"%","")),0)&gt;0,IFERROR(VALUE(SUBSTITUTE(TRIM(Input!E1901&amp;""),"%","")),0)&lt;1),1,100))</f>
        <v/>
      </c>
      <c r="E1901" t="str">
        <f>IF(A1901="","",IFERROR(VALUE(SUBSTITUTE(TRIM(Input!F1901&amp;""),"%","")),0)/IF(AND(IFERROR(VALUE(SUBSTITUTE(TRIM(Input!F1901&amp;""),"%","")),0)&gt;0,IFERROR(VALUE(SUBSTITUTE(TRIM(Input!F1901&amp;""),"%","")),0)&lt;1),1,100))</f>
        <v/>
      </c>
      <c r="F1901" t="str">
        <f>IF(A1901="","",IFERROR(VALUE(SUBSTITUTE(TRIM(Input!G1901&amp;""),"%","")),0)/IF(AND(IFERROR(VALUE(SUBSTITUTE(TRIM(Input!G1901&amp;""),"%","")),0)&gt;0,IFERROR(VALUE(SUBSTITUTE(TRIM(Input!G1901&amp;""),"%","")),0)&lt;1),1,100))</f>
        <v/>
      </c>
      <c r="G1901" t="str">
        <f>IF(A1901="","",IFERROR(VALUE(SUBSTITUTE(TRIM(Input!H1901&amp;""),"%","")),0)/IF(AND(IFERROR(VALUE(SUBSTITUTE(TRIM(Input!H1901&amp;""),"%","")),0)&gt;0,IFERROR(VALUE(SUBSTITUTE(TRIM(Input!H1901&amp;""),"%","")),0)&lt;1),1,100))</f>
        <v/>
      </c>
      <c r="H1901" t="str">
        <f>IF(A1901="","",IFERROR(VALUE(SUBSTITUTE(TRIM(Input!I1901&amp;""),"%","")),0)/IF(AND(IFERROR(VALUE(SUBSTITUTE(TRIM(Input!I1901&amp;""),"%","")),0)&gt;0,IFERROR(VALUE(SUBSTITUTE(TRIM(Input!I1901&amp;""),"%","")),0)&lt;1),1,100))</f>
        <v/>
      </c>
    </row>
    <row r="1902" spans="1:8">
      <c r="A1902" t="str">
        <f>IF(TRIM(Input!B1902&amp;"")="","",UPPER(TRIM(Input!B1902&amp;"")))</f>
        <v/>
      </c>
      <c r="B1902" t="str">
        <f>IF(A1902="","",IFERROR(VALUE(RIGHT(TRIM(Input!D1902&amp;""),1)),0))</f>
        <v/>
      </c>
      <c r="C1902" t="str">
        <f t="shared" si="29"/>
        <v/>
      </c>
      <c r="D1902" t="str">
        <f>IF(A1902="","",IFERROR(VALUE(SUBSTITUTE(TRIM(Input!E1902&amp;""),"%","")),0)/IF(AND(IFERROR(VALUE(SUBSTITUTE(TRIM(Input!E1902&amp;""),"%","")),0)&gt;0,IFERROR(VALUE(SUBSTITUTE(TRIM(Input!E1902&amp;""),"%","")),0)&lt;1),1,100))</f>
        <v/>
      </c>
      <c r="E1902" t="str">
        <f>IF(A1902="","",IFERROR(VALUE(SUBSTITUTE(TRIM(Input!F1902&amp;""),"%","")),0)/IF(AND(IFERROR(VALUE(SUBSTITUTE(TRIM(Input!F1902&amp;""),"%","")),0)&gt;0,IFERROR(VALUE(SUBSTITUTE(TRIM(Input!F1902&amp;""),"%","")),0)&lt;1),1,100))</f>
        <v/>
      </c>
      <c r="F1902" t="str">
        <f>IF(A1902="","",IFERROR(VALUE(SUBSTITUTE(TRIM(Input!G1902&amp;""),"%","")),0)/IF(AND(IFERROR(VALUE(SUBSTITUTE(TRIM(Input!G1902&amp;""),"%","")),0)&gt;0,IFERROR(VALUE(SUBSTITUTE(TRIM(Input!G1902&amp;""),"%","")),0)&lt;1),1,100))</f>
        <v/>
      </c>
      <c r="G1902" t="str">
        <f>IF(A1902="","",IFERROR(VALUE(SUBSTITUTE(TRIM(Input!H1902&amp;""),"%","")),0)/IF(AND(IFERROR(VALUE(SUBSTITUTE(TRIM(Input!H1902&amp;""),"%","")),0)&gt;0,IFERROR(VALUE(SUBSTITUTE(TRIM(Input!H1902&amp;""),"%","")),0)&lt;1),1,100))</f>
        <v/>
      </c>
      <c r="H1902" t="str">
        <f>IF(A1902="","",IFERROR(VALUE(SUBSTITUTE(TRIM(Input!I1902&amp;""),"%","")),0)/IF(AND(IFERROR(VALUE(SUBSTITUTE(TRIM(Input!I1902&amp;""),"%","")),0)&gt;0,IFERROR(VALUE(SUBSTITUTE(TRIM(Input!I1902&amp;""),"%","")),0)&lt;1),1,100))</f>
        <v/>
      </c>
    </row>
    <row r="1903" spans="1:8">
      <c r="A1903" t="str">
        <f>IF(TRIM(Input!B1903&amp;"")="","",UPPER(TRIM(Input!B1903&amp;"")))</f>
        <v/>
      </c>
      <c r="B1903" t="str">
        <f>IF(A1903="","",IFERROR(VALUE(RIGHT(TRIM(Input!D1903&amp;""),1)),0))</f>
        <v/>
      </c>
      <c r="C1903" t="str">
        <f t="shared" si="29"/>
        <v/>
      </c>
      <c r="D1903" t="str">
        <f>IF(A1903="","",IFERROR(VALUE(SUBSTITUTE(TRIM(Input!E1903&amp;""),"%","")),0)/IF(AND(IFERROR(VALUE(SUBSTITUTE(TRIM(Input!E1903&amp;""),"%","")),0)&gt;0,IFERROR(VALUE(SUBSTITUTE(TRIM(Input!E1903&amp;""),"%","")),0)&lt;1),1,100))</f>
        <v/>
      </c>
      <c r="E1903" t="str">
        <f>IF(A1903="","",IFERROR(VALUE(SUBSTITUTE(TRIM(Input!F1903&amp;""),"%","")),0)/IF(AND(IFERROR(VALUE(SUBSTITUTE(TRIM(Input!F1903&amp;""),"%","")),0)&gt;0,IFERROR(VALUE(SUBSTITUTE(TRIM(Input!F1903&amp;""),"%","")),0)&lt;1),1,100))</f>
        <v/>
      </c>
      <c r="F1903" t="str">
        <f>IF(A1903="","",IFERROR(VALUE(SUBSTITUTE(TRIM(Input!G1903&amp;""),"%","")),0)/IF(AND(IFERROR(VALUE(SUBSTITUTE(TRIM(Input!G1903&amp;""),"%","")),0)&gt;0,IFERROR(VALUE(SUBSTITUTE(TRIM(Input!G1903&amp;""),"%","")),0)&lt;1),1,100))</f>
        <v/>
      </c>
      <c r="G1903" t="str">
        <f>IF(A1903="","",IFERROR(VALUE(SUBSTITUTE(TRIM(Input!H1903&amp;""),"%","")),0)/IF(AND(IFERROR(VALUE(SUBSTITUTE(TRIM(Input!H1903&amp;""),"%","")),0)&gt;0,IFERROR(VALUE(SUBSTITUTE(TRIM(Input!H1903&amp;""),"%","")),0)&lt;1),1,100))</f>
        <v/>
      </c>
      <c r="H1903" t="str">
        <f>IF(A1903="","",IFERROR(VALUE(SUBSTITUTE(TRIM(Input!I1903&amp;""),"%","")),0)/IF(AND(IFERROR(VALUE(SUBSTITUTE(TRIM(Input!I1903&amp;""),"%","")),0)&gt;0,IFERROR(VALUE(SUBSTITUTE(TRIM(Input!I1903&amp;""),"%","")),0)&lt;1),1,100))</f>
        <v/>
      </c>
    </row>
    <row r="1904" spans="1:8">
      <c r="A1904" t="str">
        <f>IF(TRIM(Input!B1904&amp;"")="","",UPPER(TRIM(Input!B1904&amp;"")))</f>
        <v/>
      </c>
      <c r="B1904" t="str">
        <f>IF(A1904="","",IFERROR(VALUE(RIGHT(TRIM(Input!D1904&amp;""),1)),0))</f>
        <v/>
      </c>
      <c r="C1904" t="str">
        <f t="shared" si="29"/>
        <v/>
      </c>
      <c r="D1904" t="str">
        <f>IF(A1904="","",IFERROR(VALUE(SUBSTITUTE(TRIM(Input!E1904&amp;""),"%","")),0)/IF(AND(IFERROR(VALUE(SUBSTITUTE(TRIM(Input!E1904&amp;""),"%","")),0)&gt;0,IFERROR(VALUE(SUBSTITUTE(TRIM(Input!E1904&amp;""),"%","")),0)&lt;1),1,100))</f>
        <v/>
      </c>
      <c r="E1904" t="str">
        <f>IF(A1904="","",IFERROR(VALUE(SUBSTITUTE(TRIM(Input!F1904&amp;""),"%","")),0)/IF(AND(IFERROR(VALUE(SUBSTITUTE(TRIM(Input!F1904&amp;""),"%","")),0)&gt;0,IFERROR(VALUE(SUBSTITUTE(TRIM(Input!F1904&amp;""),"%","")),0)&lt;1),1,100))</f>
        <v/>
      </c>
      <c r="F1904" t="str">
        <f>IF(A1904="","",IFERROR(VALUE(SUBSTITUTE(TRIM(Input!G1904&amp;""),"%","")),0)/IF(AND(IFERROR(VALUE(SUBSTITUTE(TRIM(Input!G1904&amp;""),"%","")),0)&gt;0,IFERROR(VALUE(SUBSTITUTE(TRIM(Input!G1904&amp;""),"%","")),0)&lt;1),1,100))</f>
        <v/>
      </c>
      <c r="G1904" t="str">
        <f>IF(A1904="","",IFERROR(VALUE(SUBSTITUTE(TRIM(Input!H1904&amp;""),"%","")),0)/IF(AND(IFERROR(VALUE(SUBSTITUTE(TRIM(Input!H1904&amp;""),"%","")),0)&gt;0,IFERROR(VALUE(SUBSTITUTE(TRIM(Input!H1904&amp;""),"%","")),0)&lt;1),1,100))</f>
        <v/>
      </c>
      <c r="H1904" t="str">
        <f>IF(A1904="","",IFERROR(VALUE(SUBSTITUTE(TRIM(Input!I1904&amp;""),"%","")),0)/IF(AND(IFERROR(VALUE(SUBSTITUTE(TRIM(Input!I1904&amp;""),"%","")),0)&gt;0,IFERROR(VALUE(SUBSTITUTE(TRIM(Input!I1904&amp;""),"%","")),0)&lt;1),1,100))</f>
        <v/>
      </c>
    </row>
    <row r="1905" spans="1:8">
      <c r="A1905" t="str">
        <f>IF(TRIM(Input!B1905&amp;"")="","",UPPER(TRIM(Input!B1905&amp;"")))</f>
        <v/>
      </c>
      <c r="B1905" t="str">
        <f>IF(A1905="","",IFERROR(VALUE(RIGHT(TRIM(Input!D1905&amp;""),1)),0))</f>
        <v/>
      </c>
      <c r="C1905" t="str">
        <f t="shared" si="29"/>
        <v/>
      </c>
      <c r="D1905" t="str">
        <f>IF(A1905="","",IFERROR(VALUE(SUBSTITUTE(TRIM(Input!E1905&amp;""),"%","")),0)/IF(AND(IFERROR(VALUE(SUBSTITUTE(TRIM(Input!E1905&amp;""),"%","")),0)&gt;0,IFERROR(VALUE(SUBSTITUTE(TRIM(Input!E1905&amp;""),"%","")),0)&lt;1),1,100))</f>
        <v/>
      </c>
      <c r="E1905" t="str">
        <f>IF(A1905="","",IFERROR(VALUE(SUBSTITUTE(TRIM(Input!F1905&amp;""),"%","")),0)/IF(AND(IFERROR(VALUE(SUBSTITUTE(TRIM(Input!F1905&amp;""),"%","")),0)&gt;0,IFERROR(VALUE(SUBSTITUTE(TRIM(Input!F1905&amp;""),"%","")),0)&lt;1),1,100))</f>
        <v/>
      </c>
      <c r="F1905" t="str">
        <f>IF(A1905="","",IFERROR(VALUE(SUBSTITUTE(TRIM(Input!G1905&amp;""),"%","")),0)/IF(AND(IFERROR(VALUE(SUBSTITUTE(TRIM(Input!G1905&amp;""),"%","")),0)&gt;0,IFERROR(VALUE(SUBSTITUTE(TRIM(Input!G1905&amp;""),"%","")),0)&lt;1),1,100))</f>
        <v/>
      </c>
      <c r="G1905" t="str">
        <f>IF(A1905="","",IFERROR(VALUE(SUBSTITUTE(TRIM(Input!H1905&amp;""),"%","")),0)/IF(AND(IFERROR(VALUE(SUBSTITUTE(TRIM(Input!H1905&amp;""),"%","")),0)&gt;0,IFERROR(VALUE(SUBSTITUTE(TRIM(Input!H1905&amp;""),"%","")),0)&lt;1),1,100))</f>
        <v/>
      </c>
      <c r="H1905" t="str">
        <f>IF(A1905="","",IFERROR(VALUE(SUBSTITUTE(TRIM(Input!I1905&amp;""),"%","")),0)/IF(AND(IFERROR(VALUE(SUBSTITUTE(TRIM(Input!I1905&amp;""),"%","")),0)&gt;0,IFERROR(VALUE(SUBSTITUTE(TRIM(Input!I1905&amp;""),"%","")),0)&lt;1),1,100))</f>
        <v/>
      </c>
    </row>
    <row r="1906" spans="1:8">
      <c r="A1906" t="str">
        <f>IF(TRIM(Input!B1906&amp;"")="","",UPPER(TRIM(Input!B1906&amp;"")))</f>
        <v/>
      </c>
      <c r="B1906" t="str">
        <f>IF(A1906="","",IFERROR(VALUE(RIGHT(TRIM(Input!D1906&amp;""),1)),0))</f>
        <v/>
      </c>
      <c r="C1906" t="str">
        <f t="shared" si="29"/>
        <v/>
      </c>
      <c r="D1906" t="str">
        <f>IF(A1906="","",IFERROR(VALUE(SUBSTITUTE(TRIM(Input!E1906&amp;""),"%","")),0)/IF(AND(IFERROR(VALUE(SUBSTITUTE(TRIM(Input!E1906&amp;""),"%","")),0)&gt;0,IFERROR(VALUE(SUBSTITUTE(TRIM(Input!E1906&amp;""),"%","")),0)&lt;1),1,100))</f>
        <v/>
      </c>
      <c r="E1906" t="str">
        <f>IF(A1906="","",IFERROR(VALUE(SUBSTITUTE(TRIM(Input!F1906&amp;""),"%","")),0)/IF(AND(IFERROR(VALUE(SUBSTITUTE(TRIM(Input!F1906&amp;""),"%","")),0)&gt;0,IFERROR(VALUE(SUBSTITUTE(TRIM(Input!F1906&amp;""),"%","")),0)&lt;1),1,100))</f>
        <v/>
      </c>
      <c r="F1906" t="str">
        <f>IF(A1906="","",IFERROR(VALUE(SUBSTITUTE(TRIM(Input!G1906&amp;""),"%","")),0)/IF(AND(IFERROR(VALUE(SUBSTITUTE(TRIM(Input!G1906&amp;""),"%","")),0)&gt;0,IFERROR(VALUE(SUBSTITUTE(TRIM(Input!G1906&amp;""),"%","")),0)&lt;1),1,100))</f>
        <v/>
      </c>
      <c r="G1906" t="str">
        <f>IF(A1906="","",IFERROR(VALUE(SUBSTITUTE(TRIM(Input!H1906&amp;""),"%","")),0)/IF(AND(IFERROR(VALUE(SUBSTITUTE(TRIM(Input!H1906&amp;""),"%","")),0)&gt;0,IFERROR(VALUE(SUBSTITUTE(TRIM(Input!H1906&amp;""),"%","")),0)&lt;1),1,100))</f>
        <v/>
      </c>
      <c r="H1906" t="str">
        <f>IF(A1906="","",IFERROR(VALUE(SUBSTITUTE(TRIM(Input!I1906&amp;""),"%","")),0)/IF(AND(IFERROR(VALUE(SUBSTITUTE(TRIM(Input!I1906&amp;""),"%","")),0)&gt;0,IFERROR(VALUE(SUBSTITUTE(TRIM(Input!I1906&amp;""),"%","")),0)&lt;1),1,100))</f>
        <v/>
      </c>
    </row>
    <row r="1907" spans="1:8">
      <c r="A1907" t="str">
        <f>IF(TRIM(Input!B1907&amp;"")="","",UPPER(TRIM(Input!B1907&amp;"")))</f>
        <v/>
      </c>
      <c r="B1907" t="str">
        <f>IF(A1907="","",IFERROR(VALUE(RIGHT(TRIM(Input!D1907&amp;""),1)),0))</f>
        <v/>
      </c>
      <c r="C1907" t="str">
        <f t="shared" si="29"/>
        <v/>
      </c>
      <c r="D1907" t="str">
        <f>IF(A1907="","",IFERROR(VALUE(SUBSTITUTE(TRIM(Input!E1907&amp;""),"%","")),0)/IF(AND(IFERROR(VALUE(SUBSTITUTE(TRIM(Input!E1907&amp;""),"%","")),0)&gt;0,IFERROR(VALUE(SUBSTITUTE(TRIM(Input!E1907&amp;""),"%","")),0)&lt;1),1,100))</f>
        <v/>
      </c>
      <c r="E1907" t="str">
        <f>IF(A1907="","",IFERROR(VALUE(SUBSTITUTE(TRIM(Input!F1907&amp;""),"%","")),0)/IF(AND(IFERROR(VALUE(SUBSTITUTE(TRIM(Input!F1907&amp;""),"%","")),0)&gt;0,IFERROR(VALUE(SUBSTITUTE(TRIM(Input!F1907&amp;""),"%","")),0)&lt;1),1,100))</f>
        <v/>
      </c>
      <c r="F1907" t="str">
        <f>IF(A1907="","",IFERROR(VALUE(SUBSTITUTE(TRIM(Input!G1907&amp;""),"%","")),0)/IF(AND(IFERROR(VALUE(SUBSTITUTE(TRIM(Input!G1907&amp;""),"%","")),0)&gt;0,IFERROR(VALUE(SUBSTITUTE(TRIM(Input!G1907&amp;""),"%","")),0)&lt;1),1,100))</f>
        <v/>
      </c>
      <c r="G1907" t="str">
        <f>IF(A1907="","",IFERROR(VALUE(SUBSTITUTE(TRIM(Input!H1907&amp;""),"%","")),0)/IF(AND(IFERROR(VALUE(SUBSTITUTE(TRIM(Input!H1907&amp;""),"%","")),0)&gt;0,IFERROR(VALUE(SUBSTITUTE(TRIM(Input!H1907&amp;""),"%","")),0)&lt;1),1,100))</f>
        <v/>
      </c>
      <c r="H1907" t="str">
        <f>IF(A1907="","",IFERROR(VALUE(SUBSTITUTE(TRIM(Input!I1907&amp;""),"%","")),0)/IF(AND(IFERROR(VALUE(SUBSTITUTE(TRIM(Input!I1907&amp;""),"%","")),0)&gt;0,IFERROR(VALUE(SUBSTITUTE(TRIM(Input!I1907&amp;""),"%","")),0)&lt;1),1,100))</f>
        <v/>
      </c>
    </row>
    <row r="1908" spans="1:8">
      <c r="A1908" t="str">
        <f>IF(TRIM(Input!B1908&amp;"")="","",UPPER(TRIM(Input!B1908&amp;"")))</f>
        <v/>
      </c>
      <c r="B1908" t="str">
        <f>IF(A1908="","",IFERROR(VALUE(RIGHT(TRIM(Input!D1908&amp;""),1)),0))</f>
        <v/>
      </c>
      <c r="C1908" t="str">
        <f t="shared" si="29"/>
        <v/>
      </c>
      <c r="D1908" t="str">
        <f>IF(A1908="","",IFERROR(VALUE(SUBSTITUTE(TRIM(Input!E1908&amp;""),"%","")),0)/IF(AND(IFERROR(VALUE(SUBSTITUTE(TRIM(Input!E1908&amp;""),"%","")),0)&gt;0,IFERROR(VALUE(SUBSTITUTE(TRIM(Input!E1908&amp;""),"%","")),0)&lt;1),1,100))</f>
        <v/>
      </c>
      <c r="E1908" t="str">
        <f>IF(A1908="","",IFERROR(VALUE(SUBSTITUTE(TRIM(Input!F1908&amp;""),"%","")),0)/IF(AND(IFERROR(VALUE(SUBSTITUTE(TRIM(Input!F1908&amp;""),"%","")),0)&gt;0,IFERROR(VALUE(SUBSTITUTE(TRIM(Input!F1908&amp;""),"%","")),0)&lt;1),1,100))</f>
        <v/>
      </c>
      <c r="F1908" t="str">
        <f>IF(A1908="","",IFERROR(VALUE(SUBSTITUTE(TRIM(Input!G1908&amp;""),"%","")),0)/IF(AND(IFERROR(VALUE(SUBSTITUTE(TRIM(Input!G1908&amp;""),"%","")),0)&gt;0,IFERROR(VALUE(SUBSTITUTE(TRIM(Input!G1908&amp;""),"%","")),0)&lt;1),1,100))</f>
        <v/>
      </c>
      <c r="G1908" t="str">
        <f>IF(A1908="","",IFERROR(VALUE(SUBSTITUTE(TRIM(Input!H1908&amp;""),"%","")),0)/IF(AND(IFERROR(VALUE(SUBSTITUTE(TRIM(Input!H1908&amp;""),"%","")),0)&gt;0,IFERROR(VALUE(SUBSTITUTE(TRIM(Input!H1908&amp;""),"%","")),0)&lt;1),1,100))</f>
        <v/>
      </c>
      <c r="H1908" t="str">
        <f>IF(A1908="","",IFERROR(VALUE(SUBSTITUTE(TRIM(Input!I1908&amp;""),"%","")),0)/IF(AND(IFERROR(VALUE(SUBSTITUTE(TRIM(Input!I1908&amp;""),"%","")),0)&gt;0,IFERROR(VALUE(SUBSTITUTE(TRIM(Input!I1908&amp;""),"%","")),0)&lt;1),1,100))</f>
        <v/>
      </c>
    </row>
    <row r="1909" spans="1:8">
      <c r="A1909" t="str">
        <f>IF(TRIM(Input!B1909&amp;"")="","",UPPER(TRIM(Input!B1909&amp;"")))</f>
        <v/>
      </c>
      <c r="B1909" t="str">
        <f>IF(A1909="","",IFERROR(VALUE(RIGHT(TRIM(Input!D1909&amp;""),1)),0))</f>
        <v/>
      </c>
      <c r="C1909" t="str">
        <f t="shared" si="29"/>
        <v/>
      </c>
      <c r="D1909" t="str">
        <f>IF(A1909="","",IFERROR(VALUE(SUBSTITUTE(TRIM(Input!E1909&amp;""),"%","")),0)/IF(AND(IFERROR(VALUE(SUBSTITUTE(TRIM(Input!E1909&amp;""),"%","")),0)&gt;0,IFERROR(VALUE(SUBSTITUTE(TRIM(Input!E1909&amp;""),"%","")),0)&lt;1),1,100))</f>
        <v/>
      </c>
      <c r="E1909" t="str">
        <f>IF(A1909="","",IFERROR(VALUE(SUBSTITUTE(TRIM(Input!F1909&amp;""),"%","")),0)/IF(AND(IFERROR(VALUE(SUBSTITUTE(TRIM(Input!F1909&amp;""),"%","")),0)&gt;0,IFERROR(VALUE(SUBSTITUTE(TRIM(Input!F1909&amp;""),"%","")),0)&lt;1),1,100))</f>
        <v/>
      </c>
      <c r="F1909" t="str">
        <f>IF(A1909="","",IFERROR(VALUE(SUBSTITUTE(TRIM(Input!G1909&amp;""),"%","")),0)/IF(AND(IFERROR(VALUE(SUBSTITUTE(TRIM(Input!G1909&amp;""),"%","")),0)&gt;0,IFERROR(VALUE(SUBSTITUTE(TRIM(Input!G1909&amp;""),"%","")),0)&lt;1),1,100))</f>
        <v/>
      </c>
      <c r="G1909" t="str">
        <f>IF(A1909="","",IFERROR(VALUE(SUBSTITUTE(TRIM(Input!H1909&amp;""),"%","")),0)/IF(AND(IFERROR(VALUE(SUBSTITUTE(TRIM(Input!H1909&amp;""),"%","")),0)&gt;0,IFERROR(VALUE(SUBSTITUTE(TRIM(Input!H1909&amp;""),"%","")),0)&lt;1),1,100))</f>
        <v/>
      </c>
      <c r="H1909" t="str">
        <f>IF(A1909="","",IFERROR(VALUE(SUBSTITUTE(TRIM(Input!I1909&amp;""),"%","")),0)/IF(AND(IFERROR(VALUE(SUBSTITUTE(TRIM(Input!I1909&amp;""),"%","")),0)&gt;0,IFERROR(VALUE(SUBSTITUTE(TRIM(Input!I1909&amp;""),"%","")),0)&lt;1),1,100))</f>
        <v/>
      </c>
    </row>
    <row r="1910" spans="1:8">
      <c r="A1910" t="str">
        <f>IF(TRIM(Input!B1910&amp;"")="","",UPPER(TRIM(Input!B1910&amp;"")))</f>
        <v/>
      </c>
      <c r="B1910" t="str">
        <f>IF(A1910="","",IFERROR(VALUE(RIGHT(TRIM(Input!D1910&amp;""),1)),0))</f>
        <v/>
      </c>
      <c r="C1910" t="str">
        <f t="shared" si="29"/>
        <v/>
      </c>
      <c r="D1910" t="str">
        <f>IF(A1910="","",IFERROR(VALUE(SUBSTITUTE(TRIM(Input!E1910&amp;""),"%","")),0)/IF(AND(IFERROR(VALUE(SUBSTITUTE(TRIM(Input!E1910&amp;""),"%","")),0)&gt;0,IFERROR(VALUE(SUBSTITUTE(TRIM(Input!E1910&amp;""),"%","")),0)&lt;1),1,100))</f>
        <v/>
      </c>
      <c r="E1910" t="str">
        <f>IF(A1910="","",IFERROR(VALUE(SUBSTITUTE(TRIM(Input!F1910&amp;""),"%","")),0)/IF(AND(IFERROR(VALUE(SUBSTITUTE(TRIM(Input!F1910&amp;""),"%","")),0)&gt;0,IFERROR(VALUE(SUBSTITUTE(TRIM(Input!F1910&amp;""),"%","")),0)&lt;1),1,100))</f>
        <v/>
      </c>
      <c r="F1910" t="str">
        <f>IF(A1910="","",IFERROR(VALUE(SUBSTITUTE(TRIM(Input!G1910&amp;""),"%","")),0)/IF(AND(IFERROR(VALUE(SUBSTITUTE(TRIM(Input!G1910&amp;""),"%","")),0)&gt;0,IFERROR(VALUE(SUBSTITUTE(TRIM(Input!G1910&amp;""),"%","")),0)&lt;1),1,100))</f>
        <v/>
      </c>
      <c r="G1910" t="str">
        <f>IF(A1910="","",IFERROR(VALUE(SUBSTITUTE(TRIM(Input!H1910&amp;""),"%","")),0)/IF(AND(IFERROR(VALUE(SUBSTITUTE(TRIM(Input!H1910&amp;""),"%","")),0)&gt;0,IFERROR(VALUE(SUBSTITUTE(TRIM(Input!H1910&amp;""),"%","")),0)&lt;1),1,100))</f>
        <v/>
      </c>
      <c r="H1910" t="str">
        <f>IF(A1910="","",IFERROR(VALUE(SUBSTITUTE(TRIM(Input!I1910&amp;""),"%","")),0)/IF(AND(IFERROR(VALUE(SUBSTITUTE(TRIM(Input!I1910&amp;""),"%","")),0)&gt;0,IFERROR(VALUE(SUBSTITUTE(TRIM(Input!I1910&amp;""),"%","")),0)&lt;1),1,100))</f>
        <v/>
      </c>
    </row>
    <row r="1911" spans="1:8">
      <c r="A1911" t="str">
        <f>IF(TRIM(Input!B1911&amp;"")="","",UPPER(TRIM(Input!B1911&amp;"")))</f>
        <v/>
      </c>
      <c r="B1911" t="str">
        <f>IF(A1911="","",IFERROR(VALUE(RIGHT(TRIM(Input!D1911&amp;""),1)),0))</f>
        <v/>
      </c>
      <c r="C1911" t="str">
        <f t="shared" si="29"/>
        <v/>
      </c>
      <c r="D1911" t="str">
        <f>IF(A1911="","",IFERROR(VALUE(SUBSTITUTE(TRIM(Input!E1911&amp;""),"%","")),0)/IF(AND(IFERROR(VALUE(SUBSTITUTE(TRIM(Input!E1911&amp;""),"%","")),0)&gt;0,IFERROR(VALUE(SUBSTITUTE(TRIM(Input!E1911&amp;""),"%","")),0)&lt;1),1,100))</f>
        <v/>
      </c>
      <c r="E1911" t="str">
        <f>IF(A1911="","",IFERROR(VALUE(SUBSTITUTE(TRIM(Input!F1911&amp;""),"%","")),0)/IF(AND(IFERROR(VALUE(SUBSTITUTE(TRIM(Input!F1911&amp;""),"%","")),0)&gt;0,IFERROR(VALUE(SUBSTITUTE(TRIM(Input!F1911&amp;""),"%","")),0)&lt;1),1,100))</f>
        <v/>
      </c>
      <c r="F1911" t="str">
        <f>IF(A1911="","",IFERROR(VALUE(SUBSTITUTE(TRIM(Input!G1911&amp;""),"%","")),0)/IF(AND(IFERROR(VALUE(SUBSTITUTE(TRIM(Input!G1911&amp;""),"%","")),0)&gt;0,IFERROR(VALUE(SUBSTITUTE(TRIM(Input!G1911&amp;""),"%","")),0)&lt;1),1,100))</f>
        <v/>
      </c>
      <c r="G1911" t="str">
        <f>IF(A1911="","",IFERROR(VALUE(SUBSTITUTE(TRIM(Input!H1911&amp;""),"%","")),0)/IF(AND(IFERROR(VALUE(SUBSTITUTE(TRIM(Input!H1911&amp;""),"%","")),0)&gt;0,IFERROR(VALUE(SUBSTITUTE(TRIM(Input!H1911&amp;""),"%","")),0)&lt;1),1,100))</f>
        <v/>
      </c>
      <c r="H1911" t="str">
        <f>IF(A1911="","",IFERROR(VALUE(SUBSTITUTE(TRIM(Input!I1911&amp;""),"%","")),0)/IF(AND(IFERROR(VALUE(SUBSTITUTE(TRIM(Input!I1911&amp;""),"%","")),0)&gt;0,IFERROR(VALUE(SUBSTITUTE(TRIM(Input!I1911&amp;""),"%","")),0)&lt;1),1,100))</f>
        <v/>
      </c>
    </row>
    <row r="1912" spans="1:8">
      <c r="A1912" t="str">
        <f>IF(TRIM(Input!B1912&amp;"")="","",UPPER(TRIM(Input!B1912&amp;"")))</f>
        <v/>
      </c>
      <c r="B1912" t="str">
        <f>IF(A1912="","",IFERROR(VALUE(RIGHT(TRIM(Input!D1912&amp;""),1)),0))</f>
        <v/>
      </c>
      <c r="C1912" t="str">
        <f t="shared" si="29"/>
        <v/>
      </c>
      <c r="D1912" t="str">
        <f>IF(A1912="","",IFERROR(VALUE(SUBSTITUTE(TRIM(Input!E1912&amp;""),"%","")),0)/IF(AND(IFERROR(VALUE(SUBSTITUTE(TRIM(Input!E1912&amp;""),"%","")),0)&gt;0,IFERROR(VALUE(SUBSTITUTE(TRIM(Input!E1912&amp;""),"%","")),0)&lt;1),1,100))</f>
        <v/>
      </c>
      <c r="E1912" t="str">
        <f>IF(A1912="","",IFERROR(VALUE(SUBSTITUTE(TRIM(Input!F1912&amp;""),"%","")),0)/IF(AND(IFERROR(VALUE(SUBSTITUTE(TRIM(Input!F1912&amp;""),"%","")),0)&gt;0,IFERROR(VALUE(SUBSTITUTE(TRIM(Input!F1912&amp;""),"%","")),0)&lt;1),1,100))</f>
        <v/>
      </c>
      <c r="F1912" t="str">
        <f>IF(A1912="","",IFERROR(VALUE(SUBSTITUTE(TRIM(Input!G1912&amp;""),"%","")),0)/IF(AND(IFERROR(VALUE(SUBSTITUTE(TRIM(Input!G1912&amp;""),"%","")),0)&gt;0,IFERROR(VALUE(SUBSTITUTE(TRIM(Input!G1912&amp;""),"%","")),0)&lt;1),1,100))</f>
        <v/>
      </c>
      <c r="G1912" t="str">
        <f>IF(A1912="","",IFERROR(VALUE(SUBSTITUTE(TRIM(Input!H1912&amp;""),"%","")),0)/IF(AND(IFERROR(VALUE(SUBSTITUTE(TRIM(Input!H1912&amp;""),"%","")),0)&gt;0,IFERROR(VALUE(SUBSTITUTE(TRIM(Input!H1912&amp;""),"%","")),0)&lt;1),1,100))</f>
        <v/>
      </c>
      <c r="H1912" t="str">
        <f>IF(A1912="","",IFERROR(VALUE(SUBSTITUTE(TRIM(Input!I1912&amp;""),"%","")),0)/IF(AND(IFERROR(VALUE(SUBSTITUTE(TRIM(Input!I1912&amp;""),"%","")),0)&gt;0,IFERROR(VALUE(SUBSTITUTE(TRIM(Input!I1912&amp;""),"%","")),0)&lt;1),1,100))</f>
        <v/>
      </c>
    </row>
    <row r="1913" spans="1:8">
      <c r="A1913" t="str">
        <f>IF(TRIM(Input!B1913&amp;"")="","",UPPER(TRIM(Input!B1913&amp;"")))</f>
        <v/>
      </c>
      <c r="B1913" t="str">
        <f>IF(A1913="","",IFERROR(VALUE(RIGHT(TRIM(Input!D1913&amp;""),1)),0))</f>
        <v/>
      </c>
      <c r="C1913" t="str">
        <f t="shared" si="29"/>
        <v/>
      </c>
      <c r="D1913" t="str">
        <f>IF(A1913="","",IFERROR(VALUE(SUBSTITUTE(TRIM(Input!E1913&amp;""),"%","")),0)/IF(AND(IFERROR(VALUE(SUBSTITUTE(TRIM(Input!E1913&amp;""),"%","")),0)&gt;0,IFERROR(VALUE(SUBSTITUTE(TRIM(Input!E1913&amp;""),"%","")),0)&lt;1),1,100))</f>
        <v/>
      </c>
      <c r="E1913" t="str">
        <f>IF(A1913="","",IFERROR(VALUE(SUBSTITUTE(TRIM(Input!F1913&amp;""),"%","")),0)/IF(AND(IFERROR(VALUE(SUBSTITUTE(TRIM(Input!F1913&amp;""),"%","")),0)&gt;0,IFERROR(VALUE(SUBSTITUTE(TRIM(Input!F1913&amp;""),"%","")),0)&lt;1),1,100))</f>
        <v/>
      </c>
      <c r="F1913" t="str">
        <f>IF(A1913="","",IFERROR(VALUE(SUBSTITUTE(TRIM(Input!G1913&amp;""),"%","")),0)/IF(AND(IFERROR(VALUE(SUBSTITUTE(TRIM(Input!G1913&amp;""),"%","")),0)&gt;0,IFERROR(VALUE(SUBSTITUTE(TRIM(Input!G1913&amp;""),"%","")),0)&lt;1),1,100))</f>
        <v/>
      </c>
      <c r="G1913" t="str">
        <f>IF(A1913="","",IFERROR(VALUE(SUBSTITUTE(TRIM(Input!H1913&amp;""),"%","")),0)/IF(AND(IFERROR(VALUE(SUBSTITUTE(TRIM(Input!H1913&amp;""),"%","")),0)&gt;0,IFERROR(VALUE(SUBSTITUTE(TRIM(Input!H1913&amp;""),"%","")),0)&lt;1),1,100))</f>
        <v/>
      </c>
      <c r="H1913" t="str">
        <f>IF(A1913="","",IFERROR(VALUE(SUBSTITUTE(TRIM(Input!I1913&amp;""),"%","")),0)/IF(AND(IFERROR(VALUE(SUBSTITUTE(TRIM(Input!I1913&amp;""),"%","")),0)&gt;0,IFERROR(VALUE(SUBSTITUTE(TRIM(Input!I1913&amp;""),"%","")),0)&lt;1),1,100))</f>
        <v/>
      </c>
    </row>
    <row r="1914" spans="1:8">
      <c r="A1914" t="str">
        <f>IF(TRIM(Input!B1914&amp;"")="","",UPPER(TRIM(Input!B1914&amp;"")))</f>
        <v/>
      </c>
      <c r="B1914" t="str">
        <f>IF(A1914="","",IFERROR(VALUE(RIGHT(TRIM(Input!D1914&amp;""),1)),0))</f>
        <v/>
      </c>
      <c r="C1914" t="str">
        <f t="shared" si="29"/>
        <v/>
      </c>
      <c r="D1914" t="str">
        <f>IF(A1914="","",IFERROR(VALUE(SUBSTITUTE(TRIM(Input!E1914&amp;""),"%","")),0)/IF(AND(IFERROR(VALUE(SUBSTITUTE(TRIM(Input!E1914&amp;""),"%","")),0)&gt;0,IFERROR(VALUE(SUBSTITUTE(TRIM(Input!E1914&amp;""),"%","")),0)&lt;1),1,100))</f>
        <v/>
      </c>
      <c r="E1914" t="str">
        <f>IF(A1914="","",IFERROR(VALUE(SUBSTITUTE(TRIM(Input!F1914&amp;""),"%","")),0)/IF(AND(IFERROR(VALUE(SUBSTITUTE(TRIM(Input!F1914&amp;""),"%","")),0)&gt;0,IFERROR(VALUE(SUBSTITUTE(TRIM(Input!F1914&amp;""),"%","")),0)&lt;1),1,100))</f>
        <v/>
      </c>
      <c r="F1914" t="str">
        <f>IF(A1914="","",IFERROR(VALUE(SUBSTITUTE(TRIM(Input!G1914&amp;""),"%","")),0)/IF(AND(IFERROR(VALUE(SUBSTITUTE(TRIM(Input!G1914&amp;""),"%","")),0)&gt;0,IFERROR(VALUE(SUBSTITUTE(TRIM(Input!G1914&amp;""),"%","")),0)&lt;1),1,100))</f>
        <v/>
      </c>
      <c r="G1914" t="str">
        <f>IF(A1914="","",IFERROR(VALUE(SUBSTITUTE(TRIM(Input!H1914&amp;""),"%","")),0)/IF(AND(IFERROR(VALUE(SUBSTITUTE(TRIM(Input!H1914&amp;""),"%","")),0)&gt;0,IFERROR(VALUE(SUBSTITUTE(TRIM(Input!H1914&amp;""),"%","")),0)&lt;1),1,100))</f>
        <v/>
      </c>
      <c r="H1914" t="str">
        <f>IF(A1914="","",IFERROR(VALUE(SUBSTITUTE(TRIM(Input!I1914&amp;""),"%","")),0)/IF(AND(IFERROR(VALUE(SUBSTITUTE(TRIM(Input!I1914&amp;""),"%","")),0)&gt;0,IFERROR(VALUE(SUBSTITUTE(TRIM(Input!I1914&amp;""),"%","")),0)&lt;1),1,100))</f>
        <v/>
      </c>
    </row>
    <row r="1915" spans="1:8">
      <c r="A1915" t="str">
        <f>IF(TRIM(Input!B1915&amp;"")="","",UPPER(TRIM(Input!B1915&amp;"")))</f>
        <v/>
      </c>
      <c r="B1915" t="str">
        <f>IF(A1915="","",IFERROR(VALUE(RIGHT(TRIM(Input!D1915&amp;""),1)),0))</f>
        <v/>
      </c>
      <c r="C1915" t="str">
        <f t="shared" si="29"/>
        <v/>
      </c>
      <c r="D1915" t="str">
        <f>IF(A1915="","",IFERROR(VALUE(SUBSTITUTE(TRIM(Input!E1915&amp;""),"%","")),0)/IF(AND(IFERROR(VALUE(SUBSTITUTE(TRIM(Input!E1915&amp;""),"%","")),0)&gt;0,IFERROR(VALUE(SUBSTITUTE(TRIM(Input!E1915&amp;""),"%","")),0)&lt;1),1,100))</f>
        <v/>
      </c>
      <c r="E1915" t="str">
        <f>IF(A1915="","",IFERROR(VALUE(SUBSTITUTE(TRIM(Input!F1915&amp;""),"%","")),0)/IF(AND(IFERROR(VALUE(SUBSTITUTE(TRIM(Input!F1915&amp;""),"%","")),0)&gt;0,IFERROR(VALUE(SUBSTITUTE(TRIM(Input!F1915&amp;""),"%","")),0)&lt;1),1,100))</f>
        <v/>
      </c>
      <c r="F1915" t="str">
        <f>IF(A1915="","",IFERROR(VALUE(SUBSTITUTE(TRIM(Input!G1915&amp;""),"%","")),0)/IF(AND(IFERROR(VALUE(SUBSTITUTE(TRIM(Input!G1915&amp;""),"%","")),0)&gt;0,IFERROR(VALUE(SUBSTITUTE(TRIM(Input!G1915&amp;""),"%","")),0)&lt;1),1,100))</f>
        <v/>
      </c>
      <c r="G1915" t="str">
        <f>IF(A1915="","",IFERROR(VALUE(SUBSTITUTE(TRIM(Input!H1915&amp;""),"%","")),0)/IF(AND(IFERROR(VALUE(SUBSTITUTE(TRIM(Input!H1915&amp;""),"%","")),0)&gt;0,IFERROR(VALUE(SUBSTITUTE(TRIM(Input!H1915&amp;""),"%","")),0)&lt;1),1,100))</f>
        <v/>
      </c>
      <c r="H1915" t="str">
        <f>IF(A1915="","",IFERROR(VALUE(SUBSTITUTE(TRIM(Input!I1915&amp;""),"%","")),0)/IF(AND(IFERROR(VALUE(SUBSTITUTE(TRIM(Input!I1915&amp;""),"%","")),0)&gt;0,IFERROR(VALUE(SUBSTITUTE(TRIM(Input!I1915&amp;""),"%","")),0)&lt;1),1,100))</f>
        <v/>
      </c>
    </row>
    <row r="1916" spans="1:8">
      <c r="A1916" t="str">
        <f>IF(TRIM(Input!B1916&amp;"")="","",UPPER(TRIM(Input!B1916&amp;"")))</f>
        <v/>
      </c>
      <c r="B1916" t="str">
        <f>IF(A1916="","",IFERROR(VALUE(RIGHT(TRIM(Input!D1916&amp;""),1)),0))</f>
        <v/>
      </c>
      <c r="C1916" t="str">
        <f t="shared" si="29"/>
        <v/>
      </c>
      <c r="D1916" t="str">
        <f>IF(A1916="","",IFERROR(VALUE(SUBSTITUTE(TRIM(Input!E1916&amp;""),"%","")),0)/IF(AND(IFERROR(VALUE(SUBSTITUTE(TRIM(Input!E1916&amp;""),"%","")),0)&gt;0,IFERROR(VALUE(SUBSTITUTE(TRIM(Input!E1916&amp;""),"%","")),0)&lt;1),1,100))</f>
        <v/>
      </c>
      <c r="E1916" t="str">
        <f>IF(A1916="","",IFERROR(VALUE(SUBSTITUTE(TRIM(Input!F1916&amp;""),"%","")),0)/IF(AND(IFERROR(VALUE(SUBSTITUTE(TRIM(Input!F1916&amp;""),"%","")),0)&gt;0,IFERROR(VALUE(SUBSTITUTE(TRIM(Input!F1916&amp;""),"%","")),0)&lt;1),1,100))</f>
        <v/>
      </c>
      <c r="F1916" t="str">
        <f>IF(A1916="","",IFERROR(VALUE(SUBSTITUTE(TRIM(Input!G1916&amp;""),"%","")),0)/IF(AND(IFERROR(VALUE(SUBSTITUTE(TRIM(Input!G1916&amp;""),"%","")),0)&gt;0,IFERROR(VALUE(SUBSTITUTE(TRIM(Input!G1916&amp;""),"%","")),0)&lt;1),1,100))</f>
        <v/>
      </c>
      <c r="G1916" t="str">
        <f>IF(A1916="","",IFERROR(VALUE(SUBSTITUTE(TRIM(Input!H1916&amp;""),"%","")),0)/IF(AND(IFERROR(VALUE(SUBSTITUTE(TRIM(Input!H1916&amp;""),"%","")),0)&gt;0,IFERROR(VALUE(SUBSTITUTE(TRIM(Input!H1916&amp;""),"%","")),0)&lt;1),1,100))</f>
        <v/>
      </c>
      <c r="H1916" t="str">
        <f>IF(A1916="","",IFERROR(VALUE(SUBSTITUTE(TRIM(Input!I1916&amp;""),"%","")),0)/IF(AND(IFERROR(VALUE(SUBSTITUTE(TRIM(Input!I1916&amp;""),"%","")),0)&gt;0,IFERROR(VALUE(SUBSTITUTE(TRIM(Input!I1916&amp;""),"%","")),0)&lt;1),1,100))</f>
        <v/>
      </c>
    </row>
    <row r="1917" spans="1:8">
      <c r="A1917" t="str">
        <f>IF(TRIM(Input!B1917&amp;"")="","",UPPER(TRIM(Input!B1917&amp;"")))</f>
        <v/>
      </c>
      <c r="B1917" t="str">
        <f>IF(A1917="","",IFERROR(VALUE(RIGHT(TRIM(Input!D1917&amp;""),1)),0))</f>
        <v/>
      </c>
      <c r="C1917" t="str">
        <f t="shared" si="29"/>
        <v/>
      </c>
      <c r="D1917" t="str">
        <f>IF(A1917="","",IFERROR(VALUE(SUBSTITUTE(TRIM(Input!E1917&amp;""),"%","")),0)/IF(AND(IFERROR(VALUE(SUBSTITUTE(TRIM(Input!E1917&amp;""),"%","")),0)&gt;0,IFERROR(VALUE(SUBSTITUTE(TRIM(Input!E1917&amp;""),"%","")),0)&lt;1),1,100))</f>
        <v/>
      </c>
      <c r="E1917" t="str">
        <f>IF(A1917="","",IFERROR(VALUE(SUBSTITUTE(TRIM(Input!F1917&amp;""),"%","")),0)/IF(AND(IFERROR(VALUE(SUBSTITUTE(TRIM(Input!F1917&amp;""),"%","")),0)&gt;0,IFERROR(VALUE(SUBSTITUTE(TRIM(Input!F1917&amp;""),"%","")),0)&lt;1),1,100))</f>
        <v/>
      </c>
      <c r="F1917" t="str">
        <f>IF(A1917="","",IFERROR(VALUE(SUBSTITUTE(TRIM(Input!G1917&amp;""),"%","")),0)/IF(AND(IFERROR(VALUE(SUBSTITUTE(TRIM(Input!G1917&amp;""),"%","")),0)&gt;0,IFERROR(VALUE(SUBSTITUTE(TRIM(Input!G1917&amp;""),"%","")),0)&lt;1),1,100))</f>
        <v/>
      </c>
      <c r="G1917" t="str">
        <f>IF(A1917="","",IFERROR(VALUE(SUBSTITUTE(TRIM(Input!H1917&amp;""),"%","")),0)/IF(AND(IFERROR(VALUE(SUBSTITUTE(TRIM(Input!H1917&amp;""),"%","")),0)&gt;0,IFERROR(VALUE(SUBSTITUTE(TRIM(Input!H1917&amp;""),"%","")),0)&lt;1),1,100))</f>
        <v/>
      </c>
      <c r="H1917" t="str">
        <f>IF(A1917="","",IFERROR(VALUE(SUBSTITUTE(TRIM(Input!I1917&amp;""),"%","")),0)/IF(AND(IFERROR(VALUE(SUBSTITUTE(TRIM(Input!I1917&amp;""),"%","")),0)&gt;0,IFERROR(VALUE(SUBSTITUTE(TRIM(Input!I1917&amp;""),"%","")),0)&lt;1),1,100))</f>
        <v/>
      </c>
    </row>
    <row r="1918" spans="1:8">
      <c r="A1918" t="str">
        <f>IF(TRIM(Input!B1918&amp;"")="","",UPPER(TRIM(Input!B1918&amp;"")))</f>
        <v/>
      </c>
      <c r="B1918" t="str">
        <f>IF(A1918="","",IFERROR(VALUE(RIGHT(TRIM(Input!D1918&amp;""),1)),0))</f>
        <v/>
      </c>
      <c r="C1918" t="str">
        <f t="shared" si="29"/>
        <v/>
      </c>
      <c r="D1918" t="str">
        <f>IF(A1918="","",IFERROR(VALUE(SUBSTITUTE(TRIM(Input!E1918&amp;""),"%","")),0)/IF(AND(IFERROR(VALUE(SUBSTITUTE(TRIM(Input!E1918&amp;""),"%","")),0)&gt;0,IFERROR(VALUE(SUBSTITUTE(TRIM(Input!E1918&amp;""),"%","")),0)&lt;1),1,100))</f>
        <v/>
      </c>
      <c r="E1918" t="str">
        <f>IF(A1918="","",IFERROR(VALUE(SUBSTITUTE(TRIM(Input!F1918&amp;""),"%","")),0)/IF(AND(IFERROR(VALUE(SUBSTITUTE(TRIM(Input!F1918&amp;""),"%","")),0)&gt;0,IFERROR(VALUE(SUBSTITUTE(TRIM(Input!F1918&amp;""),"%","")),0)&lt;1),1,100))</f>
        <v/>
      </c>
      <c r="F1918" t="str">
        <f>IF(A1918="","",IFERROR(VALUE(SUBSTITUTE(TRIM(Input!G1918&amp;""),"%","")),0)/IF(AND(IFERROR(VALUE(SUBSTITUTE(TRIM(Input!G1918&amp;""),"%","")),0)&gt;0,IFERROR(VALUE(SUBSTITUTE(TRIM(Input!G1918&amp;""),"%","")),0)&lt;1),1,100))</f>
        <v/>
      </c>
      <c r="G1918" t="str">
        <f>IF(A1918="","",IFERROR(VALUE(SUBSTITUTE(TRIM(Input!H1918&amp;""),"%","")),0)/IF(AND(IFERROR(VALUE(SUBSTITUTE(TRIM(Input!H1918&amp;""),"%","")),0)&gt;0,IFERROR(VALUE(SUBSTITUTE(TRIM(Input!H1918&amp;""),"%","")),0)&lt;1),1,100))</f>
        <v/>
      </c>
      <c r="H1918" t="str">
        <f>IF(A1918="","",IFERROR(VALUE(SUBSTITUTE(TRIM(Input!I1918&amp;""),"%","")),0)/IF(AND(IFERROR(VALUE(SUBSTITUTE(TRIM(Input!I1918&amp;""),"%","")),0)&gt;0,IFERROR(VALUE(SUBSTITUTE(TRIM(Input!I1918&amp;""),"%","")),0)&lt;1),1,100))</f>
        <v/>
      </c>
    </row>
    <row r="1919" spans="1:8">
      <c r="A1919" t="str">
        <f>IF(TRIM(Input!B1919&amp;"")="","",UPPER(TRIM(Input!B1919&amp;"")))</f>
        <v/>
      </c>
      <c r="B1919" t="str">
        <f>IF(A1919="","",IFERROR(VALUE(RIGHT(TRIM(Input!D1919&amp;""),1)),0))</f>
        <v/>
      </c>
      <c r="C1919" t="str">
        <f t="shared" si="29"/>
        <v/>
      </c>
      <c r="D1919" t="str">
        <f>IF(A1919="","",IFERROR(VALUE(SUBSTITUTE(TRIM(Input!E1919&amp;""),"%","")),0)/IF(AND(IFERROR(VALUE(SUBSTITUTE(TRIM(Input!E1919&amp;""),"%","")),0)&gt;0,IFERROR(VALUE(SUBSTITUTE(TRIM(Input!E1919&amp;""),"%","")),0)&lt;1),1,100))</f>
        <v/>
      </c>
      <c r="E1919" t="str">
        <f>IF(A1919="","",IFERROR(VALUE(SUBSTITUTE(TRIM(Input!F1919&amp;""),"%","")),0)/IF(AND(IFERROR(VALUE(SUBSTITUTE(TRIM(Input!F1919&amp;""),"%","")),0)&gt;0,IFERROR(VALUE(SUBSTITUTE(TRIM(Input!F1919&amp;""),"%","")),0)&lt;1),1,100))</f>
        <v/>
      </c>
      <c r="F1919" t="str">
        <f>IF(A1919="","",IFERROR(VALUE(SUBSTITUTE(TRIM(Input!G1919&amp;""),"%","")),0)/IF(AND(IFERROR(VALUE(SUBSTITUTE(TRIM(Input!G1919&amp;""),"%","")),0)&gt;0,IFERROR(VALUE(SUBSTITUTE(TRIM(Input!G1919&amp;""),"%","")),0)&lt;1),1,100))</f>
        <v/>
      </c>
      <c r="G1919" t="str">
        <f>IF(A1919="","",IFERROR(VALUE(SUBSTITUTE(TRIM(Input!H1919&amp;""),"%","")),0)/IF(AND(IFERROR(VALUE(SUBSTITUTE(TRIM(Input!H1919&amp;""),"%","")),0)&gt;0,IFERROR(VALUE(SUBSTITUTE(TRIM(Input!H1919&amp;""),"%","")),0)&lt;1),1,100))</f>
        <v/>
      </c>
      <c r="H1919" t="str">
        <f>IF(A1919="","",IFERROR(VALUE(SUBSTITUTE(TRIM(Input!I1919&amp;""),"%","")),0)/IF(AND(IFERROR(VALUE(SUBSTITUTE(TRIM(Input!I1919&amp;""),"%","")),0)&gt;0,IFERROR(VALUE(SUBSTITUTE(TRIM(Input!I1919&amp;""),"%","")),0)&lt;1),1,100))</f>
        <v/>
      </c>
    </row>
    <row r="1920" spans="1:8">
      <c r="A1920" t="str">
        <f>IF(TRIM(Input!B1920&amp;"")="","",UPPER(TRIM(Input!B1920&amp;"")))</f>
        <v/>
      </c>
      <c r="B1920" t="str">
        <f>IF(A1920="","",IFERROR(VALUE(RIGHT(TRIM(Input!D1920&amp;""),1)),0))</f>
        <v/>
      </c>
      <c r="C1920" t="str">
        <f t="shared" si="29"/>
        <v/>
      </c>
      <c r="D1920" t="str">
        <f>IF(A1920="","",IFERROR(VALUE(SUBSTITUTE(TRIM(Input!E1920&amp;""),"%","")),0)/IF(AND(IFERROR(VALUE(SUBSTITUTE(TRIM(Input!E1920&amp;""),"%","")),0)&gt;0,IFERROR(VALUE(SUBSTITUTE(TRIM(Input!E1920&amp;""),"%","")),0)&lt;1),1,100))</f>
        <v/>
      </c>
      <c r="E1920" t="str">
        <f>IF(A1920="","",IFERROR(VALUE(SUBSTITUTE(TRIM(Input!F1920&amp;""),"%","")),0)/IF(AND(IFERROR(VALUE(SUBSTITUTE(TRIM(Input!F1920&amp;""),"%","")),0)&gt;0,IFERROR(VALUE(SUBSTITUTE(TRIM(Input!F1920&amp;""),"%","")),0)&lt;1),1,100))</f>
        <v/>
      </c>
      <c r="F1920" t="str">
        <f>IF(A1920="","",IFERROR(VALUE(SUBSTITUTE(TRIM(Input!G1920&amp;""),"%","")),0)/IF(AND(IFERROR(VALUE(SUBSTITUTE(TRIM(Input!G1920&amp;""),"%","")),0)&gt;0,IFERROR(VALUE(SUBSTITUTE(TRIM(Input!G1920&amp;""),"%","")),0)&lt;1),1,100))</f>
        <v/>
      </c>
      <c r="G1920" t="str">
        <f>IF(A1920="","",IFERROR(VALUE(SUBSTITUTE(TRIM(Input!H1920&amp;""),"%","")),0)/IF(AND(IFERROR(VALUE(SUBSTITUTE(TRIM(Input!H1920&amp;""),"%","")),0)&gt;0,IFERROR(VALUE(SUBSTITUTE(TRIM(Input!H1920&amp;""),"%","")),0)&lt;1),1,100))</f>
        <v/>
      </c>
      <c r="H1920" t="str">
        <f>IF(A1920="","",IFERROR(VALUE(SUBSTITUTE(TRIM(Input!I1920&amp;""),"%","")),0)/IF(AND(IFERROR(VALUE(SUBSTITUTE(TRIM(Input!I1920&amp;""),"%","")),0)&gt;0,IFERROR(VALUE(SUBSTITUTE(TRIM(Input!I1920&amp;""),"%","")),0)&lt;1),1,100))</f>
        <v/>
      </c>
    </row>
    <row r="1921" spans="1:8">
      <c r="A1921" t="str">
        <f>IF(TRIM(Input!B1921&amp;"")="","",UPPER(TRIM(Input!B1921&amp;"")))</f>
        <v/>
      </c>
      <c r="B1921" t="str">
        <f>IF(A1921="","",IFERROR(VALUE(RIGHT(TRIM(Input!D1921&amp;""),1)),0))</f>
        <v/>
      </c>
      <c r="C1921" t="str">
        <f t="shared" si="29"/>
        <v/>
      </c>
      <c r="D1921" t="str">
        <f>IF(A1921="","",IFERROR(VALUE(SUBSTITUTE(TRIM(Input!E1921&amp;""),"%","")),0)/IF(AND(IFERROR(VALUE(SUBSTITUTE(TRIM(Input!E1921&amp;""),"%","")),0)&gt;0,IFERROR(VALUE(SUBSTITUTE(TRIM(Input!E1921&amp;""),"%","")),0)&lt;1),1,100))</f>
        <v/>
      </c>
      <c r="E1921" t="str">
        <f>IF(A1921="","",IFERROR(VALUE(SUBSTITUTE(TRIM(Input!F1921&amp;""),"%","")),0)/IF(AND(IFERROR(VALUE(SUBSTITUTE(TRIM(Input!F1921&amp;""),"%","")),0)&gt;0,IFERROR(VALUE(SUBSTITUTE(TRIM(Input!F1921&amp;""),"%","")),0)&lt;1),1,100))</f>
        <v/>
      </c>
      <c r="F1921" t="str">
        <f>IF(A1921="","",IFERROR(VALUE(SUBSTITUTE(TRIM(Input!G1921&amp;""),"%","")),0)/IF(AND(IFERROR(VALUE(SUBSTITUTE(TRIM(Input!G1921&amp;""),"%","")),0)&gt;0,IFERROR(VALUE(SUBSTITUTE(TRIM(Input!G1921&amp;""),"%","")),0)&lt;1),1,100))</f>
        <v/>
      </c>
      <c r="G1921" t="str">
        <f>IF(A1921="","",IFERROR(VALUE(SUBSTITUTE(TRIM(Input!H1921&amp;""),"%","")),0)/IF(AND(IFERROR(VALUE(SUBSTITUTE(TRIM(Input!H1921&amp;""),"%","")),0)&gt;0,IFERROR(VALUE(SUBSTITUTE(TRIM(Input!H1921&amp;""),"%","")),0)&lt;1),1,100))</f>
        <v/>
      </c>
      <c r="H1921" t="str">
        <f>IF(A1921="","",IFERROR(VALUE(SUBSTITUTE(TRIM(Input!I1921&amp;""),"%","")),0)/IF(AND(IFERROR(VALUE(SUBSTITUTE(TRIM(Input!I1921&amp;""),"%","")),0)&gt;0,IFERROR(VALUE(SUBSTITUTE(TRIM(Input!I1921&amp;""),"%","")),0)&lt;1),1,100))</f>
        <v/>
      </c>
    </row>
    <row r="1922" spans="1:8">
      <c r="A1922" t="str">
        <f>IF(TRIM(Input!B1922&amp;"")="","",UPPER(TRIM(Input!B1922&amp;"")))</f>
        <v/>
      </c>
      <c r="B1922" t="str">
        <f>IF(A1922="","",IFERROR(VALUE(RIGHT(TRIM(Input!D1922&amp;""),1)),0))</f>
        <v/>
      </c>
      <c r="C1922" t="str">
        <f t="shared" ref="C1922:C1985" si="30">IF(A1922="","",A1922&amp;"|"&amp;B1922)</f>
        <v/>
      </c>
      <c r="D1922" t="str">
        <f>IF(A1922="","",IFERROR(VALUE(SUBSTITUTE(TRIM(Input!E1922&amp;""),"%","")),0)/IF(AND(IFERROR(VALUE(SUBSTITUTE(TRIM(Input!E1922&amp;""),"%","")),0)&gt;0,IFERROR(VALUE(SUBSTITUTE(TRIM(Input!E1922&amp;""),"%","")),0)&lt;1),1,100))</f>
        <v/>
      </c>
      <c r="E1922" t="str">
        <f>IF(A1922="","",IFERROR(VALUE(SUBSTITUTE(TRIM(Input!F1922&amp;""),"%","")),0)/IF(AND(IFERROR(VALUE(SUBSTITUTE(TRIM(Input!F1922&amp;""),"%","")),0)&gt;0,IFERROR(VALUE(SUBSTITUTE(TRIM(Input!F1922&amp;""),"%","")),0)&lt;1),1,100))</f>
        <v/>
      </c>
      <c r="F1922" t="str">
        <f>IF(A1922="","",IFERROR(VALUE(SUBSTITUTE(TRIM(Input!G1922&amp;""),"%","")),0)/IF(AND(IFERROR(VALUE(SUBSTITUTE(TRIM(Input!G1922&amp;""),"%","")),0)&gt;0,IFERROR(VALUE(SUBSTITUTE(TRIM(Input!G1922&amp;""),"%","")),0)&lt;1),1,100))</f>
        <v/>
      </c>
      <c r="G1922" t="str">
        <f>IF(A1922="","",IFERROR(VALUE(SUBSTITUTE(TRIM(Input!H1922&amp;""),"%","")),0)/IF(AND(IFERROR(VALUE(SUBSTITUTE(TRIM(Input!H1922&amp;""),"%","")),0)&gt;0,IFERROR(VALUE(SUBSTITUTE(TRIM(Input!H1922&amp;""),"%","")),0)&lt;1),1,100))</f>
        <v/>
      </c>
      <c r="H1922" t="str">
        <f>IF(A1922="","",IFERROR(VALUE(SUBSTITUTE(TRIM(Input!I1922&amp;""),"%","")),0)/IF(AND(IFERROR(VALUE(SUBSTITUTE(TRIM(Input!I1922&amp;""),"%","")),0)&gt;0,IFERROR(VALUE(SUBSTITUTE(TRIM(Input!I1922&amp;""),"%","")),0)&lt;1),1,100))</f>
        <v/>
      </c>
    </row>
    <row r="1923" spans="1:8">
      <c r="A1923" t="str">
        <f>IF(TRIM(Input!B1923&amp;"")="","",UPPER(TRIM(Input!B1923&amp;"")))</f>
        <v/>
      </c>
      <c r="B1923" t="str">
        <f>IF(A1923="","",IFERROR(VALUE(RIGHT(TRIM(Input!D1923&amp;""),1)),0))</f>
        <v/>
      </c>
      <c r="C1923" t="str">
        <f t="shared" si="30"/>
        <v/>
      </c>
      <c r="D1923" t="str">
        <f>IF(A1923="","",IFERROR(VALUE(SUBSTITUTE(TRIM(Input!E1923&amp;""),"%","")),0)/IF(AND(IFERROR(VALUE(SUBSTITUTE(TRIM(Input!E1923&amp;""),"%","")),0)&gt;0,IFERROR(VALUE(SUBSTITUTE(TRIM(Input!E1923&amp;""),"%","")),0)&lt;1),1,100))</f>
        <v/>
      </c>
      <c r="E1923" t="str">
        <f>IF(A1923="","",IFERROR(VALUE(SUBSTITUTE(TRIM(Input!F1923&amp;""),"%","")),0)/IF(AND(IFERROR(VALUE(SUBSTITUTE(TRIM(Input!F1923&amp;""),"%","")),0)&gt;0,IFERROR(VALUE(SUBSTITUTE(TRIM(Input!F1923&amp;""),"%","")),0)&lt;1),1,100))</f>
        <v/>
      </c>
      <c r="F1923" t="str">
        <f>IF(A1923="","",IFERROR(VALUE(SUBSTITUTE(TRIM(Input!G1923&amp;""),"%","")),0)/IF(AND(IFERROR(VALUE(SUBSTITUTE(TRIM(Input!G1923&amp;""),"%","")),0)&gt;0,IFERROR(VALUE(SUBSTITUTE(TRIM(Input!G1923&amp;""),"%","")),0)&lt;1),1,100))</f>
        <v/>
      </c>
      <c r="G1923" t="str">
        <f>IF(A1923="","",IFERROR(VALUE(SUBSTITUTE(TRIM(Input!H1923&amp;""),"%","")),0)/IF(AND(IFERROR(VALUE(SUBSTITUTE(TRIM(Input!H1923&amp;""),"%","")),0)&gt;0,IFERROR(VALUE(SUBSTITUTE(TRIM(Input!H1923&amp;""),"%","")),0)&lt;1),1,100))</f>
        <v/>
      </c>
      <c r="H1923" t="str">
        <f>IF(A1923="","",IFERROR(VALUE(SUBSTITUTE(TRIM(Input!I1923&amp;""),"%","")),0)/IF(AND(IFERROR(VALUE(SUBSTITUTE(TRIM(Input!I1923&amp;""),"%","")),0)&gt;0,IFERROR(VALUE(SUBSTITUTE(TRIM(Input!I1923&amp;""),"%","")),0)&lt;1),1,100))</f>
        <v/>
      </c>
    </row>
    <row r="1924" spans="1:8">
      <c r="A1924" t="str">
        <f>IF(TRIM(Input!B1924&amp;"")="","",UPPER(TRIM(Input!B1924&amp;"")))</f>
        <v/>
      </c>
      <c r="B1924" t="str">
        <f>IF(A1924="","",IFERROR(VALUE(RIGHT(TRIM(Input!D1924&amp;""),1)),0))</f>
        <v/>
      </c>
      <c r="C1924" t="str">
        <f t="shared" si="30"/>
        <v/>
      </c>
      <c r="D1924" t="str">
        <f>IF(A1924="","",IFERROR(VALUE(SUBSTITUTE(TRIM(Input!E1924&amp;""),"%","")),0)/IF(AND(IFERROR(VALUE(SUBSTITUTE(TRIM(Input!E1924&amp;""),"%","")),0)&gt;0,IFERROR(VALUE(SUBSTITUTE(TRIM(Input!E1924&amp;""),"%","")),0)&lt;1),1,100))</f>
        <v/>
      </c>
      <c r="E1924" t="str">
        <f>IF(A1924="","",IFERROR(VALUE(SUBSTITUTE(TRIM(Input!F1924&amp;""),"%","")),0)/IF(AND(IFERROR(VALUE(SUBSTITUTE(TRIM(Input!F1924&amp;""),"%","")),0)&gt;0,IFERROR(VALUE(SUBSTITUTE(TRIM(Input!F1924&amp;""),"%","")),0)&lt;1),1,100))</f>
        <v/>
      </c>
      <c r="F1924" t="str">
        <f>IF(A1924="","",IFERROR(VALUE(SUBSTITUTE(TRIM(Input!G1924&amp;""),"%","")),0)/IF(AND(IFERROR(VALUE(SUBSTITUTE(TRIM(Input!G1924&amp;""),"%","")),0)&gt;0,IFERROR(VALUE(SUBSTITUTE(TRIM(Input!G1924&amp;""),"%","")),0)&lt;1),1,100))</f>
        <v/>
      </c>
      <c r="G1924" t="str">
        <f>IF(A1924="","",IFERROR(VALUE(SUBSTITUTE(TRIM(Input!H1924&amp;""),"%","")),0)/IF(AND(IFERROR(VALUE(SUBSTITUTE(TRIM(Input!H1924&amp;""),"%","")),0)&gt;0,IFERROR(VALUE(SUBSTITUTE(TRIM(Input!H1924&amp;""),"%","")),0)&lt;1),1,100))</f>
        <v/>
      </c>
      <c r="H1924" t="str">
        <f>IF(A1924="","",IFERROR(VALUE(SUBSTITUTE(TRIM(Input!I1924&amp;""),"%","")),0)/IF(AND(IFERROR(VALUE(SUBSTITUTE(TRIM(Input!I1924&amp;""),"%","")),0)&gt;0,IFERROR(VALUE(SUBSTITUTE(TRIM(Input!I1924&amp;""),"%","")),0)&lt;1),1,100))</f>
        <v/>
      </c>
    </row>
    <row r="1925" spans="1:8">
      <c r="A1925" t="str">
        <f>IF(TRIM(Input!B1925&amp;"")="","",UPPER(TRIM(Input!B1925&amp;"")))</f>
        <v/>
      </c>
      <c r="B1925" t="str">
        <f>IF(A1925="","",IFERROR(VALUE(RIGHT(TRIM(Input!D1925&amp;""),1)),0))</f>
        <v/>
      </c>
      <c r="C1925" t="str">
        <f t="shared" si="30"/>
        <v/>
      </c>
      <c r="D1925" t="str">
        <f>IF(A1925="","",IFERROR(VALUE(SUBSTITUTE(TRIM(Input!E1925&amp;""),"%","")),0)/IF(AND(IFERROR(VALUE(SUBSTITUTE(TRIM(Input!E1925&amp;""),"%","")),0)&gt;0,IFERROR(VALUE(SUBSTITUTE(TRIM(Input!E1925&amp;""),"%","")),0)&lt;1),1,100))</f>
        <v/>
      </c>
      <c r="E1925" t="str">
        <f>IF(A1925="","",IFERROR(VALUE(SUBSTITUTE(TRIM(Input!F1925&amp;""),"%","")),0)/IF(AND(IFERROR(VALUE(SUBSTITUTE(TRIM(Input!F1925&amp;""),"%","")),0)&gt;0,IFERROR(VALUE(SUBSTITUTE(TRIM(Input!F1925&amp;""),"%","")),0)&lt;1),1,100))</f>
        <v/>
      </c>
      <c r="F1925" t="str">
        <f>IF(A1925="","",IFERROR(VALUE(SUBSTITUTE(TRIM(Input!G1925&amp;""),"%","")),0)/IF(AND(IFERROR(VALUE(SUBSTITUTE(TRIM(Input!G1925&amp;""),"%","")),0)&gt;0,IFERROR(VALUE(SUBSTITUTE(TRIM(Input!G1925&amp;""),"%","")),0)&lt;1),1,100))</f>
        <v/>
      </c>
      <c r="G1925" t="str">
        <f>IF(A1925="","",IFERROR(VALUE(SUBSTITUTE(TRIM(Input!H1925&amp;""),"%","")),0)/IF(AND(IFERROR(VALUE(SUBSTITUTE(TRIM(Input!H1925&amp;""),"%","")),0)&gt;0,IFERROR(VALUE(SUBSTITUTE(TRIM(Input!H1925&amp;""),"%","")),0)&lt;1),1,100))</f>
        <v/>
      </c>
      <c r="H1925" t="str">
        <f>IF(A1925="","",IFERROR(VALUE(SUBSTITUTE(TRIM(Input!I1925&amp;""),"%","")),0)/IF(AND(IFERROR(VALUE(SUBSTITUTE(TRIM(Input!I1925&amp;""),"%","")),0)&gt;0,IFERROR(VALUE(SUBSTITUTE(TRIM(Input!I1925&amp;""),"%","")),0)&lt;1),1,100))</f>
        <v/>
      </c>
    </row>
    <row r="1926" spans="1:8">
      <c r="A1926" t="str">
        <f>IF(TRIM(Input!B1926&amp;"")="","",UPPER(TRIM(Input!B1926&amp;"")))</f>
        <v/>
      </c>
      <c r="B1926" t="str">
        <f>IF(A1926="","",IFERROR(VALUE(RIGHT(TRIM(Input!D1926&amp;""),1)),0))</f>
        <v/>
      </c>
      <c r="C1926" t="str">
        <f t="shared" si="30"/>
        <v/>
      </c>
      <c r="D1926" t="str">
        <f>IF(A1926="","",IFERROR(VALUE(SUBSTITUTE(TRIM(Input!E1926&amp;""),"%","")),0)/IF(AND(IFERROR(VALUE(SUBSTITUTE(TRIM(Input!E1926&amp;""),"%","")),0)&gt;0,IFERROR(VALUE(SUBSTITUTE(TRIM(Input!E1926&amp;""),"%","")),0)&lt;1),1,100))</f>
        <v/>
      </c>
      <c r="E1926" t="str">
        <f>IF(A1926="","",IFERROR(VALUE(SUBSTITUTE(TRIM(Input!F1926&amp;""),"%","")),0)/IF(AND(IFERROR(VALUE(SUBSTITUTE(TRIM(Input!F1926&amp;""),"%","")),0)&gt;0,IFERROR(VALUE(SUBSTITUTE(TRIM(Input!F1926&amp;""),"%","")),0)&lt;1),1,100))</f>
        <v/>
      </c>
      <c r="F1926" t="str">
        <f>IF(A1926="","",IFERROR(VALUE(SUBSTITUTE(TRIM(Input!G1926&amp;""),"%","")),0)/IF(AND(IFERROR(VALUE(SUBSTITUTE(TRIM(Input!G1926&amp;""),"%","")),0)&gt;0,IFERROR(VALUE(SUBSTITUTE(TRIM(Input!G1926&amp;""),"%","")),0)&lt;1),1,100))</f>
        <v/>
      </c>
      <c r="G1926" t="str">
        <f>IF(A1926="","",IFERROR(VALUE(SUBSTITUTE(TRIM(Input!H1926&amp;""),"%","")),0)/IF(AND(IFERROR(VALUE(SUBSTITUTE(TRIM(Input!H1926&amp;""),"%","")),0)&gt;0,IFERROR(VALUE(SUBSTITUTE(TRIM(Input!H1926&amp;""),"%","")),0)&lt;1),1,100))</f>
        <v/>
      </c>
      <c r="H1926" t="str">
        <f>IF(A1926="","",IFERROR(VALUE(SUBSTITUTE(TRIM(Input!I1926&amp;""),"%","")),0)/IF(AND(IFERROR(VALUE(SUBSTITUTE(TRIM(Input!I1926&amp;""),"%","")),0)&gt;0,IFERROR(VALUE(SUBSTITUTE(TRIM(Input!I1926&amp;""),"%","")),0)&lt;1),1,100))</f>
        <v/>
      </c>
    </row>
    <row r="1927" spans="1:8">
      <c r="A1927" t="str">
        <f>IF(TRIM(Input!B1927&amp;"")="","",UPPER(TRIM(Input!B1927&amp;"")))</f>
        <v/>
      </c>
      <c r="B1927" t="str">
        <f>IF(A1927="","",IFERROR(VALUE(RIGHT(TRIM(Input!D1927&amp;""),1)),0))</f>
        <v/>
      </c>
      <c r="C1927" t="str">
        <f t="shared" si="30"/>
        <v/>
      </c>
      <c r="D1927" t="str">
        <f>IF(A1927="","",IFERROR(VALUE(SUBSTITUTE(TRIM(Input!E1927&amp;""),"%","")),0)/IF(AND(IFERROR(VALUE(SUBSTITUTE(TRIM(Input!E1927&amp;""),"%","")),0)&gt;0,IFERROR(VALUE(SUBSTITUTE(TRIM(Input!E1927&amp;""),"%","")),0)&lt;1),1,100))</f>
        <v/>
      </c>
      <c r="E1927" t="str">
        <f>IF(A1927="","",IFERROR(VALUE(SUBSTITUTE(TRIM(Input!F1927&amp;""),"%","")),0)/IF(AND(IFERROR(VALUE(SUBSTITUTE(TRIM(Input!F1927&amp;""),"%","")),0)&gt;0,IFERROR(VALUE(SUBSTITUTE(TRIM(Input!F1927&amp;""),"%","")),0)&lt;1),1,100))</f>
        <v/>
      </c>
      <c r="F1927" t="str">
        <f>IF(A1927="","",IFERROR(VALUE(SUBSTITUTE(TRIM(Input!G1927&amp;""),"%","")),0)/IF(AND(IFERROR(VALUE(SUBSTITUTE(TRIM(Input!G1927&amp;""),"%","")),0)&gt;0,IFERROR(VALUE(SUBSTITUTE(TRIM(Input!G1927&amp;""),"%","")),0)&lt;1),1,100))</f>
        <v/>
      </c>
      <c r="G1927" t="str">
        <f>IF(A1927="","",IFERROR(VALUE(SUBSTITUTE(TRIM(Input!H1927&amp;""),"%","")),0)/IF(AND(IFERROR(VALUE(SUBSTITUTE(TRIM(Input!H1927&amp;""),"%","")),0)&gt;0,IFERROR(VALUE(SUBSTITUTE(TRIM(Input!H1927&amp;""),"%","")),0)&lt;1),1,100))</f>
        <v/>
      </c>
      <c r="H1927" t="str">
        <f>IF(A1927="","",IFERROR(VALUE(SUBSTITUTE(TRIM(Input!I1927&amp;""),"%","")),0)/IF(AND(IFERROR(VALUE(SUBSTITUTE(TRIM(Input!I1927&amp;""),"%","")),0)&gt;0,IFERROR(VALUE(SUBSTITUTE(TRIM(Input!I1927&amp;""),"%","")),0)&lt;1),1,100))</f>
        <v/>
      </c>
    </row>
    <row r="1928" spans="1:8">
      <c r="A1928" t="str">
        <f>IF(TRIM(Input!B1928&amp;"")="","",UPPER(TRIM(Input!B1928&amp;"")))</f>
        <v/>
      </c>
      <c r="B1928" t="str">
        <f>IF(A1928="","",IFERROR(VALUE(RIGHT(TRIM(Input!D1928&amp;""),1)),0))</f>
        <v/>
      </c>
      <c r="C1928" t="str">
        <f t="shared" si="30"/>
        <v/>
      </c>
      <c r="D1928" t="str">
        <f>IF(A1928="","",IFERROR(VALUE(SUBSTITUTE(TRIM(Input!E1928&amp;""),"%","")),0)/IF(AND(IFERROR(VALUE(SUBSTITUTE(TRIM(Input!E1928&amp;""),"%","")),0)&gt;0,IFERROR(VALUE(SUBSTITUTE(TRIM(Input!E1928&amp;""),"%","")),0)&lt;1),1,100))</f>
        <v/>
      </c>
      <c r="E1928" t="str">
        <f>IF(A1928="","",IFERROR(VALUE(SUBSTITUTE(TRIM(Input!F1928&amp;""),"%","")),0)/IF(AND(IFERROR(VALUE(SUBSTITUTE(TRIM(Input!F1928&amp;""),"%","")),0)&gt;0,IFERROR(VALUE(SUBSTITUTE(TRIM(Input!F1928&amp;""),"%","")),0)&lt;1),1,100))</f>
        <v/>
      </c>
      <c r="F1928" t="str">
        <f>IF(A1928="","",IFERROR(VALUE(SUBSTITUTE(TRIM(Input!G1928&amp;""),"%","")),0)/IF(AND(IFERROR(VALUE(SUBSTITUTE(TRIM(Input!G1928&amp;""),"%","")),0)&gt;0,IFERROR(VALUE(SUBSTITUTE(TRIM(Input!G1928&amp;""),"%","")),0)&lt;1),1,100))</f>
        <v/>
      </c>
      <c r="G1928" t="str">
        <f>IF(A1928="","",IFERROR(VALUE(SUBSTITUTE(TRIM(Input!H1928&amp;""),"%","")),0)/IF(AND(IFERROR(VALUE(SUBSTITUTE(TRIM(Input!H1928&amp;""),"%","")),0)&gt;0,IFERROR(VALUE(SUBSTITUTE(TRIM(Input!H1928&amp;""),"%","")),0)&lt;1),1,100))</f>
        <v/>
      </c>
      <c r="H1928" t="str">
        <f>IF(A1928="","",IFERROR(VALUE(SUBSTITUTE(TRIM(Input!I1928&amp;""),"%","")),0)/IF(AND(IFERROR(VALUE(SUBSTITUTE(TRIM(Input!I1928&amp;""),"%","")),0)&gt;0,IFERROR(VALUE(SUBSTITUTE(TRIM(Input!I1928&amp;""),"%","")),0)&lt;1),1,100))</f>
        <v/>
      </c>
    </row>
    <row r="1929" spans="1:8">
      <c r="A1929" t="str">
        <f>IF(TRIM(Input!B1929&amp;"")="","",UPPER(TRIM(Input!B1929&amp;"")))</f>
        <v/>
      </c>
      <c r="B1929" t="str">
        <f>IF(A1929="","",IFERROR(VALUE(RIGHT(TRIM(Input!D1929&amp;""),1)),0))</f>
        <v/>
      </c>
      <c r="C1929" t="str">
        <f t="shared" si="30"/>
        <v/>
      </c>
      <c r="D1929" t="str">
        <f>IF(A1929="","",IFERROR(VALUE(SUBSTITUTE(TRIM(Input!E1929&amp;""),"%","")),0)/IF(AND(IFERROR(VALUE(SUBSTITUTE(TRIM(Input!E1929&amp;""),"%","")),0)&gt;0,IFERROR(VALUE(SUBSTITUTE(TRIM(Input!E1929&amp;""),"%","")),0)&lt;1),1,100))</f>
        <v/>
      </c>
      <c r="E1929" t="str">
        <f>IF(A1929="","",IFERROR(VALUE(SUBSTITUTE(TRIM(Input!F1929&amp;""),"%","")),0)/IF(AND(IFERROR(VALUE(SUBSTITUTE(TRIM(Input!F1929&amp;""),"%","")),0)&gt;0,IFERROR(VALUE(SUBSTITUTE(TRIM(Input!F1929&amp;""),"%","")),0)&lt;1),1,100))</f>
        <v/>
      </c>
      <c r="F1929" t="str">
        <f>IF(A1929="","",IFERROR(VALUE(SUBSTITUTE(TRIM(Input!G1929&amp;""),"%","")),0)/IF(AND(IFERROR(VALUE(SUBSTITUTE(TRIM(Input!G1929&amp;""),"%","")),0)&gt;0,IFERROR(VALUE(SUBSTITUTE(TRIM(Input!G1929&amp;""),"%","")),0)&lt;1),1,100))</f>
        <v/>
      </c>
      <c r="G1929" t="str">
        <f>IF(A1929="","",IFERROR(VALUE(SUBSTITUTE(TRIM(Input!H1929&amp;""),"%","")),0)/IF(AND(IFERROR(VALUE(SUBSTITUTE(TRIM(Input!H1929&amp;""),"%","")),0)&gt;0,IFERROR(VALUE(SUBSTITUTE(TRIM(Input!H1929&amp;""),"%","")),0)&lt;1),1,100))</f>
        <v/>
      </c>
      <c r="H1929" t="str">
        <f>IF(A1929="","",IFERROR(VALUE(SUBSTITUTE(TRIM(Input!I1929&amp;""),"%","")),0)/IF(AND(IFERROR(VALUE(SUBSTITUTE(TRIM(Input!I1929&amp;""),"%","")),0)&gt;0,IFERROR(VALUE(SUBSTITUTE(TRIM(Input!I1929&amp;""),"%","")),0)&lt;1),1,100))</f>
        <v/>
      </c>
    </row>
    <row r="1930" spans="1:8">
      <c r="A1930" t="str">
        <f>IF(TRIM(Input!B1930&amp;"")="","",UPPER(TRIM(Input!B1930&amp;"")))</f>
        <v/>
      </c>
      <c r="B1930" t="str">
        <f>IF(A1930="","",IFERROR(VALUE(RIGHT(TRIM(Input!D1930&amp;""),1)),0))</f>
        <v/>
      </c>
      <c r="C1930" t="str">
        <f t="shared" si="30"/>
        <v/>
      </c>
      <c r="D1930" t="str">
        <f>IF(A1930="","",IFERROR(VALUE(SUBSTITUTE(TRIM(Input!E1930&amp;""),"%","")),0)/IF(AND(IFERROR(VALUE(SUBSTITUTE(TRIM(Input!E1930&amp;""),"%","")),0)&gt;0,IFERROR(VALUE(SUBSTITUTE(TRIM(Input!E1930&amp;""),"%","")),0)&lt;1),1,100))</f>
        <v/>
      </c>
      <c r="E1930" t="str">
        <f>IF(A1930="","",IFERROR(VALUE(SUBSTITUTE(TRIM(Input!F1930&amp;""),"%","")),0)/IF(AND(IFERROR(VALUE(SUBSTITUTE(TRIM(Input!F1930&amp;""),"%","")),0)&gt;0,IFERROR(VALUE(SUBSTITUTE(TRIM(Input!F1930&amp;""),"%","")),0)&lt;1),1,100))</f>
        <v/>
      </c>
      <c r="F1930" t="str">
        <f>IF(A1930="","",IFERROR(VALUE(SUBSTITUTE(TRIM(Input!G1930&amp;""),"%","")),0)/IF(AND(IFERROR(VALUE(SUBSTITUTE(TRIM(Input!G1930&amp;""),"%","")),0)&gt;0,IFERROR(VALUE(SUBSTITUTE(TRIM(Input!G1930&amp;""),"%","")),0)&lt;1),1,100))</f>
        <v/>
      </c>
      <c r="G1930" t="str">
        <f>IF(A1930="","",IFERROR(VALUE(SUBSTITUTE(TRIM(Input!H1930&amp;""),"%","")),0)/IF(AND(IFERROR(VALUE(SUBSTITUTE(TRIM(Input!H1930&amp;""),"%","")),0)&gt;0,IFERROR(VALUE(SUBSTITUTE(TRIM(Input!H1930&amp;""),"%","")),0)&lt;1),1,100))</f>
        <v/>
      </c>
      <c r="H1930" t="str">
        <f>IF(A1930="","",IFERROR(VALUE(SUBSTITUTE(TRIM(Input!I1930&amp;""),"%","")),0)/IF(AND(IFERROR(VALUE(SUBSTITUTE(TRIM(Input!I1930&amp;""),"%","")),0)&gt;0,IFERROR(VALUE(SUBSTITUTE(TRIM(Input!I1930&amp;""),"%","")),0)&lt;1),1,100))</f>
        <v/>
      </c>
    </row>
    <row r="1931" spans="1:8">
      <c r="A1931" t="str">
        <f>IF(TRIM(Input!B1931&amp;"")="","",UPPER(TRIM(Input!B1931&amp;"")))</f>
        <v/>
      </c>
      <c r="B1931" t="str">
        <f>IF(A1931="","",IFERROR(VALUE(RIGHT(TRIM(Input!D1931&amp;""),1)),0))</f>
        <v/>
      </c>
      <c r="C1931" t="str">
        <f t="shared" si="30"/>
        <v/>
      </c>
      <c r="D1931" t="str">
        <f>IF(A1931="","",IFERROR(VALUE(SUBSTITUTE(TRIM(Input!E1931&amp;""),"%","")),0)/IF(AND(IFERROR(VALUE(SUBSTITUTE(TRIM(Input!E1931&amp;""),"%","")),0)&gt;0,IFERROR(VALUE(SUBSTITUTE(TRIM(Input!E1931&amp;""),"%","")),0)&lt;1),1,100))</f>
        <v/>
      </c>
      <c r="E1931" t="str">
        <f>IF(A1931="","",IFERROR(VALUE(SUBSTITUTE(TRIM(Input!F1931&amp;""),"%","")),0)/IF(AND(IFERROR(VALUE(SUBSTITUTE(TRIM(Input!F1931&amp;""),"%","")),0)&gt;0,IFERROR(VALUE(SUBSTITUTE(TRIM(Input!F1931&amp;""),"%","")),0)&lt;1),1,100))</f>
        <v/>
      </c>
      <c r="F1931" t="str">
        <f>IF(A1931="","",IFERROR(VALUE(SUBSTITUTE(TRIM(Input!G1931&amp;""),"%","")),0)/IF(AND(IFERROR(VALUE(SUBSTITUTE(TRIM(Input!G1931&amp;""),"%","")),0)&gt;0,IFERROR(VALUE(SUBSTITUTE(TRIM(Input!G1931&amp;""),"%","")),0)&lt;1),1,100))</f>
        <v/>
      </c>
      <c r="G1931" t="str">
        <f>IF(A1931="","",IFERROR(VALUE(SUBSTITUTE(TRIM(Input!H1931&amp;""),"%","")),0)/IF(AND(IFERROR(VALUE(SUBSTITUTE(TRIM(Input!H1931&amp;""),"%","")),0)&gt;0,IFERROR(VALUE(SUBSTITUTE(TRIM(Input!H1931&amp;""),"%","")),0)&lt;1),1,100))</f>
        <v/>
      </c>
      <c r="H1931" t="str">
        <f>IF(A1931="","",IFERROR(VALUE(SUBSTITUTE(TRIM(Input!I1931&amp;""),"%","")),0)/IF(AND(IFERROR(VALUE(SUBSTITUTE(TRIM(Input!I1931&amp;""),"%","")),0)&gt;0,IFERROR(VALUE(SUBSTITUTE(TRIM(Input!I1931&amp;""),"%","")),0)&lt;1),1,100))</f>
        <v/>
      </c>
    </row>
    <row r="1932" spans="1:8">
      <c r="A1932" t="str">
        <f>IF(TRIM(Input!B1932&amp;"")="","",UPPER(TRIM(Input!B1932&amp;"")))</f>
        <v/>
      </c>
      <c r="B1932" t="str">
        <f>IF(A1932="","",IFERROR(VALUE(RIGHT(TRIM(Input!D1932&amp;""),1)),0))</f>
        <v/>
      </c>
      <c r="C1932" t="str">
        <f t="shared" si="30"/>
        <v/>
      </c>
      <c r="D1932" t="str">
        <f>IF(A1932="","",IFERROR(VALUE(SUBSTITUTE(TRIM(Input!E1932&amp;""),"%","")),0)/IF(AND(IFERROR(VALUE(SUBSTITUTE(TRIM(Input!E1932&amp;""),"%","")),0)&gt;0,IFERROR(VALUE(SUBSTITUTE(TRIM(Input!E1932&amp;""),"%","")),0)&lt;1),1,100))</f>
        <v/>
      </c>
      <c r="E1932" t="str">
        <f>IF(A1932="","",IFERROR(VALUE(SUBSTITUTE(TRIM(Input!F1932&amp;""),"%","")),0)/IF(AND(IFERROR(VALUE(SUBSTITUTE(TRIM(Input!F1932&amp;""),"%","")),0)&gt;0,IFERROR(VALUE(SUBSTITUTE(TRIM(Input!F1932&amp;""),"%","")),0)&lt;1),1,100))</f>
        <v/>
      </c>
      <c r="F1932" t="str">
        <f>IF(A1932="","",IFERROR(VALUE(SUBSTITUTE(TRIM(Input!G1932&amp;""),"%","")),0)/IF(AND(IFERROR(VALUE(SUBSTITUTE(TRIM(Input!G1932&amp;""),"%","")),0)&gt;0,IFERROR(VALUE(SUBSTITUTE(TRIM(Input!G1932&amp;""),"%","")),0)&lt;1),1,100))</f>
        <v/>
      </c>
      <c r="G1932" t="str">
        <f>IF(A1932="","",IFERROR(VALUE(SUBSTITUTE(TRIM(Input!H1932&amp;""),"%","")),0)/IF(AND(IFERROR(VALUE(SUBSTITUTE(TRIM(Input!H1932&amp;""),"%","")),0)&gt;0,IFERROR(VALUE(SUBSTITUTE(TRIM(Input!H1932&amp;""),"%","")),0)&lt;1),1,100))</f>
        <v/>
      </c>
      <c r="H1932" t="str">
        <f>IF(A1932="","",IFERROR(VALUE(SUBSTITUTE(TRIM(Input!I1932&amp;""),"%","")),0)/IF(AND(IFERROR(VALUE(SUBSTITUTE(TRIM(Input!I1932&amp;""),"%","")),0)&gt;0,IFERROR(VALUE(SUBSTITUTE(TRIM(Input!I1932&amp;""),"%","")),0)&lt;1),1,100))</f>
        <v/>
      </c>
    </row>
    <row r="1933" spans="1:8">
      <c r="A1933" t="str">
        <f>IF(TRIM(Input!B1933&amp;"")="","",UPPER(TRIM(Input!B1933&amp;"")))</f>
        <v/>
      </c>
      <c r="B1933" t="str">
        <f>IF(A1933="","",IFERROR(VALUE(RIGHT(TRIM(Input!D1933&amp;""),1)),0))</f>
        <v/>
      </c>
      <c r="C1933" t="str">
        <f t="shared" si="30"/>
        <v/>
      </c>
      <c r="D1933" t="str">
        <f>IF(A1933="","",IFERROR(VALUE(SUBSTITUTE(TRIM(Input!E1933&amp;""),"%","")),0)/IF(AND(IFERROR(VALUE(SUBSTITUTE(TRIM(Input!E1933&amp;""),"%","")),0)&gt;0,IFERROR(VALUE(SUBSTITUTE(TRIM(Input!E1933&amp;""),"%","")),0)&lt;1),1,100))</f>
        <v/>
      </c>
      <c r="E1933" t="str">
        <f>IF(A1933="","",IFERROR(VALUE(SUBSTITUTE(TRIM(Input!F1933&amp;""),"%","")),0)/IF(AND(IFERROR(VALUE(SUBSTITUTE(TRIM(Input!F1933&amp;""),"%","")),0)&gt;0,IFERROR(VALUE(SUBSTITUTE(TRIM(Input!F1933&amp;""),"%","")),0)&lt;1),1,100))</f>
        <v/>
      </c>
      <c r="F1933" t="str">
        <f>IF(A1933="","",IFERROR(VALUE(SUBSTITUTE(TRIM(Input!G1933&amp;""),"%","")),0)/IF(AND(IFERROR(VALUE(SUBSTITUTE(TRIM(Input!G1933&amp;""),"%","")),0)&gt;0,IFERROR(VALUE(SUBSTITUTE(TRIM(Input!G1933&amp;""),"%","")),0)&lt;1),1,100))</f>
        <v/>
      </c>
      <c r="G1933" t="str">
        <f>IF(A1933="","",IFERROR(VALUE(SUBSTITUTE(TRIM(Input!H1933&amp;""),"%","")),0)/IF(AND(IFERROR(VALUE(SUBSTITUTE(TRIM(Input!H1933&amp;""),"%","")),0)&gt;0,IFERROR(VALUE(SUBSTITUTE(TRIM(Input!H1933&amp;""),"%","")),0)&lt;1),1,100))</f>
        <v/>
      </c>
      <c r="H1933" t="str">
        <f>IF(A1933="","",IFERROR(VALUE(SUBSTITUTE(TRIM(Input!I1933&amp;""),"%","")),0)/IF(AND(IFERROR(VALUE(SUBSTITUTE(TRIM(Input!I1933&amp;""),"%","")),0)&gt;0,IFERROR(VALUE(SUBSTITUTE(TRIM(Input!I1933&amp;""),"%","")),0)&lt;1),1,100))</f>
        <v/>
      </c>
    </row>
    <row r="1934" spans="1:8">
      <c r="A1934" t="str">
        <f>IF(TRIM(Input!B1934&amp;"")="","",UPPER(TRIM(Input!B1934&amp;"")))</f>
        <v/>
      </c>
      <c r="B1934" t="str">
        <f>IF(A1934="","",IFERROR(VALUE(RIGHT(TRIM(Input!D1934&amp;""),1)),0))</f>
        <v/>
      </c>
      <c r="C1934" t="str">
        <f t="shared" si="30"/>
        <v/>
      </c>
      <c r="D1934" t="str">
        <f>IF(A1934="","",IFERROR(VALUE(SUBSTITUTE(TRIM(Input!E1934&amp;""),"%","")),0)/IF(AND(IFERROR(VALUE(SUBSTITUTE(TRIM(Input!E1934&amp;""),"%","")),0)&gt;0,IFERROR(VALUE(SUBSTITUTE(TRIM(Input!E1934&amp;""),"%","")),0)&lt;1),1,100))</f>
        <v/>
      </c>
      <c r="E1934" t="str">
        <f>IF(A1934="","",IFERROR(VALUE(SUBSTITUTE(TRIM(Input!F1934&amp;""),"%","")),0)/IF(AND(IFERROR(VALUE(SUBSTITUTE(TRIM(Input!F1934&amp;""),"%","")),0)&gt;0,IFERROR(VALUE(SUBSTITUTE(TRIM(Input!F1934&amp;""),"%","")),0)&lt;1),1,100))</f>
        <v/>
      </c>
      <c r="F1934" t="str">
        <f>IF(A1934="","",IFERROR(VALUE(SUBSTITUTE(TRIM(Input!G1934&amp;""),"%","")),0)/IF(AND(IFERROR(VALUE(SUBSTITUTE(TRIM(Input!G1934&amp;""),"%","")),0)&gt;0,IFERROR(VALUE(SUBSTITUTE(TRIM(Input!G1934&amp;""),"%","")),0)&lt;1),1,100))</f>
        <v/>
      </c>
      <c r="G1934" t="str">
        <f>IF(A1934="","",IFERROR(VALUE(SUBSTITUTE(TRIM(Input!H1934&amp;""),"%","")),0)/IF(AND(IFERROR(VALUE(SUBSTITUTE(TRIM(Input!H1934&amp;""),"%","")),0)&gt;0,IFERROR(VALUE(SUBSTITUTE(TRIM(Input!H1934&amp;""),"%","")),0)&lt;1),1,100))</f>
        <v/>
      </c>
      <c r="H1934" t="str">
        <f>IF(A1934="","",IFERROR(VALUE(SUBSTITUTE(TRIM(Input!I1934&amp;""),"%","")),0)/IF(AND(IFERROR(VALUE(SUBSTITUTE(TRIM(Input!I1934&amp;""),"%","")),0)&gt;0,IFERROR(VALUE(SUBSTITUTE(TRIM(Input!I1934&amp;""),"%","")),0)&lt;1),1,100))</f>
        <v/>
      </c>
    </row>
    <row r="1935" spans="1:8">
      <c r="A1935" t="str">
        <f>IF(TRIM(Input!B1935&amp;"")="","",UPPER(TRIM(Input!B1935&amp;"")))</f>
        <v/>
      </c>
      <c r="B1935" t="str">
        <f>IF(A1935="","",IFERROR(VALUE(RIGHT(TRIM(Input!D1935&amp;""),1)),0))</f>
        <v/>
      </c>
      <c r="C1935" t="str">
        <f t="shared" si="30"/>
        <v/>
      </c>
      <c r="D1935" t="str">
        <f>IF(A1935="","",IFERROR(VALUE(SUBSTITUTE(TRIM(Input!E1935&amp;""),"%","")),0)/IF(AND(IFERROR(VALUE(SUBSTITUTE(TRIM(Input!E1935&amp;""),"%","")),0)&gt;0,IFERROR(VALUE(SUBSTITUTE(TRIM(Input!E1935&amp;""),"%","")),0)&lt;1),1,100))</f>
        <v/>
      </c>
      <c r="E1935" t="str">
        <f>IF(A1935="","",IFERROR(VALUE(SUBSTITUTE(TRIM(Input!F1935&amp;""),"%","")),0)/IF(AND(IFERROR(VALUE(SUBSTITUTE(TRIM(Input!F1935&amp;""),"%","")),0)&gt;0,IFERROR(VALUE(SUBSTITUTE(TRIM(Input!F1935&amp;""),"%","")),0)&lt;1),1,100))</f>
        <v/>
      </c>
      <c r="F1935" t="str">
        <f>IF(A1935="","",IFERROR(VALUE(SUBSTITUTE(TRIM(Input!G1935&amp;""),"%","")),0)/IF(AND(IFERROR(VALUE(SUBSTITUTE(TRIM(Input!G1935&amp;""),"%","")),0)&gt;0,IFERROR(VALUE(SUBSTITUTE(TRIM(Input!G1935&amp;""),"%","")),0)&lt;1),1,100))</f>
        <v/>
      </c>
      <c r="G1935" t="str">
        <f>IF(A1935="","",IFERROR(VALUE(SUBSTITUTE(TRIM(Input!H1935&amp;""),"%","")),0)/IF(AND(IFERROR(VALUE(SUBSTITUTE(TRIM(Input!H1935&amp;""),"%","")),0)&gt;0,IFERROR(VALUE(SUBSTITUTE(TRIM(Input!H1935&amp;""),"%","")),0)&lt;1),1,100))</f>
        <v/>
      </c>
      <c r="H1935" t="str">
        <f>IF(A1935="","",IFERROR(VALUE(SUBSTITUTE(TRIM(Input!I1935&amp;""),"%","")),0)/IF(AND(IFERROR(VALUE(SUBSTITUTE(TRIM(Input!I1935&amp;""),"%","")),0)&gt;0,IFERROR(VALUE(SUBSTITUTE(TRIM(Input!I1935&amp;""),"%","")),0)&lt;1),1,100))</f>
        <v/>
      </c>
    </row>
    <row r="1936" spans="1:8">
      <c r="A1936" t="str">
        <f>IF(TRIM(Input!B1936&amp;"")="","",UPPER(TRIM(Input!B1936&amp;"")))</f>
        <v/>
      </c>
      <c r="B1936" t="str">
        <f>IF(A1936="","",IFERROR(VALUE(RIGHT(TRIM(Input!D1936&amp;""),1)),0))</f>
        <v/>
      </c>
      <c r="C1936" t="str">
        <f t="shared" si="30"/>
        <v/>
      </c>
      <c r="D1936" t="str">
        <f>IF(A1936="","",IFERROR(VALUE(SUBSTITUTE(TRIM(Input!E1936&amp;""),"%","")),0)/IF(AND(IFERROR(VALUE(SUBSTITUTE(TRIM(Input!E1936&amp;""),"%","")),0)&gt;0,IFERROR(VALUE(SUBSTITUTE(TRIM(Input!E1936&amp;""),"%","")),0)&lt;1),1,100))</f>
        <v/>
      </c>
      <c r="E1936" t="str">
        <f>IF(A1936="","",IFERROR(VALUE(SUBSTITUTE(TRIM(Input!F1936&amp;""),"%","")),0)/IF(AND(IFERROR(VALUE(SUBSTITUTE(TRIM(Input!F1936&amp;""),"%","")),0)&gt;0,IFERROR(VALUE(SUBSTITUTE(TRIM(Input!F1936&amp;""),"%","")),0)&lt;1),1,100))</f>
        <v/>
      </c>
      <c r="F1936" t="str">
        <f>IF(A1936="","",IFERROR(VALUE(SUBSTITUTE(TRIM(Input!G1936&amp;""),"%","")),0)/IF(AND(IFERROR(VALUE(SUBSTITUTE(TRIM(Input!G1936&amp;""),"%","")),0)&gt;0,IFERROR(VALUE(SUBSTITUTE(TRIM(Input!G1936&amp;""),"%","")),0)&lt;1),1,100))</f>
        <v/>
      </c>
      <c r="G1936" t="str">
        <f>IF(A1936="","",IFERROR(VALUE(SUBSTITUTE(TRIM(Input!H1936&amp;""),"%","")),0)/IF(AND(IFERROR(VALUE(SUBSTITUTE(TRIM(Input!H1936&amp;""),"%","")),0)&gt;0,IFERROR(VALUE(SUBSTITUTE(TRIM(Input!H1936&amp;""),"%","")),0)&lt;1),1,100))</f>
        <v/>
      </c>
      <c r="H1936" t="str">
        <f>IF(A1936="","",IFERROR(VALUE(SUBSTITUTE(TRIM(Input!I1936&amp;""),"%","")),0)/IF(AND(IFERROR(VALUE(SUBSTITUTE(TRIM(Input!I1936&amp;""),"%","")),0)&gt;0,IFERROR(VALUE(SUBSTITUTE(TRIM(Input!I1936&amp;""),"%","")),0)&lt;1),1,100))</f>
        <v/>
      </c>
    </row>
    <row r="1937" spans="1:8">
      <c r="A1937" t="str">
        <f>IF(TRIM(Input!B1937&amp;"")="","",UPPER(TRIM(Input!B1937&amp;"")))</f>
        <v/>
      </c>
      <c r="B1937" t="str">
        <f>IF(A1937="","",IFERROR(VALUE(RIGHT(TRIM(Input!D1937&amp;""),1)),0))</f>
        <v/>
      </c>
      <c r="C1937" t="str">
        <f t="shared" si="30"/>
        <v/>
      </c>
      <c r="D1937" t="str">
        <f>IF(A1937="","",IFERROR(VALUE(SUBSTITUTE(TRIM(Input!E1937&amp;""),"%","")),0)/IF(AND(IFERROR(VALUE(SUBSTITUTE(TRIM(Input!E1937&amp;""),"%","")),0)&gt;0,IFERROR(VALUE(SUBSTITUTE(TRIM(Input!E1937&amp;""),"%","")),0)&lt;1),1,100))</f>
        <v/>
      </c>
      <c r="E1937" t="str">
        <f>IF(A1937="","",IFERROR(VALUE(SUBSTITUTE(TRIM(Input!F1937&amp;""),"%","")),0)/IF(AND(IFERROR(VALUE(SUBSTITUTE(TRIM(Input!F1937&amp;""),"%","")),0)&gt;0,IFERROR(VALUE(SUBSTITUTE(TRIM(Input!F1937&amp;""),"%","")),0)&lt;1),1,100))</f>
        <v/>
      </c>
      <c r="F1937" t="str">
        <f>IF(A1937="","",IFERROR(VALUE(SUBSTITUTE(TRIM(Input!G1937&amp;""),"%","")),0)/IF(AND(IFERROR(VALUE(SUBSTITUTE(TRIM(Input!G1937&amp;""),"%","")),0)&gt;0,IFERROR(VALUE(SUBSTITUTE(TRIM(Input!G1937&amp;""),"%","")),0)&lt;1),1,100))</f>
        <v/>
      </c>
      <c r="G1937" t="str">
        <f>IF(A1937="","",IFERROR(VALUE(SUBSTITUTE(TRIM(Input!H1937&amp;""),"%","")),0)/IF(AND(IFERROR(VALUE(SUBSTITUTE(TRIM(Input!H1937&amp;""),"%","")),0)&gt;0,IFERROR(VALUE(SUBSTITUTE(TRIM(Input!H1937&amp;""),"%","")),0)&lt;1),1,100))</f>
        <v/>
      </c>
      <c r="H1937" t="str">
        <f>IF(A1937="","",IFERROR(VALUE(SUBSTITUTE(TRIM(Input!I1937&amp;""),"%","")),0)/IF(AND(IFERROR(VALUE(SUBSTITUTE(TRIM(Input!I1937&amp;""),"%","")),0)&gt;0,IFERROR(VALUE(SUBSTITUTE(TRIM(Input!I1937&amp;""),"%","")),0)&lt;1),1,100))</f>
        <v/>
      </c>
    </row>
    <row r="1938" spans="1:8">
      <c r="A1938" t="str">
        <f>IF(TRIM(Input!B1938&amp;"")="","",UPPER(TRIM(Input!B1938&amp;"")))</f>
        <v/>
      </c>
      <c r="B1938" t="str">
        <f>IF(A1938="","",IFERROR(VALUE(RIGHT(TRIM(Input!D1938&amp;""),1)),0))</f>
        <v/>
      </c>
      <c r="C1938" t="str">
        <f t="shared" si="30"/>
        <v/>
      </c>
      <c r="D1938" t="str">
        <f>IF(A1938="","",IFERROR(VALUE(SUBSTITUTE(TRIM(Input!E1938&amp;""),"%","")),0)/IF(AND(IFERROR(VALUE(SUBSTITUTE(TRIM(Input!E1938&amp;""),"%","")),0)&gt;0,IFERROR(VALUE(SUBSTITUTE(TRIM(Input!E1938&amp;""),"%","")),0)&lt;1),1,100))</f>
        <v/>
      </c>
      <c r="E1938" t="str">
        <f>IF(A1938="","",IFERROR(VALUE(SUBSTITUTE(TRIM(Input!F1938&amp;""),"%","")),0)/IF(AND(IFERROR(VALUE(SUBSTITUTE(TRIM(Input!F1938&amp;""),"%","")),0)&gt;0,IFERROR(VALUE(SUBSTITUTE(TRIM(Input!F1938&amp;""),"%","")),0)&lt;1),1,100))</f>
        <v/>
      </c>
      <c r="F1938" t="str">
        <f>IF(A1938="","",IFERROR(VALUE(SUBSTITUTE(TRIM(Input!G1938&amp;""),"%","")),0)/IF(AND(IFERROR(VALUE(SUBSTITUTE(TRIM(Input!G1938&amp;""),"%","")),0)&gt;0,IFERROR(VALUE(SUBSTITUTE(TRIM(Input!G1938&amp;""),"%","")),0)&lt;1),1,100))</f>
        <v/>
      </c>
      <c r="G1938" t="str">
        <f>IF(A1938="","",IFERROR(VALUE(SUBSTITUTE(TRIM(Input!H1938&amp;""),"%","")),0)/IF(AND(IFERROR(VALUE(SUBSTITUTE(TRIM(Input!H1938&amp;""),"%","")),0)&gt;0,IFERROR(VALUE(SUBSTITUTE(TRIM(Input!H1938&amp;""),"%","")),0)&lt;1),1,100))</f>
        <v/>
      </c>
      <c r="H1938" t="str">
        <f>IF(A1938="","",IFERROR(VALUE(SUBSTITUTE(TRIM(Input!I1938&amp;""),"%","")),0)/IF(AND(IFERROR(VALUE(SUBSTITUTE(TRIM(Input!I1938&amp;""),"%","")),0)&gt;0,IFERROR(VALUE(SUBSTITUTE(TRIM(Input!I1938&amp;""),"%","")),0)&lt;1),1,100))</f>
        <v/>
      </c>
    </row>
    <row r="1939" spans="1:8">
      <c r="A1939" t="str">
        <f>IF(TRIM(Input!B1939&amp;"")="","",UPPER(TRIM(Input!B1939&amp;"")))</f>
        <v/>
      </c>
      <c r="B1939" t="str">
        <f>IF(A1939="","",IFERROR(VALUE(RIGHT(TRIM(Input!D1939&amp;""),1)),0))</f>
        <v/>
      </c>
      <c r="C1939" t="str">
        <f t="shared" si="30"/>
        <v/>
      </c>
      <c r="D1939" t="str">
        <f>IF(A1939="","",IFERROR(VALUE(SUBSTITUTE(TRIM(Input!E1939&amp;""),"%","")),0)/IF(AND(IFERROR(VALUE(SUBSTITUTE(TRIM(Input!E1939&amp;""),"%","")),0)&gt;0,IFERROR(VALUE(SUBSTITUTE(TRIM(Input!E1939&amp;""),"%","")),0)&lt;1),1,100))</f>
        <v/>
      </c>
      <c r="E1939" t="str">
        <f>IF(A1939="","",IFERROR(VALUE(SUBSTITUTE(TRIM(Input!F1939&amp;""),"%","")),0)/IF(AND(IFERROR(VALUE(SUBSTITUTE(TRIM(Input!F1939&amp;""),"%","")),0)&gt;0,IFERROR(VALUE(SUBSTITUTE(TRIM(Input!F1939&amp;""),"%","")),0)&lt;1),1,100))</f>
        <v/>
      </c>
      <c r="F1939" t="str">
        <f>IF(A1939="","",IFERROR(VALUE(SUBSTITUTE(TRIM(Input!G1939&amp;""),"%","")),0)/IF(AND(IFERROR(VALUE(SUBSTITUTE(TRIM(Input!G1939&amp;""),"%","")),0)&gt;0,IFERROR(VALUE(SUBSTITUTE(TRIM(Input!G1939&amp;""),"%","")),0)&lt;1),1,100))</f>
        <v/>
      </c>
      <c r="G1939" t="str">
        <f>IF(A1939="","",IFERROR(VALUE(SUBSTITUTE(TRIM(Input!H1939&amp;""),"%","")),0)/IF(AND(IFERROR(VALUE(SUBSTITUTE(TRIM(Input!H1939&amp;""),"%","")),0)&gt;0,IFERROR(VALUE(SUBSTITUTE(TRIM(Input!H1939&amp;""),"%","")),0)&lt;1),1,100))</f>
        <v/>
      </c>
      <c r="H1939" t="str">
        <f>IF(A1939="","",IFERROR(VALUE(SUBSTITUTE(TRIM(Input!I1939&amp;""),"%","")),0)/IF(AND(IFERROR(VALUE(SUBSTITUTE(TRIM(Input!I1939&amp;""),"%","")),0)&gt;0,IFERROR(VALUE(SUBSTITUTE(TRIM(Input!I1939&amp;""),"%","")),0)&lt;1),1,100))</f>
        <v/>
      </c>
    </row>
    <row r="1940" spans="1:8">
      <c r="A1940" t="str">
        <f>IF(TRIM(Input!B1940&amp;"")="","",UPPER(TRIM(Input!B1940&amp;"")))</f>
        <v/>
      </c>
      <c r="B1940" t="str">
        <f>IF(A1940="","",IFERROR(VALUE(RIGHT(TRIM(Input!D1940&amp;""),1)),0))</f>
        <v/>
      </c>
      <c r="C1940" t="str">
        <f t="shared" si="30"/>
        <v/>
      </c>
      <c r="D1940" t="str">
        <f>IF(A1940="","",IFERROR(VALUE(SUBSTITUTE(TRIM(Input!E1940&amp;""),"%","")),0)/IF(AND(IFERROR(VALUE(SUBSTITUTE(TRIM(Input!E1940&amp;""),"%","")),0)&gt;0,IFERROR(VALUE(SUBSTITUTE(TRIM(Input!E1940&amp;""),"%","")),0)&lt;1),1,100))</f>
        <v/>
      </c>
      <c r="E1940" t="str">
        <f>IF(A1940="","",IFERROR(VALUE(SUBSTITUTE(TRIM(Input!F1940&amp;""),"%","")),0)/IF(AND(IFERROR(VALUE(SUBSTITUTE(TRIM(Input!F1940&amp;""),"%","")),0)&gt;0,IFERROR(VALUE(SUBSTITUTE(TRIM(Input!F1940&amp;""),"%","")),0)&lt;1),1,100))</f>
        <v/>
      </c>
      <c r="F1940" t="str">
        <f>IF(A1940="","",IFERROR(VALUE(SUBSTITUTE(TRIM(Input!G1940&amp;""),"%","")),0)/IF(AND(IFERROR(VALUE(SUBSTITUTE(TRIM(Input!G1940&amp;""),"%","")),0)&gt;0,IFERROR(VALUE(SUBSTITUTE(TRIM(Input!G1940&amp;""),"%","")),0)&lt;1),1,100))</f>
        <v/>
      </c>
      <c r="G1940" t="str">
        <f>IF(A1940="","",IFERROR(VALUE(SUBSTITUTE(TRIM(Input!H1940&amp;""),"%","")),0)/IF(AND(IFERROR(VALUE(SUBSTITUTE(TRIM(Input!H1940&amp;""),"%","")),0)&gt;0,IFERROR(VALUE(SUBSTITUTE(TRIM(Input!H1940&amp;""),"%","")),0)&lt;1),1,100))</f>
        <v/>
      </c>
      <c r="H1940" t="str">
        <f>IF(A1940="","",IFERROR(VALUE(SUBSTITUTE(TRIM(Input!I1940&amp;""),"%","")),0)/IF(AND(IFERROR(VALUE(SUBSTITUTE(TRIM(Input!I1940&amp;""),"%","")),0)&gt;0,IFERROR(VALUE(SUBSTITUTE(TRIM(Input!I1940&amp;""),"%","")),0)&lt;1),1,100))</f>
        <v/>
      </c>
    </row>
    <row r="1941" spans="1:8">
      <c r="A1941" t="str">
        <f>IF(TRIM(Input!B1941&amp;"")="","",UPPER(TRIM(Input!B1941&amp;"")))</f>
        <v/>
      </c>
      <c r="B1941" t="str">
        <f>IF(A1941="","",IFERROR(VALUE(RIGHT(TRIM(Input!D1941&amp;""),1)),0))</f>
        <v/>
      </c>
      <c r="C1941" t="str">
        <f t="shared" si="30"/>
        <v/>
      </c>
      <c r="D1941" t="str">
        <f>IF(A1941="","",IFERROR(VALUE(SUBSTITUTE(TRIM(Input!E1941&amp;""),"%","")),0)/IF(AND(IFERROR(VALUE(SUBSTITUTE(TRIM(Input!E1941&amp;""),"%","")),0)&gt;0,IFERROR(VALUE(SUBSTITUTE(TRIM(Input!E1941&amp;""),"%","")),0)&lt;1),1,100))</f>
        <v/>
      </c>
      <c r="E1941" t="str">
        <f>IF(A1941="","",IFERROR(VALUE(SUBSTITUTE(TRIM(Input!F1941&amp;""),"%","")),0)/IF(AND(IFERROR(VALUE(SUBSTITUTE(TRIM(Input!F1941&amp;""),"%","")),0)&gt;0,IFERROR(VALUE(SUBSTITUTE(TRIM(Input!F1941&amp;""),"%","")),0)&lt;1),1,100))</f>
        <v/>
      </c>
      <c r="F1941" t="str">
        <f>IF(A1941="","",IFERROR(VALUE(SUBSTITUTE(TRIM(Input!G1941&amp;""),"%","")),0)/IF(AND(IFERROR(VALUE(SUBSTITUTE(TRIM(Input!G1941&amp;""),"%","")),0)&gt;0,IFERROR(VALUE(SUBSTITUTE(TRIM(Input!G1941&amp;""),"%","")),0)&lt;1),1,100))</f>
        <v/>
      </c>
      <c r="G1941" t="str">
        <f>IF(A1941="","",IFERROR(VALUE(SUBSTITUTE(TRIM(Input!H1941&amp;""),"%","")),0)/IF(AND(IFERROR(VALUE(SUBSTITUTE(TRIM(Input!H1941&amp;""),"%","")),0)&gt;0,IFERROR(VALUE(SUBSTITUTE(TRIM(Input!H1941&amp;""),"%","")),0)&lt;1),1,100))</f>
        <v/>
      </c>
      <c r="H1941" t="str">
        <f>IF(A1941="","",IFERROR(VALUE(SUBSTITUTE(TRIM(Input!I1941&amp;""),"%","")),0)/IF(AND(IFERROR(VALUE(SUBSTITUTE(TRIM(Input!I1941&amp;""),"%","")),0)&gt;0,IFERROR(VALUE(SUBSTITUTE(TRIM(Input!I1941&amp;""),"%","")),0)&lt;1),1,100))</f>
        <v/>
      </c>
    </row>
    <row r="1942" spans="1:8">
      <c r="A1942" t="str">
        <f>IF(TRIM(Input!B1942&amp;"")="","",UPPER(TRIM(Input!B1942&amp;"")))</f>
        <v/>
      </c>
      <c r="B1942" t="str">
        <f>IF(A1942="","",IFERROR(VALUE(RIGHT(TRIM(Input!D1942&amp;""),1)),0))</f>
        <v/>
      </c>
      <c r="C1942" t="str">
        <f t="shared" si="30"/>
        <v/>
      </c>
      <c r="D1942" t="str">
        <f>IF(A1942="","",IFERROR(VALUE(SUBSTITUTE(TRIM(Input!E1942&amp;""),"%","")),0)/IF(AND(IFERROR(VALUE(SUBSTITUTE(TRIM(Input!E1942&amp;""),"%","")),0)&gt;0,IFERROR(VALUE(SUBSTITUTE(TRIM(Input!E1942&amp;""),"%","")),0)&lt;1),1,100))</f>
        <v/>
      </c>
      <c r="E1942" t="str">
        <f>IF(A1942="","",IFERROR(VALUE(SUBSTITUTE(TRIM(Input!F1942&amp;""),"%","")),0)/IF(AND(IFERROR(VALUE(SUBSTITUTE(TRIM(Input!F1942&amp;""),"%","")),0)&gt;0,IFERROR(VALUE(SUBSTITUTE(TRIM(Input!F1942&amp;""),"%","")),0)&lt;1),1,100))</f>
        <v/>
      </c>
      <c r="F1942" t="str">
        <f>IF(A1942="","",IFERROR(VALUE(SUBSTITUTE(TRIM(Input!G1942&amp;""),"%","")),0)/IF(AND(IFERROR(VALUE(SUBSTITUTE(TRIM(Input!G1942&amp;""),"%","")),0)&gt;0,IFERROR(VALUE(SUBSTITUTE(TRIM(Input!G1942&amp;""),"%","")),0)&lt;1),1,100))</f>
        <v/>
      </c>
      <c r="G1942" t="str">
        <f>IF(A1942="","",IFERROR(VALUE(SUBSTITUTE(TRIM(Input!H1942&amp;""),"%","")),0)/IF(AND(IFERROR(VALUE(SUBSTITUTE(TRIM(Input!H1942&amp;""),"%","")),0)&gt;0,IFERROR(VALUE(SUBSTITUTE(TRIM(Input!H1942&amp;""),"%","")),0)&lt;1),1,100))</f>
        <v/>
      </c>
      <c r="H1942" t="str">
        <f>IF(A1942="","",IFERROR(VALUE(SUBSTITUTE(TRIM(Input!I1942&amp;""),"%","")),0)/IF(AND(IFERROR(VALUE(SUBSTITUTE(TRIM(Input!I1942&amp;""),"%","")),0)&gt;0,IFERROR(VALUE(SUBSTITUTE(TRIM(Input!I1942&amp;""),"%","")),0)&lt;1),1,100))</f>
        <v/>
      </c>
    </row>
    <row r="1943" spans="1:8">
      <c r="A1943" t="str">
        <f>IF(TRIM(Input!B1943&amp;"")="","",UPPER(TRIM(Input!B1943&amp;"")))</f>
        <v/>
      </c>
      <c r="B1943" t="str">
        <f>IF(A1943="","",IFERROR(VALUE(RIGHT(TRIM(Input!D1943&amp;""),1)),0))</f>
        <v/>
      </c>
      <c r="C1943" t="str">
        <f t="shared" si="30"/>
        <v/>
      </c>
      <c r="D1943" t="str">
        <f>IF(A1943="","",IFERROR(VALUE(SUBSTITUTE(TRIM(Input!E1943&amp;""),"%","")),0)/IF(AND(IFERROR(VALUE(SUBSTITUTE(TRIM(Input!E1943&amp;""),"%","")),0)&gt;0,IFERROR(VALUE(SUBSTITUTE(TRIM(Input!E1943&amp;""),"%","")),0)&lt;1),1,100))</f>
        <v/>
      </c>
      <c r="E1943" t="str">
        <f>IF(A1943="","",IFERROR(VALUE(SUBSTITUTE(TRIM(Input!F1943&amp;""),"%","")),0)/IF(AND(IFERROR(VALUE(SUBSTITUTE(TRIM(Input!F1943&amp;""),"%","")),0)&gt;0,IFERROR(VALUE(SUBSTITUTE(TRIM(Input!F1943&amp;""),"%","")),0)&lt;1),1,100))</f>
        <v/>
      </c>
      <c r="F1943" t="str">
        <f>IF(A1943="","",IFERROR(VALUE(SUBSTITUTE(TRIM(Input!G1943&amp;""),"%","")),0)/IF(AND(IFERROR(VALUE(SUBSTITUTE(TRIM(Input!G1943&amp;""),"%","")),0)&gt;0,IFERROR(VALUE(SUBSTITUTE(TRIM(Input!G1943&amp;""),"%","")),0)&lt;1),1,100))</f>
        <v/>
      </c>
      <c r="G1943" t="str">
        <f>IF(A1943="","",IFERROR(VALUE(SUBSTITUTE(TRIM(Input!H1943&amp;""),"%","")),0)/IF(AND(IFERROR(VALUE(SUBSTITUTE(TRIM(Input!H1943&amp;""),"%","")),0)&gt;0,IFERROR(VALUE(SUBSTITUTE(TRIM(Input!H1943&amp;""),"%","")),0)&lt;1),1,100))</f>
        <v/>
      </c>
      <c r="H1943" t="str">
        <f>IF(A1943="","",IFERROR(VALUE(SUBSTITUTE(TRIM(Input!I1943&amp;""),"%","")),0)/IF(AND(IFERROR(VALUE(SUBSTITUTE(TRIM(Input!I1943&amp;""),"%","")),0)&gt;0,IFERROR(VALUE(SUBSTITUTE(TRIM(Input!I1943&amp;""),"%","")),0)&lt;1),1,100))</f>
        <v/>
      </c>
    </row>
    <row r="1944" spans="1:8">
      <c r="A1944" t="str">
        <f>IF(TRIM(Input!B1944&amp;"")="","",UPPER(TRIM(Input!B1944&amp;"")))</f>
        <v/>
      </c>
      <c r="B1944" t="str">
        <f>IF(A1944="","",IFERROR(VALUE(RIGHT(TRIM(Input!D1944&amp;""),1)),0))</f>
        <v/>
      </c>
      <c r="C1944" t="str">
        <f t="shared" si="30"/>
        <v/>
      </c>
      <c r="D1944" t="str">
        <f>IF(A1944="","",IFERROR(VALUE(SUBSTITUTE(TRIM(Input!E1944&amp;""),"%","")),0)/IF(AND(IFERROR(VALUE(SUBSTITUTE(TRIM(Input!E1944&amp;""),"%","")),0)&gt;0,IFERROR(VALUE(SUBSTITUTE(TRIM(Input!E1944&amp;""),"%","")),0)&lt;1),1,100))</f>
        <v/>
      </c>
      <c r="E1944" t="str">
        <f>IF(A1944="","",IFERROR(VALUE(SUBSTITUTE(TRIM(Input!F1944&amp;""),"%","")),0)/IF(AND(IFERROR(VALUE(SUBSTITUTE(TRIM(Input!F1944&amp;""),"%","")),0)&gt;0,IFERROR(VALUE(SUBSTITUTE(TRIM(Input!F1944&amp;""),"%","")),0)&lt;1),1,100))</f>
        <v/>
      </c>
      <c r="F1944" t="str">
        <f>IF(A1944="","",IFERROR(VALUE(SUBSTITUTE(TRIM(Input!G1944&amp;""),"%","")),0)/IF(AND(IFERROR(VALUE(SUBSTITUTE(TRIM(Input!G1944&amp;""),"%","")),0)&gt;0,IFERROR(VALUE(SUBSTITUTE(TRIM(Input!G1944&amp;""),"%","")),0)&lt;1),1,100))</f>
        <v/>
      </c>
      <c r="G1944" t="str">
        <f>IF(A1944="","",IFERROR(VALUE(SUBSTITUTE(TRIM(Input!H1944&amp;""),"%","")),0)/IF(AND(IFERROR(VALUE(SUBSTITUTE(TRIM(Input!H1944&amp;""),"%","")),0)&gt;0,IFERROR(VALUE(SUBSTITUTE(TRIM(Input!H1944&amp;""),"%","")),0)&lt;1),1,100))</f>
        <v/>
      </c>
      <c r="H1944" t="str">
        <f>IF(A1944="","",IFERROR(VALUE(SUBSTITUTE(TRIM(Input!I1944&amp;""),"%","")),0)/IF(AND(IFERROR(VALUE(SUBSTITUTE(TRIM(Input!I1944&amp;""),"%","")),0)&gt;0,IFERROR(VALUE(SUBSTITUTE(TRIM(Input!I1944&amp;""),"%","")),0)&lt;1),1,100))</f>
        <v/>
      </c>
    </row>
    <row r="1945" spans="1:8">
      <c r="A1945" t="str">
        <f>IF(TRIM(Input!B1945&amp;"")="","",UPPER(TRIM(Input!B1945&amp;"")))</f>
        <v/>
      </c>
      <c r="B1945" t="str">
        <f>IF(A1945="","",IFERROR(VALUE(RIGHT(TRIM(Input!D1945&amp;""),1)),0))</f>
        <v/>
      </c>
      <c r="C1945" t="str">
        <f t="shared" si="30"/>
        <v/>
      </c>
      <c r="D1945" t="str">
        <f>IF(A1945="","",IFERROR(VALUE(SUBSTITUTE(TRIM(Input!E1945&amp;""),"%","")),0)/IF(AND(IFERROR(VALUE(SUBSTITUTE(TRIM(Input!E1945&amp;""),"%","")),0)&gt;0,IFERROR(VALUE(SUBSTITUTE(TRIM(Input!E1945&amp;""),"%","")),0)&lt;1),1,100))</f>
        <v/>
      </c>
      <c r="E1945" t="str">
        <f>IF(A1945="","",IFERROR(VALUE(SUBSTITUTE(TRIM(Input!F1945&amp;""),"%","")),0)/IF(AND(IFERROR(VALUE(SUBSTITUTE(TRIM(Input!F1945&amp;""),"%","")),0)&gt;0,IFERROR(VALUE(SUBSTITUTE(TRIM(Input!F1945&amp;""),"%","")),0)&lt;1),1,100))</f>
        <v/>
      </c>
      <c r="F1945" t="str">
        <f>IF(A1945="","",IFERROR(VALUE(SUBSTITUTE(TRIM(Input!G1945&amp;""),"%","")),0)/IF(AND(IFERROR(VALUE(SUBSTITUTE(TRIM(Input!G1945&amp;""),"%","")),0)&gt;0,IFERROR(VALUE(SUBSTITUTE(TRIM(Input!G1945&amp;""),"%","")),0)&lt;1),1,100))</f>
        <v/>
      </c>
      <c r="G1945" t="str">
        <f>IF(A1945="","",IFERROR(VALUE(SUBSTITUTE(TRIM(Input!H1945&amp;""),"%","")),0)/IF(AND(IFERROR(VALUE(SUBSTITUTE(TRIM(Input!H1945&amp;""),"%","")),0)&gt;0,IFERROR(VALUE(SUBSTITUTE(TRIM(Input!H1945&amp;""),"%","")),0)&lt;1),1,100))</f>
        <v/>
      </c>
      <c r="H1945" t="str">
        <f>IF(A1945="","",IFERROR(VALUE(SUBSTITUTE(TRIM(Input!I1945&amp;""),"%","")),0)/IF(AND(IFERROR(VALUE(SUBSTITUTE(TRIM(Input!I1945&amp;""),"%","")),0)&gt;0,IFERROR(VALUE(SUBSTITUTE(TRIM(Input!I1945&amp;""),"%","")),0)&lt;1),1,100))</f>
        <v/>
      </c>
    </row>
    <row r="1946" spans="1:8">
      <c r="A1946" t="str">
        <f>IF(TRIM(Input!B1946&amp;"")="","",UPPER(TRIM(Input!B1946&amp;"")))</f>
        <v/>
      </c>
      <c r="B1946" t="str">
        <f>IF(A1946="","",IFERROR(VALUE(RIGHT(TRIM(Input!D1946&amp;""),1)),0))</f>
        <v/>
      </c>
      <c r="C1946" t="str">
        <f t="shared" si="30"/>
        <v/>
      </c>
      <c r="D1946" t="str">
        <f>IF(A1946="","",IFERROR(VALUE(SUBSTITUTE(TRIM(Input!E1946&amp;""),"%","")),0)/IF(AND(IFERROR(VALUE(SUBSTITUTE(TRIM(Input!E1946&amp;""),"%","")),0)&gt;0,IFERROR(VALUE(SUBSTITUTE(TRIM(Input!E1946&amp;""),"%","")),0)&lt;1),1,100))</f>
        <v/>
      </c>
      <c r="E1946" t="str">
        <f>IF(A1946="","",IFERROR(VALUE(SUBSTITUTE(TRIM(Input!F1946&amp;""),"%","")),0)/IF(AND(IFERROR(VALUE(SUBSTITUTE(TRIM(Input!F1946&amp;""),"%","")),0)&gt;0,IFERROR(VALUE(SUBSTITUTE(TRIM(Input!F1946&amp;""),"%","")),0)&lt;1),1,100))</f>
        <v/>
      </c>
      <c r="F1946" t="str">
        <f>IF(A1946="","",IFERROR(VALUE(SUBSTITUTE(TRIM(Input!G1946&amp;""),"%","")),0)/IF(AND(IFERROR(VALUE(SUBSTITUTE(TRIM(Input!G1946&amp;""),"%","")),0)&gt;0,IFERROR(VALUE(SUBSTITUTE(TRIM(Input!G1946&amp;""),"%","")),0)&lt;1),1,100))</f>
        <v/>
      </c>
      <c r="G1946" t="str">
        <f>IF(A1946="","",IFERROR(VALUE(SUBSTITUTE(TRIM(Input!H1946&amp;""),"%","")),0)/IF(AND(IFERROR(VALUE(SUBSTITUTE(TRIM(Input!H1946&amp;""),"%","")),0)&gt;0,IFERROR(VALUE(SUBSTITUTE(TRIM(Input!H1946&amp;""),"%","")),0)&lt;1),1,100))</f>
        <v/>
      </c>
      <c r="H1946" t="str">
        <f>IF(A1946="","",IFERROR(VALUE(SUBSTITUTE(TRIM(Input!I1946&amp;""),"%","")),0)/IF(AND(IFERROR(VALUE(SUBSTITUTE(TRIM(Input!I1946&amp;""),"%","")),0)&gt;0,IFERROR(VALUE(SUBSTITUTE(TRIM(Input!I1946&amp;""),"%","")),0)&lt;1),1,100))</f>
        <v/>
      </c>
    </row>
    <row r="1947" spans="1:8">
      <c r="A1947" t="str">
        <f>IF(TRIM(Input!B1947&amp;"")="","",UPPER(TRIM(Input!B1947&amp;"")))</f>
        <v/>
      </c>
      <c r="B1947" t="str">
        <f>IF(A1947="","",IFERROR(VALUE(RIGHT(TRIM(Input!D1947&amp;""),1)),0))</f>
        <v/>
      </c>
      <c r="C1947" t="str">
        <f t="shared" si="30"/>
        <v/>
      </c>
      <c r="D1947" t="str">
        <f>IF(A1947="","",IFERROR(VALUE(SUBSTITUTE(TRIM(Input!E1947&amp;""),"%","")),0)/IF(AND(IFERROR(VALUE(SUBSTITUTE(TRIM(Input!E1947&amp;""),"%","")),0)&gt;0,IFERROR(VALUE(SUBSTITUTE(TRIM(Input!E1947&amp;""),"%","")),0)&lt;1),1,100))</f>
        <v/>
      </c>
      <c r="E1947" t="str">
        <f>IF(A1947="","",IFERROR(VALUE(SUBSTITUTE(TRIM(Input!F1947&amp;""),"%","")),0)/IF(AND(IFERROR(VALUE(SUBSTITUTE(TRIM(Input!F1947&amp;""),"%","")),0)&gt;0,IFERROR(VALUE(SUBSTITUTE(TRIM(Input!F1947&amp;""),"%","")),0)&lt;1),1,100))</f>
        <v/>
      </c>
      <c r="F1947" t="str">
        <f>IF(A1947="","",IFERROR(VALUE(SUBSTITUTE(TRIM(Input!G1947&amp;""),"%","")),0)/IF(AND(IFERROR(VALUE(SUBSTITUTE(TRIM(Input!G1947&amp;""),"%","")),0)&gt;0,IFERROR(VALUE(SUBSTITUTE(TRIM(Input!G1947&amp;""),"%","")),0)&lt;1),1,100))</f>
        <v/>
      </c>
      <c r="G1947" t="str">
        <f>IF(A1947="","",IFERROR(VALUE(SUBSTITUTE(TRIM(Input!H1947&amp;""),"%","")),0)/IF(AND(IFERROR(VALUE(SUBSTITUTE(TRIM(Input!H1947&amp;""),"%","")),0)&gt;0,IFERROR(VALUE(SUBSTITUTE(TRIM(Input!H1947&amp;""),"%","")),0)&lt;1),1,100))</f>
        <v/>
      </c>
      <c r="H1947" t="str">
        <f>IF(A1947="","",IFERROR(VALUE(SUBSTITUTE(TRIM(Input!I1947&amp;""),"%","")),0)/IF(AND(IFERROR(VALUE(SUBSTITUTE(TRIM(Input!I1947&amp;""),"%","")),0)&gt;0,IFERROR(VALUE(SUBSTITUTE(TRIM(Input!I1947&amp;""),"%","")),0)&lt;1),1,100))</f>
        <v/>
      </c>
    </row>
    <row r="1948" spans="1:8">
      <c r="A1948" t="str">
        <f>IF(TRIM(Input!B1948&amp;"")="","",UPPER(TRIM(Input!B1948&amp;"")))</f>
        <v/>
      </c>
      <c r="B1948" t="str">
        <f>IF(A1948="","",IFERROR(VALUE(RIGHT(TRIM(Input!D1948&amp;""),1)),0))</f>
        <v/>
      </c>
      <c r="C1948" t="str">
        <f t="shared" si="30"/>
        <v/>
      </c>
      <c r="D1948" t="str">
        <f>IF(A1948="","",IFERROR(VALUE(SUBSTITUTE(TRIM(Input!E1948&amp;""),"%","")),0)/IF(AND(IFERROR(VALUE(SUBSTITUTE(TRIM(Input!E1948&amp;""),"%","")),0)&gt;0,IFERROR(VALUE(SUBSTITUTE(TRIM(Input!E1948&amp;""),"%","")),0)&lt;1),1,100))</f>
        <v/>
      </c>
      <c r="E1948" t="str">
        <f>IF(A1948="","",IFERROR(VALUE(SUBSTITUTE(TRIM(Input!F1948&amp;""),"%","")),0)/IF(AND(IFERROR(VALUE(SUBSTITUTE(TRIM(Input!F1948&amp;""),"%","")),0)&gt;0,IFERROR(VALUE(SUBSTITUTE(TRIM(Input!F1948&amp;""),"%","")),0)&lt;1),1,100))</f>
        <v/>
      </c>
      <c r="F1948" t="str">
        <f>IF(A1948="","",IFERROR(VALUE(SUBSTITUTE(TRIM(Input!G1948&amp;""),"%","")),0)/IF(AND(IFERROR(VALUE(SUBSTITUTE(TRIM(Input!G1948&amp;""),"%","")),0)&gt;0,IFERROR(VALUE(SUBSTITUTE(TRIM(Input!G1948&amp;""),"%","")),0)&lt;1),1,100))</f>
        <v/>
      </c>
      <c r="G1948" t="str">
        <f>IF(A1948="","",IFERROR(VALUE(SUBSTITUTE(TRIM(Input!H1948&amp;""),"%","")),0)/IF(AND(IFERROR(VALUE(SUBSTITUTE(TRIM(Input!H1948&amp;""),"%","")),0)&gt;0,IFERROR(VALUE(SUBSTITUTE(TRIM(Input!H1948&amp;""),"%","")),0)&lt;1),1,100))</f>
        <v/>
      </c>
      <c r="H1948" t="str">
        <f>IF(A1948="","",IFERROR(VALUE(SUBSTITUTE(TRIM(Input!I1948&amp;""),"%","")),0)/IF(AND(IFERROR(VALUE(SUBSTITUTE(TRIM(Input!I1948&amp;""),"%","")),0)&gt;0,IFERROR(VALUE(SUBSTITUTE(TRIM(Input!I1948&amp;""),"%","")),0)&lt;1),1,100))</f>
        <v/>
      </c>
    </row>
    <row r="1949" spans="1:8">
      <c r="A1949" t="str">
        <f>IF(TRIM(Input!B1949&amp;"")="","",UPPER(TRIM(Input!B1949&amp;"")))</f>
        <v/>
      </c>
      <c r="B1949" t="str">
        <f>IF(A1949="","",IFERROR(VALUE(RIGHT(TRIM(Input!D1949&amp;""),1)),0))</f>
        <v/>
      </c>
      <c r="C1949" t="str">
        <f t="shared" si="30"/>
        <v/>
      </c>
      <c r="D1949" t="str">
        <f>IF(A1949="","",IFERROR(VALUE(SUBSTITUTE(TRIM(Input!E1949&amp;""),"%","")),0)/IF(AND(IFERROR(VALUE(SUBSTITUTE(TRIM(Input!E1949&amp;""),"%","")),0)&gt;0,IFERROR(VALUE(SUBSTITUTE(TRIM(Input!E1949&amp;""),"%","")),0)&lt;1),1,100))</f>
        <v/>
      </c>
      <c r="E1949" t="str">
        <f>IF(A1949="","",IFERROR(VALUE(SUBSTITUTE(TRIM(Input!F1949&amp;""),"%","")),0)/IF(AND(IFERROR(VALUE(SUBSTITUTE(TRIM(Input!F1949&amp;""),"%","")),0)&gt;0,IFERROR(VALUE(SUBSTITUTE(TRIM(Input!F1949&amp;""),"%","")),0)&lt;1),1,100))</f>
        <v/>
      </c>
      <c r="F1949" t="str">
        <f>IF(A1949="","",IFERROR(VALUE(SUBSTITUTE(TRIM(Input!G1949&amp;""),"%","")),0)/IF(AND(IFERROR(VALUE(SUBSTITUTE(TRIM(Input!G1949&amp;""),"%","")),0)&gt;0,IFERROR(VALUE(SUBSTITUTE(TRIM(Input!G1949&amp;""),"%","")),0)&lt;1),1,100))</f>
        <v/>
      </c>
      <c r="G1949" t="str">
        <f>IF(A1949="","",IFERROR(VALUE(SUBSTITUTE(TRIM(Input!H1949&amp;""),"%","")),0)/IF(AND(IFERROR(VALUE(SUBSTITUTE(TRIM(Input!H1949&amp;""),"%","")),0)&gt;0,IFERROR(VALUE(SUBSTITUTE(TRIM(Input!H1949&amp;""),"%","")),0)&lt;1),1,100))</f>
        <v/>
      </c>
      <c r="H1949" t="str">
        <f>IF(A1949="","",IFERROR(VALUE(SUBSTITUTE(TRIM(Input!I1949&amp;""),"%","")),0)/IF(AND(IFERROR(VALUE(SUBSTITUTE(TRIM(Input!I1949&amp;""),"%","")),0)&gt;0,IFERROR(VALUE(SUBSTITUTE(TRIM(Input!I1949&amp;""),"%","")),0)&lt;1),1,100))</f>
        <v/>
      </c>
    </row>
    <row r="1950" spans="1:8">
      <c r="A1950" t="str">
        <f>IF(TRIM(Input!B1950&amp;"")="","",UPPER(TRIM(Input!B1950&amp;"")))</f>
        <v/>
      </c>
      <c r="B1950" t="str">
        <f>IF(A1950="","",IFERROR(VALUE(RIGHT(TRIM(Input!D1950&amp;""),1)),0))</f>
        <v/>
      </c>
      <c r="C1950" t="str">
        <f t="shared" si="30"/>
        <v/>
      </c>
      <c r="D1950" t="str">
        <f>IF(A1950="","",IFERROR(VALUE(SUBSTITUTE(TRIM(Input!E1950&amp;""),"%","")),0)/IF(AND(IFERROR(VALUE(SUBSTITUTE(TRIM(Input!E1950&amp;""),"%","")),0)&gt;0,IFERROR(VALUE(SUBSTITUTE(TRIM(Input!E1950&amp;""),"%","")),0)&lt;1),1,100))</f>
        <v/>
      </c>
      <c r="E1950" t="str">
        <f>IF(A1950="","",IFERROR(VALUE(SUBSTITUTE(TRIM(Input!F1950&amp;""),"%","")),0)/IF(AND(IFERROR(VALUE(SUBSTITUTE(TRIM(Input!F1950&amp;""),"%","")),0)&gt;0,IFERROR(VALUE(SUBSTITUTE(TRIM(Input!F1950&amp;""),"%","")),0)&lt;1),1,100))</f>
        <v/>
      </c>
      <c r="F1950" t="str">
        <f>IF(A1950="","",IFERROR(VALUE(SUBSTITUTE(TRIM(Input!G1950&amp;""),"%","")),0)/IF(AND(IFERROR(VALUE(SUBSTITUTE(TRIM(Input!G1950&amp;""),"%","")),0)&gt;0,IFERROR(VALUE(SUBSTITUTE(TRIM(Input!G1950&amp;""),"%","")),0)&lt;1),1,100))</f>
        <v/>
      </c>
      <c r="G1950" t="str">
        <f>IF(A1950="","",IFERROR(VALUE(SUBSTITUTE(TRIM(Input!H1950&amp;""),"%","")),0)/IF(AND(IFERROR(VALUE(SUBSTITUTE(TRIM(Input!H1950&amp;""),"%","")),0)&gt;0,IFERROR(VALUE(SUBSTITUTE(TRIM(Input!H1950&amp;""),"%","")),0)&lt;1),1,100))</f>
        <v/>
      </c>
      <c r="H1950" t="str">
        <f>IF(A1950="","",IFERROR(VALUE(SUBSTITUTE(TRIM(Input!I1950&amp;""),"%","")),0)/IF(AND(IFERROR(VALUE(SUBSTITUTE(TRIM(Input!I1950&amp;""),"%","")),0)&gt;0,IFERROR(VALUE(SUBSTITUTE(TRIM(Input!I1950&amp;""),"%","")),0)&lt;1),1,100))</f>
        <v/>
      </c>
    </row>
    <row r="1951" spans="1:8">
      <c r="A1951" t="str">
        <f>IF(TRIM(Input!B1951&amp;"")="","",UPPER(TRIM(Input!B1951&amp;"")))</f>
        <v/>
      </c>
      <c r="B1951" t="str">
        <f>IF(A1951="","",IFERROR(VALUE(RIGHT(TRIM(Input!D1951&amp;""),1)),0))</f>
        <v/>
      </c>
      <c r="C1951" t="str">
        <f t="shared" si="30"/>
        <v/>
      </c>
      <c r="D1951" t="str">
        <f>IF(A1951="","",IFERROR(VALUE(SUBSTITUTE(TRIM(Input!E1951&amp;""),"%","")),0)/IF(AND(IFERROR(VALUE(SUBSTITUTE(TRIM(Input!E1951&amp;""),"%","")),0)&gt;0,IFERROR(VALUE(SUBSTITUTE(TRIM(Input!E1951&amp;""),"%","")),0)&lt;1),1,100))</f>
        <v/>
      </c>
      <c r="E1951" t="str">
        <f>IF(A1951="","",IFERROR(VALUE(SUBSTITUTE(TRIM(Input!F1951&amp;""),"%","")),0)/IF(AND(IFERROR(VALUE(SUBSTITUTE(TRIM(Input!F1951&amp;""),"%","")),0)&gt;0,IFERROR(VALUE(SUBSTITUTE(TRIM(Input!F1951&amp;""),"%","")),0)&lt;1),1,100))</f>
        <v/>
      </c>
      <c r="F1951" t="str">
        <f>IF(A1951="","",IFERROR(VALUE(SUBSTITUTE(TRIM(Input!G1951&amp;""),"%","")),0)/IF(AND(IFERROR(VALUE(SUBSTITUTE(TRIM(Input!G1951&amp;""),"%","")),0)&gt;0,IFERROR(VALUE(SUBSTITUTE(TRIM(Input!G1951&amp;""),"%","")),0)&lt;1),1,100))</f>
        <v/>
      </c>
      <c r="G1951" t="str">
        <f>IF(A1951="","",IFERROR(VALUE(SUBSTITUTE(TRIM(Input!H1951&amp;""),"%","")),0)/IF(AND(IFERROR(VALUE(SUBSTITUTE(TRIM(Input!H1951&amp;""),"%","")),0)&gt;0,IFERROR(VALUE(SUBSTITUTE(TRIM(Input!H1951&amp;""),"%","")),0)&lt;1),1,100))</f>
        <v/>
      </c>
      <c r="H1951" t="str">
        <f>IF(A1951="","",IFERROR(VALUE(SUBSTITUTE(TRIM(Input!I1951&amp;""),"%","")),0)/IF(AND(IFERROR(VALUE(SUBSTITUTE(TRIM(Input!I1951&amp;""),"%","")),0)&gt;0,IFERROR(VALUE(SUBSTITUTE(TRIM(Input!I1951&amp;""),"%","")),0)&lt;1),1,100))</f>
        <v/>
      </c>
    </row>
    <row r="1952" spans="1:8">
      <c r="A1952" t="str">
        <f>IF(TRIM(Input!B1952&amp;"")="","",UPPER(TRIM(Input!B1952&amp;"")))</f>
        <v/>
      </c>
      <c r="B1952" t="str">
        <f>IF(A1952="","",IFERROR(VALUE(RIGHT(TRIM(Input!D1952&amp;""),1)),0))</f>
        <v/>
      </c>
      <c r="C1952" t="str">
        <f t="shared" si="30"/>
        <v/>
      </c>
      <c r="D1952" t="str">
        <f>IF(A1952="","",IFERROR(VALUE(SUBSTITUTE(TRIM(Input!E1952&amp;""),"%","")),0)/IF(AND(IFERROR(VALUE(SUBSTITUTE(TRIM(Input!E1952&amp;""),"%","")),0)&gt;0,IFERROR(VALUE(SUBSTITUTE(TRIM(Input!E1952&amp;""),"%","")),0)&lt;1),1,100))</f>
        <v/>
      </c>
      <c r="E1952" t="str">
        <f>IF(A1952="","",IFERROR(VALUE(SUBSTITUTE(TRIM(Input!F1952&amp;""),"%","")),0)/IF(AND(IFERROR(VALUE(SUBSTITUTE(TRIM(Input!F1952&amp;""),"%","")),0)&gt;0,IFERROR(VALUE(SUBSTITUTE(TRIM(Input!F1952&amp;""),"%","")),0)&lt;1),1,100))</f>
        <v/>
      </c>
      <c r="F1952" t="str">
        <f>IF(A1952="","",IFERROR(VALUE(SUBSTITUTE(TRIM(Input!G1952&amp;""),"%","")),0)/IF(AND(IFERROR(VALUE(SUBSTITUTE(TRIM(Input!G1952&amp;""),"%","")),0)&gt;0,IFERROR(VALUE(SUBSTITUTE(TRIM(Input!G1952&amp;""),"%","")),0)&lt;1),1,100))</f>
        <v/>
      </c>
      <c r="G1952" t="str">
        <f>IF(A1952="","",IFERROR(VALUE(SUBSTITUTE(TRIM(Input!H1952&amp;""),"%","")),0)/IF(AND(IFERROR(VALUE(SUBSTITUTE(TRIM(Input!H1952&amp;""),"%","")),0)&gt;0,IFERROR(VALUE(SUBSTITUTE(TRIM(Input!H1952&amp;""),"%","")),0)&lt;1),1,100))</f>
        <v/>
      </c>
      <c r="H1952" t="str">
        <f>IF(A1952="","",IFERROR(VALUE(SUBSTITUTE(TRIM(Input!I1952&amp;""),"%","")),0)/IF(AND(IFERROR(VALUE(SUBSTITUTE(TRIM(Input!I1952&amp;""),"%","")),0)&gt;0,IFERROR(VALUE(SUBSTITUTE(TRIM(Input!I1952&amp;""),"%","")),0)&lt;1),1,100))</f>
        <v/>
      </c>
    </row>
    <row r="1953" spans="1:8">
      <c r="A1953" t="str">
        <f>IF(TRIM(Input!B1953&amp;"")="","",UPPER(TRIM(Input!B1953&amp;"")))</f>
        <v/>
      </c>
      <c r="B1953" t="str">
        <f>IF(A1953="","",IFERROR(VALUE(RIGHT(TRIM(Input!D1953&amp;""),1)),0))</f>
        <v/>
      </c>
      <c r="C1953" t="str">
        <f t="shared" si="30"/>
        <v/>
      </c>
      <c r="D1953" t="str">
        <f>IF(A1953="","",IFERROR(VALUE(SUBSTITUTE(TRIM(Input!E1953&amp;""),"%","")),0)/IF(AND(IFERROR(VALUE(SUBSTITUTE(TRIM(Input!E1953&amp;""),"%","")),0)&gt;0,IFERROR(VALUE(SUBSTITUTE(TRIM(Input!E1953&amp;""),"%","")),0)&lt;1),1,100))</f>
        <v/>
      </c>
      <c r="E1953" t="str">
        <f>IF(A1953="","",IFERROR(VALUE(SUBSTITUTE(TRIM(Input!F1953&amp;""),"%","")),0)/IF(AND(IFERROR(VALUE(SUBSTITUTE(TRIM(Input!F1953&amp;""),"%","")),0)&gt;0,IFERROR(VALUE(SUBSTITUTE(TRIM(Input!F1953&amp;""),"%","")),0)&lt;1),1,100))</f>
        <v/>
      </c>
      <c r="F1953" t="str">
        <f>IF(A1953="","",IFERROR(VALUE(SUBSTITUTE(TRIM(Input!G1953&amp;""),"%","")),0)/IF(AND(IFERROR(VALUE(SUBSTITUTE(TRIM(Input!G1953&amp;""),"%","")),0)&gt;0,IFERROR(VALUE(SUBSTITUTE(TRIM(Input!G1953&amp;""),"%","")),0)&lt;1),1,100))</f>
        <v/>
      </c>
      <c r="G1953" t="str">
        <f>IF(A1953="","",IFERROR(VALUE(SUBSTITUTE(TRIM(Input!H1953&amp;""),"%","")),0)/IF(AND(IFERROR(VALUE(SUBSTITUTE(TRIM(Input!H1953&amp;""),"%","")),0)&gt;0,IFERROR(VALUE(SUBSTITUTE(TRIM(Input!H1953&amp;""),"%","")),0)&lt;1),1,100))</f>
        <v/>
      </c>
      <c r="H1953" t="str">
        <f>IF(A1953="","",IFERROR(VALUE(SUBSTITUTE(TRIM(Input!I1953&amp;""),"%","")),0)/IF(AND(IFERROR(VALUE(SUBSTITUTE(TRIM(Input!I1953&amp;""),"%","")),0)&gt;0,IFERROR(VALUE(SUBSTITUTE(TRIM(Input!I1953&amp;""),"%","")),0)&lt;1),1,100))</f>
        <v/>
      </c>
    </row>
    <row r="1954" spans="1:8">
      <c r="A1954" t="str">
        <f>IF(TRIM(Input!B1954&amp;"")="","",UPPER(TRIM(Input!B1954&amp;"")))</f>
        <v/>
      </c>
      <c r="B1954" t="str">
        <f>IF(A1954="","",IFERROR(VALUE(RIGHT(TRIM(Input!D1954&amp;""),1)),0))</f>
        <v/>
      </c>
      <c r="C1954" t="str">
        <f t="shared" si="30"/>
        <v/>
      </c>
      <c r="D1954" t="str">
        <f>IF(A1954="","",IFERROR(VALUE(SUBSTITUTE(TRIM(Input!E1954&amp;""),"%","")),0)/IF(AND(IFERROR(VALUE(SUBSTITUTE(TRIM(Input!E1954&amp;""),"%","")),0)&gt;0,IFERROR(VALUE(SUBSTITUTE(TRIM(Input!E1954&amp;""),"%","")),0)&lt;1),1,100))</f>
        <v/>
      </c>
      <c r="E1954" t="str">
        <f>IF(A1954="","",IFERROR(VALUE(SUBSTITUTE(TRIM(Input!F1954&amp;""),"%","")),0)/IF(AND(IFERROR(VALUE(SUBSTITUTE(TRIM(Input!F1954&amp;""),"%","")),0)&gt;0,IFERROR(VALUE(SUBSTITUTE(TRIM(Input!F1954&amp;""),"%","")),0)&lt;1),1,100))</f>
        <v/>
      </c>
      <c r="F1954" t="str">
        <f>IF(A1954="","",IFERROR(VALUE(SUBSTITUTE(TRIM(Input!G1954&amp;""),"%","")),0)/IF(AND(IFERROR(VALUE(SUBSTITUTE(TRIM(Input!G1954&amp;""),"%","")),0)&gt;0,IFERROR(VALUE(SUBSTITUTE(TRIM(Input!G1954&amp;""),"%","")),0)&lt;1),1,100))</f>
        <v/>
      </c>
      <c r="G1954" t="str">
        <f>IF(A1954="","",IFERROR(VALUE(SUBSTITUTE(TRIM(Input!H1954&amp;""),"%","")),0)/IF(AND(IFERROR(VALUE(SUBSTITUTE(TRIM(Input!H1954&amp;""),"%","")),0)&gt;0,IFERROR(VALUE(SUBSTITUTE(TRIM(Input!H1954&amp;""),"%","")),0)&lt;1),1,100))</f>
        <v/>
      </c>
      <c r="H1954" t="str">
        <f>IF(A1954="","",IFERROR(VALUE(SUBSTITUTE(TRIM(Input!I1954&amp;""),"%","")),0)/IF(AND(IFERROR(VALUE(SUBSTITUTE(TRIM(Input!I1954&amp;""),"%","")),0)&gt;0,IFERROR(VALUE(SUBSTITUTE(TRIM(Input!I1954&amp;""),"%","")),0)&lt;1),1,100))</f>
        <v/>
      </c>
    </row>
    <row r="1955" spans="1:8">
      <c r="A1955" t="str">
        <f>IF(TRIM(Input!B1955&amp;"")="","",UPPER(TRIM(Input!B1955&amp;"")))</f>
        <v/>
      </c>
      <c r="B1955" t="str">
        <f>IF(A1955="","",IFERROR(VALUE(RIGHT(TRIM(Input!D1955&amp;""),1)),0))</f>
        <v/>
      </c>
      <c r="C1955" t="str">
        <f t="shared" si="30"/>
        <v/>
      </c>
      <c r="D1955" t="str">
        <f>IF(A1955="","",IFERROR(VALUE(SUBSTITUTE(TRIM(Input!E1955&amp;""),"%","")),0)/IF(AND(IFERROR(VALUE(SUBSTITUTE(TRIM(Input!E1955&amp;""),"%","")),0)&gt;0,IFERROR(VALUE(SUBSTITUTE(TRIM(Input!E1955&amp;""),"%","")),0)&lt;1),1,100))</f>
        <v/>
      </c>
      <c r="E1955" t="str">
        <f>IF(A1955="","",IFERROR(VALUE(SUBSTITUTE(TRIM(Input!F1955&amp;""),"%","")),0)/IF(AND(IFERROR(VALUE(SUBSTITUTE(TRIM(Input!F1955&amp;""),"%","")),0)&gt;0,IFERROR(VALUE(SUBSTITUTE(TRIM(Input!F1955&amp;""),"%","")),0)&lt;1),1,100))</f>
        <v/>
      </c>
      <c r="F1955" t="str">
        <f>IF(A1955="","",IFERROR(VALUE(SUBSTITUTE(TRIM(Input!G1955&amp;""),"%","")),0)/IF(AND(IFERROR(VALUE(SUBSTITUTE(TRIM(Input!G1955&amp;""),"%","")),0)&gt;0,IFERROR(VALUE(SUBSTITUTE(TRIM(Input!G1955&amp;""),"%","")),0)&lt;1),1,100))</f>
        <v/>
      </c>
      <c r="G1955" t="str">
        <f>IF(A1955="","",IFERROR(VALUE(SUBSTITUTE(TRIM(Input!H1955&amp;""),"%","")),0)/IF(AND(IFERROR(VALUE(SUBSTITUTE(TRIM(Input!H1955&amp;""),"%","")),0)&gt;0,IFERROR(VALUE(SUBSTITUTE(TRIM(Input!H1955&amp;""),"%","")),0)&lt;1),1,100))</f>
        <v/>
      </c>
      <c r="H1955" t="str">
        <f>IF(A1955="","",IFERROR(VALUE(SUBSTITUTE(TRIM(Input!I1955&amp;""),"%","")),0)/IF(AND(IFERROR(VALUE(SUBSTITUTE(TRIM(Input!I1955&amp;""),"%","")),0)&gt;0,IFERROR(VALUE(SUBSTITUTE(TRIM(Input!I1955&amp;""),"%","")),0)&lt;1),1,100))</f>
        <v/>
      </c>
    </row>
    <row r="1956" spans="1:8">
      <c r="A1956" t="str">
        <f>IF(TRIM(Input!B1956&amp;"")="","",UPPER(TRIM(Input!B1956&amp;"")))</f>
        <v/>
      </c>
      <c r="B1956" t="str">
        <f>IF(A1956="","",IFERROR(VALUE(RIGHT(TRIM(Input!D1956&amp;""),1)),0))</f>
        <v/>
      </c>
      <c r="C1956" t="str">
        <f t="shared" si="30"/>
        <v/>
      </c>
      <c r="D1956" t="str">
        <f>IF(A1956="","",IFERROR(VALUE(SUBSTITUTE(TRIM(Input!E1956&amp;""),"%","")),0)/IF(AND(IFERROR(VALUE(SUBSTITUTE(TRIM(Input!E1956&amp;""),"%","")),0)&gt;0,IFERROR(VALUE(SUBSTITUTE(TRIM(Input!E1956&amp;""),"%","")),0)&lt;1),1,100))</f>
        <v/>
      </c>
      <c r="E1956" t="str">
        <f>IF(A1956="","",IFERROR(VALUE(SUBSTITUTE(TRIM(Input!F1956&amp;""),"%","")),0)/IF(AND(IFERROR(VALUE(SUBSTITUTE(TRIM(Input!F1956&amp;""),"%","")),0)&gt;0,IFERROR(VALUE(SUBSTITUTE(TRIM(Input!F1956&amp;""),"%","")),0)&lt;1),1,100))</f>
        <v/>
      </c>
      <c r="F1956" t="str">
        <f>IF(A1956="","",IFERROR(VALUE(SUBSTITUTE(TRIM(Input!G1956&amp;""),"%","")),0)/IF(AND(IFERROR(VALUE(SUBSTITUTE(TRIM(Input!G1956&amp;""),"%","")),0)&gt;0,IFERROR(VALUE(SUBSTITUTE(TRIM(Input!G1956&amp;""),"%","")),0)&lt;1),1,100))</f>
        <v/>
      </c>
      <c r="G1956" t="str">
        <f>IF(A1956="","",IFERROR(VALUE(SUBSTITUTE(TRIM(Input!H1956&amp;""),"%","")),0)/IF(AND(IFERROR(VALUE(SUBSTITUTE(TRIM(Input!H1956&amp;""),"%","")),0)&gt;0,IFERROR(VALUE(SUBSTITUTE(TRIM(Input!H1956&amp;""),"%","")),0)&lt;1),1,100))</f>
        <v/>
      </c>
      <c r="H1956" t="str">
        <f>IF(A1956="","",IFERROR(VALUE(SUBSTITUTE(TRIM(Input!I1956&amp;""),"%","")),0)/IF(AND(IFERROR(VALUE(SUBSTITUTE(TRIM(Input!I1956&amp;""),"%","")),0)&gt;0,IFERROR(VALUE(SUBSTITUTE(TRIM(Input!I1956&amp;""),"%","")),0)&lt;1),1,100))</f>
        <v/>
      </c>
    </row>
    <row r="1957" spans="1:8">
      <c r="A1957" t="str">
        <f>IF(TRIM(Input!B1957&amp;"")="","",UPPER(TRIM(Input!B1957&amp;"")))</f>
        <v/>
      </c>
      <c r="B1957" t="str">
        <f>IF(A1957="","",IFERROR(VALUE(RIGHT(TRIM(Input!D1957&amp;""),1)),0))</f>
        <v/>
      </c>
      <c r="C1957" t="str">
        <f t="shared" si="30"/>
        <v/>
      </c>
      <c r="D1957" t="str">
        <f>IF(A1957="","",IFERROR(VALUE(SUBSTITUTE(TRIM(Input!E1957&amp;""),"%","")),0)/IF(AND(IFERROR(VALUE(SUBSTITUTE(TRIM(Input!E1957&amp;""),"%","")),0)&gt;0,IFERROR(VALUE(SUBSTITUTE(TRIM(Input!E1957&amp;""),"%","")),0)&lt;1),1,100))</f>
        <v/>
      </c>
      <c r="E1957" t="str">
        <f>IF(A1957="","",IFERROR(VALUE(SUBSTITUTE(TRIM(Input!F1957&amp;""),"%","")),0)/IF(AND(IFERROR(VALUE(SUBSTITUTE(TRIM(Input!F1957&amp;""),"%","")),0)&gt;0,IFERROR(VALUE(SUBSTITUTE(TRIM(Input!F1957&amp;""),"%","")),0)&lt;1),1,100))</f>
        <v/>
      </c>
      <c r="F1957" t="str">
        <f>IF(A1957="","",IFERROR(VALUE(SUBSTITUTE(TRIM(Input!G1957&amp;""),"%","")),0)/IF(AND(IFERROR(VALUE(SUBSTITUTE(TRIM(Input!G1957&amp;""),"%","")),0)&gt;0,IFERROR(VALUE(SUBSTITUTE(TRIM(Input!G1957&amp;""),"%","")),0)&lt;1),1,100))</f>
        <v/>
      </c>
      <c r="G1957" t="str">
        <f>IF(A1957="","",IFERROR(VALUE(SUBSTITUTE(TRIM(Input!H1957&amp;""),"%","")),0)/IF(AND(IFERROR(VALUE(SUBSTITUTE(TRIM(Input!H1957&amp;""),"%","")),0)&gt;0,IFERROR(VALUE(SUBSTITUTE(TRIM(Input!H1957&amp;""),"%","")),0)&lt;1),1,100))</f>
        <v/>
      </c>
      <c r="H1957" t="str">
        <f>IF(A1957="","",IFERROR(VALUE(SUBSTITUTE(TRIM(Input!I1957&amp;""),"%","")),0)/IF(AND(IFERROR(VALUE(SUBSTITUTE(TRIM(Input!I1957&amp;""),"%","")),0)&gt;0,IFERROR(VALUE(SUBSTITUTE(TRIM(Input!I1957&amp;""),"%","")),0)&lt;1),1,100))</f>
        <v/>
      </c>
    </row>
    <row r="1958" spans="1:8">
      <c r="A1958" t="str">
        <f>IF(TRIM(Input!B1958&amp;"")="","",UPPER(TRIM(Input!B1958&amp;"")))</f>
        <v/>
      </c>
      <c r="B1958" t="str">
        <f>IF(A1958="","",IFERROR(VALUE(RIGHT(TRIM(Input!D1958&amp;""),1)),0))</f>
        <v/>
      </c>
      <c r="C1958" t="str">
        <f t="shared" si="30"/>
        <v/>
      </c>
      <c r="D1958" t="str">
        <f>IF(A1958="","",IFERROR(VALUE(SUBSTITUTE(TRIM(Input!E1958&amp;""),"%","")),0)/IF(AND(IFERROR(VALUE(SUBSTITUTE(TRIM(Input!E1958&amp;""),"%","")),0)&gt;0,IFERROR(VALUE(SUBSTITUTE(TRIM(Input!E1958&amp;""),"%","")),0)&lt;1),1,100))</f>
        <v/>
      </c>
      <c r="E1958" t="str">
        <f>IF(A1958="","",IFERROR(VALUE(SUBSTITUTE(TRIM(Input!F1958&amp;""),"%","")),0)/IF(AND(IFERROR(VALUE(SUBSTITUTE(TRIM(Input!F1958&amp;""),"%","")),0)&gt;0,IFERROR(VALUE(SUBSTITUTE(TRIM(Input!F1958&amp;""),"%","")),0)&lt;1),1,100))</f>
        <v/>
      </c>
      <c r="F1958" t="str">
        <f>IF(A1958="","",IFERROR(VALUE(SUBSTITUTE(TRIM(Input!G1958&amp;""),"%","")),0)/IF(AND(IFERROR(VALUE(SUBSTITUTE(TRIM(Input!G1958&amp;""),"%","")),0)&gt;0,IFERROR(VALUE(SUBSTITUTE(TRIM(Input!G1958&amp;""),"%","")),0)&lt;1),1,100))</f>
        <v/>
      </c>
      <c r="G1958" t="str">
        <f>IF(A1958="","",IFERROR(VALUE(SUBSTITUTE(TRIM(Input!H1958&amp;""),"%","")),0)/IF(AND(IFERROR(VALUE(SUBSTITUTE(TRIM(Input!H1958&amp;""),"%","")),0)&gt;0,IFERROR(VALUE(SUBSTITUTE(TRIM(Input!H1958&amp;""),"%","")),0)&lt;1),1,100))</f>
        <v/>
      </c>
      <c r="H1958" t="str">
        <f>IF(A1958="","",IFERROR(VALUE(SUBSTITUTE(TRIM(Input!I1958&amp;""),"%","")),0)/IF(AND(IFERROR(VALUE(SUBSTITUTE(TRIM(Input!I1958&amp;""),"%","")),0)&gt;0,IFERROR(VALUE(SUBSTITUTE(TRIM(Input!I1958&amp;""),"%","")),0)&lt;1),1,100))</f>
        <v/>
      </c>
    </row>
    <row r="1959" spans="1:8">
      <c r="A1959" t="str">
        <f>IF(TRIM(Input!B1959&amp;"")="","",UPPER(TRIM(Input!B1959&amp;"")))</f>
        <v/>
      </c>
      <c r="B1959" t="str">
        <f>IF(A1959="","",IFERROR(VALUE(RIGHT(TRIM(Input!D1959&amp;""),1)),0))</f>
        <v/>
      </c>
      <c r="C1959" t="str">
        <f t="shared" si="30"/>
        <v/>
      </c>
      <c r="D1959" t="str">
        <f>IF(A1959="","",IFERROR(VALUE(SUBSTITUTE(TRIM(Input!E1959&amp;""),"%","")),0)/IF(AND(IFERROR(VALUE(SUBSTITUTE(TRIM(Input!E1959&amp;""),"%","")),0)&gt;0,IFERROR(VALUE(SUBSTITUTE(TRIM(Input!E1959&amp;""),"%","")),0)&lt;1),1,100))</f>
        <v/>
      </c>
      <c r="E1959" t="str">
        <f>IF(A1959="","",IFERROR(VALUE(SUBSTITUTE(TRIM(Input!F1959&amp;""),"%","")),0)/IF(AND(IFERROR(VALUE(SUBSTITUTE(TRIM(Input!F1959&amp;""),"%","")),0)&gt;0,IFERROR(VALUE(SUBSTITUTE(TRIM(Input!F1959&amp;""),"%","")),0)&lt;1),1,100))</f>
        <v/>
      </c>
      <c r="F1959" t="str">
        <f>IF(A1959="","",IFERROR(VALUE(SUBSTITUTE(TRIM(Input!G1959&amp;""),"%","")),0)/IF(AND(IFERROR(VALUE(SUBSTITUTE(TRIM(Input!G1959&amp;""),"%","")),0)&gt;0,IFERROR(VALUE(SUBSTITUTE(TRIM(Input!G1959&amp;""),"%","")),0)&lt;1),1,100))</f>
        <v/>
      </c>
      <c r="G1959" t="str">
        <f>IF(A1959="","",IFERROR(VALUE(SUBSTITUTE(TRIM(Input!H1959&amp;""),"%","")),0)/IF(AND(IFERROR(VALUE(SUBSTITUTE(TRIM(Input!H1959&amp;""),"%","")),0)&gt;0,IFERROR(VALUE(SUBSTITUTE(TRIM(Input!H1959&amp;""),"%","")),0)&lt;1),1,100))</f>
        <v/>
      </c>
      <c r="H1959" t="str">
        <f>IF(A1959="","",IFERROR(VALUE(SUBSTITUTE(TRIM(Input!I1959&amp;""),"%","")),0)/IF(AND(IFERROR(VALUE(SUBSTITUTE(TRIM(Input!I1959&amp;""),"%","")),0)&gt;0,IFERROR(VALUE(SUBSTITUTE(TRIM(Input!I1959&amp;""),"%","")),0)&lt;1),1,100))</f>
        <v/>
      </c>
    </row>
    <row r="1960" spans="1:8">
      <c r="A1960" t="str">
        <f>IF(TRIM(Input!B1960&amp;"")="","",UPPER(TRIM(Input!B1960&amp;"")))</f>
        <v/>
      </c>
      <c r="B1960" t="str">
        <f>IF(A1960="","",IFERROR(VALUE(RIGHT(TRIM(Input!D1960&amp;""),1)),0))</f>
        <v/>
      </c>
      <c r="C1960" t="str">
        <f t="shared" si="30"/>
        <v/>
      </c>
      <c r="D1960" t="str">
        <f>IF(A1960="","",IFERROR(VALUE(SUBSTITUTE(TRIM(Input!E1960&amp;""),"%","")),0)/IF(AND(IFERROR(VALUE(SUBSTITUTE(TRIM(Input!E1960&amp;""),"%","")),0)&gt;0,IFERROR(VALUE(SUBSTITUTE(TRIM(Input!E1960&amp;""),"%","")),0)&lt;1),1,100))</f>
        <v/>
      </c>
      <c r="E1960" t="str">
        <f>IF(A1960="","",IFERROR(VALUE(SUBSTITUTE(TRIM(Input!F1960&amp;""),"%","")),0)/IF(AND(IFERROR(VALUE(SUBSTITUTE(TRIM(Input!F1960&amp;""),"%","")),0)&gt;0,IFERROR(VALUE(SUBSTITUTE(TRIM(Input!F1960&amp;""),"%","")),0)&lt;1),1,100))</f>
        <v/>
      </c>
      <c r="F1960" t="str">
        <f>IF(A1960="","",IFERROR(VALUE(SUBSTITUTE(TRIM(Input!G1960&amp;""),"%","")),0)/IF(AND(IFERROR(VALUE(SUBSTITUTE(TRIM(Input!G1960&amp;""),"%","")),0)&gt;0,IFERROR(VALUE(SUBSTITUTE(TRIM(Input!G1960&amp;""),"%","")),0)&lt;1),1,100))</f>
        <v/>
      </c>
      <c r="G1960" t="str">
        <f>IF(A1960="","",IFERROR(VALUE(SUBSTITUTE(TRIM(Input!H1960&amp;""),"%","")),0)/IF(AND(IFERROR(VALUE(SUBSTITUTE(TRIM(Input!H1960&amp;""),"%","")),0)&gt;0,IFERROR(VALUE(SUBSTITUTE(TRIM(Input!H1960&amp;""),"%","")),0)&lt;1),1,100))</f>
        <v/>
      </c>
      <c r="H1960" t="str">
        <f>IF(A1960="","",IFERROR(VALUE(SUBSTITUTE(TRIM(Input!I1960&amp;""),"%","")),0)/IF(AND(IFERROR(VALUE(SUBSTITUTE(TRIM(Input!I1960&amp;""),"%","")),0)&gt;0,IFERROR(VALUE(SUBSTITUTE(TRIM(Input!I1960&amp;""),"%","")),0)&lt;1),1,100))</f>
        <v/>
      </c>
    </row>
    <row r="1961" spans="1:8">
      <c r="A1961" t="str">
        <f>IF(TRIM(Input!B1961&amp;"")="","",UPPER(TRIM(Input!B1961&amp;"")))</f>
        <v/>
      </c>
      <c r="B1961" t="str">
        <f>IF(A1961="","",IFERROR(VALUE(RIGHT(TRIM(Input!D1961&amp;""),1)),0))</f>
        <v/>
      </c>
      <c r="C1961" t="str">
        <f t="shared" si="30"/>
        <v/>
      </c>
      <c r="D1961" t="str">
        <f>IF(A1961="","",IFERROR(VALUE(SUBSTITUTE(TRIM(Input!E1961&amp;""),"%","")),0)/IF(AND(IFERROR(VALUE(SUBSTITUTE(TRIM(Input!E1961&amp;""),"%","")),0)&gt;0,IFERROR(VALUE(SUBSTITUTE(TRIM(Input!E1961&amp;""),"%","")),0)&lt;1),1,100))</f>
        <v/>
      </c>
      <c r="E1961" t="str">
        <f>IF(A1961="","",IFERROR(VALUE(SUBSTITUTE(TRIM(Input!F1961&amp;""),"%","")),0)/IF(AND(IFERROR(VALUE(SUBSTITUTE(TRIM(Input!F1961&amp;""),"%","")),0)&gt;0,IFERROR(VALUE(SUBSTITUTE(TRIM(Input!F1961&amp;""),"%","")),0)&lt;1),1,100))</f>
        <v/>
      </c>
      <c r="F1961" t="str">
        <f>IF(A1961="","",IFERROR(VALUE(SUBSTITUTE(TRIM(Input!G1961&amp;""),"%","")),0)/IF(AND(IFERROR(VALUE(SUBSTITUTE(TRIM(Input!G1961&amp;""),"%","")),0)&gt;0,IFERROR(VALUE(SUBSTITUTE(TRIM(Input!G1961&amp;""),"%","")),0)&lt;1),1,100))</f>
        <v/>
      </c>
      <c r="G1961" t="str">
        <f>IF(A1961="","",IFERROR(VALUE(SUBSTITUTE(TRIM(Input!H1961&amp;""),"%","")),0)/IF(AND(IFERROR(VALUE(SUBSTITUTE(TRIM(Input!H1961&amp;""),"%","")),0)&gt;0,IFERROR(VALUE(SUBSTITUTE(TRIM(Input!H1961&amp;""),"%","")),0)&lt;1),1,100))</f>
        <v/>
      </c>
      <c r="H1961" t="str">
        <f>IF(A1961="","",IFERROR(VALUE(SUBSTITUTE(TRIM(Input!I1961&amp;""),"%","")),0)/IF(AND(IFERROR(VALUE(SUBSTITUTE(TRIM(Input!I1961&amp;""),"%","")),0)&gt;0,IFERROR(VALUE(SUBSTITUTE(TRIM(Input!I1961&amp;""),"%","")),0)&lt;1),1,100))</f>
        <v/>
      </c>
    </row>
    <row r="1962" spans="1:8">
      <c r="A1962" t="str">
        <f>IF(TRIM(Input!B1962&amp;"")="","",UPPER(TRIM(Input!B1962&amp;"")))</f>
        <v/>
      </c>
      <c r="B1962" t="str">
        <f>IF(A1962="","",IFERROR(VALUE(RIGHT(TRIM(Input!D1962&amp;""),1)),0))</f>
        <v/>
      </c>
      <c r="C1962" t="str">
        <f t="shared" si="30"/>
        <v/>
      </c>
      <c r="D1962" t="str">
        <f>IF(A1962="","",IFERROR(VALUE(SUBSTITUTE(TRIM(Input!E1962&amp;""),"%","")),0)/IF(AND(IFERROR(VALUE(SUBSTITUTE(TRIM(Input!E1962&amp;""),"%","")),0)&gt;0,IFERROR(VALUE(SUBSTITUTE(TRIM(Input!E1962&amp;""),"%","")),0)&lt;1),1,100))</f>
        <v/>
      </c>
      <c r="E1962" t="str">
        <f>IF(A1962="","",IFERROR(VALUE(SUBSTITUTE(TRIM(Input!F1962&amp;""),"%","")),0)/IF(AND(IFERROR(VALUE(SUBSTITUTE(TRIM(Input!F1962&amp;""),"%","")),0)&gt;0,IFERROR(VALUE(SUBSTITUTE(TRIM(Input!F1962&amp;""),"%","")),0)&lt;1),1,100))</f>
        <v/>
      </c>
      <c r="F1962" t="str">
        <f>IF(A1962="","",IFERROR(VALUE(SUBSTITUTE(TRIM(Input!G1962&amp;""),"%","")),0)/IF(AND(IFERROR(VALUE(SUBSTITUTE(TRIM(Input!G1962&amp;""),"%","")),0)&gt;0,IFERROR(VALUE(SUBSTITUTE(TRIM(Input!G1962&amp;""),"%","")),0)&lt;1),1,100))</f>
        <v/>
      </c>
      <c r="G1962" t="str">
        <f>IF(A1962="","",IFERROR(VALUE(SUBSTITUTE(TRIM(Input!H1962&amp;""),"%","")),0)/IF(AND(IFERROR(VALUE(SUBSTITUTE(TRIM(Input!H1962&amp;""),"%","")),0)&gt;0,IFERROR(VALUE(SUBSTITUTE(TRIM(Input!H1962&amp;""),"%","")),0)&lt;1),1,100))</f>
        <v/>
      </c>
      <c r="H1962" t="str">
        <f>IF(A1962="","",IFERROR(VALUE(SUBSTITUTE(TRIM(Input!I1962&amp;""),"%","")),0)/IF(AND(IFERROR(VALUE(SUBSTITUTE(TRIM(Input!I1962&amp;""),"%","")),0)&gt;0,IFERROR(VALUE(SUBSTITUTE(TRIM(Input!I1962&amp;""),"%","")),0)&lt;1),1,100))</f>
        <v/>
      </c>
    </row>
    <row r="1963" spans="1:8">
      <c r="A1963" t="str">
        <f>IF(TRIM(Input!B1963&amp;"")="","",UPPER(TRIM(Input!B1963&amp;"")))</f>
        <v/>
      </c>
      <c r="B1963" t="str">
        <f>IF(A1963="","",IFERROR(VALUE(RIGHT(TRIM(Input!D1963&amp;""),1)),0))</f>
        <v/>
      </c>
      <c r="C1963" t="str">
        <f t="shared" si="30"/>
        <v/>
      </c>
      <c r="D1963" t="str">
        <f>IF(A1963="","",IFERROR(VALUE(SUBSTITUTE(TRIM(Input!E1963&amp;""),"%","")),0)/IF(AND(IFERROR(VALUE(SUBSTITUTE(TRIM(Input!E1963&amp;""),"%","")),0)&gt;0,IFERROR(VALUE(SUBSTITUTE(TRIM(Input!E1963&amp;""),"%","")),0)&lt;1),1,100))</f>
        <v/>
      </c>
      <c r="E1963" t="str">
        <f>IF(A1963="","",IFERROR(VALUE(SUBSTITUTE(TRIM(Input!F1963&amp;""),"%","")),0)/IF(AND(IFERROR(VALUE(SUBSTITUTE(TRIM(Input!F1963&amp;""),"%","")),0)&gt;0,IFERROR(VALUE(SUBSTITUTE(TRIM(Input!F1963&amp;""),"%","")),0)&lt;1),1,100))</f>
        <v/>
      </c>
      <c r="F1963" t="str">
        <f>IF(A1963="","",IFERROR(VALUE(SUBSTITUTE(TRIM(Input!G1963&amp;""),"%","")),0)/IF(AND(IFERROR(VALUE(SUBSTITUTE(TRIM(Input!G1963&amp;""),"%","")),0)&gt;0,IFERROR(VALUE(SUBSTITUTE(TRIM(Input!G1963&amp;""),"%","")),0)&lt;1),1,100))</f>
        <v/>
      </c>
      <c r="G1963" t="str">
        <f>IF(A1963="","",IFERROR(VALUE(SUBSTITUTE(TRIM(Input!H1963&amp;""),"%","")),0)/IF(AND(IFERROR(VALUE(SUBSTITUTE(TRIM(Input!H1963&amp;""),"%","")),0)&gt;0,IFERROR(VALUE(SUBSTITUTE(TRIM(Input!H1963&amp;""),"%","")),0)&lt;1),1,100))</f>
        <v/>
      </c>
      <c r="H1963" t="str">
        <f>IF(A1963="","",IFERROR(VALUE(SUBSTITUTE(TRIM(Input!I1963&amp;""),"%","")),0)/IF(AND(IFERROR(VALUE(SUBSTITUTE(TRIM(Input!I1963&amp;""),"%","")),0)&gt;0,IFERROR(VALUE(SUBSTITUTE(TRIM(Input!I1963&amp;""),"%","")),0)&lt;1),1,100))</f>
        <v/>
      </c>
    </row>
    <row r="1964" spans="1:8">
      <c r="A1964" t="str">
        <f>IF(TRIM(Input!B1964&amp;"")="","",UPPER(TRIM(Input!B1964&amp;"")))</f>
        <v/>
      </c>
      <c r="B1964" t="str">
        <f>IF(A1964="","",IFERROR(VALUE(RIGHT(TRIM(Input!D1964&amp;""),1)),0))</f>
        <v/>
      </c>
      <c r="C1964" t="str">
        <f t="shared" si="30"/>
        <v/>
      </c>
      <c r="D1964" t="str">
        <f>IF(A1964="","",IFERROR(VALUE(SUBSTITUTE(TRIM(Input!E1964&amp;""),"%","")),0)/IF(AND(IFERROR(VALUE(SUBSTITUTE(TRIM(Input!E1964&amp;""),"%","")),0)&gt;0,IFERROR(VALUE(SUBSTITUTE(TRIM(Input!E1964&amp;""),"%","")),0)&lt;1),1,100))</f>
        <v/>
      </c>
      <c r="E1964" t="str">
        <f>IF(A1964="","",IFERROR(VALUE(SUBSTITUTE(TRIM(Input!F1964&amp;""),"%","")),0)/IF(AND(IFERROR(VALUE(SUBSTITUTE(TRIM(Input!F1964&amp;""),"%","")),0)&gt;0,IFERROR(VALUE(SUBSTITUTE(TRIM(Input!F1964&amp;""),"%","")),0)&lt;1),1,100))</f>
        <v/>
      </c>
      <c r="F1964" t="str">
        <f>IF(A1964="","",IFERROR(VALUE(SUBSTITUTE(TRIM(Input!G1964&amp;""),"%","")),0)/IF(AND(IFERROR(VALUE(SUBSTITUTE(TRIM(Input!G1964&amp;""),"%","")),0)&gt;0,IFERROR(VALUE(SUBSTITUTE(TRIM(Input!G1964&amp;""),"%","")),0)&lt;1),1,100))</f>
        <v/>
      </c>
      <c r="G1964" t="str">
        <f>IF(A1964="","",IFERROR(VALUE(SUBSTITUTE(TRIM(Input!H1964&amp;""),"%","")),0)/IF(AND(IFERROR(VALUE(SUBSTITUTE(TRIM(Input!H1964&amp;""),"%","")),0)&gt;0,IFERROR(VALUE(SUBSTITUTE(TRIM(Input!H1964&amp;""),"%","")),0)&lt;1),1,100))</f>
        <v/>
      </c>
      <c r="H1964" t="str">
        <f>IF(A1964="","",IFERROR(VALUE(SUBSTITUTE(TRIM(Input!I1964&amp;""),"%","")),0)/IF(AND(IFERROR(VALUE(SUBSTITUTE(TRIM(Input!I1964&amp;""),"%","")),0)&gt;0,IFERROR(VALUE(SUBSTITUTE(TRIM(Input!I1964&amp;""),"%","")),0)&lt;1),1,100))</f>
        <v/>
      </c>
    </row>
    <row r="1965" spans="1:8">
      <c r="A1965" t="str">
        <f>IF(TRIM(Input!B1965&amp;"")="","",UPPER(TRIM(Input!B1965&amp;"")))</f>
        <v/>
      </c>
      <c r="B1965" t="str">
        <f>IF(A1965="","",IFERROR(VALUE(RIGHT(TRIM(Input!D1965&amp;""),1)),0))</f>
        <v/>
      </c>
      <c r="C1965" t="str">
        <f t="shared" si="30"/>
        <v/>
      </c>
      <c r="D1965" t="str">
        <f>IF(A1965="","",IFERROR(VALUE(SUBSTITUTE(TRIM(Input!E1965&amp;""),"%","")),0)/IF(AND(IFERROR(VALUE(SUBSTITUTE(TRIM(Input!E1965&amp;""),"%","")),0)&gt;0,IFERROR(VALUE(SUBSTITUTE(TRIM(Input!E1965&amp;""),"%","")),0)&lt;1),1,100))</f>
        <v/>
      </c>
      <c r="E1965" t="str">
        <f>IF(A1965="","",IFERROR(VALUE(SUBSTITUTE(TRIM(Input!F1965&amp;""),"%","")),0)/IF(AND(IFERROR(VALUE(SUBSTITUTE(TRIM(Input!F1965&amp;""),"%","")),0)&gt;0,IFERROR(VALUE(SUBSTITUTE(TRIM(Input!F1965&amp;""),"%","")),0)&lt;1),1,100))</f>
        <v/>
      </c>
      <c r="F1965" t="str">
        <f>IF(A1965="","",IFERROR(VALUE(SUBSTITUTE(TRIM(Input!G1965&amp;""),"%","")),0)/IF(AND(IFERROR(VALUE(SUBSTITUTE(TRIM(Input!G1965&amp;""),"%","")),0)&gt;0,IFERROR(VALUE(SUBSTITUTE(TRIM(Input!G1965&amp;""),"%","")),0)&lt;1),1,100))</f>
        <v/>
      </c>
      <c r="G1965" t="str">
        <f>IF(A1965="","",IFERROR(VALUE(SUBSTITUTE(TRIM(Input!H1965&amp;""),"%","")),0)/IF(AND(IFERROR(VALUE(SUBSTITUTE(TRIM(Input!H1965&amp;""),"%","")),0)&gt;0,IFERROR(VALUE(SUBSTITUTE(TRIM(Input!H1965&amp;""),"%","")),0)&lt;1),1,100))</f>
        <v/>
      </c>
      <c r="H1965" t="str">
        <f>IF(A1965="","",IFERROR(VALUE(SUBSTITUTE(TRIM(Input!I1965&amp;""),"%","")),0)/IF(AND(IFERROR(VALUE(SUBSTITUTE(TRIM(Input!I1965&amp;""),"%","")),0)&gt;0,IFERROR(VALUE(SUBSTITUTE(TRIM(Input!I1965&amp;""),"%","")),0)&lt;1),1,100))</f>
        <v/>
      </c>
    </row>
    <row r="1966" spans="1:8">
      <c r="A1966" t="str">
        <f>IF(TRIM(Input!B1966&amp;"")="","",UPPER(TRIM(Input!B1966&amp;"")))</f>
        <v/>
      </c>
      <c r="B1966" t="str">
        <f>IF(A1966="","",IFERROR(VALUE(RIGHT(TRIM(Input!D1966&amp;""),1)),0))</f>
        <v/>
      </c>
      <c r="C1966" t="str">
        <f t="shared" si="30"/>
        <v/>
      </c>
      <c r="D1966" t="str">
        <f>IF(A1966="","",IFERROR(VALUE(SUBSTITUTE(TRIM(Input!E1966&amp;""),"%","")),0)/IF(AND(IFERROR(VALUE(SUBSTITUTE(TRIM(Input!E1966&amp;""),"%","")),0)&gt;0,IFERROR(VALUE(SUBSTITUTE(TRIM(Input!E1966&amp;""),"%","")),0)&lt;1),1,100))</f>
        <v/>
      </c>
      <c r="E1966" t="str">
        <f>IF(A1966="","",IFERROR(VALUE(SUBSTITUTE(TRIM(Input!F1966&amp;""),"%","")),0)/IF(AND(IFERROR(VALUE(SUBSTITUTE(TRIM(Input!F1966&amp;""),"%","")),0)&gt;0,IFERROR(VALUE(SUBSTITUTE(TRIM(Input!F1966&amp;""),"%","")),0)&lt;1),1,100))</f>
        <v/>
      </c>
      <c r="F1966" t="str">
        <f>IF(A1966="","",IFERROR(VALUE(SUBSTITUTE(TRIM(Input!G1966&amp;""),"%","")),0)/IF(AND(IFERROR(VALUE(SUBSTITUTE(TRIM(Input!G1966&amp;""),"%","")),0)&gt;0,IFERROR(VALUE(SUBSTITUTE(TRIM(Input!G1966&amp;""),"%","")),0)&lt;1),1,100))</f>
        <v/>
      </c>
      <c r="G1966" t="str">
        <f>IF(A1966="","",IFERROR(VALUE(SUBSTITUTE(TRIM(Input!H1966&amp;""),"%","")),0)/IF(AND(IFERROR(VALUE(SUBSTITUTE(TRIM(Input!H1966&amp;""),"%","")),0)&gt;0,IFERROR(VALUE(SUBSTITUTE(TRIM(Input!H1966&amp;""),"%","")),0)&lt;1),1,100))</f>
        <v/>
      </c>
      <c r="H1966" t="str">
        <f>IF(A1966="","",IFERROR(VALUE(SUBSTITUTE(TRIM(Input!I1966&amp;""),"%","")),0)/IF(AND(IFERROR(VALUE(SUBSTITUTE(TRIM(Input!I1966&amp;""),"%","")),0)&gt;0,IFERROR(VALUE(SUBSTITUTE(TRIM(Input!I1966&amp;""),"%","")),0)&lt;1),1,100))</f>
        <v/>
      </c>
    </row>
    <row r="1967" spans="1:8">
      <c r="A1967" t="str">
        <f>IF(TRIM(Input!B1967&amp;"")="","",UPPER(TRIM(Input!B1967&amp;"")))</f>
        <v/>
      </c>
      <c r="B1967" t="str">
        <f>IF(A1967="","",IFERROR(VALUE(RIGHT(TRIM(Input!D1967&amp;""),1)),0))</f>
        <v/>
      </c>
      <c r="C1967" t="str">
        <f t="shared" si="30"/>
        <v/>
      </c>
      <c r="D1967" t="str">
        <f>IF(A1967="","",IFERROR(VALUE(SUBSTITUTE(TRIM(Input!E1967&amp;""),"%","")),0)/IF(AND(IFERROR(VALUE(SUBSTITUTE(TRIM(Input!E1967&amp;""),"%","")),0)&gt;0,IFERROR(VALUE(SUBSTITUTE(TRIM(Input!E1967&amp;""),"%","")),0)&lt;1),1,100))</f>
        <v/>
      </c>
      <c r="E1967" t="str">
        <f>IF(A1967="","",IFERROR(VALUE(SUBSTITUTE(TRIM(Input!F1967&amp;""),"%","")),0)/IF(AND(IFERROR(VALUE(SUBSTITUTE(TRIM(Input!F1967&amp;""),"%","")),0)&gt;0,IFERROR(VALUE(SUBSTITUTE(TRIM(Input!F1967&amp;""),"%","")),0)&lt;1),1,100))</f>
        <v/>
      </c>
      <c r="F1967" t="str">
        <f>IF(A1967="","",IFERROR(VALUE(SUBSTITUTE(TRIM(Input!G1967&amp;""),"%","")),0)/IF(AND(IFERROR(VALUE(SUBSTITUTE(TRIM(Input!G1967&amp;""),"%","")),0)&gt;0,IFERROR(VALUE(SUBSTITUTE(TRIM(Input!G1967&amp;""),"%","")),0)&lt;1),1,100))</f>
        <v/>
      </c>
      <c r="G1967" t="str">
        <f>IF(A1967="","",IFERROR(VALUE(SUBSTITUTE(TRIM(Input!H1967&amp;""),"%","")),0)/IF(AND(IFERROR(VALUE(SUBSTITUTE(TRIM(Input!H1967&amp;""),"%","")),0)&gt;0,IFERROR(VALUE(SUBSTITUTE(TRIM(Input!H1967&amp;""),"%","")),0)&lt;1),1,100))</f>
        <v/>
      </c>
      <c r="H1967" t="str">
        <f>IF(A1967="","",IFERROR(VALUE(SUBSTITUTE(TRIM(Input!I1967&amp;""),"%","")),0)/IF(AND(IFERROR(VALUE(SUBSTITUTE(TRIM(Input!I1967&amp;""),"%","")),0)&gt;0,IFERROR(VALUE(SUBSTITUTE(TRIM(Input!I1967&amp;""),"%","")),0)&lt;1),1,100))</f>
        <v/>
      </c>
    </row>
    <row r="1968" spans="1:8">
      <c r="A1968" t="str">
        <f>IF(TRIM(Input!B1968&amp;"")="","",UPPER(TRIM(Input!B1968&amp;"")))</f>
        <v/>
      </c>
      <c r="B1968" t="str">
        <f>IF(A1968="","",IFERROR(VALUE(RIGHT(TRIM(Input!D1968&amp;""),1)),0))</f>
        <v/>
      </c>
      <c r="C1968" t="str">
        <f t="shared" si="30"/>
        <v/>
      </c>
      <c r="D1968" t="str">
        <f>IF(A1968="","",IFERROR(VALUE(SUBSTITUTE(TRIM(Input!E1968&amp;""),"%","")),0)/IF(AND(IFERROR(VALUE(SUBSTITUTE(TRIM(Input!E1968&amp;""),"%","")),0)&gt;0,IFERROR(VALUE(SUBSTITUTE(TRIM(Input!E1968&amp;""),"%","")),0)&lt;1),1,100))</f>
        <v/>
      </c>
      <c r="E1968" t="str">
        <f>IF(A1968="","",IFERROR(VALUE(SUBSTITUTE(TRIM(Input!F1968&amp;""),"%","")),0)/IF(AND(IFERROR(VALUE(SUBSTITUTE(TRIM(Input!F1968&amp;""),"%","")),0)&gt;0,IFERROR(VALUE(SUBSTITUTE(TRIM(Input!F1968&amp;""),"%","")),0)&lt;1),1,100))</f>
        <v/>
      </c>
      <c r="F1968" t="str">
        <f>IF(A1968="","",IFERROR(VALUE(SUBSTITUTE(TRIM(Input!G1968&amp;""),"%","")),0)/IF(AND(IFERROR(VALUE(SUBSTITUTE(TRIM(Input!G1968&amp;""),"%","")),0)&gt;0,IFERROR(VALUE(SUBSTITUTE(TRIM(Input!G1968&amp;""),"%","")),0)&lt;1),1,100))</f>
        <v/>
      </c>
      <c r="G1968" t="str">
        <f>IF(A1968="","",IFERROR(VALUE(SUBSTITUTE(TRIM(Input!H1968&amp;""),"%","")),0)/IF(AND(IFERROR(VALUE(SUBSTITUTE(TRIM(Input!H1968&amp;""),"%","")),0)&gt;0,IFERROR(VALUE(SUBSTITUTE(TRIM(Input!H1968&amp;""),"%","")),0)&lt;1),1,100))</f>
        <v/>
      </c>
      <c r="H1968" t="str">
        <f>IF(A1968="","",IFERROR(VALUE(SUBSTITUTE(TRIM(Input!I1968&amp;""),"%","")),0)/IF(AND(IFERROR(VALUE(SUBSTITUTE(TRIM(Input!I1968&amp;""),"%","")),0)&gt;0,IFERROR(VALUE(SUBSTITUTE(TRIM(Input!I1968&amp;""),"%","")),0)&lt;1),1,100))</f>
        <v/>
      </c>
    </row>
    <row r="1969" spans="1:8">
      <c r="A1969" t="str">
        <f>IF(TRIM(Input!B1969&amp;"")="","",UPPER(TRIM(Input!B1969&amp;"")))</f>
        <v/>
      </c>
      <c r="B1969" t="str">
        <f>IF(A1969="","",IFERROR(VALUE(RIGHT(TRIM(Input!D1969&amp;""),1)),0))</f>
        <v/>
      </c>
      <c r="C1969" t="str">
        <f t="shared" si="30"/>
        <v/>
      </c>
      <c r="D1969" t="str">
        <f>IF(A1969="","",IFERROR(VALUE(SUBSTITUTE(TRIM(Input!E1969&amp;""),"%","")),0)/IF(AND(IFERROR(VALUE(SUBSTITUTE(TRIM(Input!E1969&amp;""),"%","")),0)&gt;0,IFERROR(VALUE(SUBSTITUTE(TRIM(Input!E1969&amp;""),"%","")),0)&lt;1),1,100))</f>
        <v/>
      </c>
      <c r="E1969" t="str">
        <f>IF(A1969="","",IFERROR(VALUE(SUBSTITUTE(TRIM(Input!F1969&amp;""),"%","")),0)/IF(AND(IFERROR(VALUE(SUBSTITUTE(TRIM(Input!F1969&amp;""),"%","")),0)&gt;0,IFERROR(VALUE(SUBSTITUTE(TRIM(Input!F1969&amp;""),"%","")),0)&lt;1),1,100))</f>
        <v/>
      </c>
      <c r="F1969" t="str">
        <f>IF(A1969="","",IFERROR(VALUE(SUBSTITUTE(TRIM(Input!G1969&amp;""),"%","")),0)/IF(AND(IFERROR(VALUE(SUBSTITUTE(TRIM(Input!G1969&amp;""),"%","")),0)&gt;0,IFERROR(VALUE(SUBSTITUTE(TRIM(Input!G1969&amp;""),"%","")),0)&lt;1),1,100))</f>
        <v/>
      </c>
      <c r="G1969" t="str">
        <f>IF(A1969="","",IFERROR(VALUE(SUBSTITUTE(TRIM(Input!H1969&amp;""),"%","")),0)/IF(AND(IFERROR(VALUE(SUBSTITUTE(TRIM(Input!H1969&amp;""),"%","")),0)&gt;0,IFERROR(VALUE(SUBSTITUTE(TRIM(Input!H1969&amp;""),"%","")),0)&lt;1),1,100))</f>
        <v/>
      </c>
      <c r="H1969" t="str">
        <f>IF(A1969="","",IFERROR(VALUE(SUBSTITUTE(TRIM(Input!I1969&amp;""),"%","")),0)/IF(AND(IFERROR(VALUE(SUBSTITUTE(TRIM(Input!I1969&amp;""),"%","")),0)&gt;0,IFERROR(VALUE(SUBSTITUTE(TRIM(Input!I1969&amp;""),"%","")),0)&lt;1),1,100))</f>
        <v/>
      </c>
    </row>
    <row r="1970" spans="1:8">
      <c r="A1970" t="str">
        <f>IF(TRIM(Input!B1970&amp;"")="","",UPPER(TRIM(Input!B1970&amp;"")))</f>
        <v/>
      </c>
      <c r="B1970" t="str">
        <f>IF(A1970="","",IFERROR(VALUE(RIGHT(TRIM(Input!D1970&amp;""),1)),0))</f>
        <v/>
      </c>
      <c r="C1970" t="str">
        <f t="shared" si="30"/>
        <v/>
      </c>
      <c r="D1970" t="str">
        <f>IF(A1970="","",IFERROR(VALUE(SUBSTITUTE(TRIM(Input!E1970&amp;""),"%","")),0)/IF(AND(IFERROR(VALUE(SUBSTITUTE(TRIM(Input!E1970&amp;""),"%","")),0)&gt;0,IFERROR(VALUE(SUBSTITUTE(TRIM(Input!E1970&amp;""),"%","")),0)&lt;1),1,100))</f>
        <v/>
      </c>
      <c r="E1970" t="str">
        <f>IF(A1970="","",IFERROR(VALUE(SUBSTITUTE(TRIM(Input!F1970&amp;""),"%","")),0)/IF(AND(IFERROR(VALUE(SUBSTITUTE(TRIM(Input!F1970&amp;""),"%","")),0)&gt;0,IFERROR(VALUE(SUBSTITUTE(TRIM(Input!F1970&amp;""),"%","")),0)&lt;1),1,100))</f>
        <v/>
      </c>
      <c r="F1970" t="str">
        <f>IF(A1970="","",IFERROR(VALUE(SUBSTITUTE(TRIM(Input!G1970&amp;""),"%","")),0)/IF(AND(IFERROR(VALUE(SUBSTITUTE(TRIM(Input!G1970&amp;""),"%","")),0)&gt;0,IFERROR(VALUE(SUBSTITUTE(TRIM(Input!G1970&amp;""),"%","")),0)&lt;1),1,100))</f>
        <v/>
      </c>
      <c r="G1970" t="str">
        <f>IF(A1970="","",IFERROR(VALUE(SUBSTITUTE(TRIM(Input!H1970&amp;""),"%","")),0)/IF(AND(IFERROR(VALUE(SUBSTITUTE(TRIM(Input!H1970&amp;""),"%","")),0)&gt;0,IFERROR(VALUE(SUBSTITUTE(TRIM(Input!H1970&amp;""),"%","")),0)&lt;1),1,100))</f>
        <v/>
      </c>
      <c r="H1970" t="str">
        <f>IF(A1970="","",IFERROR(VALUE(SUBSTITUTE(TRIM(Input!I1970&amp;""),"%","")),0)/IF(AND(IFERROR(VALUE(SUBSTITUTE(TRIM(Input!I1970&amp;""),"%","")),0)&gt;0,IFERROR(VALUE(SUBSTITUTE(TRIM(Input!I1970&amp;""),"%","")),0)&lt;1),1,100))</f>
        <v/>
      </c>
    </row>
    <row r="1971" spans="1:8">
      <c r="A1971" t="str">
        <f>IF(TRIM(Input!B1971&amp;"")="","",UPPER(TRIM(Input!B1971&amp;"")))</f>
        <v/>
      </c>
      <c r="B1971" t="str">
        <f>IF(A1971="","",IFERROR(VALUE(RIGHT(TRIM(Input!D1971&amp;""),1)),0))</f>
        <v/>
      </c>
      <c r="C1971" t="str">
        <f t="shared" si="30"/>
        <v/>
      </c>
      <c r="D1971" t="str">
        <f>IF(A1971="","",IFERROR(VALUE(SUBSTITUTE(TRIM(Input!E1971&amp;""),"%","")),0)/IF(AND(IFERROR(VALUE(SUBSTITUTE(TRIM(Input!E1971&amp;""),"%","")),0)&gt;0,IFERROR(VALUE(SUBSTITUTE(TRIM(Input!E1971&amp;""),"%","")),0)&lt;1),1,100))</f>
        <v/>
      </c>
      <c r="E1971" t="str">
        <f>IF(A1971="","",IFERROR(VALUE(SUBSTITUTE(TRIM(Input!F1971&amp;""),"%","")),0)/IF(AND(IFERROR(VALUE(SUBSTITUTE(TRIM(Input!F1971&amp;""),"%","")),0)&gt;0,IFERROR(VALUE(SUBSTITUTE(TRIM(Input!F1971&amp;""),"%","")),0)&lt;1),1,100))</f>
        <v/>
      </c>
      <c r="F1971" t="str">
        <f>IF(A1971="","",IFERROR(VALUE(SUBSTITUTE(TRIM(Input!G1971&amp;""),"%","")),0)/IF(AND(IFERROR(VALUE(SUBSTITUTE(TRIM(Input!G1971&amp;""),"%","")),0)&gt;0,IFERROR(VALUE(SUBSTITUTE(TRIM(Input!G1971&amp;""),"%","")),0)&lt;1),1,100))</f>
        <v/>
      </c>
      <c r="G1971" t="str">
        <f>IF(A1971="","",IFERROR(VALUE(SUBSTITUTE(TRIM(Input!H1971&amp;""),"%","")),0)/IF(AND(IFERROR(VALUE(SUBSTITUTE(TRIM(Input!H1971&amp;""),"%","")),0)&gt;0,IFERROR(VALUE(SUBSTITUTE(TRIM(Input!H1971&amp;""),"%","")),0)&lt;1),1,100))</f>
        <v/>
      </c>
      <c r="H1971" t="str">
        <f>IF(A1971="","",IFERROR(VALUE(SUBSTITUTE(TRIM(Input!I1971&amp;""),"%","")),0)/IF(AND(IFERROR(VALUE(SUBSTITUTE(TRIM(Input!I1971&amp;""),"%","")),0)&gt;0,IFERROR(VALUE(SUBSTITUTE(TRIM(Input!I1971&amp;""),"%","")),0)&lt;1),1,100))</f>
        <v/>
      </c>
    </row>
    <row r="1972" spans="1:8">
      <c r="A1972" t="str">
        <f>IF(TRIM(Input!B1972&amp;"")="","",UPPER(TRIM(Input!B1972&amp;"")))</f>
        <v/>
      </c>
      <c r="B1972" t="str">
        <f>IF(A1972="","",IFERROR(VALUE(RIGHT(TRIM(Input!D1972&amp;""),1)),0))</f>
        <v/>
      </c>
      <c r="C1972" t="str">
        <f t="shared" si="30"/>
        <v/>
      </c>
      <c r="D1972" t="str">
        <f>IF(A1972="","",IFERROR(VALUE(SUBSTITUTE(TRIM(Input!E1972&amp;""),"%","")),0)/IF(AND(IFERROR(VALUE(SUBSTITUTE(TRIM(Input!E1972&amp;""),"%","")),0)&gt;0,IFERROR(VALUE(SUBSTITUTE(TRIM(Input!E1972&amp;""),"%","")),0)&lt;1),1,100))</f>
        <v/>
      </c>
      <c r="E1972" t="str">
        <f>IF(A1972="","",IFERROR(VALUE(SUBSTITUTE(TRIM(Input!F1972&amp;""),"%","")),0)/IF(AND(IFERROR(VALUE(SUBSTITUTE(TRIM(Input!F1972&amp;""),"%","")),0)&gt;0,IFERROR(VALUE(SUBSTITUTE(TRIM(Input!F1972&amp;""),"%","")),0)&lt;1),1,100))</f>
        <v/>
      </c>
      <c r="F1972" t="str">
        <f>IF(A1972="","",IFERROR(VALUE(SUBSTITUTE(TRIM(Input!G1972&amp;""),"%","")),0)/IF(AND(IFERROR(VALUE(SUBSTITUTE(TRIM(Input!G1972&amp;""),"%","")),0)&gt;0,IFERROR(VALUE(SUBSTITUTE(TRIM(Input!G1972&amp;""),"%","")),0)&lt;1),1,100))</f>
        <v/>
      </c>
      <c r="G1972" t="str">
        <f>IF(A1972="","",IFERROR(VALUE(SUBSTITUTE(TRIM(Input!H1972&amp;""),"%","")),0)/IF(AND(IFERROR(VALUE(SUBSTITUTE(TRIM(Input!H1972&amp;""),"%","")),0)&gt;0,IFERROR(VALUE(SUBSTITUTE(TRIM(Input!H1972&amp;""),"%","")),0)&lt;1),1,100))</f>
        <v/>
      </c>
      <c r="H1972" t="str">
        <f>IF(A1972="","",IFERROR(VALUE(SUBSTITUTE(TRIM(Input!I1972&amp;""),"%","")),0)/IF(AND(IFERROR(VALUE(SUBSTITUTE(TRIM(Input!I1972&amp;""),"%","")),0)&gt;0,IFERROR(VALUE(SUBSTITUTE(TRIM(Input!I1972&amp;""),"%","")),0)&lt;1),1,100))</f>
        <v/>
      </c>
    </row>
    <row r="1973" spans="1:8">
      <c r="A1973" t="str">
        <f>IF(TRIM(Input!B1973&amp;"")="","",UPPER(TRIM(Input!B1973&amp;"")))</f>
        <v/>
      </c>
      <c r="B1973" t="str">
        <f>IF(A1973="","",IFERROR(VALUE(RIGHT(TRIM(Input!D1973&amp;""),1)),0))</f>
        <v/>
      </c>
      <c r="C1973" t="str">
        <f t="shared" si="30"/>
        <v/>
      </c>
      <c r="D1973" t="str">
        <f>IF(A1973="","",IFERROR(VALUE(SUBSTITUTE(TRIM(Input!E1973&amp;""),"%","")),0)/IF(AND(IFERROR(VALUE(SUBSTITUTE(TRIM(Input!E1973&amp;""),"%","")),0)&gt;0,IFERROR(VALUE(SUBSTITUTE(TRIM(Input!E1973&amp;""),"%","")),0)&lt;1),1,100))</f>
        <v/>
      </c>
      <c r="E1973" t="str">
        <f>IF(A1973="","",IFERROR(VALUE(SUBSTITUTE(TRIM(Input!F1973&amp;""),"%","")),0)/IF(AND(IFERROR(VALUE(SUBSTITUTE(TRIM(Input!F1973&amp;""),"%","")),0)&gt;0,IFERROR(VALUE(SUBSTITUTE(TRIM(Input!F1973&amp;""),"%","")),0)&lt;1),1,100))</f>
        <v/>
      </c>
      <c r="F1973" t="str">
        <f>IF(A1973="","",IFERROR(VALUE(SUBSTITUTE(TRIM(Input!G1973&amp;""),"%","")),0)/IF(AND(IFERROR(VALUE(SUBSTITUTE(TRIM(Input!G1973&amp;""),"%","")),0)&gt;0,IFERROR(VALUE(SUBSTITUTE(TRIM(Input!G1973&amp;""),"%","")),0)&lt;1),1,100))</f>
        <v/>
      </c>
      <c r="G1973" t="str">
        <f>IF(A1973="","",IFERROR(VALUE(SUBSTITUTE(TRIM(Input!H1973&amp;""),"%","")),0)/IF(AND(IFERROR(VALUE(SUBSTITUTE(TRIM(Input!H1973&amp;""),"%","")),0)&gt;0,IFERROR(VALUE(SUBSTITUTE(TRIM(Input!H1973&amp;""),"%","")),0)&lt;1),1,100))</f>
        <v/>
      </c>
      <c r="H1973" t="str">
        <f>IF(A1973="","",IFERROR(VALUE(SUBSTITUTE(TRIM(Input!I1973&amp;""),"%","")),0)/IF(AND(IFERROR(VALUE(SUBSTITUTE(TRIM(Input!I1973&amp;""),"%","")),0)&gt;0,IFERROR(VALUE(SUBSTITUTE(TRIM(Input!I1973&amp;""),"%","")),0)&lt;1),1,100))</f>
        <v/>
      </c>
    </row>
    <row r="1974" spans="1:8">
      <c r="A1974" t="str">
        <f>IF(TRIM(Input!B1974&amp;"")="","",UPPER(TRIM(Input!B1974&amp;"")))</f>
        <v/>
      </c>
      <c r="B1974" t="str">
        <f>IF(A1974="","",IFERROR(VALUE(RIGHT(TRIM(Input!D1974&amp;""),1)),0))</f>
        <v/>
      </c>
      <c r="C1974" t="str">
        <f t="shared" si="30"/>
        <v/>
      </c>
      <c r="D1974" t="str">
        <f>IF(A1974="","",IFERROR(VALUE(SUBSTITUTE(TRIM(Input!E1974&amp;""),"%","")),0)/IF(AND(IFERROR(VALUE(SUBSTITUTE(TRIM(Input!E1974&amp;""),"%","")),0)&gt;0,IFERROR(VALUE(SUBSTITUTE(TRIM(Input!E1974&amp;""),"%","")),0)&lt;1),1,100))</f>
        <v/>
      </c>
      <c r="E1974" t="str">
        <f>IF(A1974="","",IFERROR(VALUE(SUBSTITUTE(TRIM(Input!F1974&amp;""),"%","")),0)/IF(AND(IFERROR(VALUE(SUBSTITUTE(TRIM(Input!F1974&amp;""),"%","")),0)&gt;0,IFERROR(VALUE(SUBSTITUTE(TRIM(Input!F1974&amp;""),"%","")),0)&lt;1),1,100))</f>
        <v/>
      </c>
      <c r="F1974" t="str">
        <f>IF(A1974="","",IFERROR(VALUE(SUBSTITUTE(TRIM(Input!G1974&amp;""),"%","")),0)/IF(AND(IFERROR(VALUE(SUBSTITUTE(TRIM(Input!G1974&amp;""),"%","")),0)&gt;0,IFERROR(VALUE(SUBSTITUTE(TRIM(Input!G1974&amp;""),"%","")),0)&lt;1),1,100))</f>
        <v/>
      </c>
      <c r="G1974" t="str">
        <f>IF(A1974="","",IFERROR(VALUE(SUBSTITUTE(TRIM(Input!H1974&amp;""),"%","")),0)/IF(AND(IFERROR(VALUE(SUBSTITUTE(TRIM(Input!H1974&amp;""),"%","")),0)&gt;0,IFERROR(VALUE(SUBSTITUTE(TRIM(Input!H1974&amp;""),"%","")),0)&lt;1),1,100))</f>
        <v/>
      </c>
      <c r="H1974" t="str">
        <f>IF(A1974="","",IFERROR(VALUE(SUBSTITUTE(TRIM(Input!I1974&amp;""),"%","")),0)/IF(AND(IFERROR(VALUE(SUBSTITUTE(TRIM(Input!I1974&amp;""),"%","")),0)&gt;0,IFERROR(VALUE(SUBSTITUTE(TRIM(Input!I1974&amp;""),"%","")),0)&lt;1),1,100))</f>
        <v/>
      </c>
    </row>
    <row r="1975" spans="1:8">
      <c r="A1975" t="str">
        <f>IF(TRIM(Input!B1975&amp;"")="","",UPPER(TRIM(Input!B1975&amp;"")))</f>
        <v/>
      </c>
      <c r="B1975" t="str">
        <f>IF(A1975="","",IFERROR(VALUE(RIGHT(TRIM(Input!D1975&amp;""),1)),0))</f>
        <v/>
      </c>
      <c r="C1975" t="str">
        <f t="shared" si="30"/>
        <v/>
      </c>
      <c r="D1975" t="str">
        <f>IF(A1975="","",IFERROR(VALUE(SUBSTITUTE(TRIM(Input!E1975&amp;""),"%","")),0)/IF(AND(IFERROR(VALUE(SUBSTITUTE(TRIM(Input!E1975&amp;""),"%","")),0)&gt;0,IFERROR(VALUE(SUBSTITUTE(TRIM(Input!E1975&amp;""),"%","")),0)&lt;1),1,100))</f>
        <v/>
      </c>
      <c r="E1975" t="str">
        <f>IF(A1975="","",IFERROR(VALUE(SUBSTITUTE(TRIM(Input!F1975&amp;""),"%","")),0)/IF(AND(IFERROR(VALUE(SUBSTITUTE(TRIM(Input!F1975&amp;""),"%","")),0)&gt;0,IFERROR(VALUE(SUBSTITUTE(TRIM(Input!F1975&amp;""),"%","")),0)&lt;1),1,100))</f>
        <v/>
      </c>
      <c r="F1975" t="str">
        <f>IF(A1975="","",IFERROR(VALUE(SUBSTITUTE(TRIM(Input!G1975&amp;""),"%","")),0)/IF(AND(IFERROR(VALUE(SUBSTITUTE(TRIM(Input!G1975&amp;""),"%","")),0)&gt;0,IFERROR(VALUE(SUBSTITUTE(TRIM(Input!G1975&amp;""),"%","")),0)&lt;1),1,100))</f>
        <v/>
      </c>
      <c r="G1975" t="str">
        <f>IF(A1975="","",IFERROR(VALUE(SUBSTITUTE(TRIM(Input!H1975&amp;""),"%","")),0)/IF(AND(IFERROR(VALUE(SUBSTITUTE(TRIM(Input!H1975&amp;""),"%","")),0)&gt;0,IFERROR(VALUE(SUBSTITUTE(TRIM(Input!H1975&amp;""),"%","")),0)&lt;1),1,100))</f>
        <v/>
      </c>
      <c r="H1975" t="str">
        <f>IF(A1975="","",IFERROR(VALUE(SUBSTITUTE(TRIM(Input!I1975&amp;""),"%","")),0)/IF(AND(IFERROR(VALUE(SUBSTITUTE(TRIM(Input!I1975&amp;""),"%","")),0)&gt;0,IFERROR(VALUE(SUBSTITUTE(TRIM(Input!I1975&amp;""),"%","")),0)&lt;1),1,100))</f>
        <v/>
      </c>
    </row>
    <row r="1976" spans="1:8">
      <c r="A1976" t="str">
        <f>IF(TRIM(Input!B1976&amp;"")="","",UPPER(TRIM(Input!B1976&amp;"")))</f>
        <v/>
      </c>
      <c r="B1976" t="str">
        <f>IF(A1976="","",IFERROR(VALUE(RIGHT(TRIM(Input!D1976&amp;""),1)),0))</f>
        <v/>
      </c>
      <c r="C1976" t="str">
        <f t="shared" si="30"/>
        <v/>
      </c>
      <c r="D1976" t="str">
        <f>IF(A1976="","",IFERROR(VALUE(SUBSTITUTE(TRIM(Input!E1976&amp;""),"%","")),0)/IF(AND(IFERROR(VALUE(SUBSTITUTE(TRIM(Input!E1976&amp;""),"%","")),0)&gt;0,IFERROR(VALUE(SUBSTITUTE(TRIM(Input!E1976&amp;""),"%","")),0)&lt;1),1,100))</f>
        <v/>
      </c>
      <c r="E1976" t="str">
        <f>IF(A1976="","",IFERROR(VALUE(SUBSTITUTE(TRIM(Input!F1976&amp;""),"%","")),0)/IF(AND(IFERROR(VALUE(SUBSTITUTE(TRIM(Input!F1976&amp;""),"%","")),0)&gt;0,IFERROR(VALUE(SUBSTITUTE(TRIM(Input!F1976&amp;""),"%","")),0)&lt;1),1,100))</f>
        <v/>
      </c>
      <c r="F1976" t="str">
        <f>IF(A1976="","",IFERROR(VALUE(SUBSTITUTE(TRIM(Input!G1976&amp;""),"%","")),0)/IF(AND(IFERROR(VALUE(SUBSTITUTE(TRIM(Input!G1976&amp;""),"%","")),0)&gt;0,IFERROR(VALUE(SUBSTITUTE(TRIM(Input!G1976&amp;""),"%","")),0)&lt;1),1,100))</f>
        <v/>
      </c>
      <c r="G1976" t="str">
        <f>IF(A1976="","",IFERROR(VALUE(SUBSTITUTE(TRIM(Input!H1976&amp;""),"%","")),0)/IF(AND(IFERROR(VALUE(SUBSTITUTE(TRIM(Input!H1976&amp;""),"%","")),0)&gt;0,IFERROR(VALUE(SUBSTITUTE(TRIM(Input!H1976&amp;""),"%","")),0)&lt;1),1,100))</f>
        <v/>
      </c>
      <c r="H1976" t="str">
        <f>IF(A1976="","",IFERROR(VALUE(SUBSTITUTE(TRIM(Input!I1976&amp;""),"%","")),0)/IF(AND(IFERROR(VALUE(SUBSTITUTE(TRIM(Input!I1976&amp;""),"%","")),0)&gt;0,IFERROR(VALUE(SUBSTITUTE(TRIM(Input!I1976&amp;""),"%","")),0)&lt;1),1,100))</f>
        <v/>
      </c>
    </row>
    <row r="1977" spans="1:8">
      <c r="A1977" t="str">
        <f>IF(TRIM(Input!B1977&amp;"")="","",UPPER(TRIM(Input!B1977&amp;"")))</f>
        <v/>
      </c>
      <c r="B1977" t="str">
        <f>IF(A1977="","",IFERROR(VALUE(RIGHT(TRIM(Input!D1977&amp;""),1)),0))</f>
        <v/>
      </c>
      <c r="C1977" t="str">
        <f t="shared" si="30"/>
        <v/>
      </c>
      <c r="D1977" t="str">
        <f>IF(A1977="","",IFERROR(VALUE(SUBSTITUTE(TRIM(Input!E1977&amp;""),"%","")),0)/IF(AND(IFERROR(VALUE(SUBSTITUTE(TRIM(Input!E1977&amp;""),"%","")),0)&gt;0,IFERROR(VALUE(SUBSTITUTE(TRIM(Input!E1977&amp;""),"%","")),0)&lt;1),1,100))</f>
        <v/>
      </c>
      <c r="E1977" t="str">
        <f>IF(A1977="","",IFERROR(VALUE(SUBSTITUTE(TRIM(Input!F1977&amp;""),"%","")),0)/IF(AND(IFERROR(VALUE(SUBSTITUTE(TRIM(Input!F1977&amp;""),"%","")),0)&gt;0,IFERROR(VALUE(SUBSTITUTE(TRIM(Input!F1977&amp;""),"%","")),0)&lt;1),1,100))</f>
        <v/>
      </c>
      <c r="F1977" t="str">
        <f>IF(A1977="","",IFERROR(VALUE(SUBSTITUTE(TRIM(Input!G1977&amp;""),"%","")),0)/IF(AND(IFERROR(VALUE(SUBSTITUTE(TRIM(Input!G1977&amp;""),"%","")),0)&gt;0,IFERROR(VALUE(SUBSTITUTE(TRIM(Input!G1977&amp;""),"%","")),0)&lt;1),1,100))</f>
        <v/>
      </c>
      <c r="G1977" t="str">
        <f>IF(A1977="","",IFERROR(VALUE(SUBSTITUTE(TRIM(Input!H1977&amp;""),"%","")),0)/IF(AND(IFERROR(VALUE(SUBSTITUTE(TRIM(Input!H1977&amp;""),"%","")),0)&gt;0,IFERROR(VALUE(SUBSTITUTE(TRIM(Input!H1977&amp;""),"%","")),0)&lt;1),1,100))</f>
        <v/>
      </c>
      <c r="H1977" t="str">
        <f>IF(A1977="","",IFERROR(VALUE(SUBSTITUTE(TRIM(Input!I1977&amp;""),"%","")),0)/IF(AND(IFERROR(VALUE(SUBSTITUTE(TRIM(Input!I1977&amp;""),"%","")),0)&gt;0,IFERROR(VALUE(SUBSTITUTE(TRIM(Input!I1977&amp;""),"%","")),0)&lt;1),1,100))</f>
        <v/>
      </c>
    </row>
    <row r="1978" spans="1:8">
      <c r="A1978" t="str">
        <f>IF(TRIM(Input!B1978&amp;"")="","",UPPER(TRIM(Input!B1978&amp;"")))</f>
        <v/>
      </c>
      <c r="B1978" t="str">
        <f>IF(A1978="","",IFERROR(VALUE(RIGHT(TRIM(Input!D1978&amp;""),1)),0))</f>
        <v/>
      </c>
      <c r="C1978" t="str">
        <f t="shared" si="30"/>
        <v/>
      </c>
      <c r="D1978" t="str">
        <f>IF(A1978="","",IFERROR(VALUE(SUBSTITUTE(TRIM(Input!E1978&amp;""),"%","")),0)/IF(AND(IFERROR(VALUE(SUBSTITUTE(TRIM(Input!E1978&amp;""),"%","")),0)&gt;0,IFERROR(VALUE(SUBSTITUTE(TRIM(Input!E1978&amp;""),"%","")),0)&lt;1),1,100))</f>
        <v/>
      </c>
      <c r="E1978" t="str">
        <f>IF(A1978="","",IFERROR(VALUE(SUBSTITUTE(TRIM(Input!F1978&amp;""),"%","")),0)/IF(AND(IFERROR(VALUE(SUBSTITUTE(TRIM(Input!F1978&amp;""),"%","")),0)&gt;0,IFERROR(VALUE(SUBSTITUTE(TRIM(Input!F1978&amp;""),"%","")),0)&lt;1),1,100))</f>
        <v/>
      </c>
      <c r="F1978" t="str">
        <f>IF(A1978="","",IFERROR(VALUE(SUBSTITUTE(TRIM(Input!G1978&amp;""),"%","")),0)/IF(AND(IFERROR(VALUE(SUBSTITUTE(TRIM(Input!G1978&amp;""),"%","")),0)&gt;0,IFERROR(VALUE(SUBSTITUTE(TRIM(Input!G1978&amp;""),"%","")),0)&lt;1),1,100))</f>
        <v/>
      </c>
      <c r="G1978" t="str">
        <f>IF(A1978="","",IFERROR(VALUE(SUBSTITUTE(TRIM(Input!H1978&amp;""),"%","")),0)/IF(AND(IFERROR(VALUE(SUBSTITUTE(TRIM(Input!H1978&amp;""),"%","")),0)&gt;0,IFERROR(VALUE(SUBSTITUTE(TRIM(Input!H1978&amp;""),"%","")),0)&lt;1),1,100))</f>
        <v/>
      </c>
      <c r="H1978" t="str">
        <f>IF(A1978="","",IFERROR(VALUE(SUBSTITUTE(TRIM(Input!I1978&amp;""),"%","")),0)/IF(AND(IFERROR(VALUE(SUBSTITUTE(TRIM(Input!I1978&amp;""),"%","")),0)&gt;0,IFERROR(VALUE(SUBSTITUTE(TRIM(Input!I1978&amp;""),"%","")),0)&lt;1),1,100))</f>
        <v/>
      </c>
    </row>
    <row r="1979" spans="1:8">
      <c r="A1979" t="str">
        <f>IF(TRIM(Input!B1979&amp;"")="","",UPPER(TRIM(Input!B1979&amp;"")))</f>
        <v/>
      </c>
      <c r="B1979" t="str">
        <f>IF(A1979="","",IFERROR(VALUE(RIGHT(TRIM(Input!D1979&amp;""),1)),0))</f>
        <v/>
      </c>
      <c r="C1979" t="str">
        <f t="shared" si="30"/>
        <v/>
      </c>
      <c r="D1979" t="str">
        <f>IF(A1979="","",IFERROR(VALUE(SUBSTITUTE(TRIM(Input!E1979&amp;""),"%","")),0)/IF(AND(IFERROR(VALUE(SUBSTITUTE(TRIM(Input!E1979&amp;""),"%","")),0)&gt;0,IFERROR(VALUE(SUBSTITUTE(TRIM(Input!E1979&amp;""),"%","")),0)&lt;1),1,100))</f>
        <v/>
      </c>
      <c r="E1979" t="str">
        <f>IF(A1979="","",IFERROR(VALUE(SUBSTITUTE(TRIM(Input!F1979&amp;""),"%","")),0)/IF(AND(IFERROR(VALUE(SUBSTITUTE(TRIM(Input!F1979&amp;""),"%","")),0)&gt;0,IFERROR(VALUE(SUBSTITUTE(TRIM(Input!F1979&amp;""),"%","")),0)&lt;1),1,100))</f>
        <v/>
      </c>
      <c r="F1979" t="str">
        <f>IF(A1979="","",IFERROR(VALUE(SUBSTITUTE(TRIM(Input!G1979&amp;""),"%","")),0)/IF(AND(IFERROR(VALUE(SUBSTITUTE(TRIM(Input!G1979&amp;""),"%","")),0)&gt;0,IFERROR(VALUE(SUBSTITUTE(TRIM(Input!G1979&amp;""),"%","")),0)&lt;1),1,100))</f>
        <v/>
      </c>
      <c r="G1979" t="str">
        <f>IF(A1979="","",IFERROR(VALUE(SUBSTITUTE(TRIM(Input!H1979&amp;""),"%","")),0)/IF(AND(IFERROR(VALUE(SUBSTITUTE(TRIM(Input!H1979&amp;""),"%","")),0)&gt;0,IFERROR(VALUE(SUBSTITUTE(TRIM(Input!H1979&amp;""),"%","")),0)&lt;1),1,100))</f>
        <v/>
      </c>
      <c r="H1979" t="str">
        <f>IF(A1979="","",IFERROR(VALUE(SUBSTITUTE(TRIM(Input!I1979&amp;""),"%","")),0)/IF(AND(IFERROR(VALUE(SUBSTITUTE(TRIM(Input!I1979&amp;""),"%","")),0)&gt;0,IFERROR(VALUE(SUBSTITUTE(TRIM(Input!I1979&amp;""),"%","")),0)&lt;1),1,100))</f>
        <v/>
      </c>
    </row>
    <row r="1980" spans="1:8">
      <c r="A1980" t="str">
        <f>IF(TRIM(Input!B1980&amp;"")="","",UPPER(TRIM(Input!B1980&amp;"")))</f>
        <v/>
      </c>
      <c r="B1980" t="str">
        <f>IF(A1980="","",IFERROR(VALUE(RIGHT(TRIM(Input!D1980&amp;""),1)),0))</f>
        <v/>
      </c>
      <c r="C1980" t="str">
        <f t="shared" si="30"/>
        <v/>
      </c>
      <c r="D1980" t="str">
        <f>IF(A1980="","",IFERROR(VALUE(SUBSTITUTE(TRIM(Input!E1980&amp;""),"%","")),0)/IF(AND(IFERROR(VALUE(SUBSTITUTE(TRIM(Input!E1980&amp;""),"%","")),0)&gt;0,IFERROR(VALUE(SUBSTITUTE(TRIM(Input!E1980&amp;""),"%","")),0)&lt;1),1,100))</f>
        <v/>
      </c>
      <c r="E1980" t="str">
        <f>IF(A1980="","",IFERROR(VALUE(SUBSTITUTE(TRIM(Input!F1980&amp;""),"%","")),0)/IF(AND(IFERROR(VALUE(SUBSTITUTE(TRIM(Input!F1980&amp;""),"%","")),0)&gt;0,IFERROR(VALUE(SUBSTITUTE(TRIM(Input!F1980&amp;""),"%","")),0)&lt;1),1,100))</f>
        <v/>
      </c>
      <c r="F1980" t="str">
        <f>IF(A1980="","",IFERROR(VALUE(SUBSTITUTE(TRIM(Input!G1980&amp;""),"%","")),0)/IF(AND(IFERROR(VALUE(SUBSTITUTE(TRIM(Input!G1980&amp;""),"%","")),0)&gt;0,IFERROR(VALUE(SUBSTITUTE(TRIM(Input!G1980&amp;""),"%","")),0)&lt;1),1,100))</f>
        <v/>
      </c>
      <c r="G1980" t="str">
        <f>IF(A1980="","",IFERROR(VALUE(SUBSTITUTE(TRIM(Input!H1980&amp;""),"%","")),0)/IF(AND(IFERROR(VALUE(SUBSTITUTE(TRIM(Input!H1980&amp;""),"%","")),0)&gt;0,IFERROR(VALUE(SUBSTITUTE(TRIM(Input!H1980&amp;""),"%","")),0)&lt;1),1,100))</f>
        <v/>
      </c>
      <c r="H1980" t="str">
        <f>IF(A1980="","",IFERROR(VALUE(SUBSTITUTE(TRIM(Input!I1980&amp;""),"%","")),0)/IF(AND(IFERROR(VALUE(SUBSTITUTE(TRIM(Input!I1980&amp;""),"%","")),0)&gt;0,IFERROR(VALUE(SUBSTITUTE(TRIM(Input!I1980&amp;""),"%","")),0)&lt;1),1,100))</f>
        <v/>
      </c>
    </row>
    <row r="1981" spans="1:8">
      <c r="A1981" t="str">
        <f>IF(TRIM(Input!B1981&amp;"")="","",UPPER(TRIM(Input!B1981&amp;"")))</f>
        <v/>
      </c>
      <c r="B1981" t="str">
        <f>IF(A1981="","",IFERROR(VALUE(RIGHT(TRIM(Input!D1981&amp;""),1)),0))</f>
        <v/>
      </c>
      <c r="C1981" t="str">
        <f t="shared" si="30"/>
        <v/>
      </c>
      <c r="D1981" t="str">
        <f>IF(A1981="","",IFERROR(VALUE(SUBSTITUTE(TRIM(Input!E1981&amp;""),"%","")),0)/IF(AND(IFERROR(VALUE(SUBSTITUTE(TRIM(Input!E1981&amp;""),"%","")),0)&gt;0,IFERROR(VALUE(SUBSTITUTE(TRIM(Input!E1981&amp;""),"%","")),0)&lt;1),1,100))</f>
        <v/>
      </c>
      <c r="E1981" t="str">
        <f>IF(A1981="","",IFERROR(VALUE(SUBSTITUTE(TRIM(Input!F1981&amp;""),"%","")),0)/IF(AND(IFERROR(VALUE(SUBSTITUTE(TRIM(Input!F1981&amp;""),"%","")),0)&gt;0,IFERROR(VALUE(SUBSTITUTE(TRIM(Input!F1981&amp;""),"%","")),0)&lt;1),1,100))</f>
        <v/>
      </c>
      <c r="F1981" t="str">
        <f>IF(A1981="","",IFERROR(VALUE(SUBSTITUTE(TRIM(Input!G1981&amp;""),"%","")),0)/IF(AND(IFERROR(VALUE(SUBSTITUTE(TRIM(Input!G1981&amp;""),"%","")),0)&gt;0,IFERROR(VALUE(SUBSTITUTE(TRIM(Input!G1981&amp;""),"%","")),0)&lt;1),1,100))</f>
        <v/>
      </c>
      <c r="G1981" t="str">
        <f>IF(A1981="","",IFERROR(VALUE(SUBSTITUTE(TRIM(Input!H1981&amp;""),"%","")),0)/IF(AND(IFERROR(VALUE(SUBSTITUTE(TRIM(Input!H1981&amp;""),"%","")),0)&gt;0,IFERROR(VALUE(SUBSTITUTE(TRIM(Input!H1981&amp;""),"%","")),0)&lt;1),1,100))</f>
        <v/>
      </c>
      <c r="H1981" t="str">
        <f>IF(A1981="","",IFERROR(VALUE(SUBSTITUTE(TRIM(Input!I1981&amp;""),"%","")),0)/IF(AND(IFERROR(VALUE(SUBSTITUTE(TRIM(Input!I1981&amp;""),"%","")),0)&gt;0,IFERROR(VALUE(SUBSTITUTE(TRIM(Input!I1981&amp;""),"%","")),0)&lt;1),1,100))</f>
        <v/>
      </c>
    </row>
    <row r="1982" spans="1:8">
      <c r="A1982" t="str">
        <f>IF(TRIM(Input!B1982&amp;"")="","",UPPER(TRIM(Input!B1982&amp;"")))</f>
        <v/>
      </c>
      <c r="B1982" t="str">
        <f>IF(A1982="","",IFERROR(VALUE(RIGHT(TRIM(Input!D1982&amp;""),1)),0))</f>
        <v/>
      </c>
      <c r="C1982" t="str">
        <f t="shared" si="30"/>
        <v/>
      </c>
      <c r="D1982" t="str">
        <f>IF(A1982="","",IFERROR(VALUE(SUBSTITUTE(TRIM(Input!E1982&amp;""),"%","")),0)/IF(AND(IFERROR(VALUE(SUBSTITUTE(TRIM(Input!E1982&amp;""),"%","")),0)&gt;0,IFERROR(VALUE(SUBSTITUTE(TRIM(Input!E1982&amp;""),"%","")),0)&lt;1),1,100))</f>
        <v/>
      </c>
      <c r="E1982" t="str">
        <f>IF(A1982="","",IFERROR(VALUE(SUBSTITUTE(TRIM(Input!F1982&amp;""),"%","")),0)/IF(AND(IFERROR(VALUE(SUBSTITUTE(TRIM(Input!F1982&amp;""),"%","")),0)&gt;0,IFERROR(VALUE(SUBSTITUTE(TRIM(Input!F1982&amp;""),"%","")),0)&lt;1),1,100))</f>
        <v/>
      </c>
      <c r="F1982" t="str">
        <f>IF(A1982="","",IFERROR(VALUE(SUBSTITUTE(TRIM(Input!G1982&amp;""),"%","")),0)/IF(AND(IFERROR(VALUE(SUBSTITUTE(TRIM(Input!G1982&amp;""),"%","")),0)&gt;0,IFERROR(VALUE(SUBSTITUTE(TRIM(Input!G1982&amp;""),"%","")),0)&lt;1),1,100))</f>
        <v/>
      </c>
      <c r="G1982" t="str">
        <f>IF(A1982="","",IFERROR(VALUE(SUBSTITUTE(TRIM(Input!H1982&amp;""),"%","")),0)/IF(AND(IFERROR(VALUE(SUBSTITUTE(TRIM(Input!H1982&amp;""),"%","")),0)&gt;0,IFERROR(VALUE(SUBSTITUTE(TRIM(Input!H1982&amp;""),"%","")),0)&lt;1),1,100))</f>
        <v/>
      </c>
      <c r="H1982" t="str">
        <f>IF(A1982="","",IFERROR(VALUE(SUBSTITUTE(TRIM(Input!I1982&amp;""),"%","")),0)/IF(AND(IFERROR(VALUE(SUBSTITUTE(TRIM(Input!I1982&amp;""),"%","")),0)&gt;0,IFERROR(VALUE(SUBSTITUTE(TRIM(Input!I1982&amp;""),"%","")),0)&lt;1),1,100))</f>
        <v/>
      </c>
    </row>
    <row r="1983" spans="1:8">
      <c r="A1983" t="str">
        <f>IF(TRIM(Input!B1983&amp;"")="","",UPPER(TRIM(Input!B1983&amp;"")))</f>
        <v/>
      </c>
      <c r="B1983" t="str">
        <f>IF(A1983="","",IFERROR(VALUE(RIGHT(TRIM(Input!D1983&amp;""),1)),0))</f>
        <v/>
      </c>
      <c r="C1983" t="str">
        <f t="shared" si="30"/>
        <v/>
      </c>
      <c r="D1983" t="str">
        <f>IF(A1983="","",IFERROR(VALUE(SUBSTITUTE(TRIM(Input!E1983&amp;""),"%","")),0)/IF(AND(IFERROR(VALUE(SUBSTITUTE(TRIM(Input!E1983&amp;""),"%","")),0)&gt;0,IFERROR(VALUE(SUBSTITUTE(TRIM(Input!E1983&amp;""),"%","")),0)&lt;1),1,100))</f>
        <v/>
      </c>
      <c r="E1983" t="str">
        <f>IF(A1983="","",IFERROR(VALUE(SUBSTITUTE(TRIM(Input!F1983&amp;""),"%","")),0)/IF(AND(IFERROR(VALUE(SUBSTITUTE(TRIM(Input!F1983&amp;""),"%","")),0)&gt;0,IFERROR(VALUE(SUBSTITUTE(TRIM(Input!F1983&amp;""),"%","")),0)&lt;1),1,100))</f>
        <v/>
      </c>
      <c r="F1983" t="str">
        <f>IF(A1983="","",IFERROR(VALUE(SUBSTITUTE(TRIM(Input!G1983&amp;""),"%","")),0)/IF(AND(IFERROR(VALUE(SUBSTITUTE(TRIM(Input!G1983&amp;""),"%","")),0)&gt;0,IFERROR(VALUE(SUBSTITUTE(TRIM(Input!G1983&amp;""),"%","")),0)&lt;1),1,100))</f>
        <v/>
      </c>
      <c r="G1983" t="str">
        <f>IF(A1983="","",IFERROR(VALUE(SUBSTITUTE(TRIM(Input!H1983&amp;""),"%","")),0)/IF(AND(IFERROR(VALUE(SUBSTITUTE(TRIM(Input!H1983&amp;""),"%","")),0)&gt;0,IFERROR(VALUE(SUBSTITUTE(TRIM(Input!H1983&amp;""),"%","")),0)&lt;1),1,100))</f>
        <v/>
      </c>
      <c r="H1983" t="str">
        <f>IF(A1983="","",IFERROR(VALUE(SUBSTITUTE(TRIM(Input!I1983&amp;""),"%","")),0)/IF(AND(IFERROR(VALUE(SUBSTITUTE(TRIM(Input!I1983&amp;""),"%","")),0)&gt;0,IFERROR(VALUE(SUBSTITUTE(TRIM(Input!I1983&amp;""),"%","")),0)&lt;1),1,100))</f>
        <v/>
      </c>
    </row>
    <row r="1984" spans="1:8">
      <c r="A1984" t="str">
        <f>IF(TRIM(Input!B1984&amp;"")="","",UPPER(TRIM(Input!B1984&amp;"")))</f>
        <v/>
      </c>
      <c r="B1984" t="str">
        <f>IF(A1984="","",IFERROR(VALUE(RIGHT(TRIM(Input!D1984&amp;""),1)),0))</f>
        <v/>
      </c>
      <c r="C1984" t="str">
        <f t="shared" si="30"/>
        <v/>
      </c>
      <c r="D1984" t="str">
        <f>IF(A1984="","",IFERROR(VALUE(SUBSTITUTE(TRIM(Input!E1984&amp;""),"%","")),0)/IF(AND(IFERROR(VALUE(SUBSTITUTE(TRIM(Input!E1984&amp;""),"%","")),0)&gt;0,IFERROR(VALUE(SUBSTITUTE(TRIM(Input!E1984&amp;""),"%","")),0)&lt;1),1,100))</f>
        <v/>
      </c>
      <c r="E1984" t="str">
        <f>IF(A1984="","",IFERROR(VALUE(SUBSTITUTE(TRIM(Input!F1984&amp;""),"%","")),0)/IF(AND(IFERROR(VALUE(SUBSTITUTE(TRIM(Input!F1984&amp;""),"%","")),0)&gt;0,IFERROR(VALUE(SUBSTITUTE(TRIM(Input!F1984&amp;""),"%","")),0)&lt;1),1,100))</f>
        <v/>
      </c>
      <c r="F1984" t="str">
        <f>IF(A1984="","",IFERROR(VALUE(SUBSTITUTE(TRIM(Input!G1984&amp;""),"%","")),0)/IF(AND(IFERROR(VALUE(SUBSTITUTE(TRIM(Input!G1984&amp;""),"%","")),0)&gt;0,IFERROR(VALUE(SUBSTITUTE(TRIM(Input!G1984&amp;""),"%","")),0)&lt;1),1,100))</f>
        <v/>
      </c>
      <c r="G1984" t="str">
        <f>IF(A1984="","",IFERROR(VALUE(SUBSTITUTE(TRIM(Input!H1984&amp;""),"%","")),0)/IF(AND(IFERROR(VALUE(SUBSTITUTE(TRIM(Input!H1984&amp;""),"%","")),0)&gt;0,IFERROR(VALUE(SUBSTITUTE(TRIM(Input!H1984&amp;""),"%","")),0)&lt;1),1,100))</f>
        <v/>
      </c>
      <c r="H1984" t="str">
        <f>IF(A1984="","",IFERROR(VALUE(SUBSTITUTE(TRIM(Input!I1984&amp;""),"%","")),0)/IF(AND(IFERROR(VALUE(SUBSTITUTE(TRIM(Input!I1984&amp;""),"%","")),0)&gt;0,IFERROR(VALUE(SUBSTITUTE(TRIM(Input!I1984&amp;""),"%","")),0)&lt;1),1,100))</f>
        <v/>
      </c>
    </row>
    <row r="1985" spans="1:8">
      <c r="A1985" t="str">
        <f>IF(TRIM(Input!B1985&amp;"")="","",UPPER(TRIM(Input!B1985&amp;"")))</f>
        <v/>
      </c>
      <c r="B1985" t="str">
        <f>IF(A1985="","",IFERROR(VALUE(RIGHT(TRIM(Input!D1985&amp;""),1)),0))</f>
        <v/>
      </c>
      <c r="C1985" t="str">
        <f t="shared" si="30"/>
        <v/>
      </c>
      <c r="D1985" t="str">
        <f>IF(A1985="","",IFERROR(VALUE(SUBSTITUTE(TRIM(Input!E1985&amp;""),"%","")),0)/IF(AND(IFERROR(VALUE(SUBSTITUTE(TRIM(Input!E1985&amp;""),"%","")),0)&gt;0,IFERROR(VALUE(SUBSTITUTE(TRIM(Input!E1985&amp;""),"%","")),0)&lt;1),1,100))</f>
        <v/>
      </c>
      <c r="E1985" t="str">
        <f>IF(A1985="","",IFERROR(VALUE(SUBSTITUTE(TRIM(Input!F1985&amp;""),"%","")),0)/IF(AND(IFERROR(VALUE(SUBSTITUTE(TRIM(Input!F1985&amp;""),"%","")),0)&gt;0,IFERROR(VALUE(SUBSTITUTE(TRIM(Input!F1985&amp;""),"%","")),0)&lt;1),1,100))</f>
        <v/>
      </c>
      <c r="F1985" t="str">
        <f>IF(A1985="","",IFERROR(VALUE(SUBSTITUTE(TRIM(Input!G1985&amp;""),"%","")),0)/IF(AND(IFERROR(VALUE(SUBSTITUTE(TRIM(Input!G1985&amp;""),"%","")),0)&gt;0,IFERROR(VALUE(SUBSTITUTE(TRIM(Input!G1985&amp;""),"%","")),0)&lt;1),1,100))</f>
        <v/>
      </c>
      <c r="G1985" t="str">
        <f>IF(A1985="","",IFERROR(VALUE(SUBSTITUTE(TRIM(Input!H1985&amp;""),"%","")),0)/IF(AND(IFERROR(VALUE(SUBSTITUTE(TRIM(Input!H1985&amp;""),"%","")),0)&gt;0,IFERROR(VALUE(SUBSTITUTE(TRIM(Input!H1985&amp;""),"%","")),0)&lt;1),1,100))</f>
        <v/>
      </c>
      <c r="H1985" t="str">
        <f>IF(A1985="","",IFERROR(VALUE(SUBSTITUTE(TRIM(Input!I1985&amp;""),"%","")),0)/IF(AND(IFERROR(VALUE(SUBSTITUTE(TRIM(Input!I1985&amp;""),"%","")),0)&gt;0,IFERROR(VALUE(SUBSTITUTE(TRIM(Input!I1985&amp;""),"%","")),0)&lt;1),1,100))</f>
        <v/>
      </c>
    </row>
    <row r="1986" spans="1:8">
      <c r="A1986" t="str">
        <f>IF(TRIM(Input!B1986&amp;"")="","",UPPER(TRIM(Input!B1986&amp;"")))</f>
        <v/>
      </c>
      <c r="B1986" t="str">
        <f>IF(A1986="","",IFERROR(VALUE(RIGHT(TRIM(Input!D1986&amp;""),1)),0))</f>
        <v/>
      </c>
      <c r="C1986" t="str">
        <f t="shared" ref="C1986:C2049" si="31">IF(A1986="","",A1986&amp;"|"&amp;B1986)</f>
        <v/>
      </c>
      <c r="D1986" t="str">
        <f>IF(A1986="","",IFERROR(VALUE(SUBSTITUTE(TRIM(Input!E1986&amp;""),"%","")),0)/IF(AND(IFERROR(VALUE(SUBSTITUTE(TRIM(Input!E1986&amp;""),"%","")),0)&gt;0,IFERROR(VALUE(SUBSTITUTE(TRIM(Input!E1986&amp;""),"%","")),0)&lt;1),1,100))</f>
        <v/>
      </c>
      <c r="E1986" t="str">
        <f>IF(A1986="","",IFERROR(VALUE(SUBSTITUTE(TRIM(Input!F1986&amp;""),"%","")),0)/IF(AND(IFERROR(VALUE(SUBSTITUTE(TRIM(Input!F1986&amp;""),"%","")),0)&gt;0,IFERROR(VALUE(SUBSTITUTE(TRIM(Input!F1986&amp;""),"%","")),0)&lt;1),1,100))</f>
        <v/>
      </c>
      <c r="F1986" t="str">
        <f>IF(A1986="","",IFERROR(VALUE(SUBSTITUTE(TRIM(Input!G1986&amp;""),"%","")),0)/IF(AND(IFERROR(VALUE(SUBSTITUTE(TRIM(Input!G1986&amp;""),"%","")),0)&gt;0,IFERROR(VALUE(SUBSTITUTE(TRIM(Input!G1986&amp;""),"%","")),0)&lt;1),1,100))</f>
        <v/>
      </c>
      <c r="G1986" t="str">
        <f>IF(A1986="","",IFERROR(VALUE(SUBSTITUTE(TRIM(Input!H1986&amp;""),"%","")),0)/IF(AND(IFERROR(VALUE(SUBSTITUTE(TRIM(Input!H1986&amp;""),"%","")),0)&gt;0,IFERROR(VALUE(SUBSTITUTE(TRIM(Input!H1986&amp;""),"%","")),0)&lt;1),1,100))</f>
        <v/>
      </c>
      <c r="H1986" t="str">
        <f>IF(A1986="","",IFERROR(VALUE(SUBSTITUTE(TRIM(Input!I1986&amp;""),"%","")),0)/IF(AND(IFERROR(VALUE(SUBSTITUTE(TRIM(Input!I1986&amp;""),"%","")),0)&gt;0,IFERROR(VALUE(SUBSTITUTE(TRIM(Input!I1986&amp;""),"%","")),0)&lt;1),1,100))</f>
        <v/>
      </c>
    </row>
    <row r="1987" spans="1:8">
      <c r="A1987" t="str">
        <f>IF(TRIM(Input!B1987&amp;"")="","",UPPER(TRIM(Input!B1987&amp;"")))</f>
        <v/>
      </c>
      <c r="B1987" t="str">
        <f>IF(A1987="","",IFERROR(VALUE(RIGHT(TRIM(Input!D1987&amp;""),1)),0))</f>
        <v/>
      </c>
      <c r="C1987" t="str">
        <f t="shared" si="31"/>
        <v/>
      </c>
      <c r="D1987" t="str">
        <f>IF(A1987="","",IFERROR(VALUE(SUBSTITUTE(TRIM(Input!E1987&amp;""),"%","")),0)/IF(AND(IFERROR(VALUE(SUBSTITUTE(TRIM(Input!E1987&amp;""),"%","")),0)&gt;0,IFERROR(VALUE(SUBSTITUTE(TRIM(Input!E1987&amp;""),"%","")),0)&lt;1),1,100))</f>
        <v/>
      </c>
      <c r="E1987" t="str">
        <f>IF(A1987="","",IFERROR(VALUE(SUBSTITUTE(TRIM(Input!F1987&amp;""),"%","")),0)/IF(AND(IFERROR(VALUE(SUBSTITUTE(TRIM(Input!F1987&amp;""),"%","")),0)&gt;0,IFERROR(VALUE(SUBSTITUTE(TRIM(Input!F1987&amp;""),"%","")),0)&lt;1),1,100))</f>
        <v/>
      </c>
      <c r="F1987" t="str">
        <f>IF(A1987="","",IFERROR(VALUE(SUBSTITUTE(TRIM(Input!G1987&amp;""),"%","")),0)/IF(AND(IFERROR(VALUE(SUBSTITUTE(TRIM(Input!G1987&amp;""),"%","")),0)&gt;0,IFERROR(VALUE(SUBSTITUTE(TRIM(Input!G1987&amp;""),"%","")),0)&lt;1),1,100))</f>
        <v/>
      </c>
      <c r="G1987" t="str">
        <f>IF(A1987="","",IFERROR(VALUE(SUBSTITUTE(TRIM(Input!H1987&amp;""),"%","")),0)/IF(AND(IFERROR(VALUE(SUBSTITUTE(TRIM(Input!H1987&amp;""),"%","")),0)&gt;0,IFERROR(VALUE(SUBSTITUTE(TRIM(Input!H1987&amp;""),"%","")),0)&lt;1),1,100))</f>
        <v/>
      </c>
      <c r="H1987" t="str">
        <f>IF(A1987="","",IFERROR(VALUE(SUBSTITUTE(TRIM(Input!I1987&amp;""),"%","")),0)/IF(AND(IFERROR(VALUE(SUBSTITUTE(TRIM(Input!I1987&amp;""),"%","")),0)&gt;0,IFERROR(VALUE(SUBSTITUTE(TRIM(Input!I1987&amp;""),"%","")),0)&lt;1),1,100))</f>
        <v/>
      </c>
    </row>
    <row r="1988" spans="1:8">
      <c r="A1988" t="str">
        <f>IF(TRIM(Input!B1988&amp;"")="","",UPPER(TRIM(Input!B1988&amp;"")))</f>
        <v/>
      </c>
      <c r="B1988" t="str">
        <f>IF(A1988="","",IFERROR(VALUE(RIGHT(TRIM(Input!D1988&amp;""),1)),0))</f>
        <v/>
      </c>
      <c r="C1988" t="str">
        <f t="shared" si="31"/>
        <v/>
      </c>
      <c r="D1988" t="str">
        <f>IF(A1988="","",IFERROR(VALUE(SUBSTITUTE(TRIM(Input!E1988&amp;""),"%","")),0)/IF(AND(IFERROR(VALUE(SUBSTITUTE(TRIM(Input!E1988&amp;""),"%","")),0)&gt;0,IFERROR(VALUE(SUBSTITUTE(TRIM(Input!E1988&amp;""),"%","")),0)&lt;1),1,100))</f>
        <v/>
      </c>
      <c r="E1988" t="str">
        <f>IF(A1988="","",IFERROR(VALUE(SUBSTITUTE(TRIM(Input!F1988&amp;""),"%","")),0)/IF(AND(IFERROR(VALUE(SUBSTITUTE(TRIM(Input!F1988&amp;""),"%","")),0)&gt;0,IFERROR(VALUE(SUBSTITUTE(TRIM(Input!F1988&amp;""),"%","")),0)&lt;1),1,100))</f>
        <v/>
      </c>
      <c r="F1988" t="str">
        <f>IF(A1988="","",IFERROR(VALUE(SUBSTITUTE(TRIM(Input!G1988&amp;""),"%","")),0)/IF(AND(IFERROR(VALUE(SUBSTITUTE(TRIM(Input!G1988&amp;""),"%","")),0)&gt;0,IFERROR(VALUE(SUBSTITUTE(TRIM(Input!G1988&amp;""),"%","")),0)&lt;1),1,100))</f>
        <v/>
      </c>
      <c r="G1988" t="str">
        <f>IF(A1988="","",IFERROR(VALUE(SUBSTITUTE(TRIM(Input!H1988&amp;""),"%","")),0)/IF(AND(IFERROR(VALUE(SUBSTITUTE(TRIM(Input!H1988&amp;""),"%","")),0)&gt;0,IFERROR(VALUE(SUBSTITUTE(TRIM(Input!H1988&amp;""),"%","")),0)&lt;1),1,100))</f>
        <v/>
      </c>
      <c r="H1988" t="str">
        <f>IF(A1988="","",IFERROR(VALUE(SUBSTITUTE(TRIM(Input!I1988&amp;""),"%","")),0)/IF(AND(IFERROR(VALUE(SUBSTITUTE(TRIM(Input!I1988&amp;""),"%","")),0)&gt;0,IFERROR(VALUE(SUBSTITUTE(TRIM(Input!I1988&amp;""),"%","")),0)&lt;1),1,100))</f>
        <v/>
      </c>
    </row>
    <row r="1989" spans="1:8">
      <c r="A1989" t="str">
        <f>IF(TRIM(Input!B1989&amp;"")="","",UPPER(TRIM(Input!B1989&amp;"")))</f>
        <v/>
      </c>
      <c r="B1989" t="str">
        <f>IF(A1989="","",IFERROR(VALUE(RIGHT(TRIM(Input!D1989&amp;""),1)),0))</f>
        <v/>
      </c>
      <c r="C1989" t="str">
        <f t="shared" si="31"/>
        <v/>
      </c>
      <c r="D1989" t="str">
        <f>IF(A1989="","",IFERROR(VALUE(SUBSTITUTE(TRIM(Input!E1989&amp;""),"%","")),0)/IF(AND(IFERROR(VALUE(SUBSTITUTE(TRIM(Input!E1989&amp;""),"%","")),0)&gt;0,IFERROR(VALUE(SUBSTITUTE(TRIM(Input!E1989&amp;""),"%","")),0)&lt;1),1,100))</f>
        <v/>
      </c>
      <c r="E1989" t="str">
        <f>IF(A1989="","",IFERROR(VALUE(SUBSTITUTE(TRIM(Input!F1989&amp;""),"%","")),0)/IF(AND(IFERROR(VALUE(SUBSTITUTE(TRIM(Input!F1989&amp;""),"%","")),0)&gt;0,IFERROR(VALUE(SUBSTITUTE(TRIM(Input!F1989&amp;""),"%","")),0)&lt;1),1,100))</f>
        <v/>
      </c>
      <c r="F1989" t="str">
        <f>IF(A1989="","",IFERROR(VALUE(SUBSTITUTE(TRIM(Input!G1989&amp;""),"%","")),0)/IF(AND(IFERROR(VALUE(SUBSTITUTE(TRIM(Input!G1989&amp;""),"%","")),0)&gt;0,IFERROR(VALUE(SUBSTITUTE(TRIM(Input!G1989&amp;""),"%","")),0)&lt;1),1,100))</f>
        <v/>
      </c>
      <c r="G1989" t="str">
        <f>IF(A1989="","",IFERROR(VALUE(SUBSTITUTE(TRIM(Input!H1989&amp;""),"%","")),0)/IF(AND(IFERROR(VALUE(SUBSTITUTE(TRIM(Input!H1989&amp;""),"%","")),0)&gt;0,IFERROR(VALUE(SUBSTITUTE(TRIM(Input!H1989&amp;""),"%","")),0)&lt;1),1,100))</f>
        <v/>
      </c>
      <c r="H1989" t="str">
        <f>IF(A1989="","",IFERROR(VALUE(SUBSTITUTE(TRIM(Input!I1989&amp;""),"%","")),0)/IF(AND(IFERROR(VALUE(SUBSTITUTE(TRIM(Input!I1989&amp;""),"%","")),0)&gt;0,IFERROR(VALUE(SUBSTITUTE(TRIM(Input!I1989&amp;""),"%","")),0)&lt;1),1,100))</f>
        <v/>
      </c>
    </row>
    <row r="1990" spans="1:8">
      <c r="A1990" t="str">
        <f>IF(TRIM(Input!B1990&amp;"")="","",UPPER(TRIM(Input!B1990&amp;"")))</f>
        <v/>
      </c>
      <c r="B1990" t="str">
        <f>IF(A1990="","",IFERROR(VALUE(RIGHT(TRIM(Input!D1990&amp;""),1)),0))</f>
        <v/>
      </c>
      <c r="C1990" t="str">
        <f t="shared" si="31"/>
        <v/>
      </c>
      <c r="D1990" t="str">
        <f>IF(A1990="","",IFERROR(VALUE(SUBSTITUTE(TRIM(Input!E1990&amp;""),"%","")),0)/IF(AND(IFERROR(VALUE(SUBSTITUTE(TRIM(Input!E1990&amp;""),"%","")),0)&gt;0,IFERROR(VALUE(SUBSTITUTE(TRIM(Input!E1990&amp;""),"%","")),0)&lt;1),1,100))</f>
        <v/>
      </c>
      <c r="E1990" t="str">
        <f>IF(A1990="","",IFERROR(VALUE(SUBSTITUTE(TRIM(Input!F1990&amp;""),"%","")),0)/IF(AND(IFERROR(VALUE(SUBSTITUTE(TRIM(Input!F1990&amp;""),"%","")),0)&gt;0,IFERROR(VALUE(SUBSTITUTE(TRIM(Input!F1990&amp;""),"%","")),0)&lt;1),1,100))</f>
        <v/>
      </c>
      <c r="F1990" t="str">
        <f>IF(A1990="","",IFERROR(VALUE(SUBSTITUTE(TRIM(Input!G1990&amp;""),"%","")),0)/IF(AND(IFERROR(VALUE(SUBSTITUTE(TRIM(Input!G1990&amp;""),"%","")),0)&gt;0,IFERROR(VALUE(SUBSTITUTE(TRIM(Input!G1990&amp;""),"%","")),0)&lt;1),1,100))</f>
        <v/>
      </c>
      <c r="G1990" t="str">
        <f>IF(A1990="","",IFERROR(VALUE(SUBSTITUTE(TRIM(Input!H1990&amp;""),"%","")),0)/IF(AND(IFERROR(VALUE(SUBSTITUTE(TRIM(Input!H1990&amp;""),"%","")),0)&gt;0,IFERROR(VALUE(SUBSTITUTE(TRIM(Input!H1990&amp;""),"%","")),0)&lt;1),1,100))</f>
        <v/>
      </c>
      <c r="H1990" t="str">
        <f>IF(A1990="","",IFERROR(VALUE(SUBSTITUTE(TRIM(Input!I1990&amp;""),"%","")),0)/IF(AND(IFERROR(VALUE(SUBSTITUTE(TRIM(Input!I1990&amp;""),"%","")),0)&gt;0,IFERROR(VALUE(SUBSTITUTE(TRIM(Input!I1990&amp;""),"%","")),0)&lt;1),1,100))</f>
        <v/>
      </c>
    </row>
    <row r="1991" spans="1:8">
      <c r="A1991" t="str">
        <f>IF(TRIM(Input!B1991&amp;"")="","",UPPER(TRIM(Input!B1991&amp;"")))</f>
        <v/>
      </c>
      <c r="B1991" t="str">
        <f>IF(A1991="","",IFERROR(VALUE(RIGHT(TRIM(Input!D1991&amp;""),1)),0))</f>
        <v/>
      </c>
      <c r="C1991" t="str">
        <f t="shared" si="31"/>
        <v/>
      </c>
      <c r="D1991" t="str">
        <f>IF(A1991="","",IFERROR(VALUE(SUBSTITUTE(TRIM(Input!E1991&amp;""),"%","")),0)/IF(AND(IFERROR(VALUE(SUBSTITUTE(TRIM(Input!E1991&amp;""),"%","")),0)&gt;0,IFERROR(VALUE(SUBSTITUTE(TRIM(Input!E1991&amp;""),"%","")),0)&lt;1),1,100))</f>
        <v/>
      </c>
      <c r="E1991" t="str">
        <f>IF(A1991="","",IFERROR(VALUE(SUBSTITUTE(TRIM(Input!F1991&amp;""),"%","")),0)/IF(AND(IFERROR(VALUE(SUBSTITUTE(TRIM(Input!F1991&amp;""),"%","")),0)&gt;0,IFERROR(VALUE(SUBSTITUTE(TRIM(Input!F1991&amp;""),"%","")),0)&lt;1),1,100))</f>
        <v/>
      </c>
      <c r="F1991" t="str">
        <f>IF(A1991="","",IFERROR(VALUE(SUBSTITUTE(TRIM(Input!G1991&amp;""),"%","")),0)/IF(AND(IFERROR(VALUE(SUBSTITUTE(TRIM(Input!G1991&amp;""),"%","")),0)&gt;0,IFERROR(VALUE(SUBSTITUTE(TRIM(Input!G1991&amp;""),"%","")),0)&lt;1),1,100))</f>
        <v/>
      </c>
      <c r="G1991" t="str">
        <f>IF(A1991="","",IFERROR(VALUE(SUBSTITUTE(TRIM(Input!H1991&amp;""),"%","")),0)/IF(AND(IFERROR(VALUE(SUBSTITUTE(TRIM(Input!H1991&amp;""),"%","")),0)&gt;0,IFERROR(VALUE(SUBSTITUTE(TRIM(Input!H1991&amp;""),"%","")),0)&lt;1),1,100))</f>
        <v/>
      </c>
      <c r="H1991" t="str">
        <f>IF(A1991="","",IFERROR(VALUE(SUBSTITUTE(TRIM(Input!I1991&amp;""),"%","")),0)/IF(AND(IFERROR(VALUE(SUBSTITUTE(TRIM(Input!I1991&amp;""),"%","")),0)&gt;0,IFERROR(VALUE(SUBSTITUTE(TRIM(Input!I1991&amp;""),"%","")),0)&lt;1),1,100))</f>
        <v/>
      </c>
    </row>
    <row r="1992" spans="1:8">
      <c r="A1992" t="str">
        <f>IF(TRIM(Input!B1992&amp;"")="","",UPPER(TRIM(Input!B1992&amp;"")))</f>
        <v/>
      </c>
      <c r="B1992" t="str">
        <f>IF(A1992="","",IFERROR(VALUE(RIGHT(TRIM(Input!D1992&amp;""),1)),0))</f>
        <v/>
      </c>
      <c r="C1992" t="str">
        <f t="shared" si="31"/>
        <v/>
      </c>
      <c r="D1992" t="str">
        <f>IF(A1992="","",IFERROR(VALUE(SUBSTITUTE(TRIM(Input!E1992&amp;""),"%","")),0)/IF(AND(IFERROR(VALUE(SUBSTITUTE(TRIM(Input!E1992&amp;""),"%","")),0)&gt;0,IFERROR(VALUE(SUBSTITUTE(TRIM(Input!E1992&amp;""),"%","")),0)&lt;1),1,100))</f>
        <v/>
      </c>
      <c r="E1992" t="str">
        <f>IF(A1992="","",IFERROR(VALUE(SUBSTITUTE(TRIM(Input!F1992&amp;""),"%","")),0)/IF(AND(IFERROR(VALUE(SUBSTITUTE(TRIM(Input!F1992&amp;""),"%","")),0)&gt;0,IFERROR(VALUE(SUBSTITUTE(TRIM(Input!F1992&amp;""),"%","")),0)&lt;1),1,100))</f>
        <v/>
      </c>
      <c r="F1992" t="str">
        <f>IF(A1992="","",IFERROR(VALUE(SUBSTITUTE(TRIM(Input!G1992&amp;""),"%","")),0)/IF(AND(IFERROR(VALUE(SUBSTITUTE(TRIM(Input!G1992&amp;""),"%","")),0)&gt;0,IFERROR(VALUE(SUBSTITUTE(TRIM(Input!G1992&amp;""),"%","")),0)&lt;1),1,100))</f>
        <v/>
      </c>
      <c r="G1992" t="str">
        <f>IF(A1992="","",IFERROR(VALUE(SUBSTITUTE(TRIM(Input!H1992&amp;""),"%","")),0)/IF(AND(IFERROR(VALUE(SUBSTITUTE(TRIM(Input!H1992&amp;""),"%","")),0)&gt;0,IFERROR(VALUE(SUBSTITUTE(TRIM(Input!H1992&amp;""),"%","")),0)&lt;1),1,100))</f>
        <v/>
      </c>
      <c r="H1992" t="str">
        <f>IF(A1992="","",IFERROR(VALUE(SUBSTITUTE(TRIM(Input!I1992&amp;""),"%","")),0)/IF(AND(IFERROR(VALUE(SUBSTITUTE(TRIM(Input!I1992&amp;""),"%","")),0)&gt;0,IFERROR(VALUE(SUBSTITUTE(TRIM(Input!I1992&amp;""),"%","")),0)&lt;1),1,100))</f>
        <v/>
      </c>
    </row>
    <row r="1993" spans="1:8">
      <c r="A1993" t="str">
        <f>IF(TRIM(Input!B1993&amp;"")="","",UPPER(TRIM(Input!B1993&amp;"")))</f>
        <v/>
      </c>
      <c r="B1993" t="str">
        <f>IF(A1993="","",IFERROR(VALUE(RIGHT(TRIM(Input!D1993&amp;""),1)),0))</f>
        <v/>
      </c>
      <c r="C1993" t="str">
        <f t="shared" si="31"/>
        <v/>
      </c>
      <c r="D1993" t="str">
        <f>IF(A1993="","",IFERROR(VALUE(SUBSTITUTE(TRIM(Input!E1993&amp;""),"%","")),0)/IF(AND(IFERROR(VALUE(SUBSTITUTE(TRIM(Input!E1993&amp;""),"%","")),0)&gt;0,IFERROR(VALUE(SUBSTITUTE(TRIM(Input!E1993&amp;""),"%","")),0)&lt;1),1,100))</f>
        <v/>
      </c>
      <c r="E1993" t="str">
        <f>IF(A1993="","",IFERROR(VALUE(SUBSTITUTE(TRIM(Input!F1993&amp;""),"%","")),0)/IF(AND(IFERROR(VALUE(SUBSTITUTE(TRIM(Input!F1993&amp;""),"%","")),0)&gt;0,IFERROR(VALUE(SUBSTITUTE(TRIM(Input!F1993&amp;""),"%","")),0)&lt;1),1,100))</f>
        <v/>
      </c>
      <c r="F1993" t="str">
        <f>IF(A1993="","",IFERROR(VALUE(SUBSTITUTE(TRIM(Input!G1993&amp;""),"%","")),0)/IF(AND(IFERROR(VALUE(SUBSTITUTE(TRIM(Input!G1993&amp;""),"%","")),0)&gt;0,IFERROR(VALUE(SUBSTITUTE(TRIM(Input!G1993&amp;""),"%","")),0)&lt;1),1,100))</f>
        <v/>
      </c>
      <c r="G1993" t="str">
        <f>IF(A1993="","",IFERROR(VALUE(SUBSTITUTE(TRIM(Input!H1993&amp;""),"%","")),0)/IF(AND(IFERROR(VALUE(SUBSTITUTE(TRIM(Input!H1993&amp;""),"%","")),0)&gt;0,IFERROR(VALUE(SUBSTITUTE(TRIM(Input!H1993&amp;""),"%","")),0)&lt;1),1,100))</f>
        <v/>
      </c>
      <c r="H1993" t="str">
        <f>IF(A1993="","",IFERROR(VALUE(SUBSTITUTE(TRIM(Input!I1993&amp;""),"%","")),0)/IF(AND(IFERROR(VALUE(SUBSTITUTE(TRIM(Input!I1993&amp;""),"%","")),0)&gt;0,IFERROR(VALUE(SUBSTITUTE(TRIM(Input!I1993&amp;""),"%","")),0)&lt;1),1,100))</f>
        <v/>
      </c>
    </row>
    <row r="1994" spans="1:8">
      <c r="A1994" t="str">
        <f>IF(TRIM(Input!B1994&amp;"")="","",UPPER(TRIM(Input!B1994&amp;"")))</f>
        <v/>
      </c>
      <c r="B1994" t="str">
        <f>IF(A1994="","",IFERROR(VALUE(RIGHT(TRIM(Input!D1994&amp;""),1)),0))</f>
        <v/>
      </c>
      <c r="C1994" t="str">
        <f t="shared" si="31"/>
        <v/>
      </c>
      <c r="D1994" t="str">
        <f>IF(A1994="","",IFERROR(VALUE(SUBSTITUTE(TRIM(Input!E1994&amp;""),"%","")),0)/IF(AND(IFERROR(VALUE(SUBSTITUTE(TRIM(Input!E1994&amp;""),"%","")),0)&gt;0,IFERROR(VALUE(SUBSTITUTE(TRIM(Input!E1994&amp;""),"%","")),0)&lt;1),1,100))</f>
        <v/>
      </c>
      <c r="E1994" t="str">
        <f>IF(A1994="","",IFERROR(VALUE(SUBSTITUTE(TRIM(Input!F1994&amp;""),"%","")),0)/IF(AND(IFERROR(VALUE(SUBSTITUTE(TRIM(Input!F1994&amp;""),"%","")),0)&gt;0,IFERROR(VALUE(SUBSTITUTE(TRIM(Input!F1994&amp;""),"%","")),0)&lt;1),1,100))</f>
        <v/>
      </c>
      <c r="F1994" t="str">
        <f>IF(A1994="","",IFERROR(VALUE(SUBSTITUTE(TRIM(Input!G1994&amp;""),"%","")),0)/IF(AND(IFERROR(VALUE(SUBSTITUTE(TRIM(Input!G1994&amp;""),"%","")),0)&gt;0,IFERROR(VALUE(SUBSTITUTE(TRIM(Input!G1994&amp;""),"%","")),0)&lt;1),1,100))</f>
        <v/>
      </c>
      <c r="G1994" t="str">
        <f>IF(A1994="","",IFERROR(VALUE(SUBSTITUTE(TRIM(Input!H1994&amp;""),"%","")),0)/IF(AND(IFERROR(VALUE(SUBSTITUTE(TRIM(Input!H1994&amp;""),"%","")),0)&gt;0,IFERROR(VALUE(SUBSTITUTE(TRIM(Input!H1994&amp;""),"%","")),0)&lt;1),1,100))</f>
        <v/>
      </c>
      <c r="H1994" t="str">
        <f>IF(A1994="","",IFERROR(VALUE(SUBSTITUTE(TRIM(Input!I1994&amp;""),"%","")),0)/IF(AND(IFERROR(VALUE(SUBSTITUTE(TRIM(Input!I1994&amp;""),"%","")),0)&gt;0,IFERROR(VALUE(SUBSTITUTE(TRIM(Input!I1994&amp;""),"%","")),0)&lt;1),1,100))</f>
        <v/>
      </c>
    </row>
    <row r="1995" spans="1:8">
      <c r="A1995" t="str">
        <f>IF(TRIM(Input!B1995&amp;"")="","",UPPER(TRIM(Input!B1995&amp;"")))</f>
        <v/>
      </c>
      <c r="B1995" t="str">
        <f>IF(A1995="","",IFERROR(VALUE(RIGHT(TRIM(Input!D1995&amp;""),1)),0))</f>
        <v/>
      </c>
      <c r="C1995" t="str">
        <f t="shared" si="31"/>
        <v/>
      </c>
      <c r="D1995" t="str">
        <f>IF(A1995="","",IFERROR(VALUE(SUBSTITUTE(TRIM(Input!E1995&amp;""),"%","")),0)/IF(AND(IFERROR(VALUE(SUBSTITUTE(TRIM(Input!E1995&amp;""),"%","")),0)&gt;0,IFERROR(VALUE(SUBSTITUTE(TRIM(Input!E1995&amp;""),"%","")),0)&lt;1),1,100))</f>
        <v/>
      </c>
      <c r="E1995" t="str">
        <f>IF(A1995="","",IFERROR(VALUE(SUBSTITUTE(TRIM(Input!F1995&amp;""),"%","")),0)/IF(AND(IFERROR(VALUE(SUBSTITUTE(TRIM(Input!F1995&amp;""),"%","")),0)&gt;0,IFERROR(VALUE(SUBSTITUTE(TRIM(Input!F1995&amp;""),"%","")),0)&lt;1),1,100))</f>
        <v/>
      </c>
      <c r="F1995" t="str">
        <f>IF(A1995="","",IFERROR(VALUE(SUBSTITUTE(TRIM(Input!G1995&amp;""),"%","")),0)/IF(AND(IFERROR(VALUE(SUBSTITUTE(TRIM(Input!G1995&amp;""),"%","")),0)&gt;0,IFERROR(VALUE(SUBSTITUTE(TRIM(Input!G1995&amp;""),"%","")),0)&lt;1),1,100))</f>
        <v/>
      </c>
      <c r="G1995" t="str">
        <f>IF(A1995="","",IFERROR(VALUE(SUBSTITUTE(TRIM(Input!H1995&amp;""),"%","")),0)/IF(AND(IFERROR(VALUE(SUBSTITUTE(TRIM(Input!H1995&amp;""),"%","")),0)&gt;0,IFERROR(VALUE(SUBSTITUTE(TRIM(Input!H1995&amp;""),"%","")),0)&lt;1),1,100))</f>
        <v/>
      </c>
      <c r="H1995" t="str">
        <f>IF(A1995="","",IFERROR(VALUE(SUBSTITUTE(TRIM(Input!I1995&amp;""),"%","")),0)/IF(AND(IFERROR(VALUE(SUBSTITUTE(TRIM(Input!I1995&amp;""),"%","")),0)&gt;0,IFERROR(VALUE(SUBSTITUTE(TRIM(Input!I1995&amp;""),"%","")),0)&lt;1),1,100))</f>
        <v/>
      </c>
    </row>
    <row r="1996" spans="1:8">
      <c r="A1996" t="str">
        <f>IF(TRIM(Input!B1996&amp;"")="","",UPPER(TRIM(Input!B1996&amp;"")))</f>
        <v/>
      </c>
      <c r="B1996" t="str">
        <f>IF(A1996="","",IFERROR(VALUE(RIGHT(TRIM(Input!D1996&amp;""),1)),0))</f>
        <v/>
      </c>
      <c r="C1996" t="str">
        <f t="shared" si="31"/>
        <v/>
      </c>
      <c r="D1996" t="str">
        <f>IF(A1996="","",IFERROR(VALUE(SUBSTITUTE(TRIM(Input!E1996&amp;""),"%","")),0)/IF(AND(IFERROR(VALUE(SUBSTITUTE(TRIM(Input!E1996&amp;""),"%","")),0)&gt;0,IFERROR(VALUE(SUBSTITUTE(TRIM(Input!E1996&amp;""),"%","")),0)&lt;1),1,100))</f>
        <v/>
      </c>
      <c r="E1996" t="str">
        <f>IF(A1996="","",IFERROR(VALUE(SUBSTITUTE(TRIM(Input!F1996&amp;""),"%","")),0)/IF(AND(IFERROR(VALUE(SUBSTITUTE(TRIM(Input!F1996&amp;""),"%","")),0)&gt;0,IFERROR(VALUE(SUBSTITUTE(TRIM(Input!F1996&amp;""),"%","")),0)&lt;1),1,100))</f>
        <v/>
      </c>
      <c r="F1996" t="str">
        <f>IF(A1996="","",IFERROR(VALUE(SUBSTITUTE(TRIM(Input!G1996&amp;""),"%","")),0)/IF(AND(IFERROR(VALUE(SUBSTITUTE(TRIM(Input!G1996&amp;""),"%","")),0)&gt;0,IFERROR(VALUE(SUBSTITUTE(TRIM(Input!G1996&amp;""),"%","")),0)&lt;1),1,100))</f>
        <v/>
      </c>
      <c r="G1996" t="str">
        <f>IF(A1996="","",IFERROR(VALUE(SUBSTITUTE(TRIM(Input!H1996&amp;""),"%","")),0)/IF(AND(IFERROR(VALUE(SUBSTITUTE(TRIM(Input!H1996&amp;""),"%","")),0)&gt;0,IFERROR(VALUE(SUBSTITUTE(TRIM(Input!H1996&amp;""),"%","")),0)&lt;1),1,100))</f>
        <v/>
      </c>
      <c r="H1996" t="str">
        <f>IF(A1996="","",IFERROR(VALUE(SUBSTITUTE(TRIM(Input!I1996&amp;""),"%","")),0)/IF(AND(IFERROR(VALUE(SUBSTITUTE(TRIM(Input!I1996&amp;""),"%","")),0)&gt;0,IFERROR(VALUE(SUBSTITUTE(TRIM(Input!I1996&amp;""),"%","")),0)&lt;1),1,100))</f>
        <v/>
      </c>
    </row>
    <row r="1997" spans="1:8">
      <c r="A1997" t="str">
        <f>IF(TRIM(Input!B1997&amp;"")="","",UPPER(TRIM(Input!B1997&amp;"")))</f>
        <v/>
      </c>
      <c r="B1997" t="str">
        <f>IF(A1997="","",IFERROR(VALUE(RIGHT(TRIM(Input!D1997&amp;""),1)),0))</f>
        <v/>
      </c>
      <c r="C1997" t="str">
        <f t="shared" si="31"/>
        <v/>
      </c>
      <c r="D1997" t="str">
        <f>IF(A1997="","",IFERROR(VALUE(SUBSTITUTE(TRIM(Input!E1997&amp;""),"%","")),0)/IF(AND(IFERROR(VALUE(SUBSTITUTE(TRIM(Input!E1997&amp;""),"%","")),0)&gt;0,IFERROR(VALUE(SUBSTITUTE(TRIM(Input!E1997&amp;""),"%","")),0)&lt;1),1,100))</f>
        <v/>
      </c>
      <c r="E1997" t="str">
        <f>IF(A1997="","",IFERROR(VALUE(SUBSTITUTE(TRIM(Input!F1997&amp;""),"%","")),0)/IF(AND(IFERROR(VALUE(SUBSTITUTE(TRIM(Input!F1997&amp;""),"%","")),0)&gt;0,IFERROR(VALUE(SUBSTITUTE(TRIM(Input!F1997&amp;""),"%","")),0)&lt;1),1,100))</f>
        <v/>
      </c>
      <c r="F1997" t="str">
        <f>IF(A1997="","",IFERROR(VALUE(SUBSTITUTE(TRIM(Input!G1997&amp;""),"%","")),0)/IF(AND(IFERROR(VALUE(SUBSTITUTE(TRIM(Input!G1997&amp;""),"%","")),0)&gt;0,IFERROR(VALUE(SUBSTITUTE(TRIM(Input!G1997&amp;""),"%","")),0)&lt;1),1,100))</f>
        <v/>
      </c>
      <c r="G1997" t="str">
        <f>IF(A1997="","",IFERROR(VALUE(SUBSTITUTE(TRIM(Input!H1997&amp;""),"%","")),0)/IF(AND(IFERROR(VALUE(SUBSTITUTE(TRIM(Input!H1997&amp;""),"%","")),0)&gt;0,IFERROR(VALUE(SUBSTITUTE(TRIM(Input!H1997&amp;""),"%","")),0)&lt;1),1,100))</f>
        <v/>
      </c>
      <c r="H1997" t="str">
        <f>IF(A1997="","",IFERROR(VALUE(SUBSTITUTE(TRIM(Input!I1997&amp;""),"%","")),0)/IF(AND(IFERROR(VALUE(SUBSTITUTE(TRIM(Input!I1997&amp;""),"%","")),0)&gt;0,IFERROR(VALUE(SUBSTITUTE(TRIM(Input!I1997&amp;""),"%","")),0)&lt;1),1,100))</f>
        <v/>
      </c>
    </row>
    <row r="1998" spans="1:8">
      <c r="A1998" t="str">
        <f>IF(TRIM(Input!B1998&amp;"")="","",UPPER(TRIM(Input!B1998&amp;"")))</f>
        <v/>
      </c>
      <c r="B1998" t="str">
        <f>IF(A1998="","",IFERROR(VALUE(RIGHT(TRIM(Input!D1998&amp;""),1)),0))</f>
        <v/>
      </c>
      <c r="C1998" t="str">
        <f t="shared" si="31"/>
        <v/>
      </c>
      <c r="D1998" t="str">
        <f>IF(A1998="","",IFERROR(VALUE(SUBSTITUTE(TRIM(Input!E1998&amp;""),"%","")),0)/IF(AND(IFERROR(VALUE(SUBSTITUTE(TRIM(Input!E1998&amp;""),"%","")),0)&gt;0,IFERROR(VALUE(SUBSTITUTE(TRIM(Input!E1998&amp;""),"%","")),0)&lt;1),1,100))</f>
        <v/>
      </c>
      <c r="E1998" t="str">
        <f>IF(A1998="","",IFERROR(VALUE(SUBSTITUTE(TRIM(Input!F1998&amp;""),"%","")),0)/IF(AND(IFERROR(VALUE(SUBSTITUTE(TRIM(Input!F1998&amp;""),"%","")),0)&gt;0,IFERROR(VALUE(SUBSTITUTE(TRIM(Input!F1998&amp;""),"%","")),0)&lt;1),1,100))</f>
        <v/>
      </c>
      <c r="F1998" t="str">
        <f>IF(A1998="","",IFERROR(VALUE(SUBSTITUTE(TRIM(Input!G1998&amp;""),"%","")),0)/IF(AND(IFERROR(VALUE(SUBSTITUTE(TRIM(Input!G1998&amp;""),"%","")),0)&gt;0,IFERROR(VALUE(SUBSTITUTE(TRIM(Input!G1998&amp;""),"%","")),0)&lt;1),1,100))</f>
        <v/>
      </c>
      <c r="G1998" t="str">
        <f>IF(A1998="","",IFERROR(VALUE(SUBSTITUTE(TRIM(Input!H1998&amp;""),"%","")),0)/IF(AND(IFERROR(VALUE(SUBSTITUTE(TRIM(Input!H1998&amp;""),"%","")),0)&gt;0,IFERROR(VALUE(SUBSTITUTE(TRIM(Input!H1998&amp;""),"%","")),0)&lt;1),1,100))</f>
        <v/>
      </c>
      <c r="H1998" t="str">
        <f>IF(A1998="","",IFERROR(VALUE(SUBSTITUTE(TRIM(Input!I1998&amp;""),"%","")),0)/IF(AND(IFERROR(VALUE(SUBSTITUTE(TRIM(Input!I1998&amp;""),"%","")),0)&gt;0,IFERROR(VALUE(SUBSTITUTE(TRIM(Input!I1998&amp;""),"%","")),0)&lt;1),1,100))</f>
        <v/>
      </c>
    </row>
    <row r="1999" spans="1:8">
      <c r="A1999" t="str">
        <f>IF(TRIM(Input!B1999&amp;"")="","",UPPER(TRIM(Input!B1999&amp;"")))</f>
        <v/>
      </c>
      <c r="B1999" t="str">
        <f>IF(A1999="","",IFERROR(VALUE(RIGHT(TRIM(Input!D1999&amp;""),1)),0))</f>
        <v/>
      </c>
      <c r="C1999" t="str">
        <f t="shared" si="31"/>
        <v/>
      </c>
      <c r="D1999" t="str">
        <f>IF(A1999="","",IFERROR(VALUE(SUBSTITUTE(TRIM(Input!E1999&amp;""),"%","")),0)/IF(AND(IFERROR(VALUE(SUBSTITUTE(TRIM(Input!E1999&amp;""),"%","")),0)&gt;0,IFERROR(VALUE(SUBSTITUTE(TRIM(Input!E1999&amp;""),"%","")),0)&lt;1),1,100))</f>
        <v/>
      </c>
      <c r="E1999" t="str">
        <f>IF(A1999="","",IFERROR(VALUE(SUBSTITUTE(TRIM(Input!F1999&amp;""),"%","")),0)/IF(AND(IFERROR(VALUE(SUBSTITUTE(TRIM(Input!F1999&amp;""),"%","")),0)&gt;0,IFERROR(VALUE(SUBSTITUTE(TRIM(Input!F1999&amp;""),"%","")),0)&lt;1),1,100))</f>
        <v/>
      </c>
      <c r="F1999" t="str">
        <f>IF(A1999="","",IFERROR(VALUE(SUBSTITUTE(TRIM(Input!G1999&amp;""),"%","")),0)/IF(AND(IFERROR(VALUE(SUBSTITUTE(TRIM(Input!G1999&amp;""),"%","")),0)&gt;0,IFERROR(VALUE(SUBSTITUTE(TRIM(Input!G1999&amp;""),"%","")),0)&lt;1),1,100))</f>
        <v/>
      </c>
      <c r="G1999" t="str">
        <f>IF(A1999="","",IFERROR(VALUE(SUBSTITUTE(TRIM(Input!H1999&amp;""),"%","")),0)/IF(AND(IFERROR(VALUE(SUBSTITUTE(TRIM(Input!H1999&amp;""),"%","")),0)&gt;0,IFERROR(VALUE(SUBSTITUTE(TRIM(Input!H1999&amp;""),"%","")),0)&lt;1),1,100))</f>
        <v/>
      </c>
      <c r="H1999" t="str">
        <f>IF(A1999="","",IFERROR(VALUE(SUBSTITUTE(TRIM(Input!I1999&amp;""),"%","")),0)/IF(AND(IFERROR(VALUE(SUBSTITUTE(TRIM(Input!I1999&amp;""),"%","")),0)&gt;0,IFERROR(VALUE(SUBSTITUTE(TRIM(Input!I1999&amp;""),"%","")),0)&lt;1),1,100))</f>
        <v/>
      </c>
    </row>
    <row r="2000" spans="1:8">
      <c r="A2000" t="str">
        <f>IF(TRIM(Input!B2000&amp;"")="","",UPPER(TRIM(Input!B2000&amp;"")))</f>
        <v/>
      </c>
      <c r="B2000" t="str">
        <f>IF(A2000="","",IFERROR(VALUE(RIGHT(TRIM(Input!D2000&amp;""),1)),0))</f>
        <v/>
      </c>
      <c r="C2000" t="str">
        <f t="shared" si="31"/>
        <v/>
      </c>
      <c r="D2000" t="str">
        <f>IF(A2000="","",IFERROR(VALUE(SUBSTITUTE(TRIM(Input!E2000&amp;""),"%","")),0)/IF(AND(IFERROR(VALUE(SUBSTITUTE(TRIM(Input!E2000&amp;""),"%","")),0)&gt;0,IFERROR(VALUE(SUBSTITUTE(TRIM(Input!E2000&amp;""),"%","")),0)&lt;1),1,100))</f>
        <v/>
      </c>
      <c r="E2000" t="str">
        <f>IF(A2000="","",IFERROR(VALUE(SUBSTITUTE(TRIM(Input!F2000&amp;""),"%","")),0)/IF(AND(IFERROR(VALUE(SUBSTITUTE(TRIM(Input!F2000&amp;""),"%","")),0)&gt;0,IFERROR(VALUE(SUBSTITUTE(TRIM(Input!F2000&amp;""),"%","")),0)&lt;1),1,100))</f>
        <v/>
      </c>
      <c r="F2000" t="str">
        <f>IF(A2000="","",IFERROR(VALUE(SUBSTITUTE(TRIM(Input!G2000&amp;""),"%","")),0)/IF(AND(IFERROR(VALUE(SUBSTITUTE(TRIM(Input!G2000&amp;""),"%","")),0)&gt;0,IFERROR(VALUE(SUBSTITUTE(TRIM(Input!G2000&amp;""),"%","")),0)&lt;1),1,100))</f>
        <v/>
      </c>
      <c r="G2000" t="str">
        <f>IF(A2000="","",IFERROR(VALUE(SUBSTITUTE(TRIM(Input!H2000&amp;""),"%","")),0)/IF(AND(IFERROR(VALUE(SUBSTITUTE(TRIM(Input!H2000&amp;""),"%","")),0)&gt;0,IFERROR(VALUE(SUBSTITUTE(TRIM(Input!H2000&amp;""),"%","")),0)&lt;1),1,100))</f>
        <v/>
      </c>
      <c r="H2000" t="str">
        <f>IF(A2000="","",IFERROR(VALUE(SUBSTITUTE(TRIM(Input!I2000&amp;""),"%","")),0)/IF(AND(IFERROR(VALUE(SUBSTITUTE(TRIM(Input!I2000&amp;""),"%","")),0)&gt;0,IFERROR(VALUE(SUBSTITUTE(TRIM(Input!I2000&amp;""),"%","")),0)&lt;1),1,100))</f>
        <v/>
      </c>
    </row>
    <row r="2001" spans="1:8">
      <c r="A2001" t="str">
        <f>IF(TRIM(Input!B2001&amp;"")="","",UPPER(TRIM(Input!B2001&amp;"")))</f>
        <v/>
      </c>
      <c r="B2001" t="str">
        <f>IF(A2001="","",IFERROR(VALUE(RIGHT(TRIM(Input!D2001&amp;""),1)),0))</f>
        <v/>
      </c>
      <c r="C2001" t="str">
        <f t="shared" si="31"/>
        <v/>
      </c>
      <c r="D2001" t="str">
        <f>IF(A2001="","",IFERROR(VALUE(SUBSTITUTE(TRIM(Input!E2001&amp;""),"%","")),0)/IF(AND(IFERROR(VALUE(SUBSTITUTE(TRIM(Input!E2001&amp;""),"%","")),0)&gt;0,IFERROR(VALUE(SUBSTITUTE(TRIM(Input!E2001&amp;""),"%","")),0)&lt;1),1,100))</f>
        <v/>
      </c>
      <c r="E2001" t="str">
        <f>IF(A2001="","",IFERROR(VALUE(SUBSTITUTE(TRIM(Input!F2001&amp;""),"%","")),0)/IF(AND(IFERROR(VALUE(SUBSTITUTE(TRIM(Input!F2001&amp;""),"%","")),0)&gt;0,IFERROR(VALUE(SUBSTITUTE(TRIM(Input!F2001&amp;""),"%","")),0)&lt;1),1,100))</f>
        <v/>
      </c>
      <c r="F2001" t="str">
        <f>IF(A2001="","",IFERROR(VALUE(SUBSTITUTE(TRIM(Input!G2001&amp;""),"%","")),0)/IF(AND(IFERROR(VALUE(SUBSTITUTE(TRIM(Input!G2001&amp;""),"%","")),0)&gt;0,IFERROR(VALUE(SUBSTITUTE(TRIM(Input!G2001&amp;""),"%","")),0)&lt;1),1,100))</f>
        <v/>
      </c>
      <c r="G2001" t="str">
        <f>IF(A2001="","",IFERROR(VALUE(SUBSTITUTE(TRIM(Input!H2001&amp;""),"%","")),0)/IF(AND(IFERROR(VALUE(SUBSTITUTE(TRIM(Input!H2001&amp;""),"%","")),0)&gt;0,IFERROR(VALUE(SUBSTITUTE(TRIM(Input!H2001&amp;""),"%","")),0)&lt;1),1,100))</f>
        <v/>
      </c>
      <c r="H2001" t="str">
        <f>IF(A2001="","",IFERROR(VALUE(SUBSTITUTE(TRIM(Input!I2001&amp;""),"%","")),0)/IF(AND(IFERROR(VALUE(SUBSTITUTE(TRIM(Input!I2001&amp;""),"%","")),0)&gt;0,IFERROR(VALUE(SUBSTITUTE(TRIM(Input!I2001&amp;""),"%","")),0)&lt;1),1,100))</f>
        <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AE65"/>
  <sheetViews>
    <sheetView zoomScaleNormal="100" workbookViewId="0"/>
  </sheetViews>
  <sheetFormatPr defaultColWidth="8.7109375" defaultRowHeight="14.45"/>
  <sheetData>
    <row r="5" spans="1:31">
      <c r="A5" t="s">
        <v>521</v>
      </c>
      <c r="B5" t="s">
        <v>643</v>
      </c>
      <c r="C5" t="s">
        <v>644</v>
      </c>
      <c r="D5" t="s">
        <v>645</v>
      </c>
      <c r="E5" t="s">
        <v>646</v>
      </c>
      <c r="F5" t="s">
        <v>647</v>
      </c>
      <c r="G5" t="s">
        <v>648</v>
      </c>
      <c r="H5" t="s">
        <v>649</v>
      </c>
      <c r="I5" t="s">
        <v>650</v>
      </c>
      <c r="J5" t="s">
        <v>651</v>
      </c>
      <c r="K5" t="s">
        <v>652</v>
      </c>
      <c r="L5" t="s">
        <v>653</v>
      </c>
      <c r="M5" t="s">
        <v>654</v>
      </c>
      <c r="N5" t="s">
        <v>655</v>
      </c>
      <c r="O5" t="s">
        <v>656</v>
      </c>
      <c r="P5" t="s">
        <v>657</v>
      </c>
      <c r="Q5" t="s">
        <v>658</v>
      </c>
      <c r="R5" t="s">
        <v>659</v>
      </c>
      <c r="S5" t="s">
        <v>660</v>
      </c>
      <c r="T5" t="s">
        <v>661</v>
      </c>
      <c r="U5" t="s">
        <v>662</v>
      </c>
      <c r="V5" t="s">
        <v>663</v>
      </c>
      <c r="W5" t="s">
        <v>664</v>
      </c>
      <c r="X5" t="s">
        <v>665</v>
      </c>
      <c r="Y5" t="s">
        <v>666</v>
      </c>
      <c r="Z5" t="s">
        <v>667</v>
      </c>
      <c r="AA5" t="s">
        <v>668</v>
      </c>
      <c r="AB5" t="s">
        <v>669</v>
      </c>
      <c r="AC5" t="s">
        <v>670</v>
      </c>
      <c r="AD5" t="s">
        <v>671</v>
      </c>
      <c r="AE5" t="s">
        <v>672</v>
      </c>
    </row>
    <row r="6" spans="1:31">
      <c r="A6" t="str">
        <f>Perhitungan!A6</f>
        <v>P01</v>
      </c>
      <c r="B6">
        <f>IF(ISNUMBER(Perhitungan!AS6),1-Perhitungan!AS6/MAX(Perhitungan!$AR6:AS6),0)</f>
        <v>0</v>
      </c>
      <c r="C6">
        <f>IF(ISNUMBER(Perhitungan!AT6),1-Perhitungan!AT6/MAX(Perhitungan!$AR6:AT6),0)</f>
        <v>0</v>
      </c>
      <c r="D6">
        <f>IF(ISNUMBER(Perhitungan!AU6),1-Perhitungan!AU6/MAX(Perhitungan!$AR6:AU6),0)</f>
        <v>0</v>
      </c>
      <c r="E6">
        <f>IF(ISNUMBER(Perhitungan!AV6),1-Perhitungan!AV6/MAX(Perhitungan!$AR6:AV6),0)</f>
        <v>0</v>
      </c>
      <c r="F6">
        <f>IF(ISNUMBER(Perhitungan!AW6),1-Perhitungan!AW6/MAX(Perhitungan!$AR6:AW6),0)</f>
        <v>0</v>
      </c>
      <c r="G6">
        <f>IF(ISNUMBER(Perhitungan!AX6),1-Perhitungan!AX6/MAX(Perhitungan!$AR6:AX6),0)</f>
        <v>0</v>
      </c>
      <c r="H6">
        <f>IF(ISNUMBER(Perhitungan!AY6),1-Perhitungan!AY6/MAX(Perhitungan!$AR6:AY6),0)</f>
        <v>0</v>
      </c>
      <c r="I6">
        <f>IF(ISNUMBER(Perhitungan!AZ6),1-Perhitungan!AZ6/MAX(Perhitungan!$AR6:AZ6),0)</f>
        <v>0</v>
      </c>
      <c r="J6">
        <f>IF(ISNUMBER(Perhitungan!BA6),1-Perhitungan!BA6/MAX(Perhitungan!$AR6:BA6),0)</f>
        <v>0</v>
      </c>
      <c r="K6">
        <f>IF(ISNUMBER(Perhitungan!BB6),1-Perhitungan!BB6/MAX(Perhitungan!$AR6:BB6),0)</f>
        <v>0</v>
      </c>
      <c r="L6">
        <f>IF(ISNUMBER(Perhitungan!BC6),1-Perhitungan!BC6/MAX(Perhitungan!$AR6:BC6),0)</f>
        <v>0</v>
      </c>
      <c r="M6">
        <f>IF(ISNUMBER(Perhitungan!BD6),1-Perhitungan!BD6/MAX(Perhitungan!$AR6:BD6),0)</f>
        <v>0</v>
      </c>
      <c r="N6">
        <f>IF(ISNUMBER(Perhitungan!BE6),1-Perhitungan!BE6/MAX(Perhitungan!$AR6:BE6),0)</f>
        <v>0</v>
      </c>
      <c r="O6">
        <f>IF(ISNUMBER(Perhitungan!BF6),1-Perhitungan!BF6/MAX(Perhitungan!$AR6:BF6),0)</f>
        <v>0</v>
      </c>
      <c r="P6">
        <f>IF(ISNUMBER(Perhitungan!BG6),1-Perhitungan!BG6/MAX(Perhitungan!$AR6:BG6),0)</f>
        <v>0</v>
      </c>
      <c r="Q6">
        <f>IF(ISNUMBER(Perhitungan!BH6),1-Perhitungan!BH6/MAX(Perhitungan!$AR6:BH6),0)</f>
        <v>0</v>
      </c>
      <c r="R6">
        <f>IF(ISNUMBER(Perhitungan!BI6),1-Perhitungan!BI6/MAX(Perhitungan!$AR6:BI6),0)</f>
        <v>0</v>
      </c>
      <c r="S6">
        <f>IF(ISNUMBER(Perhitungan!BJ6),1-Perhitungan!BJ6/MAX(Perhitungan!$AR6:BJ6),0)</f>
        <v>0</v>
      </c>
      <c r="T6">
        <f>IF(ISNUMBER(Perhitungan!BK6),1-Perhitungan!BK6/MAX(Perhitungan!$AR6:BK6),0)</f>
        <v>0</v>
      </c>
      <c r="U6">
        <f>IF(ISNUMBER(Perhitungan!BL6),1-Perhitungan!BL6/MAX(Perhitungan!$AR6:BL6),0)</f>
        <v>0</v>
      </c>
      <c r="V6">
        <f>IF(ISNUMBER(Perhitungan!BM6),1-Perhitungan!BM6/MAX(Perhitungan!$AR6:BM6),0)</f>
        <v>0</v>
      </c>
      <c r="W6">
        <f>IF(ISNUMBER(Perhitungan!BN6),1-Perhitungan!BN6/MAX(Perhitungan!$AR6:BN6),0)</f>
        <v>0</v>
      </c>
      <c r="X6">
        <f>IF(ISNUMBER(Perhitungan!BO6),1-Perhitungan!BO6/MAX(Perhitungan!$AR6:BO6),0)</f>
        <v>0</v>
      </c>
      <c r="Y6">
        <f>IF(ISNUMBER(Perhitungan!BP6),1-Perhitungan!BP6/MAX(Perhitungan!$AR6:BP6),0)</f>
        <v>0</v>
      </c>
      <c r="Z6">
        <f>IF(ISNUMBER(Perhitungan!BQ6),1-Perhitungan!BQ6/MAX(Perhitungan!$AR6:BQ6),0)</f>
        <v>0</v>
      </c>
      <c r="AA6">
        <f>IF(ISNUMBER(Perhitungan!BR6),1-Perhitungan!BR6/MAX(Perhitungan!$AR6:BR6),0)</f>
        <v>0</v>
      </c>
      <c r="AB6">
        <f>IF(ISNUMBER(Perhitungan!BS6),1-Perhitungan!BS6/MAX(Perhitungan!$AR6:BS6),0)</f>
        <v>0</v>
      </c>
      <c r="AC6">
        <f>IF(ISNUMBER(Perhitungan!BT6),1-Perhitungan!BT6/MAX(Perhitungan!$AR6:BT6),0)</f>
        <v>0</v>
      </c>
      <c r="AD6">
        <f>IF(ISNUMBER(Perhitungan!BU6),1-Perhitungan!BU6/MAX(Perhitungan!$AR6:BU6),0)</f>
        <v>0</v>
      </c>
      <c r="AE6">
        <f>IF(ISNUMBER(Perhitungan!BV6),1-Perhitungan!BV6/MAX(Perhitungan!$AR6:BV6),0)</f>
        <v>0</v>
      </c>
    </row>
    <row r="7" spans="1:31">
      <c r="A7" t="str">
        <f>Perhitungan!A7</f>
        <v>P02</v>
      </c>
      <c r="B7">
        <f>IF(ISNUMBER(Perhitungan!AS7),1-Perhitungan!AS7/MAX(Perhitungan!$AR7:AS7),0)</f>
        <v>0</v>
      </c>
      <c r="C7">
        <f>IF(ISNUMBER(Perhitungan!AT7),1-Perhitungan!AT7/MAX(Perhitungan!$AR7:AT7),0)</f>
        <v>2.5182500000000552E-3</v>
      </c>
      <c r="D7">
        <f>IF(ISNUMBER(Perhitungan!AU7),1-Perhitungan!AU7/MAX(Perhitungan!$AR7:AU7),0)</f>
        <v>0</v>
      </c>
      <c r="E7">
        <f>IF(ISNUMBER(Perhitungan!AV7),1-Perhitungan!AV7/MAX(Perhitungan!$AR7:AV7),0)</f>
        <v>0</v>
      </c>
      <c r="F7">
        <f>IF(ISNUMBER(Perhitungan!AW7),1-Perhitungan!AW7/MAX(Perhitungan!$AR7:AW7),0)</f>
        <v>0</v>
      </c>
      <c r="G7">
        <f>IF(ISNUMBER(Perhitungan!AX7),1-Perhitungan!AX7/MAX(Perhitungan!$AR7:AX7),0)</f>
        <v>0</v>
      </c>
      <c r="H7">
        <f>IF(ISNUMBER(Perhitungan!AY7),1-Perhitungan!AY7/MAX(Perhitungan!$AR7:AY7),0)</f>
        <v>0</v>
      </c>
      <c r="I7">
        <f>IF(ISNUMBER(Perhitungan!AZ7),1-Perhitungan!AZ7/MAX(Perhitungan!$AR7:AZ7),0)</f>
        <v>0</v>
      </c>
      <c r="J7">
        <f>IF(ISNUMBER(Perhitungan!BA7),1-Perhitungan!BA7/MAX(Perhitungan!$AR7:BA7),0)</f>
        <v>0</v>
      </c>
      <c r="K7">
        <f>IF(ISNUMBER(Perhitungan!BB7),1-Perhitungan!BB7/MAX(Perhitungan!$AR7:BB7),0)</f>
        <v>0</v>
      </c>
      <c r="L7">
        <f>IF(ISNUMBER(Perhitungan!BC7),1-Perhitungan!BC7/MAX(Perhitungan!$AR7:BC7),0)</f>
        <v>0</v>
      </c>
      <c r="M7">
        <f>IF(ISNUMBER(Perhitungan!BD7),1-Perhitungan!BD7/MAX(Perhitungan!$AR7:BD7),0)</f>
        <v>0</v>
      </c>
      <c r="N7">
        <f>IF(ISNUMBER(Perhitungan!BE7),1-Perhitungan!BE7/MAX(Perhitungan!$AR7:BE7),0)</f>
        <v>0</v>
      </c>
      <c r="O7">
        <f>IF(ISNUMBER(Perhitungan!BF7),1-Perhitungan!BF7/MAX(Perhitungan!$AR7:BF7),0)</f>
        <v>0</v>
      </c>
      <c r="P7">
        <f>IF(ISNUMBER(Perhitungan!BG7),1-Perhitungan!BG7/MAX(Perhitungan!$AR7:BG7),0)</f>
        <v>0</v>
      </c>
      <c r="Q7">
        <f>IF(ISNUMBER(Perhitungan!BH7),1-Perhitungan!BH7/MAX(Perhitungan!$AR7:BH7),0)</f>
        <v>0</v>
      </c>
      <c r="R7">
        <f>IF(ISNUMBER(Perhitungan!BI7),1-Perhitungan!BI7/MAX(Perhitungan!$AR7:BI7),0)</f>
        <v>0</v>
      </c>
      <c r="S7">
        <f>IF(ISNUMBER(Perhitungan!BJ7),1-Perhitungan!BJ7/MAX(Perhitungan!$AR7:BJ7),0)</f>
        <v>0</v>
      </c>
      <c r="T7">
        <f>IF(ISNUMBER(Perhitungan!BK7),1-Perhitungan!BK7/MAX(Perhitungan!$AR7:BK7),0)</f>
        <v>0</v>
      </c>
      <c r="U7">
        <f>IF(ISNUMBER(Perhitungan!BL7),1-Perhitungan!BL7/MAX(Perhitungan!$AR7:BL7),0)</f>
        <v>0</v>
      </c>
      <c r="V7">
        <f>IF(ISNUMBER(Perhitungan!BM7),1-Perhitungan!BM7/MAX(Perhitungan!$AR7:BM7),0)</f>
        <v>0</v>
      </c>
      <c r="W7">
        <f>IF(ISNUMBER(Perhitungan!BN7),1-Perhitungan!BN7/MAX(Perhitungan!$AR7:BN7),0)</f>
        <v>0</v>
      </c>
      <c r="X7">
        <f>IF(ISNUMBER(Perhitungan!BO7),1-Perhitungan!BO7/MAX(Perhitungan!$AR7:BO7),0)</f>
        <v>0</v>
      </c>
      <c r="Y7">
        <f>IF(ISNUMBER(Perhitungan!BP7),1-Perhitungan!BP7/MAX(Perhitungan!$AR7:BP7),0)</f>
        <v>0</v>
      </c>
      <c r="Z7">
        <f>IF(ISNUMBER(Perhitungan!BQ7),1-Perhitungan!BQ7/MAX(Perhitungan!$AR7:BQ7),0)</f>
        <v>0</v>
      </c>
      <c r="AA7">
        <f>IF(ISNUMBER(Perhitungan!BR7),1-Perhitungan!BR7/MAX(Perhitungan!$AR7:BR7),0)</f>
        <v>0</v>
      </c>
      <c r="AB7">
        <f>IF(ISNUMBER(Perhitungan!BS7),1-Perhitungan!BS7/MAX(Perhitungan!$AR7:BS7),0)</f>
        <v>0</v>
      </c>
      <c r="AC7">
        <f>IF(ISNUMBER(Perhitungan!BT7),1-Perhitungan!BT7/MAX(Perhitungan!$AR7:BT7),0)</f>
        <v>0</v>
      </c>
      <c r="AD7">
        <f>IF(ISNUMBER(Perhitungan!BU7),1-Perhitungan!BU7/MAX(Perhitungan!$AR7:BU7),0)</f>
        <v>0</v>
      </c>
      <c r="AE7">
        <f>IF(ISNUMBER(Perhitungan!BV7),1-Perhitungan!BV7/MAX(Perhitungan!$AR7:BV7),0)</f>
        <v>0</v>
      </c>
    </row>
    <row r="8" spans="1:31">
      <c r="A8" t="str">
        <f>Perhitungan!A8</f>
        <v>P03</v>
      </c>
      <c r="B8">
        <f>IF(ISNUMBER(Perhitungan!AS8),1-Perhitungan!AS8/MAX(Perhitungan!$AR8:AS8),0)</f>
        <v>0</v>
      </c>
      <c r="C8">
        <f>IF(ISNUMBER(Perhitungan!AT8),1-Perhitungan!AT8/MAX(Perhitungan!$AR8:AT8),0)</f>
        <v>0</v>
      </c>
      <c r="D8">
        <f>IF(ISNUMBER(Perhitungan!AU8),1-Perhitungan!AU8/MAX(Perhitungan!$AR8:AU8),0)</f>
        <v>0</v>
      </c>
      <c r="E8">
        <f>IF(ISNUMBER(Perhitungan!AV8),1-Perhitungan!AV8/MAX(Perhitungan!$AR8:AV8),0)</f>
        <v>0</v>
      </c>
      <c r="F8">
        <f>IF(ISNUMBER(Perhitungan!AW8),1-Perhitungan!AW8/MAX(Perhitungan!$AR8:AW8),0)</f>
        <v>0</v>
      </c>
      <c r="G8">
        <f>IF(ISNUMBER(Perhitungan!AX8),1-Perhitungan!AX8/MAX(Perhitungan!$AR8:AX8),0)</f>
        <v>0</v>
      </c>
      <c r="H8">
        <f>IF(ISNUMBER(Perhitungan!AY8),1-Perhitungan!AY8/MAX(Perhitungan!$AR8:AY8),0)</f>
        <v>0</v>
      </c>
      <c r="I8">
        <f>IF(ISNUMBER(Perhitungan!AZ8),1-Perhitungan!AZ8/MAX(Perhitungan!$AR8:AZ8),0)</f>
        <v>0</v>
      </c>
      <c r="J8">
        <f>IF(ISNUMBER(Perhitungan!BA8),1-Perhitungan!BA8/MAX(Perhitungan!$AR8:BA8),0)</f>
        <v>0</v>
      </c>
      <c r="K8">
        <f>IF(ISNUMBER(Perhitungan!BB8),1-Perhitungan!BB8/MAX(Perhitungan!$AR8:BB8),0)</f>
        <v>0</v>
      </c>
      <c r="L8">
        <f>IF(ISNUMBER(Perhitungan!BC8),1-Perhitungan!BC8/MAX(Perhitungan!$AR8:BC8),0)</f>
        <v>0</v>
      </c>
      <c r="M8">
        <f>IF(ISNUMBER(Perhitungan!BD8),1-Perhitungan!BD8/MAX(Perhitungan!$AR8:BD8),0)</f>
        <v>0</v>
      </c>
      <c r="N8">
        <f>IF(ISNUMBER(Perhitungan!BE8),1-Perhitungan!BE8/MAX(Perhitungan!$AR8:BE8),0)</f>
        <v>0</v>
      </c>
      <c r="O8">
        <f>IF(ISNUMBER(Perhitungan!BF8),1-Perhitungan!BF8/MAX(Perhitungan!$AR8:BF8),0)</f>
        <v>0</v>
      </c>
      <c r="P8">
        <f>IF(ISNUMBER(Perhitungan!BG8),1-Perhitungan!BG8/MAX(Perhitungan!$AR8:BG8),0)</f>
        <v>0</v>
      </c>
      <c r="Q8">
        <f>IF(ISNUMBER(Perhitungan!BH8),1-Perhitungan!BH8/MAX(Perhitungan!$AR8:BH8),0)</f>
        <v>0</v>
      </c>
      <c r="R8">
        <f>IF(ISNUMBER(Perhitungan!BI8),1-Perhitungan!BI8/MAX(Perhitungan!$AR8:BI8),0)</f>
        <v>0</v>
      </c>
      <c r="S8">
        <f>IF(ISNUMBER(Perhitungan!BJ8),1-Perhitungan!BJ8/MAX(Perhitungan!$AR8:BJ8),0)</f>
        <v>0</v>
      </c>
      <c r="T8">
        <f>IF(ISNUMBER(Perhitungan!BK8),1-Perhitungan!BK8/MAX(Perhitungan!$AR8:BK8),0)</f>
        <v>0</v>
      </c>
      <c r="U8">
        <f>IF(ISNUMBER(Perhitungan!BL8),1-Perhitungan!BL8/MAX(Perhitungan!$AR8:BL8),0)</f>
        <v>0</v>
      </c>
      <c r="V8">
        <f>IF(ISNUMBER(Perhitungan!BM8),1-Perhitungan!BM8/MAX(Perhitungan!$AR8:BM8),0)</f>
        <v>0</v>
      </c>
      <c r="W8">
        <f>IF(ISNUMBER(Perhitungan!BN8),1-Perhitungan!BN8/MAX(Perhitungan!$AR8:BN8),0)</f>
        <v>0</v>
      </c>
      <c r="X8">
        <f>IF(ISNUMBER(Perhitungan!BO8),1-Perhitungan!BO8/MAX(Perhitungan!$AR8:BO8),0)</f>
        <v>0</v>
      </c>
      <c r="Y8">
        <f>IF(ISNUMBER(Perhitungan!BP8),1-Perhitungan!BP8/MAX(Perhitungan!$AR8:BP8),0)</f>
        <v>0</v>
      </c>
      <c r="Z8">
        <f>IF(ISNUMBER(Perhitungan!BQ8),1-Perhitungan!BQ8/MAX(Perhitungan!$AR8:BQ8),0)</f>
        <v>0</v>
      </c>
      <c r="AA8">
        <f>IF(ISNUMBER(Perhitungan!BR8),1-Perhitungan!BR8/MAX(Perhitungan!$AR8:BR8),0)</f>
        <v>0</v>
      </c>
      <c r="AB8">
        <f>IF(ISNUMBER(Perhitungan!BS8),1-Perhitungan!BS8/MAX(Perhitungan!$AR8:BS8),0)</f>
        <v>0</v>
      </c>
      <c r="AC8">
        <f>IF(ISNUMBER(Perhitungan!BT8),1-Perhitungan!BT8/MAX(Perhitungan!$AR8:BT8),0)</f>
        <v>0</v>
      </c>
      <c r="AD8">
        <f>IF(ISNUMBER(Perhitungan!BU8),1-Perhitungan!BU8/MAX(Perhitungan!$AR8:BU8),0)</f>
        <v>0</v>
      </c>
      <c r="AE8">
        <f>IF(ISNUMBER(Perhitungan!BV8),1-Perhitungan!BV8/MAX(Perhitungan!$AR8:BV8),0)</f>
        <v>0</v>
      </c>
    </row>
    <row r="9" spans="1:31">
      <c r="A9" t="str">
        <f>Perhitungan!A9</f>
        <v>P04</v>
      </c>
      <c r="B9">
        <f>IF(ISNUMBER(Perhitungan!AS9),1-Perhitungan!AS9/MAX(Perhitungan!$AR9:AS9),0)</f>
        <v>0</v>
      </c>
      <c r="C9">
        <f>IF(ISNUMBER(Perhitungan!AT9),1-Perhitungan!AT9/MAX(Perhitungan!$AR9:AT9),0)</f>
        <v>0</v>
      </c>
      <c r="D9">
        <f>IF(ISNUMBER(Perhitungan!AU9),1-Perhitungan!AU9/MAX(Perhitungan!$AR9:AU9),0)</f>
        <v>0</v>
      </c>
      <c r="E9">
        <f>IF(ISNUMBER(Perhitungan!AV9),1-Perhitungan!AV9/MAX(Perhitungan!$AR9:AV9),0)</f>
        <v>0</v>
      </c>
      <c r="F9">
        <f>IF(ISNUMBER(Perhitungan!AW9),1-Perhitungan!AW9/MAX(Perhitungan!$AR9:AW9),0)</f>
        <v>0</v>
      </c>
      <c r="G9">
        <f>IF(ISNUMBER(Perhitungan!AX9),1-Perhitungan!AX9/MAX(Perhitungan!$AR9:AX9),0)</f>
        <v>0</v>
      </c>
      <c r="H9">
        <f>IF(ISNUMBER(Perhitungan!AY9),1-Perhitungan!AY9/MAX(Perhitungan!$AR9:AY9),0)</f>
        <v>0</v>
      </c>
      <c r="I9">
        <f>IF(ISNUMBER(Perhitungan!AZ9),1-Perhitungan!AZ9/MAX(Perhitungan!$AR9:AZ9),0)</f>
        <v>0</v>
      </c>
      <c r="J9">
        <f>IF(ISNUMBER(Perhitungan!BA9),1-Perhitungan!BA9/MAX(Perhitungan!$AR9:BA9),0)</f>
        <v>0</v>
      </c>
      <c r="K9">
        <f>IF(ISNUMBER(Perhitungan!BB9),1-Perhitungan!BB9/MAX(Perhitungan!$AR9:BB9),0)</f>
        <v>0</v>
      </c>
      <c r="L9">
        <f>IF(ISNUMBER(Perhitungan!BC9),1-Perhitungan!BC9/MAX(Perhitungan!$AR9:BC9),0)</f>
        <v>0</v>
      </c>
      <c r="M9">
        <f>IF(ISNUMBER(Perhitungan!BD9),1-Perhitungan!BD9/MAX(Perhitungan!$AR9:BD9),0)</f>
        <v>0</v>
      </c>
      <c r="N9">
        <f>IF(ISNUMBER(Perhitungan!BE9),1-Perhitungan!BE9/MAX(Perhitungan!$AR9:BE9),0)</f>
        <v>0</v>
      </c>
      <c r="O9">
        <f>IF(ISNUMBER(Perhitungan!BF9),1-Perhitungan!BF9/MAX(Perhitungan!$AR9:BF9),0)</f>
        <v>0</v>
      </c>
      <c r="P9">
        <f>IF(ISNUMBER(Perhitungan!BG9),1-Perhitungan!BG9/MAX(Perhitungan!$AR9:BG9),0)</f>
        <v>0</v>
      </c>
      <c r="Q9">
        <f>IF(ISNUMBER(Perhitungan!BH9),1-Perhitungan!BH9/MAX(Perhitungan!$AR9:BH9),0)</f>
        <v>0</v>
      </c>
      <c r="R9">
        <f>IF(ISNUMBER(Perhitungan!BI9),1-Perhitungan!BI9/MAX(Perhitungan!$AR9:BI9),0)</f>
        <v>0</v>
      </c>
      <c r="S9">
        <f>IF(ISNUMBER(Perhitungan!BJ9),1-Perhitungan!BJ9/MAX(Perhitungan!$AR9:BJ9),0)</f>
        <v>0</v>
      </c>
      <c r="T9">
        <f>IF(ISNUMBER(Perhitungan!BK9),1-Perhitungan!BK9/MAX(Perhitungan!$AR9:BK9),0)</f>
        <v>0</v>
      </c>
      <c r="U9">
        <f>IF(ISNUMBER(Perhitungan!BL9),1-Perhitungan!BL9/MAX(Perhitungan!$AR9:BL9),0)</f>
        <v>0</v>
      </c>
      <c r="V9">
        <f>IF(ISNUMBER(Perhitungan!BM9),1-Perhitungan!BM9/MAX(Perhitungan!$AR9:BM9),0)</f>
        <v>0</v>
      </c>
      <c r="W9">
        <f>IF(ISNUMBER(Perhitungan!BN9),1-Perhitungan!BN9/MAX(Perhitungan!$AR9:BN9),0)</f>
        <v>0</v>
      </c>
      <c r="X9">
        <f>IF(ISNUMBER(Perhitungan!BO9),1-Perhitungan!BO9/MAX(Perhitungan!$AR9:BO9),0)</f>
        <v>0</v>
      </c>
      <c r="Y9">
        <f>IF(ISNUMBER(Perhitungan!BP9),1-Perhitungan!BP9/MAX(Perhitungan!$AR9:BP9),0)</f>
        <v>0</v>
      </c>
      <c r="Z9">
        <f>IF(ISNUMBER(Perhitungan!BQ9),1-Perhitungan!BQ9/MAX(Perhitungan!$AR9:BQ9),0)</f>
        <v>0</v>
      </c>
      <c r="AA9">
        <f>IF(ISNUMBER(Perhitungan!BR9),1-Perhitungan!BR9/MAX(Perhitungan!$AR9:BR9),0)</f>
        <v>0</v>
      </c>
      <c r="AB9">
        <f>IF(ISNUMBER(Perhitungan!BS9),1-Perhitungan!BS9/MAX(Perhitungan!$AR9:BS9),0)</f>
        <v>0</v>
      </c>
      <c r="AC9">
        <f>IF(ISNUMBER(Perhitungan!BT9),1-Perhitungan!BT9/MAX(Perhitungan!$AR9:BT9),0)</f>
        <v>0</v>
      </c>
      <c r="AD9">
        <f>IF(ISNUMBER(Perhitungan!BU9),1-Perhitungan!BU9/MAX(Perhitungan!$AR9:BU9),0)</f>
        <v>0</v>
      </c>
      <c r="AE9">
        <f>IF(ISNUMBER(Perhitungan!BV9),1-Perhitungan!BV9/MAX(Perhitungan!$AR9:BV9),0)</f>
        <v>0</v>
      </c>
    </row>
    <row r="10" spans="1:31">
      <c r="A10" t="str">
        <f>Perhitungan!A10</f>
        <v>P05</v>
      </c>
      <c r="B10">
        <f>IF(ISNUMBER(Perhitungan!AS10),1-Perhitungan!AS10/MAX(Perhitungan!$AR10:AS10),0)</f>
        <v>0</v>
      </c>
      <c r="C10">
        <f>IF(ISNUMBER(Perhitungan!AT10),1-Perhitungan!AT10/MAX(Perhitungan!$AR10:AT10),0)</f>
        <v>0</v>
      </c>
      <c r="D10">
        <f>IF(ISNUMBER(Perhitungan!AU10),1-Perhitungan!AU10/MAX(Perhitungan!$AR10:AU10),0)</f>
        <v>0</v>
      </c>
      <c r="E10">
        <f>IF(ISNUMBER(Perhitungan!AV10),1-Perhitungan!AV10/MAX(Perhitungan!$AR10:AV10),0)</f>
        <v>0</v>
      </c>
      <c r="F10">
        <f>IF(ISNUMBER(Perhitungan!AW10),1-Perhitungan!AW10/MAX(Perhitungan!$AR10:AW10),0)</f>
        <v>0</v>
      </c>
      <c r="G10">
        <f>IF(ISNUMBER(Perhitungan!AX10),1-Perhitungan!AX10/MAX(Perhitungan!$AR10:AX10),0)</f>
        <v>0</v>
      </c>
      <c r="H10">
        <f>IF(ISNUMBER(Perhitungan!AY10),1-Perhitungan!AY10/MAX(Perhitungan!$AR10:AY10),0)</f>
        <v>0</v>
      </c>
      <c r="I10">
        <f>IF(ISNUMBER(Perhitungan!AZ10),1-Perhitungan!AZ10/MAX(Perhitungan!$AR10:AZ10),0)</f>
        <v>0</v>
      </c>
      <c r="J10">
        <f>IF(ISNUMBER(Perhitungan!BA10),1-Perhitungan!BA10/MAX(Perhitungan!$AR10:BA10),0)</f>
        <v>0</v>
      </c>
      <c r="K10">
        <f>IF(ISNUMBER(Perhitungan!BB10),1-Perhitungan!BB10/MAX(Perhitungan!$AR10:BB10),0)</f>
        <v>0</v>
      </c>
      <c r="L10">
        <f>IF(ISNUMBER(Perhitungan!BC10),1-Perhitungan!BC10/MAX(Perhitungan!$AR10:BC10),0)</f>
        <v>0</v>
      </c>
      <c r="M10">
        <f>IF(ISNUMBER(Perhitungan!BD10),1-Perhitungan!BD10/MAX(Perhitungan!$AR10:BD10),0)</f>
        <v>0</v>
      </c>
      <c r="N10">
        <f>IF(ISNUMBER(Perhitungan!BE10),1-Perhitungan!BE10/MAX(Perhitungan!$AR10:BE10),0)</f>
        <v>0</v>
      </c>
      <c r="O10">
        <f>IF(ISNUMBER(Perhitungan!BF10),1-Perhitungan!BF10/MAX(Perhitungan!$AR10:BF10),0)</f>
        <v>0</v>
      </c>
      <c r="P10">
        <f>IF(ISNUMBER(Perhitungan!BG10),1-Perhitungan!BG10/MAX(Perhitungan!$AR10:BG10),0)</f>
        <v>0</v>
      </c>
      <c r="Q10">
        <f>IF(ISNUMBER(Perhitungan!BH10),1-Perhitungan!BH10/MAX(Perhitungan!$AR10:BH10),0)</f>
        <v>0</v>
      </c>
      <c r="R10">
        <f>IF(ISNUMBER(Perhitungan!BI10),1-Perhitungan!BI10/MAX(Perhitungan!$AR10:BI10),0)</f>
        <v>0</v>
      </c>
      <c r="S10">
        <f>IF(ISNUMBER(Perhitungan!BJ10),1-Perhitungan!BJ10/MAX(Perhitungan!$AR10:BJ10),0)</f>
        <v>0</v>
      </c>
      <c r="T10">
        <f>IF(ISNUMBER(Perhitungan!BK10),1-Perhitungan!BK10/MAX(Perhitungan!$AR10:BK10),0)</f>
        <v>0</v>
      </c>
      <c r="U10">
        <f>IF(ISNUMBER(Perhitungan!BL10),1-Perhitungan!BL10/MAX(Perhitungan!$AR10:BL10),0)</f>
        <v>0</v>
      </c>
      <c r="V10">
        <f>IF(ISNUMBER(Perhitungan!BM10),1-Perhitungan!BM10/MAX(Perhitungan!$AR10:BM10),0)</f>
        <v>0</v>
      </c>
      <c r="W10">
        <f>IF(ISNUMBER(Perhitungan!BN10),1-Perhitungan!BN10/MAX(Perhitungan!$AR10:BN10),0)</f>
        <v>0</v>
      </c>
      <c r="X10">
        <f>IF(ISNUMBER(Perhitungan!BO10),1-Perhitungan!BO10/MAX(Perhitungan!$AR10:BO10),0)</f>
        <v>0</v>
      </c>
      <c r="Y10">
        <f>IF(ISNUMBER(Perhitungan!BP10),1-Perhitungan!BP10/MAX(Perhitungan!$AR10:BP10),0)</f>
        <v>0</v>
      </c>
      <c r="Z10">
        <f>IF(ISNUMBER(Perhitungan!BQ10),1-Perhitungan!BQ10/MAX(Perhitungan!$AR10:BQ10),0)</f>
        <v>0</v>
      </c>
      <c r="AA10">
        <f>IF(ISNUMBER(Perhitungan!BR10),1-Perhitungan!BR10/MAX(Perhitungan!$AR10:BR10),0)</f>
        <v>0</v>
      </c>
      <c r="AB10">
        <f>IF(ISNUMBER(Perhitungan!BS10),1-Perhitungan!BS10/MAX(Perhitungan!$AR10:BS10),0)</f>
        <v>0</v>
      </c>
      <c r="AC10">
        <f>IF(ISNUMBER(Perhitungan!BT10),1-Perhitungan!BT10/MAX(Perhitungan!$AR10:BT10),0)</f>
        <v>0</v>
      </c>
      <c r="AD10">
        <f>IF(ISNUMBER(Perhitungan!BU10),1-Perhitungan!BU10/MAX(Perhitungan!$AR10:BU10),0)</f>
        <v>0</v>
      </c>
      <c r="AE10">
        <f>IF(ISNUMBER(Perhitungan!BV10),1-Perhitungan!BV10/MAX(Perhitungan!$AR10:BV10),0)</f>
        <v>0</v>
      </c>
    </row>
    <row r="11" spans="1:31">
      <c r="A11" t="str">
        <f>Perhitungan!A11</f>
        <v>P06</v>
      </c>
      <c r="B11">
        <f>IF(ISNUMBER(Perhitungan!AS11),1-Perhitungan!AS11/MAX(Perhitungan!$AR11:AS11),0)</f>
        <v>0</v>
      </c>
      <c r="C11">
        <f>IF(ISNUMBER(Perhitungan!AT11),1-Perhitungan!AT11/MAX(Perhitungan!$AR11:AT11),0)</f>
        <v>0</v>
      </c>
      <c r="D11">
        <f>IF(ISNUMBER(Perhitungan!AU11),1-Perhitungan!AU11/MAX(Perhitungan!$AR11:AU11),0)</f>
        <v>0</v>
      </c>
      <c r="E11">
        <f>IF(ISNUMBER(Perhitungan!AV11),1-Perhitungan!AV11/MAX(Perhitungan!$AR11:AV11),0)</f>
        <v>0</v>
      </c>
      <c r="F11">
        <f>IF(ISNUMBER(Perhitungan!AW11),1-Perhitungan!AW11/MAX(Perhitungan!$AR11:AW11),0)</f>
        <v>0</v>
      </c>
      <c r="G11">
        <f>IF(ISNUMBER(Perhitungan!AX11),1-Perhitungan!AX11/MAX(Perhitungan!$AR11:AX11),0)</f>
        <v>0</v>
      </c>
      <c r="H11">
        <f>IF(ISNUMBER(Perhitungan!AY11),1-Perhitungan!AY11/MAX(Perhitungan!$AR11:AY11),0)</f>
        <v>0</v>
      </c>
      <c r="I11">
        <f>IF(ISNUMBER(Perhitungan!AZ11),1-Perhitungan!AZ11/MAX(Perhitungan!$AR11:AZ11),0)</f>
        <v>0</v>
      </c>
      <c r="J11">
        <f>IF(ISNUMBER(Perhitungan!BA11),1-Perhitungan!BA11/MAX(Perhitungan!$AR11:BA11),0)</f>
        <v>0</v>
      </c>
      <c r="K11">
        <f>IF(ISNUMBER(Perhitungan!BB11),1-Perhitungan!BB11/MAX(Perhitungan!$AR11:BB11),0)</f>
        <v>0</v>
      </c>
      <c r="L11">
        <f>IF(ISNUMBER(Perhitungan!BC11),1-Perhitungan!BC11/MAX(Perhitungan!$AR11:BC11),0)</f>
        <v>0</v>
      </c>
      <c r="M11">
        <f>IF(ISNUMBER(Perhitungan!BD11),1-Perhitungan!BD11/MAX(Perhitungan!$AR11:BD11),0)</f>
        <v>0</v>
      </c>
      <c r="N11">
        <f>IF(ISNUMBER(Perhitungan!BE11),1-Perhitungan!BE11/MAX(Perhitungan!$AR11:BE11),0)</f>
        <v>0</v>
      </c>
      <c r="O11">
        <f>IF(ISNUMBER(Perhitungan!BF11),1-Perhitungan!BF11/MAX(Perhitungan!$AR11:BF11),0)</f>
        <v>0</v>
      </c>
      <c r="P11">
        <f>IF(ISNUMBER(Perhitungan!BG11),1-Perhitungan!BG11/MAX(Perhitungan!$AR11:BG11),0)</f>
        <v>0</v>
      </c>
      <c r="Q11">
        <f>IF(ISNUMBER(Perhitungan!BH11),1-Perhitungan!BH11/MAX(Perhitungan!$AR11:BH11),0)</f>
        <v>0</v>
      </c>
      <c r="R11">
        <f>IF(ISNUMBER(Perhitungan!BI11),1-Perhitungan!BI11/MAX(Perhitungan!$AR11:BI11),0)</f>
        <v>0</v>
      </c>
      <c r="S11">
        <f>IF(ISNUMBER(Perhitungan!BJ11),1-Perhitungan!BJ11/MAX(Perhitungan!$AR11:BJ11),0)</f>
        <v>0</v>
      </c>
      <c r="T11">
        <f>IF(ISNUMBER(Perhitungan!BK11),1-Perhitungan!BK11/MAX(Perhitungan!$AR11:BK11),0)</f>
        <v>0</v>
      </c>
      <c r="U11">
        <f>IF(ISNUMBER(Perhitungan!BL11),1-Perhitungan!BL11/MAX(Perhitungan!$AR11:BL11),0)</f>
        <v>0</v>
      </c>
      <c r="V11">
        <f>IF(ISNUMBER(Perhitungan!BM11),1-Perhitungan!BM11/MAX(Perhitungan!$AR11:BM11),0)</f>
        <v>0</v>
      </c>
      <c r="W11">
        <f>IF(ISNUMBER(Perhitungan!BN11),1-Perhitungan!BN11/MAX(Perhitungan!$AR11:BN11),0)</f>
        <v>0</v>
      </c>
      <c r="X11">
        <f>IF(ISNUMBER(Perhitungan!BO11),1-Perhitungan!BO11/MAX(Perhitungan!$AR11:BO11),0)</f>
        <v>0</v>
      </c>
      <c r="Y11">
        <f>IF(ISNUMBER(Perhitungan!BP11),1-Perhitungan!BP11/MAX(Perhitungan!$AR11:BP11),0)</f>
        <v>0</v>
      </c>
      <c r="Z11">
        <f>IF(ISNUMBER(Perhitungan!BQ11),1-Perhitungan!BQ11/MAX(Perhitungan!$AR11:BQ11),0)</f>
        <v>0</v>
      </c>
      <c r="AA11">
        <f>IF(ISNUMBER(Perhitungan!BR11),1-Perhitungan!BR11/MAX(Perhitungan!$AR11:BR11),0)</f>
        <v>0</v>
      </c>
      <c r="AB11">
        <f>IF(ISNUMBER(Perhitungan!BS11),1-Perhitungan!BS11/MAX(Perhitungan!$AR11:BS11),0)</f>
        <v>0</v>
      </c>
      <c r="AC11">
        <f>IF(ISNUMBER(Perhitungan!BT11),1-Perhitungan!BT11/MAX(Perhitungan!$AR11:BT11),0)</f>
        <v>0</v>
      </c>
      <c r="AD11">
        <f>IF(ISNUMBER(Perhitungan!BU11),1-Perhitungan!BU11/MAX(Perhitungan!$AR11:BU11),0)</f>
        <v>0</v>
      </c>
      <c r="AE11">
        <f>IF(ISNUMBER(Perhitungan!BV11),1-Perhitungan!BV11/MAX(Perhitungan!$AR11:BV11),0)</f>
        <v>0</v>
      </c>
    </row>
    <row r="12" spans="1:31">
      <c r="A12" t="str">
        <f>Perhitungan!A12</f>
        <v>P07</v>
      </c>
      <c r="B12">
        <f>IF(ISNUMBER(Perhitungan!AS12),1-Perhitungan!AS12/MAX(Perhitungan!$AR12:AS12),0)</f>
        <v>0</v>
      </c>
      <c r="C12">
        <f>IF(ISNUMBER(Perhitungan!AT12),1-Perhitungan!AT12/MAX(Perhitungan!$AR12:AT12),0)</f>
        <v>0</v>
      </c>
      <c r="D12">
        <f>IF(ISNUMBER(Perhitungan!AU12),1-Perhitungan!AU12/MAX(Perhitungan!$AR12:AU12),0)</f>
        <v>0</v>
      </c>
      <c r="E12">
        <f>IF(ISNUMBER(Perhitungan!AV12),1-Perhitungan!AV12/MAX(Perhitungan!$AR12:AV12),0)</f>
        <v>0</v>
      </c>
      <c r="F12">
        <f>IF(ISNUMBER(Perhitungan!AW12),1-Perhitungan!AW12/MAX(Perhitungan!$AR12:AW12),0)</f>
        <v>0</v>
      </c>
      <c r="G12">
        <f>IF(ISNUMBER(Perhitungan!AX12),1-Perhitungan!AX12/MAX(Perhitungan!$AR12:AX12),0)</f>
        <v>0</v>
      </c>
      <c r="H12">
        <f>IF(ISNUMBER(Perhitungan!AY12),1-Perhitungan!AY12/MAX(Perhitungan!$AR12:AY12),0)</f>
        <v>0</v>
      </c>
      <c r="I12">
        <f>IF(ISNUMBER(Perhitungan!AZ12),1-Perhitungan!AZ12/MAX(Perhitungan!$AR12:AZ12),0)</f>
        <v>0</v>
      </c>
      <c r="J12">
        <f>IF(ISNUMBER(Perhitungan!BA12),1-Perhitungan!BA12/MAX(Perhitungan!$AR12:BA12),0)</f>
        <v>0</v>
      </c>
      <c r="K12">
        <f>IF(ISNUMBER(Perhitungan!BB12),1-Perhitungan!BB12/MAX(Perhitungan!$AR12:BB12),0)</f>
        <v>0</v>
      </c>
      <c r="L12">
        <f>IF(ISNUMBER(Perhitungan!BC12),1-Perhitungan!BC12/MAX(Perhitungan!$AR12:BC12),0)</f>
        <v>0</v>
      </c>
      <c r="M12">
        <f>IF(ISNUMBER(Perhitungan!BD12),1-Perhitungan!BD12/MAX(Perhitungan!$AR12:BD12),0)</f>
        <v>0</v>
      </c>
      <c r="N12">
        <f>IF(ISNUMBER(Perhitungan!BE12),1-Perhitungan!BE12/MAX(Perhitungan!$AR12:BE12),0)</f>
        <v>0</v>
      </c>
      <c r="O12">
        <f>IF(ISNUMBER(Perhitungan!BF12),1-Perhitungan!BF12/MAX(Perhitungan!$AR12:BF12),0)</f>
        <v>0</v>
      </c>
      <c r="P12">
        <f>IF(ISNUMBER(Perhitungan!BG12),1-Perhitungan!BG12/MAX(Perhitungan!$AR12:BG12),0)</f>
        <v>0</v>
      </c>
      <c r="Q12">
        <f>IF(ISNUMBER(Perhitungan!BH12),1-Perhitungan!BH12/MAX(Perhitungan!$AR12:BH12),0)</f>
        <v>0</v>
      </c>
      <c r="R12">
        <f>IF(ISNUMBER(Perhitungan!BI12),1-Perhitungan!BI12/MAX(Perhitungan!$AR12:BI12),0)</f>
        <v>0</v>
      </c>
      <c r="S12">
        <f>IF(ISNUMBER(Perhitungan!BJ12),1-Perhitungan!BJ12/MAX(Perhitungan!$AR12:BJ12),0)</f>
        <v>0</v>
      </c>
      <c r="T12">
        <f>IF(ISNUMBER(Perhitungan!BK12),1-Perhitungan!BK12/MAX(Perhitungan!$AR12:BK12),0)</f>
        <v>0</v>
      </c>
      <c r="U12">
        <f>IF(ISNUMBER(Perhitungan!BL12),1-Perhitungan!BL12/MAX(Perhitungan!$AR12:BL12),0)</f>
        <v>0</v>
      </c>
      <c r="V12">
        <f>IF(ISNUMBER(Perhitungan!BM12),1-Perhitungan!BM12/MAX(Perhitungan!$AR12:BM12),0)</f>
        <v>0</v>
      </c>
      <c r="W12">
        <f>IF(ISNUMBER(Perhitungan!BN12),1-Perhitungan!BN12/MAX(Perhitungan!$AR12:BN12),0)</f>
        <v>0</v>
      </c>
      <c r="X12">
        <f>IF(ISNUMBER(Perhitungan!BO12),1-Perhitungan!BO12/MAX(Perhitungan!$AR12:BO12),0)</f>
        <v>0</v>
      </c>
      <c r="Y12">
        <f>IF(ISNUMBER(Perhitungan!BP12),1-Perhitungan!BP12/MAX(Perhitungan!$AR12:BP12),0)</f>
        <v>0</v>
      </c>
      <c r="Z12">
        <f>IF(ISNUMBER(Perhitungan!BQ12),1-Perhitungan!BQ12/MAX(Perhitungan!$AR12:BQ12),0)</f>
        <v>0</v>
      </c>
      <c r="AA12">
        <f>IF(ISNUMBER(Perhitungan!BR12),1-Perhitungan!BR12/MAX(Perhitungan!$AR12:BR12),0)</f>
        <v>0</v>
      </c>
      <c r="AB12">
        <f>IF(ISNUMBER(Perhitungan!BS12),1-Perhitungan!BS12/MAX(Perhitungan!$AR12:BS12),0)</f>
        <v>0</v>
      </c>
      <c r="AC12">
        <f>IF(ISNUMBER(Perhitungan!BT12),1-Perhitungan!BT12/MAX(Perhitungan!$AR12:BT12),0)</f>
        <v>0</v>
      </c>
      <c r="AD12">
        <f>IF(ISNUMBER(Perhitungan!BU12),1-Perhitungan!BU12/MAX(Perhitungan!$AR12:BU12),0)</f>
        <v>0</v>
      </c>
      <c r="AE12">
        <f>IF(ISNUMBER(Perhitungan!BV12),1-Perhitungan!BV12/MAX(Perhitungan!$AR12:BV12),0)</f>
        <v>0</v>
      </c>
    </row>
    <row r="13" spans="1:31">
      <c r="A13" t="str">
        <f>Perhitungan!A13</f>
        <v>P08</v>
      </c>
      <c r="B13">
        <f>IF(ISNUMBER(Perhitungan!AS13),1-Perhitungan!AS13/MAX(Perhitungan!$AR13:AS13),0)</f>
        <v>0</v>
      </c>
      <c r="C13">
        <f>IF(ISNUMBER(Perhitungan!AT13),1-Perhitungan!AT13/MAX(Perhitungan!$AR13:AT13),0)</f>
        <v>0</v>
      </c>
      <c r="D13">
        <f>IF(ISNUMBER(Perhitungan!AU13),1-Perhitungan!AU13/MAX(Perhitungan!$AR13:AU13),0)</f>
        <v>0</v>
      </c>
      <c r="E13">
        <f>IF(ISNUMBER(Perhitungan!AV13),1-Perhitungan!AV13/MAX(Perhitungan!$AR13:AV13),0)</f>
        <v>0</v>
      </c>
      <c r="F13">
        <f>IF(ISNUMBER(Perhitungan!AW13),1-Perhitungan!AW13/MAX(Perhitungan!$AR13:AW13),0)</f>
        <v>0</v>
      </c>
      <c r="G13">
        <f>IF(ISNUMBER(Perhitungan!AX13),1-Perhitungan!AX13/MAX(Perhitungan!$AR13:AX13),0)</f>
        <v>0</v>
      </c>
      <c r="H13">
        <f>IF(ISNUMBER(Perhitungan!AY13),1-Perhitungan!AY13/MAX(Perhitungan!$AR13:AY13),0)</f>
        <v>0</v>
      </c>
      <c r="I13">
        <f>IF(ISNUMBER(Perhitungan!AZ13),1-Perhitungan!AZ13/MAX(Perhitungan!$AR13:AZ13),0)</f>
        <v>0</v>
      </c>
      <c r="J13">
        <f>IF(ISNUMBER(Perhitungan!BA13),1-Perhitungan!BA13/MAX(Perhitungan!$AR13:BA13),0)</f>
        <v>0</v>
      </c>
      <c r="K13">
        <f>IF(ISNUMBER(Perhitungan!BB13),1-Perhitungan!BB13/MAX(Perhitungan!$AR13:BB13),0)</f>
        <v>0</v>
      </c>
      <c r="L13">
        <f>IF(ISNUMBER(Perhitungan!BC13),1-Perhitungan!BC13/MAX(Perhitungan!$AR13:BC13),0)</f>
        <v>0</v>
      </c>
      <c r="M13">
        <f>IF(ISNUMBER(Perhitungan!BD13),1-Perhitungan!BD13/MAX(Perhitungan!$AR13:BD13),0)</f>
        <v>0</v>
      </c>
      <c r="N13">
        <f>IF(ISNUMBER(Perhitungan!BE13),1-Perhitungan!BE13/MAX(Perhitungan!$AR13:BE13),0)</f>
        <v>0</v>
      </c>
      <c r="O13">
        <f>IF(ISNUMBER(Perhitungan!BF13),1-Perhitungan!BF13/MAX(Perhitungan!$AR13:BF13),0)</f>
        <v>0</v>
      </c>
      <c r="P13">
        <f>IF(ISNUMBER(Perhitungan!BG13),1-Perhitungan!BG13/MAX(Perhitungan!$AR13:BG13),0)</f>
        <v>0</v>
      </c>
      <c r="Q13">
        <f>IF(ISNUMBER(Perhitungan!BH13),1-Perhitungan!BH13/MAX(Perhitungan!$AR13:BH13),0)</f>
        <v>0</v>
      </c>
      <c r="R13">
        <f>IF(ISNUMBER(Perhitungan!BI13),1-Perhitungan!BI13/MAX(Perhitungan!$AR13:BI13),0)</f>
        <v>0</v>
      </c>
      <c r="S13">
        <f>IF(ISNUMBER(Perhitungan!BJ13),1-Perhitungan!BJ13/MAX(Perhitungan!$AR13:BJ13),0)</f>
        <v>0</v>
      </c>
      <c r="T13">
        <f>IF(ISNUMBER(Perhitungan!BK13),1-Perhitungan!BK13/MAX(Perhitungan!$AR13:BK13),0)</f>
        <v>0</v>
      </c>
      <c r="U13">
        <f>IF(ISNUMBER(Perhitungan!BL13),1-Perhitungan!BL13/MAX(Perhitungan!$AR13:BL13),0)</f>
        <v>0</v>
      </c>
      <c r="V13">
        <f>IF(ISNUMBER(Perhitungan!BM13),1-Perhitungan!BM13/MAX(Perhitungan!$AR13:BM13),0)</f>
        <v>0</v>
      </c>
      <c r="W13">
        <f>IF(ISNUMBER(Perhitungan!BN13),1-Perhitungan!BN13/MAX(Perhitungan!$AR13:BN13),0)</f>
        <v>0</v>
      </c>
      <c r="X13">
        <f>IF(ISNUMBER(Perhitungan!BO13),1-Perhitungan!BO13/MAX(Perhitungan!$AR13:BO13),0)</f>
        <v>0</v>
      </c>
      <c r="Y13">
        <f>IF(ISNUMBER(Perhitungan!BP13),1-Perhitungan!BP13/MAX(Perhitungan!$AR13:BP13),0)</f>
        <v>0</v>
      </c>
      <c r="Z13">
        <f>IF(ISNUMBER(Perhitungan!BQ13),1-Perhitungan!BQ13/MAX(Perhitungan!$AR13:BQ13),0)</f>
        <v>0</v>
      </c>
      <c r="AA13">
        <f>IF(ISNUMBER(Perhitungan!BR13),1-Perhitungan!BR13/MAX(Perhitungan!$AR13:BR13),0)</f>
        <v>0</v>
      </c>
      <c r="AB13">
        <f>IF(ISNUMBER(Perhitungan!BS13),1-Perhitungan!BS13/MAX(Perhitungan!$AR13:BS13),0)</f>
        <v>0</v>
      </c>
      <c r="AC13">
        <f>IF(ISNUMBER(Perhitungan!BT13),1-Perhitungan!BT13/MAX(Perhitungan!$AR13:BT13),0)</f>
        <v>0</v>
      </c>
      <c r="AD13">
        <f>IF(ISNUMBER(Perhitungan!BU13),1-Perhitungan!BU13/MAX(Perhitungan!$AR13:BU13),0)</f>
        <v>0</v>
      </c>
      <c r="AE13">
        <f>IF(ISNUMBER(Perhitungan!BV13),1-Perhitungan!BV13/MAX(Perhitungan!$AR13:BV13),0)</f>
        <v>0</v>
      </c>
    </row>
    <row r="14" spans="1:31">
      <c r="A14" t="str">
        <f>Perhitungan!A14</f>
        <v>P09</v>
      </c>
      <c r="B14">
        <f>IF(ISNUMBER(Perhitungan!AS14),1-Perhitungan!AS14/MAX(Perhitungan!$AR14:AS14),0)</f>
        <v>0</v>
      </c>
      <c r="C14">
        <f>IF(ISNUMBER(Perhitungan!AT14),1-Perhitungan!AT14/MAX(Perhitungan!$AR14:AT14),0)</f>
        <v>0</v>
      </c>
      <c r="D14">
        <f>IF(ISNUMBER(Perhitungan!AU14),1-Perhitungan!AU14/MAX(Perhitungan!$AR14:AU14),0)</f>
        <v>0</v>
      </c>
      <c r="E14">
        <f>IF(ISNUMBER(Perhitungan!AV14),1-Perhitungan!AV14/MAX(Perhitungan!$AR14:AV14),0)</f>
        <v>0</v>
      </c>
      <c r="F14">
        <f>IF(ISNUMBER(Perhitungan!AW14),1-Perhitungan!AW14/MAX(Perhitungan!$AR14:AW14),0)</f>
        <v>0</v>
      </c>
      <c r="G14">
        <f>IF(ISNUMBER(Perhitungan!AX14),1-Perhitungan!AX14/MAX(Perhitungan!$AR14:AX14),0)</f>
        <v>0</v>
      </c>
      <c r="H14">
        <f>IF(ISNUMBER(Perhitungan!AY14),1-Perhitungan!AY14/MAX(Perhitungan!$AR14:AY14),0)</f>
        <v>0</v>
      </c>
      <c r="I14">
        <f>IF(ISNUMBER(Perhitungan!AZ14),1-Perhitungan!AZ14/MAX(Perhitungan!$AR14:AZ14),0)</f>
        <v>0</v>
      </c>
      <c r="J14">
        <f>IF(ISNUMBER(Perhitungan!BA14),1-Perhitungan!BA14/MAX(Perhitungan!$AR14:BA14),0)</f>
        <v>0</v>
      </c>
      <c r="K14">
        <f>IF(ISNUMBER(Perhitungan!BB14),1-Perhitungan!BB14/MAX(Perhitungan!$AR14:BB14),0)</f>
        <v>0</v>
      </c>
      <c r="L14">
        <f>IF(ISNUMBER(Perhitungan!BC14),1-Perhitungan!BC14/MAX(Perhitungan!$AR14:BC14),0)</f>
        <v>0</v>
      </c>
      <c r="M14">
        <f>IF(ISNUMBER(Perhitungan!BD14),1-Perhitungan!BD14/MAX(Perhitungan!$AR14:BD14),0)</f>
        <v>0</v>
      </c>
      <c r="N14">
        <f>IF(ISNUMBER(Perhitungan!BE14),1-Perhitungan!BE14/MAX(Perhitungan!$AR14:BE14),0)</f>
        <v>0</v>
      </c>
      <c r="O14">
        <f>IF(ISNUMBER(Perhitungan!BF14),1-Perhitungan!BF14/MAX(Perhitungan!$AR14:BF14),0)</f>
        <v>0</v>
      </c>
      <c r="P14">
        <f>IF(ISNUMBER(Perhitungan!BG14),1-Perhitungan!BG14/MAX(Perhitungan!$AR14:BG14),0)</f>
        <v>0</v>
      </c>
      <c r="Q14">
        <f>IF(ISNUMBER(Perhitungan!BH14),1-Perhitungan!BH14/MAX(Perhitungan!$AR14:BH14),0)</f>
        <v>0</v>
      </c>
      <c r="R14">
        <f>IF(ISNUMBER(Perhitungan!BI14),1-Perhitungan!BI14/MAX(Perhitungan!$AR14:BI14),0)</f>
        <v>0</v>
      </c>
      <c r="S14">
        <f>IF(ISNUMBER(Perhitungan!BJ14),1-Perhitungan!BJ14/MAX(Perhitungan!$AR14:BJ14),0)</f>
        <v>0</v>
      </c>
      <c r="T14">
        <f>IF(ISNUMBER(Perhitungan!BK14),1-Perhitungan!BK14/MAX(Perhitungan!$AR14:BK14),0)</f>
        <v>0</v>
      </c>
      <c r="U14">
        <f>IF(ISNUMBER(Perhitungan!BL14),1-Perhitungan!BL14/MAX(Perhitungan!$AR14:BL14),0)</f>
        <v>0</v>
      </c>
      <c r="V14">
        <f>IF(ISNUMBER(Perhitungan!BM14),1-Perhitungan!BM14/MAX(Perhitungan!$AR14:BM14),0)</f>
        <v>0</v>
      </c>
      <c r="W14">
        <f>IF(ISNUMBER(Perhitungan!BN14),1-Perhitungan!BN14/MAX(Perhitungan!$AR14:BN14),0)</f>
        <v>0</v>
      </c>
      <c r="X14">
        <f>IF(ISNUMBER(Perhitungan!BO14),1-Perhitungan!BO14/MAX(Perhitungan!$AR14:BO14),0)</f>
        <v>0</v>
      </c>
      <c r="Y14">
        <f>IF(ISNUMBER(Perhitungan!BP14),1-Perhitungan!BP14/MAX(Perhitungan!$AR14:BP14),0)</f>
        <v>0</v>
      </c>
      <c r="Z14">
        <f>IF(ISNUMBER(Perhitungan!BQ14),1-Perhitungan!BQ14/MAX(Perhitungan!$AR14:BQ14),0)</f>
        <v>0</v>
      </c>
      <c r="AA14">
        <f>IF(ISNUMBER(Perhitungan!BR14),1-Perhitungan!BR14/MAX(Perhitungan!$AR14:BR14),0)</f>
        <v>0</v>
      </c>
      <c r="AB14">
        <f>IF(ISNUMBER(Perhitungan!BS14),1-Perhitungan!BS14/MAX(Perhitungan!$AR14:BS14),0)</f>
        <v>0</v>
      </c>
      <c r="AC14">
        <f>IF(ISNUMBER(Perhitungan!BT14),1-Perhitungan!BT14/MAX(Perhitungan!$AR14:BT14),0)</f>
        <v>0</v>
      </c>
      <c r="AD14">
        <f>IF(ISNUMBER(Perhitungan!BU14),1-Perhitungan!BU14/MAX(Perhitungan!$AR14:BU14),0)</f>
        <v>0</v>
      </c>
      <c r="AE14">
        <f>IF(ISNUMBER(Perhitungan!BV14),1-Perhitungan!BV14/MAX(Perhitungan!$AR14:BV14),0)</f>
        <v>0</v>
      </c>
    </row>
    <row r="15" spans="1:31">
      <c r="A15" t="str">
        <f>Perhitungan!A15</f>
        <v>P10</v>
      </c>
      <c r="B15">
        <f>IF(ISNUMBER(Perhitungan!AS15),1-Perhitungan!AS15/MAX(Perhitungan!$AR15:AS15),0)</f>
        <v>0</v>
      </c>
      <c r="C15">
        <f>IF(ISNUMBER(Perhitungan!AT15),1-Perhitungan!AT15/MAX(Perhitungan!$AR15:AT15),0)</f>
        <v>0</v>
      </c>
      <c r="D15">
        <f>IF(ISNUMBER(Perhitungan!AU15),1-Perhitungan!AU15/MAX(Perhitungan!$AR15:AU15),0)</f>
        <v>0</v>
      </c>
      <c r="E15">
        <f>IF(ISNUMBER(Perhitungan!AV15),1-Perhitungan!AV15/MAX(Perhitungan!$AR15:AV15),0)</f>
        <v>0</v>
      </c>
      <c r="F15">
        <f>IF(ISNUMBER(Perhitungan!AW15),1-Perhitungan!AW15/MAX(Perhitungan!$AR15:AW15),0)</f>
        <v>0</v>
      </c>
      <c r="G15">
        <f>IF(ISNUMBER(Perhitungan!AX15),1-Perhitungan!AX15/MAX(Perhitungan!$AR15:AX15),0)</f>
        <v>0</v>
      </c>
      <c r="H15">
        <f>IF(ISNUMBER(Perhitungan!AY15),1-Perhitungan!AY15/MAX(Perhitungan!$AR15:AY15),0)</f>
        <v>0</v>
      </c>
      <c r="I15">
        <f>IF(ISNUMBER(Perhitungan!AZ15),1-Perhitungan!AZ15/MAX(Perhitungan!$AR15:AZ15),0)</f>
        <v>0</v>
      </c>
      <c r="J15">
        <f>IF(ISNUMBER(Perhitungan!BA15),1-Perhitungan!BA15/MAX(Perhitungan!$AR15:BA15),0)</f>
        <v>0</v>
      </c>
      <c r="K15">
        <f>IF(ISNUMBER(Perhitungan!BB15),1-Perhitungan!BB15/MAX(Perhitungan!$AR15:BB15),0)</f>
        <v>0</v>
      </c>
      <c r="L15">
        <f>IF(ISNUMBER(Perhitungan!BC15),1-Perhitungan!BC15/MAX(Perhitungan!$AR15:BC15),0)</f>
        <v>0</v>
      </c>
      <c r="M15">
        <f>IF(ISNUMBER(Perhitungan!BD15),1-Perhitungan!BD15/MAX(Perhitungan!$AR15:BD15),0)</f>
        <v>0</v>
      </c>
      <c r="N15">
        <f>IF(ISNUMBER(Perhitungan!BE15),1-Perhitungan!BE15/MAX(Perhitungan!$AR15:BE15),0)</f>
        <v>0</v>
      </c>
      <c r="O15">
        <f>IF(ISNUMBER(Perhitungan!BF15),1-Perhitungan!BF15/MAX(Perhitungan!$AR15:BF15),0)</f>
        <v>0</v>
      </c>
      <c r="P15">
        <f>IF(ISNUMBER(Perhitungan!BG15),1-Perhitungan!BG15/MAX(Perhitungan!$AR15:BG15),0)</f>
        <v>0</v>
      </c>
      <c r="Q15">
        <f>IF(ISNUMBER(Perhitungan!BH15),1-Perhitungan!BH15/MAX(Perhitungan!$AR15:BH15),0)</f>
        <v>0</v>
      </c>
      <c r="R15">
        <f>IF(ISNUMBER(Perhitungan!BI15),1-Perhitungan!BI15/MAX(Perhitungan!$AR15:BI15),0)</f>
        <v>0</v>
      </c>
      <c r="S15">
        <f>IF(ISNUMBER(Perhitungan!BJ15),1-Perhitungan!BJ15/MAX(Perhitungan!$AR15:BJ15),0)</f>
        <v>0</v>
      </c>
      <c r="T15">
        <f>IF(ISNUMBER(Perhitungan!BK15),1-Perhitungan!BK15/MAX(Perhitungan!$AR15:BK15),0)</f>
        <v>0</v>
      </c>
      <c r="U15">
        <f>IF(ISNUMBER(Perhitungan!BL15),1-Perhitungan!BL15/MAX(Perhitungan!$AR15:BL15),0)</f>
        <v>0</v>
      </c>
      <c r="V15">
        <f>IF(ISNUMBER(Perhitungan!BM15),1-Perhitungan!BM15/MAX(Perhitungan!$AR15:BM15),0)</f>
        <v>0</v>
      </c>
      <c r="W15">
        <f>IF(ISNUMBER(Perhitungan!BN15),1-Perhitungan!BN15/MAX(Perhitungan!$AR15:BN15),0)</f>
        <v>0</v>
      </c>
      <c r="X15">
        <f>IF(ISNUMBER(Perhitungan!BO15),1-Perhitungan!BO15/MAX(Perhitungan!$AR15:BO15),0)</f>
        <v>0</v>
      </c>
      <c r="Y15">
        <f>IF(ISNUMBER(Perhitungan!BP15),1-Perhitungan!BP15/MAX(Perhitungan!$AR15:BP15),0)</f>
        <v>0</v>
      </c>
      <c r="Z15">
        <f>IF(ISNUMBER(Perhitungan!BQ15),1-Perhitungan!BQ15/MAX(Perhitungan!$AR15:BQ15),0)</f>
        <v>0</v>
      </c>
      <c r="AA15">
        <f>IF(ISNUMBER(Perhitungan!BR15),1-Perhitungan!BR15/MAX(Perhitungan!$AR15:BR15),0)</f>
        <v>0</v>
      </c>
      <c r="AB15">
        <f>IF(ISNUMBER(Perhitungan!BS15),1-Perhitungan!BS15/MAX(Perhitungan!$AR15:BS15),0)</f>
        <v>0</v>
      </c>
      <c r="AC15">
        <f>IF(ISNUMBER(Perhitungan!BT15),1-Perhitungan!BT15/MAX(Perhitungan!$AR15:BT15),0)</f>
        <v>0</v>
      </c>
      <c r="AD15">
        <f>IF(ISNUMBER(Perhitungan!BU15),1-Perhitungan!BU15/MAX(Perhitungan!$AR15:BU15),0)</f>
        <v>0</v>
      </c>
      <c r="AE15">
        <f>IF(ISNUMBER(Perhitungan!BV15),1-Perhitungan!BV15/MAX(Perhitungan!$AR15:BV15),0)</f>
        <v>0</v>
      </c>
    </row>
    <row r="16" spans="1:31">
      <c r="A16" t="str">
        <f>Perhitungan!A16</f>
        <v>P11</v>
      </c>
      <c r="B16">
        <f>IF(ISNUMBER(Perhitungan!AS16),1-Perhitungan!AS16/MAX(Perhitungan!$AR16:AS16),0)</f>
        <v>0</v>
      </c>
      <c r="C16">
        <f>IF(ISNUMBER(Perhitungan!AT16),1-Perhitungan!AT16/MAX(Perhitungan!$AR16:AT16),0)</f>
        <v>0</v>
      </c>
      <c r="D16">
        <f>IF(ISNUMBER(Perhitungan!AU16),1-Perhitungan!AU16/MAX(Perhitungan!$AR16:AU16),0)</f>
        <v>0</v>
      </c>
      <c r="E16">
        <f>IF(ISNUMBER(Perhitungan!AV16),1-Perhitungan!AV16/MAX(Perhitungan!$AR16:AV16),0)</f>
        <v>0</v>
      </c>
      <c r="F16">
        <f>IF(ISNUMBER(Perhitungan!AW16),1-Perhitungan!AW16/MAX(Perhitungan!$AR16:AW16),0)</f>
        <v>0</v>
      </c>
      <c r="G16">
        <f>IF(ISNUMBER(Perhitungan!AX16),1-Perhitungan!AX16/MAX(Perhitungan!$AR16:AX16),0)</f>
        <v>0</v>
      </c>
      <c r="H16">
        <f>IF(ISNUMBER(Perhitungan!AY16),1-Perhitungan!AY16/MAX(Perhitungan!$AR16:AY16),0)</f>
        <v>0</v>
      </c>
      <c r="I16">
        <f>IF(ISNUMBER(Perhitungan!AZ16),1-Perhitungan!AZ16/MAX(Perhitungan!$AR16:AZ16),0)</f>
        <v>0</v>
      </c>
      <c r="J16">
        <f>IF(ISNUMBER(Perhitungan!BA16),1-Perhitungan!BA16/MAX(Perhitungan!$AR16:BA16),0)</f>
        <v>0</v>
      </c>
      <c r="K16">
        <f>IF(ISNUMBER(Perhitungan!BB16),1-Perhitungan!BB16/MAX(Perhitungan!$AR16:BB16),0)</f>
        <v>0</v>
      </c>
      <c r="L16">
        <f>IF(ISNUMBER(Perhitungan!BC16),1-Perhitungan!BC16/MAX(Perhitungan!$AR16:BC16),0)</f>
        <v>0</v>
      </c>
      <c r="M16">
        <f>IF(ISNUMBER(Perhitungan!BD16),1-Perhitungan!BD16/MAX(Perhitungan!$AR16:BD16),0)</f>
        <v>0</v>
      </c>
      <c r="N16">
        <f>IF(ISNUMBER(Perhitungan!BE16),1-Perhitungan!BE16/MAX(Perhitungan!$AR16:BE16),0)</f>
        <v>0</v>
      </c>
      <c r="O16">
        <f>IF(ISNUMBER(Perhitungan!BF16),1-Perhitungan!BF16/MAX(Perhitungan!$AR16:BF16),0)</f>
        <v>0</v>
      </c>
      <c r="P16">
        <f>IF(ISNUMBER(Perhitungan!BG16),1-Perhitungan!BG16/MAX(Perhitungan!$AR16:BG16),0)</f>
        <v>0</v>
      </c>
      <c r="Q16">
        <f>IF(ISNUMBER(Perhitungan!BH16),1-Perhitungan!BH16/MAX(Perhitungan!$AR16:BH16),0)</f>
        <v>0</v>
      </c>
      <c r="R16">
        <f>IF(ISNUMBER(Perhitungan!BI16),1-Perhitungan!BI16/MAX(Perhitungan!$AR16:BI16),0)</f>
        <v>0</v>
      </c>
      <c r="S16">
        <f>IF(ISNUMBER(Perhitungan!BJ16),1-Perhitungan!BJ16/MAX(Perhitungan!$AR16:BJ16),0)</f>
        <v>0</v>
      </c>
      <c r="T16">
        <f>IF(ISNUMBER(Perhitungan!BK16),1-Perhitungan!BK16/MAX(Perhitungan!$AR16:BK16),0)</f>
        <v>0</v>
      </c>
      <c r="U16">
        <f>IF(ISNUMBER(Perhitungan!BL16),1-Perhitungan!BL16/MAX(Perhitungan!$AR16:BL16),0)</f>
        <v>0</v>
      </c>
      <c r="V16">
        <f>IF(ISNUMBER(Perhitungan!BM16),1-Perhitungan!BM16/MAX(Perhitungan!$AR16:BM16),0)</f>
        <v>0</v>
      </c>
      <c r="W16">
        <f>IF(ISNUMBER(Perhitungan!BN16),1-Perhitungan!BN16/MAX(Perhitungan!$AR16:BN16),0)</f>
        <v>0</v>
      </c>
      <c r="X16">
        <f>IF(ISNUMBER(Perhitungan!BO16),1-Perhitungan!BO16/MAX(Perhitungan!$AR16:BO16),0)</f>
        <v>0</v>
      </c>
      <c r="Y16">
        <f>IF(ISNUMBER(Perhitungan!BP16),1-Perhitungan!BP16/MAX(Perhitungan!$AR16:BP16),0)</f>
        <v>0</v>
      </c>
      <c r="Z16">
        <f>IF(ISNUMBER(Perhitungan!BQ16),1-Perhitungan!BQ16/MAX(Perhitungan!$AR16:BQ16),0)</f>
        <v>0</v>
      </c>
      <c r="AA16">
        <f>IF(ISNUMBER(Perhitungan!BR16),1-Perhitungan!BR16/MAX(Perhitungan!$AR16:BR16),0)</f>
        <v>0</v>
      </c>
      <c r="AB16">
        <f>IF(ISNUMBER(Perhitungan!BS16),1-Perhitungan!BS16/MAX(Perhitungan!$AR16:BS16),0)</f>
        <v>0</v>
      </c>
      <c r="AC16">
        <f>IF(ISNUMBER(Perhitungan!BT16),1-Perhitungan!BT16/MAX(Perhitungan!$AR16:BT16),0)</f>
        <v>0</v>
      </c>
      <c r="AD16">
        <f>IF(ISNUMBER(Perhitungan!BU16),1-Perhitungan!BU16/MAX(Perhitungan!$AR16:BU16),0)</f>
        <v>0</v>
      </c>
      <c r="AE16">
        <f>IF(ISNUMBER(Perhitungan!BV16),1-Perhitungan!BV16/MAX(Perhitungan!$AR16:BV16),0)</f>
        <v>0</v>
      </c>
    </row>
    <row r="17" spans="1:31">
      <c r="A17" t="str">
        <f>Perhitungan!A17</f>
        <v>P12</v>
      </c>
      <c r="B17">
        <f>IF(ISNUMBER(Perhitungan!AS17),1-Perhitungan!AS17/MAX(Perhitungan!$AR17:AS17),0)</f>
        <v>0</v>
      </c>
      <c r="C17">
        <f>IF(ISNUMBER(Perhitungan!AT17),1-Perhitungan!AT17/MAX(Perhitungan!$AR17:AT17),0)</f>
        <v>0</v>
      </c>
      <c r="D17">
        <f>IF(ISNUMBER(Perhitungan!AU17),1-Perhitungan!AU17/MAX(Perhitungan!$AR17:AU17),0)</f>
        <v>0</v>
      </c>
      <c r="E17">
        <f>IF(ISNUMBER(Perhitungan!AV17),1-Perhitungan!AV17/MAX(Perhitungan!$AR17:AV17),0)</f>
        <v>0</v>
      </c>
      <c r="F17">
        <f>IF(ISNUMBER(Perhitungan!AW17),1-Perhitungan!AW17/MAX(Perhitungan!$AR17:AW17),0)</f>
        <v>0</v>
      </c>
      <c r="G17">
        <f>IF(ISNUMBER(Perhitungan!AX17),1-Perhitungan!AX17/MAX(Perhitungan!$AR17:AX17),0)</f>
        <v>0</v>
      </c>
      <c r="H17">
        <f>IF(ISNUMBER(Perhitungan!AY17),1-Perhitungan!AY17/MAX(Perhitungan!$AR17:AY17),0)</f>
        <v>0</v>
      </c>
      <c r="I17">
        <f>IF(ISNUMBER(Perhitungan!AZ17),1-Perhitungan!AZ17/MAX(Perhitungan!$AR17:AZ17),0)</f>
        <v>0</v>
      </c>
      <c r="J17">
        <f>IF(ISNUMBER(Perhitungan!BA17),1-Perhitungan!BA17/MAX(Perhitungan!$AR17:BA17),0)</f>
        <v>0</v>
      </c>
      <c r="K17">
        <f>IF(ISNUMBER(Perhitungan!BB17),1-Perhitungan!BB17/MAX(Perhitungan!$AR17:BB17),0)</f>
        <v>0</v>
      </c>
      <c r="L17">
        <f>IF(ISNUMBER(Perhitungan!BC17),1-Perhitungan!BC17/MAX(Perhitungan!$AR17:BC17),0)</f>
        <v>0</v>
      </c>
      <c r="M17">
        <f>IF(ISNUMBER(Perhitungan!BD17),1-Perhitungan!BD17/MAX(Perhitungan!$AR17:BD17),0)</f>
        <v>0</v>
      </c>
      <c r="N17">
        <f>IF(ISNUMBER(Perhitungan!BE17),1-Perhitungan!BE17/MAX(Perhitungan!$AR17:BE17),0)</f>
        <v>0</v>
      </c>
      <c r="O17">
        <f>IF(ISNUMBER(Perhitungan!BF17),1-Perhitungan!BF17/MAX(Perhitungan!$AR17:BF17),0)</f>
        <v>0</v>
      </c>
      <c r="P17">
        <f>IF(ISNUMBER(Perhitungan!BG17),1-Perhitungan!BG17/MAX(Perhitungan!$AR17:BG17),0)</f>
        <v>0</v>
      </c>
      <c r="Q17">
        <f>IF(ISNUMBER(Perhitungan!BH17),1-Perhitungan!BH17/MAX(Perhitungan!$AR17:BH17),0)</f>
        <v>0</v>
      </c>
      <c r="R17">
        <f>IF(ISNUMBER(Perhitungan!BI17),1-Perhitungan!BI17/MAX(Perhitungan!$AR17:BI17),0)</f>
        <v>0</v>
      </c>
      <c r="S17">
        <f>IF(ISNUMBER(Perhitungan!BJ17),1-Perhitungan!BJ17/MAX(Perhitungan!$AR17:BJ17),0)</f>
        <v>0</v>
      </c>
      <c r="T17">
        <f>IF(ISNUMBER(Perhitungan!BK17),1-Perhitungan!BK17/MAX(Perhitungan!$AR17:BK17),0)</f>
        <v>0</v>
      </c>
      <c r="U17">
        <f>IF(ISNUMBER(Perhitungan!BL17),1-Perhitungan!BL17/MAX(Perhitungan!$AR17:BL17),0)</f>
        <v>0</v>
      </c>
      <c r="V17">
        <f>IF(ISNUMBER(Perhitungan!BM17),1-Perhitungan!BM17/MAX(Perhitungan!$AR17:BM17),0)</f>
        <v>0</v>
      </c>
      <c r="W17">
        <f>IF(ISNUMBER(Perhitungan!BN17),1-Perhitungan!BN17/MAX(Perhitungan!$AR17:BN17),0)</f>
        <v>0</v>
      </c>
      <c r="X17">
        <f>IF(ISNUMBER(Perhitungan!BO17),1-Perhitungan!BO17/MAX(Perhitungan!$AR17:BO17),0)</f>
        <v>0</v>
      </c>
      <c r="Y17">
        <f>IF(ISNUMBER(Perhitungan!BP17),1-Perhitungan!BP17/MAX(Perhitungan!$AR17:BP17),0)</f>
        <v>0</v>
      </c>
      <c r="Z17">
        <f>IF(ISNUMBER(Perhitungan!BQ17),1-Perhitungan!BQ17/MAX(Perhitungan!$AR17:BQ17),0)</f>
        <v>0</v>
      </c>
      <c r="AA17">
        <f>IF(ISNUMBER(Perhitungan!BR17),1-Perhitungan!BR17/MAX(Perhitungan!$AR17:BR17),0)</f>
        <v>0</v>
      </c>
      <c r="AB17">
        <f>IF(ISNUMBER(Perhitungan!BS17),1-Perhitungan!BS17/MAX(Perhitungan!$AR17:BS17),0)</f>
        <v>0</v>
      </c>
      <c r="AC17">
        <f>IF(ISNUMBER(Perhitungan!BT17),1-Perhitungan!BT17/MAX(Perhitungan!$AR17:BT17),0)</f>
        <v>0</v>
      </c>
      <c r="AD17">
        <f>IF(ISNUMBER(Perhitungan!BU17),1-Perhitungan!BU17/MAX(Perhitungan!$AR17:BU17),0)</f>
        <v>0</v>
      </c>
      <c r="AE17">
        <f>IF(ISNUMBER(Perhitungan!BV17),1-Perhitungan!BV17/MAX(Perhitungan!$AR17:BV17),0)</f>
        <v>0</v>
      </c>
    </row>
    <row r="18" spans="1:31">
      <c r="A18" t="str">
        <f>Perhitungan!A18</f>
        <v>P13</v>
      </c>
      <c r="B18">
        <f>IF(ISNUMBER(Perhitungan!AS18),1-Perhitungan!AS18/MAX(Perhitungan!$AR18:AS18),0)</f>
        <v>0</v>
      </c>
      <c r="C18">
        <f>IF(ISNUMBER(Perhitungan!AT18),1-Perhitungan!AT18/MAX(Perhitungan!$AR18:AT18),0)</f>
        <v>0</v>
      </c>
      <c r="D18">
        <f>IF(ISNUMBER(Perhitungan!AU18),1-Perhitungan!AU18/MAX(Perhitungan!$AR18:AU18),0)</f>
        <v>0</v>
      </c>
      <c r="E18">
        <f>IF(ISNUMBER(Perhitungan!AV18),1-Perhitungan!AV18/MAX(Perhitungan!$AR18:AV18),0)</f>
        <v>0</v>
      </c>
      <c r="F18">
        <f>IF(ISNUMBER(Perhitungan!AW18),1-Perhitungan!AW18/MAX(Perhitungan!$AR18:AW18),0)</f>
        <v>0</v>
      </c>
      <c r="G18">
        <f>IF(ISNUMBER(Perhitungan!AX18),1-Perhitungan!AX18/MAX(Perhitungan!$AR18:AX18),0)</f>
        <v>0</v>
      </c>
      <c r="H18">
        <f>IF(ISNUMBER(Perhitungan!AY18),1-Perhitungan!AY18/MAX(Perhitungan!$AR18:AY18),0)</f>
        <v>0</v>
      </c>
      <c r="I18">
        <f>IF(ISNUMBER(Perhitungan!AZ18),1-Perhitungan!AZ18/MAX(Perhitungan!$AR18:AZ18),0)</f>
        <v>0</v>
      </c>
      <c r="J18">
        <f>IF(ISNUMBER(Perhitungan!BA18),1-Perhitungan!BA18/MAX(Perhitungan!$AR18:BA18),0)</f>
        <v>0</v>
      </c>
      <c r="K18">
        <f>IF(ISNUMBER(Perhitungan!BB18),1-Perhitungan!BB18/MAX(Perhitungan!$AR18:BB18),0)</f>
        <v>0</v>
      </c>
      <c r="L18">
        <f>IF(ISNUMBER(Perhitungan!BC18),1-Perhitungan!BC18/MAX(Perhitungan!$AR18:BC18),0)</f>
        <v>0</v>
      </c>
      <c r="M18">
        <f>IF(ISNUMBER(Perhitungan!BD18),1-Perhitungan!BD18/MAX(Perhitungan!$AR18:BD18),0)</f>
        <v>0</v>
      </c>
      <c r="N18">
        <f>IF(ISNUMBER(Perhitungan!BE18),1-Perhitungan!BE18/MAX(Perhitungan!$AR18:BE18),0)</f>
        <v>0</v>
      </c>
      <c r="O18">
        <f>IF(ISNUMBER(Perhitungan!BF18),1-Perhitungan!BF18/MAX(Perhitungan!$AR18:BF18),0)</f>
        <v>0</v>
      </c>
      <c r="P18">
        <f>IF(ISNUMBER(Perhitungan!BG18),1-Perhitungan!BG18/MAX(Perhitungan!$AR18:BG18),0)</f>
        <v>0</v>
      </c>
      <c r="Q18">
        <f>IF(ISNUMBER(Perhitungan!BH18),1-Perhitungan!BH18/MAX(Perhitungan!$AR18:BH18),0)</f>
        <v>0</v>
      </c>
      <c r="R18">
        <f>IF(ISNUMBER(Perhitungan!BI18),1-Perhitungan!BI18/MAX(Perhitungan!$AR18:BI18),0)</f>
        <v>0</v>
      </c>
      <c r="S18">
        <f>IF(ISNUMBER(Perhitungan!BJ18),1-Perhitungan!BJ18/MAX(Perhitungan!$AR18:BJ18),0)</f>
        <v>0</v>
      </c>
      <c r="T18">
        <f>IF(ISNUMBER(Perhitungan!BK18),1-Perhitungan!BK18/MAX(Perhitungan!$AR18:BK18),0)</f>
        <v>0</v>
      </c>
      <c r="U18">
        <f>IF(ISNUMBER(Perhitungan!BL18),1-Perhitungan!BL18/MAX(Perhitungan!$AR18:BL18),0)</f>
        <v>0</v>
      </c>
      <c r="V18">
        <f>IF(ISNUMBER(Perhitungan!BM18),1-Perhitungan!BM18/MAX(Perhitungan!$AR18:BM18),0)</f>
        <v>0</v>
      </c>
      <c r="W18">
        <f>IF(ISNUMBER(Perhitungan!BN18),1-Perhitungan!BN18/MAX(Perhitungan!$AR18:BN18),0)</f>
        <v>0</v>
      </c>
      <c r="X18">
        <f>IF(ISNUMBER(Perhitungan!BO18),1-Perhitungan!BO18/MAX(Perhitungan!$AR18:BO18),0)</f>
        <v>0</v>
      </c>
      <c r="Y18">
        <f>IF(ISNUMBER(Perhitungan!BP18),1-Perhitungan!BP18/MAX(Perhitungan!$AR18:BP18),0)</f>
        <v>0</v>
      </c>
      <c r="Z18">
        <f>IF(ISNUMBER(Perhitungan!BQ18),1-Perhitungan!BQ18/MAX(Perhitungan!$AR18:BQ18),0)</f>
        <v>0</v>
      </c>
      <c r="AA18">
        <f>IF(ISNUMBER(Perhitungan!BR18),1-Perhitungan!BR18/MAX(Perhitungan!$AR18:BR18),0)</f>
        <v>0</v>
      </c>
      <c r="AB18">
        <f>IF(ISNUMBER(Perhitungan!BS18),1-Perhitungan!BS18/MAX(Perhitungan!$AR18:BS18),0)</f>
        <v>0</v>
      </c>
      <c r="AC18">
        <f>IF(ISNUMBER(Perhitungan!BT18),1-Perhitungan!BT18/MAX(Perhitungan!$AR18:BT18),0)</f>
        <v>0</v>
      </c>
      <c r="AD18">
        <f>IF(ISNUMBER(Perhitungan!BU18),1-Perhitungan!BU18/MAX(Perhitungan!$AR18:BU18),0)</f>
        <v>0</v>
      </c>
      <c r="AE18">
        <f>IF(ISNUMBER(Perhitungan!BV18),1-Perhitungan!BV18/MAX(Perhitungan!$AR18:BV18),0)</f>
        <v>0</v>
      </c>
    </row>
    <row r="19" spans="1:31">
      <c r="A19" t="str">
        <f>Perhitungan!A19</f>
        <v>P14</v>
      </c>
      <c r="B19">
        <f>IF(ISNUMBER(Perhitungan!AS19),1-Perhitungan!AS19/MAX(Perhitungan!$AR19:AS19),0)</f>
        <v>0</v>
      </c>
      <c r="C19">
        <f>IF(ISNUMBER(Perhitungan!AT19),1-Perhitungan!AT19/MAX(Perhitungan!$AR19:AT19),0)</f>
        <v>0</v>
      </c>
      <c r="D19">
        <f>IF(ISNUMBER(Perhitungan!AU19),1-Perhitungan!AU19/MAX(Perhitungan!$AR19:AU19),0)</f>
        <v>0</v>
      </c>
      <c r="E19">
        <f>IF(ISNUMBER(Perhitungan!AV19),1-Perhitungan!AV19/MAX(Perhitungan!$AR19:AV19),0)</f>
        <v>0</v>
      </c>
      <c r="F19">
        <f>IF(ISNUMBER(Perhitungan!AW19),1-Perhitungan!AW19/MAX(Perhitungan!$AR19:AW19),0)</f>
        <v>0</v>
      </c>
      <c r="G19">
        <f>IF(ISNUMBER(Perhitungan!AX19),1-Perhitungan!AX19/MAX(Perhitungan!$AR19:AX19),0)</f>
        <v>0</v>
      </c>
      <c r="H19">
        <f>IF(ISNUMBER(Perhitungan!AY19),1-Perhitungan!AY19/MAX(Perhitungan!$AR19:AY19),0)</f>
        <v>0</v>
      </c>
      <c r="I19">
        <f>IF(ISNUMBER(Perhitungan!AZ19),1-Perhitungan!AZ19/MAX(Perhitungan!$AR19:AZ19),0)</f>
        <v>0</v>
      </c>
      <c r="J19">
        <f>IF(ISNUMBER(Perhitungan!BA19),1-Perhitungan!BA19/MAX(Perhitungan!$AR19:BA19),0)</f>
        <v>0</v>
      </c>
      <c r="K19">
        <f>IF(ISNUMBER(Perhitungan!BB19),1-Perhitungan!BB19/MAX(Perhitungan!$AR19:BB19),0)</f>
        <v>0</v>
      </c>
      <c r="L19">
        <f>IF(ISNUMBER(Perhitungan!BC19),1-Perhitungan!BC19/MAX(Perhitungan!$AR19:BC19),0)</f>
        <v>0</v>
      </c>
      <c r="M19">
        <f>IF(ISNUMBER(Perhitungan!BD19),1-Perhitungan!BD19/MAX(Perhitungan!$AR19:BD19),0)</f>
        <v>0</v>
      </c>
      <c r="N19">
        <f>IF(ISNUMBER(Perhitungan!BE19),1-Perhitungan!BE19/MAX(Perhitungan!$AR19:BE19),0)</f>
        <v>0</v>
      </c>
      <c r="O19">
        <f>IF(ISNUMBER(Perhitungan!BF19),1-Perhitungan!BF19/MAX(Perhitungan!$AR19:BF19),0)</f>
        <v>0</v>
      </c>
      <c r="P19">
        <f>IF(ISNUMBER(Perhitungan!BG19),1-Perhitungan!BG19/MAX(Perhitungan!$AR19:BG19),0)</f>
        <v>0</v>
      </c>
      <c r="Q19">
        <f>IF(ISNUMBER(Perhitungan!BH19),1-Perhitungan!BH19/MAX(Perhitungan!$AR19:BH19),0)</f>
        <v>0</v>
      </c>
      <c r="R19">
        <f>IF(ISNUMBER(Perhitungan!BI19),1-Perhitungan!BI19/MAX(Perhitungan!$AR19:BI19),0)</f>
        <v>0</v>
      </c>
      <c r="S19">
        <f>IF(ISNUMBER(Perhitungan!BJ19),1-Perhitungan!BJ19/MAX(Perhitungan!$AR19:BJ19),0)</f>
        <v>0</v>
      </c>
      <c r="T19">
        <f>IF(ISNUMBER(Perhitungan!BK19),1-Perhitungan!BK19/MAX(Perhitungan!$AR19:BK19),0)</f>
        <v>0</v>
      </c>
      <c r="U19">
        <f>IF(ISNUMBER(Perhitungan!BL19),1-Perhitungan!BL19/MAX(Perhitungan!$AR19:BL19),0)</f>
        <v>0</v>
      </c>
      <c r="V19">
        <f>IF(ISNUMBER(Perhitungan!BM19),1-Perhitungan!BM19/MAX(Perhitungan!$AR19:BM19),0)</f>
        <v>0</v>
      </c>
      <c r="W19">
        <f>IF(ISNUMBER(Perhitungan!BN19),1-Perhitungan!BN19/MAX(Perhitungan!$AR19:BN19),0)</f>
        <v>0</v>
      </c>
      <c r="X19">
        <f>IF(ISNUMBER(Perhitungan!BO19),1-Perhitungan!BO19/MAX(Perhitungan!$AR19:BO19),0)</f>
        <v>0</v>
      </c>
      <c r="Y19">
        <f>IF(ISNUMBER(Perhitungan!BP19),1-Perhitungan!BP19/MAX(Perhitungan!$AR19:BP19),0)</f>
        <v>0</v>
      </c>
      <c r="Z19">
        <f>IF(ISNUMBER(Perhitungan!BQ19),1-Perhitungan!BQ19/MAX(Perhitungan!$AR19:BQ19),0)</f>
        <v>0</v>
      </c>
      <c r="AA19">
        <f>IF(ISNUMBER(Perhitungan!BR19),1-Perhitungan!BR19/MAX(Perhitungan!$AR19:BR19),0)</f>
        <v>0</v>
      </c>
      <c r="AB19">
        <f>IF(ISNUMBER(Perhitungan!BS19),1-Perhitungan!BS19/MAX(Perhitungan!$AR19:BS19),0)</f>
        <v>0</v>
      </c>
      <c r="AC19">
        <f>IF(ISNUMBER(Perhitungan!BT19),1-Perhitungan!BT19/MAX(Perhitungan!$AR19:BT19),0)</f>
        <v>0</v>
      </c>
      <c r="AD19">
        <f>IF(ISNUMBER(Perhitungan!BU19),1-Perhitungan!BU19/MAX(Perhitungan!$AR19:BU19),0)</f>
        <v>0</v>
      </c>
      <c r="AE19">
        <f>IF(ISNUMBER(Perhitungan!BV19),1-Perhitungan!BV19/MAX(Perhitungan!$AR19:BV19),0)</f>
        <v>0</v>
      </c>
    </row>
    <row r="20" spans="1:31">
      <c r="A20" t="str">
        <f>Perhitungan!A20</f>
        <v>P15</v>
      </c>
      <c r="B20">
        <f>IF(ISNUMBER(Perhitungan!AS20),1-Perhitungan!AS20/MAX(Perhitungan!$AR20:AS20),0)</f>
        <v>0</v>
      </c>
      <c r="C20">
        <f>IF(ISNUMBER(Perhitungan!AT20),1-Perhitungan!AT20/MAX(Perhitungan!$AR20:AT20),0)</f>
        <v>0</v>
      </c>
      <c r="D20">
        <f>IF(ISNUMBER(Perhitungan!AU20),1-Perhitungan!AU20/MAX(Perhitungan!$AR20:AU20),0)</f>
        <v>0</v>
      </c>
      <c r="E20">
        <f>IF(ISNUMBER(Perhitungan!AV20),1-Perhitungan!AV20/MAX(Perhitungan!$AR20:AV20),0)</f>
        <v>0</v>
      </c>
      <c r="F20">
        <f>IF(ISNUMBER(Perhitungan!AW20),1-Perhitungan!AW20/MAX(Perhitungan!$AR20:AW20),0)</f>
        <v>0</v>
      </c>
      <c r="G20">
        <f>IF(ISNUMBER(Perhitungan!AX20),1-Perhitungan!AX20/MAX(Perhitungan!$AR20:AX20),0)</f>
        <v>0</v>
      </c>
      <c r="H20">
        <f>IF(ISNUMBER(Perhitungan!AY20),1-Perhitungan!AY20/MAX(Perhitungan!$AR20:AY20),0)</f>
        <v>0</v>
      </c>
      <c r="I20">
        <f>IF(ISNUMBER(Perhitungan!AZ20),1-Perhitungan!AZ20/MAX(Perhitungan!$AR20:AZ20),0)</f>
        <v>0</v>
      </c>
      <c r="J20">
        <f>IF(ISNUMBER(Perhitungan!BA20),1-Perhitungan!BA20/MAX(Perhitungan!$AR20:BA20),0)</f>
        <v>0</v>
      </c>
      <c r="K20">
        <f>IF(ISNUMBER(Perhitungan!BB20),1-Perhitungan!BB20/MAX(Perhitungan!$AR20:BB20),0)</f>
        <v>0</v>
      </c>
      <c r="L20">
        <f>IF(ISNUMBER(Perhitungan!BC20),1-Perhitungan!BC20/MAX(Perhitungan!$AR20:BC20),0)</f>
        <v>0</v>
      </c>
      <c r="M20">
        <f>IF(ISNUMBER(Perhitungan!BD20),1-Perhitungan!BD20/MAX(Perhitungan!$AR20:BD20),0)</f>
        <v>0</v>
      </c>
      <c r="N20">
        <f>IF(ISNUMBER(Perhitungan!BE20),1-Perhitungan!BE20/MAX(Perhitungan!$AR20:BE20),0)</f>
        <v>0</v>
      </c>
      <c r="O20">
        <f>IF(ISNUMBER(Perhitungan!BF20),1-Perhitungan!BF20/MAX(Perhitungan!$AR20:BF20),0)</f>
        <v>0</v>
      </c>
      <c r="P20">
        <f>IF(ISNUMBER(Perhitungan!BG20),1-Perhitungan!BG20/MAX(Perhitungan!$AR20:BG20),0)</f>
        <v>0</v>
      </c>
      <c r="Q20">
        <f>IF(ISNUMBER(Perhitungan!BH20),1-Perhitungan!BH20/MAX(Perhitungan!$AR20:BH20),0)</f>
        <v>0</v>
      </c>
      <c r="R20">
        <f>IF(ISNUMBER(Perhitungan!BI20),1-Perhitungan!BI20/MAX(Perhitungan!$AR20:BI20),0)</f>
        <v>0</v>
      </c>
      <c r="S20">
        <f>IF(ISNUMBER(Perhitungan!BJ20),1-Perhitungan!BJ20/MAX(Perhitungan!$AR20:BJ20),0)</f>
        <v>0</v>
      </c>
      <c r="T20">
        <f>IF(ISNUMBER(Perhitungan!BK20),1-Perhitungan!BK20/MAX(Perhitungan!$AR20:BK20),0)</f>
        <v>0</v>
      </c>
      <c r="U20">
        <f>IF(ISNUMBER(Perhitungan!BL20),1-Perhitungan!BL20/MAX(Perhitungan!$AR20:BL20),0)</f>
        <v>0</v>
      </c>
      <c r="V20">
        <f>IF(ISNUMBER(Perhitungan!BM20),1-Perhitungan!BM20/MAX(Perhitungan!$AR20:BM20),0)</f>
        <v>0</v>
      </c>
      <c r="W20">
        <f>IF(ISNUMBER(Perhitungan!BN20),1-Perhitungan!BN20/MAX(Perhitungan!$AR20:BN20),0)</f>
        <v>0</v>
      </c>
      <c r="X20">
        <f>IF(ISNUMBER(Perhitungan!BO20),1-Perhitungan!BO20/MAX(Perhitungan!$AR20:BO20),0)</f>
        <v>0</v>
      </c>
      <c r="Y20">
        <f>IF(ISNUMBER(Perhitungan!BP20),1-Perhitungan!BP20/MAX(Perhitungan!$AR20:BP20),0)</f>
        <v>0</v>
      </c>
      <c r="Z20">
        <f>IF(ISNUMBER(Perhitungan!BQ20),1-Perhitungan!BQ20/MAX(Perhitungan!$AR20:BQ20),0)</f>
        <v>0</v>
      </c>
      <c r="AA20">
        <f>IF(ISNUMBER(Perhitungan!BR20),1-Perhitungan!BR20/MAX(Perhitungan!$AR20:BR20),0)</f>
        <v>0</v>
      </c>
      <c r="AB20">
        <f>IF(ISNUMBER(Perhitungan!BS20),1-Perhitungan!BS20/MAX(Perhitungan!$AR20:BS20),0)</f>
        <v>0</v>
      </c>
      <c r="AC20">
        <f>IF(ISNUMBER(Perhitungan!BT20),1-Perhitungan!BT20/MAX(Perhitungan!$AR20:BT20),0)</f>
        <v>0</v>
      </c>
      <c r="AD20">
        <f>IF(ISNUMBER(Perhitungan!BU20),1-Perhitungan!BU20/MAX(Perhitungan!$AR20:BU20),0)</f>
        <v>0</v>
      </c>
      <c r="AE20">
        <f>IF(ISNUMBER(Perhitungan!BV20),1-Perhitungan!BV20/MAX(Perhitungan!$AR20:BV20),0)</f>
        <v>0</v>
      </c>
    </row>
    <row r="21" spans="1:31">
      <c r="A21" t="str">
        <f>Perhitungan!A21</f>
        <v>P16</v>
      </c>
      <c r="B21">
        <f>IF(ISNUMBER(Perhitungan!AS21),1-Perhitungan!AS21/MAX(Perhitungan!$AR21:AS21),0)</f>
        <v>0</v>
      </c>
      <c r="C21">
        <f>IF(ISNUMBER(Perhitungan!AT21),1-Perhitungan!AT21/MAX(Perhitungan!$AR21:AT21),0)</f>
        <v>0</v>
      </c>
      <c r="D21">
        <f>IF(ISNUMBER(Perhitungan!AU21),1-Perhitungan!AU21/MAX(Perhitungan!$AR21:AU21),0)</f>
        <v>0</v>
      </c>
      <c r="E21">
        <f>IF(ISNUMBER(Perhitungan!AV21),1-Perhitungan!AV21/MAX(Perhitungan!$AR21:AV21),0)</f>
        <v>0</v>
      </c>
      <c r="F21">
        <f>IF(ISNUMBER(Perhitungan!AW21),1-Perhitungan!AW21/MAX(Perhitungan!$AR21:AW21),0)</f>
        <v>0</v>
      </c>
      <c r="G21">
        <f>IF(ISNUMBER(Perhitungan!AX21),1-Perhitungan!AX21/MAX(Perhitungan!$AR21:AX21),0)</f>
        <v>0</v>
      </c>
      <c r="H21">
        <f>IF(ISNUMBER(Perhitungan!AY21),1-Perhitungan!AY21/MAX(Perhitungan!$AR21:AY21),0)</f>
        <v>0</v>
      </c>
      <c r="I21">
        <f>IF(ISNUMBER(Perhitungan!AZ21),1-Perhitungan!AZ21/MAX(Perhitungan!$AR21:AZ21),0)</f>
        <v>0</v>
      </c>
      <c r="J21">
        <f>IF(ISNUMBER(Perhitungan!BA21),1-Perhitungan!BA21/MAX(Perhitungan!$AR21:BA21),0)</f>
        <v>0</v>
      </c>
      <c r="K21">
        <f>IF(ISNUMBER(Perhitungan!BB21),1-Perhitungan!BB21/MAX(Perhitungan!$AR21:BB21),0)</f>
        <v>0</v>
      </c>
      <c r="L21">
        <f>IF(ISNUMBER(Perhitungan!BC21),1-Perhitungan!BC21/MAX(Perhitungan!$AR21:BC21),0)</f>
        <v>0</v>
      </c>
      <c r="M21">
        <f>IF(ISNUMBER(Perhitungan!BD21),1-Perhitungan!BD21/MAX(Perhitungan!$AR21:BD21),0)</f>
        <v>0</v>
      </c>
      <c r="N21">
        <f>IF(ISNUMBER(Perhitungan!BE21),1-Perhitungan!BE21/MAX(Perhitungan!$AR21:BE21),0)</f>
        <v>0</v>
      </c>
      <c r="O21">
        <f>IF(ISNUMBER(Perhitungan!BF21),1-Perhitungan!BF21/MAX(Perhitungan!$AR21:BF21),0)</f>
        <v>0</v>
      </c>
      <c r="P21">
        <f>IF(ISNUMBER(Perhitungan!BG21),1-Perhitungan!BG21/MAX(Perhitungan!$AR21:BG21),0)</f>
        <v>0</v>
      </c>
      <c r="Q21">
        <f>IF(ISNUMBER(Perhitungan!BH21),1-Perhitungan!BH21/MAX(Perhitungan!$AR21:BH21),0)</f>
        <v>0</v>
      </c>
      <c r="R21">
        <f>IF(ISNUMBER(Perhitungan!BI21),1-Perhitungan!BI21/MAX(Perhitungan!$AR21:BI21),0)</f>
        <v>0</v>
      </c>
      <c r="S21">
        <f>IF(ISNUMBER(Perhitungan!BJ21),1-Perhitungan!BJ21/MAX(Perhitungan!$AR21:BJ21),0)</f>
        <v>0</v>
      </c>
      <c r="T21">
        <f>IF(ISNUMBER(Perhitungan!BK21),1-Perhitungan!BK21/MAX(Perhitungan!$AR21:BK21),0)</f>
        <v>0</v>
      </c>
      <c r="U21">
        <f>IF(ISNUMBER(Perhitungan!BL21),1-Perhitungan!BL21/MAX(Perhitungan!$AR21:BL21),0)</f>
        <v>0</v>
      </c>
      <c r="V21">
        <f>IF(ISNUMBER(Perhitungan!BM21),1-Perhitungan!BM21/MAX(Perhitungan!$AR21:BM21),0)</f>
        <v>0</v>
      </c>
      <c r="W21">
        <f>IF(ISNUMBER(Perhitungan!BN21),1-Perhitungan!BN21/MAX(Perhitungan!$AR21:BN21),0)</f>
        <v>0</v>
      </c>
      <c r="X21">
        <f>IF(ISNUMBER(Perhitungan!BO21),1-Perhitungan!BO21/MAX(Perhitungan!$AR21:BO21),0)</f>
        <v>0</v>
      </c>
      <c r="Y21">
        <f>IF(ISNUMBER(Perhitungan!BP21),1-Perhitungan!BP21/MAX(Perhitungan!$AR21:BP21),0)</f>
        <v>0</v>
      </c>
      <c r="Z21">
        <f>IF(ISNUMBER(Perhitungan!BQ21),1-Perhitungan!BQ21/MAX(Perhitungan!$AR21:BQ21),0)</f>
        <v>0</v>
      </c>
      <c r="AA21">
        <f>IF(ISNUMBER(Perhitungan!BR21),1-Perhitungan!BR21/MAX(Perhitungan!$AR21:BR21),0)</f>
        <v>0</v>
      </c>
      <c r="AB21">
        <f>IF(ISNUMBER(Perhitungan!BS21),1-Perhitungan!BS21/MAX(Perhitungan!$AR21:BS21),0)</f>
        <v>0</v>
      </c>
      <c r="AC21">
        <f>IF(ISNUMBER(Perhitungan!BT21),1-Perhitungan!BT21/MAX(Perhitungan!$AR21:BT21),0)</f>
        <v>0</v>
      </c>
      <c r="AD21">
        <f>IF(ISNUMBER(Perhitungan!BU21),1-Perhitungan!BU21/MAX(Perhitungan!$AR21:BU21),0)</f>
        <v>0</v>
      </c>
      <c r="AE21">
        <f>IF(ISNUMBER(Perhitungan!BV21),1-Perhitungan!BV21/MAX(Perhitungan!$AR21:BV21),0)</f>
        <v>0</v>
      </c>
    </row>
    <row r="22" spans="1:31">
      <c r="A22" t="str">
        <f>Perhitungan!A22</f>
        <v>P17</v>
      </c>
      <c r="B22">
        <f>IF(ISNUMBER(Perhitungan!AS22),1-Perhitungan!AS22/MAX(Perhitungan!$AR22:AS22),0)</f>
        <v>0</v>
      </c>
      <c r="C22">
        <f>IF(ISNUMBER(Perhitungan!AT22),1-Perhitungan!AT22/MAX(Perhitungan!$AR22:AT22),0)</f>
        <v>0</v>
      </c>
      <c r="D22">
        <f>IF(ISNUMBER(Perhitungan!AU22),1-Perhitungan!AU22/MAX(Perhitungan!$AR22:AU22),0)</f>
        <v>0</v>
      </c>
      <c r="E22">
        <f>IF(ISNUMBER(Perhitungan!AV22),1-Perhitungan!AV22/MAX(Perhitungan!$AR22:AV22),0)</f>
        <v>0</v>
      </c>
      <c r="F22">
        <f>IF(ISNUMBER(Perhitungan!AW22),1-Perhitungan!AW22/MAX(Perhitungan!$AR22:AW22),0)</f>
        <v>0</v>
      </c>
      <c r="G22">
        <f>IF(ISNUMBER(Perhitungan!AX22),1-Perhitungan!AX22/MAX(Perhitungan!$AR22:AX22),0)</f>
        <v>0</v>
      </c>
      <c r="H22">
        <f>IF(ISNUMBER(Perhitungan!AY22),1-Perhitungan!AY22/MAX(Perhitungan!$AR22:AY22),0)</f>
        <v>0</v>
      </c>
      <c r="I22">
        <f>IF(ISNUMBER(Perhitungan!AZ22),1-Perhitungan!AZ22/MAX(Perhitungan!$AR22:AZ22),0)</f>
        <v>0</v>
      </c>
      <c r="J22">
        <f>IF(ISNUMBER(Perhitungan!BA22),1-Perhitungan!BA22/MAX(Perhitungan!$AR22:BA22),0)</f>
        <v>0</v>
      </c>
      <c r="K22">
        <f>IF(ISNUMBER(Perhitungan!BB22),1-Perhitungan!BB22/MAX(Perhitungan!$AR22:BB22),0)</f>
        <v>0</v>
      </c>
      <c r="L22">
        <f>IF(ISNUMBER(Perhitungan!BC22),1-Perhitungan!BC22/MAX(Perhitungan!$AR22:BC22),0)</f>
        <v>0</v>
      </c>
      <c r="M22">
        <f>IF(ISNUMBER(Perhitungan!BD22),1-Perhitungan!BD22/MAX(Perhitungan!$AR22:BD22),0)</f>
        <v>0</v>
      </c>
      <c r="N22">
        <f>IF(ISNUMBER(Perhitungan!BE22),1-Perhitungan!BE22/MAX(Perhitungan!$AR22:BE22),0)</f>
        <v>0</v>
      </c>
      <c r="O22">
        <f>IF(ISNUMBER(Perhitungan!BF22),1-Perhitungan!BF22/MAX(Perhitungan!$AR22:BF22),0)</f>
        <v>0</v>
      </c>
      <c r="P22">
        <f>IF(ISNUMBER(Perhitungan!BG22),1-Perhitungan!BG22/MAX(Perhitungan!$AR22:BG22),0)</f>
        <v>0</v>
      </c>
      <c r="Q22">
        <f>IF(ISNUMBER(Perhitungan!BH22),1-Perhitungan!BH22/MAX(Perhitungan!$AR22:BH22),0)</f>
        <v>0</v>
      </c>
      <c r="R22">
        <f>IF(ISNUMBER(Perhitungan!BI22),1-Perhitungan!BI22/MAX(Perhitungan!$AR22:BI22),0)</f>
        <v>0</v>
      </c>
      <c r="S22">
        <f>IF(ISNUMBER(Perhitungan!BJ22),1-Perhitungan!BJ22/MAX(Perhitungan!$AR22:BJ22),0)</f>
        <v>0</v>
      </c>
      <c r="T22">
        <f>IF(ISNUMBER(Perhitungan!BK22),1-Perhitungan!BK22/MAX(Perhitungan!$AR22:BK22),0)</f>
        <v>0</v>
      </c>
      <c r="U22">
        <f>IF(ISNUMBER(Perhitungan!BL22),1-Perhitungan!BL22/MAX(Perhitungan!$AR22:BL22),0)</f>
        <v>0</v>
      </c>
      <c r="V22">
        <f>IF(ISNUMBER(Perhitungan!BM22),1-Perhitungan!BM22/MAX(Perhitungan!$AR22:BM22),0)</f>
        <v>0</v>
      </c>
      <c r="W22">
        <f>IF(ISNUMBER(Perhitungan!BN22),1-Perhitungan!BN22/MAX(Perhitungan!$AR22:BN22),0)</f>
        <v>0</v>
      </c>
      <c r="X22">
        <f>IF(ISNUMBER(Perhitungan!BO22),1-Perhitungan!BO22/MAX(Perhitungan!$AR22:BO22),0)</f>
        <v>0</v>
      </c>
      <c r="Y22">
        <f>IF(ISNUMBER(Perhitungan!BP22),1-Perhitungan!BP22/MAX(Perhitungan!$AR22:BP22),0)</f>
        <v>0</v>
      </c>
      <c r="Z22">
        <f>IF(ISNUMBER(Perhitungan!BQ22),1-Perhitungan!BQ22/MAX(Perhitungan!$AR22:BQ22),0)</f>
        <v>0</v>
      </c>
      <c r="AA22">
        <f>IF(ISNUMBER(Perhitungan!BR22),1-Perhitungan!BR22/MAX(Perhitungan!$AR22:BR22),0)</f>
        <v>0</v>
      </c>
      <c r="AB22">
        <f>IF(ISNUMBER(Perhitungan!BS22),1-Perhitungan!BS22/MAX(Perhitungan!$AR22:BS22),0)</f>
        <v>0</v>
      </c>
      <c r="AC22">
        <f>IF(ISNUMBER(Perhitungan!BT22),1-Perhitungan!BT22/MAX(Perhitungan!$AR22:BT22),0)</f>
        <v>0</v>
      </c>
      <c r="AD22">
        <f>IF(ISNUMBER(Perhitungan!BU22),1-Perhitungan!BU22/MAX(Perhitungan!$AR22:BU22),0)</f>
        <v>0</v>
      </c>
      <c r="AE22">
        <f>IF(ISNUMBER(Perhitungan!BV22),1-Perhitungan!BV22/MAX(Perhitungan!$AR22:BV22),0)</f>
        <v>0</v>
      </c>
    </row>
    <row r="23" spans="1:31">
      <c r="A23" t="str">
        <f>Perhitungan!A23</f>
        <v>P18</v>
      </c>
      <c r="B23">
        <f>IF(ISNUMBER(Perhitungan!AS23),1-Perhitungan!AS23/MAX(Perhitungan!$AR23:AS23),0)</f>
        <v>0</v>
      </c>
      <c r="C23">
        <f>IF(ISNUMBER(Perhitungan!AT23),1-Perhitungan!AT23/MAX(Perhitungan!$AR23:AT23),0)</f>
        <v>0</v>
      </c>
      <c r="D23">
        <f>IF(ISNUMBER(Perhitungan!AU23),1-Perhitungan!AU23/MAX(Perhitungan!$AR23:AU23),0)</f>
        <v>0</v>
      </c>
      <c r="E23">
        <f>IF(ISNUMBER(Perhitungan!AV23),1-Perhitungan!AV23/MAX(Perhitungan!$AR23:AV23),0)</f>
        <v>0</v>
      </c>
      <c r="F23">
        <f>IF(ISNUMBER(Perhitungan!AW23),1-Perhitungan!AW23/MAX(Perhitungan!$AR23:AW23),0)</f>
        <v>0</v>
      </c>
      <c r="G23">
        <f>IF(ISNUMBER(Perhitungan!AX23),1-Perhitungan!AX23/MAX(Perhitungan!$AR23:AX23),0)</f>
        <v>0</v>
      </c>
      <c r="H23">
        <f>IF(ISNUMBER(Perhitungan!AY23),1-Perhitungan!AY23/MAX(Perhitungan!$AR23:AY23),0)</f>
        <v>0</v>
      </c>
      <c r="I23">
        <f>IF(ISNUMBER(Perhitungan!AZ23),1-Perhitungan!AZ23/MAX(Perhitungan!$AR23:AZ23),0)</f>
        <v>0</v>
      </c>
      <c r="J23">
        <f>IF(ISNUMBER(Perhitungan!BA23),1-Perhitungan!BA23/MAX(Perhitungan!$AR23:BA23),0)</f>
        <v>0</v>
      </c>
      <c r="K23">
        <f>IF(ISNUMBER(Perhitungan!BB23),1-Perhitungan!BB23/MAX(Perhitungan!$AR23:BB23),0)</f>
        <v>0</v>
      </c>
      <c r="L23">
        <f>IF(ISNUMBER(Perhitungan!BC23),1-Perhitungan!BC23/MAX(Perhitungan!$AR23:BC23),0)</f>
        <v>0</v>
      </c>
      <c r="M23">
        <f>IF(ISNUMBER(Perhitungan!BD23),1-Perhitungan!BD23/MAX(Perhitungan!$AR23:BD23),0)</f>
        <v>0</v>
      </c>
      <c r="N23">
        <f>IF(ISNUMBER(Perhitungan!BE23),1-Perhitungan!BE23/MAX(Perhitungan!$AR23:BE23),0)</f>
        <v>0</v>
      </c>
      <c r="O23">
        <f>IF(ISNUMBER(Perhitungan!BF23),1-Perhitungan!BF23/MAX(Perhitungan!$AR23:BF23),0)</f>
        <v>0</v>
      </c>
      <c r="P23">
        <f>IF(ISNUMBER(Perhitungan!BG23),1-Perhitungan!BG23/MAX(Perhitungan!$AR23:BG23),0)</f>
        <v>0</v>
      </c>
      <c r="Q23">
        <f>IF(ISNUMBER(Perhitungan!BH23),1-Perhitungan!BH23/MAX(Perhitungan!$AR23:BH23),0)</f>
        <v>0</v>
      </c>
      <c r="R23">
        <f>IF(ISNUMBER(Perhitungan!BI23),1-Perhitungan!BI23/MAX(Perhitungan!$AR23:BI23),0)</f>
        <v>0</v>
      </c>
      <c r="S23">
        <f>IF(ISNUMBER(Perhitungan!BJ23),1-Perhitungan!BJ23/MAX(Perhitungan!$AR23:BJ23),0)</f>
        <v>0</v>
      </c>
      <c r="T23">
        <f>IF(ISNUMBER(Perhitungan!BK23),1-Perhitungan!BK23/MAX(Perhitungan!$AR23:BK23),0)</f>
        <v>0</v>
      </c>
      <c r="U23">
        <f>IF(ISNUMBER(Perhitungan!BL23),1-Perhitungan!BL23/MAX(Perhitungan!$AR23:BL23),0)</f>
        <v>0</v>
      </c>
      <c r="V23">
        <f>IF(ISNUMBER(Perhitungan!BM23),1-Perhitungan!BM23/MAX(Perhitungan!$AR23:BM23),0)</f>
        <v>0</v>
      </c>
      <c r="W23">
        <f>IF(ISNUMBER(Perhitungan!BN23),1-Perhitungan!BN23/MAX(Perhitungan!$AR23:BN23),0)</f>
        <v>0</v>
      </c>
      <c r="X23">
        <f>IF(ISNUMBER(Perhitungan!BO23),1-Perhitungan!BO23/MAX(Perhitungan!$AR23:BO23),0)</f>
        <v>0</v>
      </c>
      <c r="Y23">
        <f>IF(ISNUMBER(Perhitungan!BP23),1-Perhitungan!BP23/MAX(Perhitungan!$AR23:BP23),0)</f>
        <v>0</v>
      </c>
      <c r="Z23">
        <f>IF(ISNUMBER(Perhitungan!BQ23),1-Perhitungan!BQ23/MAX(Perhitungan!$AR23:BQ23),0)</f>
        <v>0</v>
      </c>
      <c r="AA23">
        <f>IF(ISNUMBER(Perhitungan!BR23),1-Perhitungan!BR23/MAX(Perhitungan!$AR23:BR23),0)</f>
        <v>0</v>
      </c>
      <c r="AB23">
        <f>IF(ISNUMBER(Perhitungan!BS23),1-Perhitungan!BS23/MAX(Perhitungan!$AR23:BS23),0)</f>
        <v>0</v>
      </c>
      <c r="AC23">
        <f>IF(ISNUMBER(Perhitungan!BT23),1-Perhitungan!BT23/MAX(Perhitungan!$AR23:BT23),0)</f>
        <v>0</v>
      </c>
      <c r="AD23">
        <f>IF(ISNUMBER(Perhitungan!BU23),1-Perhitungan!BU23/MAX(Perhitungan!$AR23:BU23),0)</f>
        <v>0</v>
      </c>
      <c r="AE23">
        <f>IF(ISNUMBER(Perhitungan!BV23),1-Perhitungan!BV23/MAX(Perhitungan!$AR23:BV23),0)</f>
        <v>0</v>
      </c>
    </row>
    <row r="24" spans="1:31">
      <c r="A24" t="str">
        <f>Perhitungan!A24</f>
        <v>P19</v>
      </c>
      <c r="B24">
        <f>IF(ISNUMBER(Perhitungan!AS24),1-Perhitungan!AS24/MAX(Perhitungan!$AR24:AS24),0)</f>
        <v>0</v>
      </c>
      <c r="C24">
        <f>IF(ISNUMBER(Perhitungan!AT24),1-Perhitungan!AT24/MAX(Perhitungan!$AR24:AT24),0)</f>
        <v>0</v>
      </c>
      <c r="D24">
        <f>IF(ISNUMBER(Perhitungan!AU24),1-Perhitungan!AU24/MAX(Perhitungan!$AR24:AU24),0)</f>
        <v>0</v>
      </c>
      <c r="E24">
        <f>IF(ISNUMBER(Perhitungan!AV24),1-Perhitungan!AV24/MAX(Perhitungan!$AR24:AV24),0)</f>
        <v>0</v>
      </c>
      <c r="F24">
        <f>IF(ISNUMBER(Perhitungan!AW24),1-Perhitungan!AW24/MAX(Perhitungan!$AR24:AW24),0)</f>
        <v>0</v>
      </c>
      <c r="G24">
        <f>IF(ISNUMBER(Perhitungan!AX24),1-Perhitungan!AX24/MAX(Perhitungan!$AR24:AX24),0)</f>
        <v>0</v>
      </c>
      <c r="H24">
        <f>IF(ISNUMBER(Perhitungan!AY24),1-Perhitungan!AY24/MAX(Perhitungan!$AR24:AY24),0)</f>
        <v>0</v>
      </c>
      <c r="I24">
        <f>IF(ISNUMBER(Perhitungan!AZ24),1-Perhitungan!AZ24/MAX(Perhitungan!$AR24:AZ24),0)</f>
        <v>0</v>
      </c>
      <c r="J24">
        <f>IF(ISNUMBER(Perhitungan!BA24),1-Perhitungan!BA24/MAX(Perhitungan!$AR24:BA24),0)</f>
        <v>0</v>
      </c>
      <c r="K24">
        <f>IF(ISNUMBER(Perhitungan!BB24),1-Perhitungan!BB24/MAX(Perhitungan!$AR24:BB24),0)</f>
        <v>0</v>
      </c>
      <c r="L24">
        <f>IF(ISNUMBER(Perhitungan!BC24),1-Perhitungan!BC24/MAX(Perhitungan!$AR24:BC24),0)</f>
        <v>0</v>
      </c>
      <c r="M24">
        <f>IF(ISNUMBER(Perhitungan!BD24),1-Perhitungan!BD24/MAX(Perhitungan!$AR24:BD24),0)</f>
        <v>0</v>
      </c>
      <c r="N24">
        <f>IF(ISNUMBER(Perhitungan!BE24),1-Perhitungan!BE24/MAX(Perhitungan!$AR24:BE24),0)</f>
        <v>0</v>
      </c>
      <c r="O24">
        <f>IF(ISNUMBER(Perhitungan!BF24),1-Perhitungan!BF24/MAX(Perhitungan!$AR24:BF24),0)</f>
        <v>0</v>
      </c>
      <c r="P24">
        <f>IF(ISNUMBER(Perhitungan!BG24),1-Perhitungan!BG24/MAX(Perhitungan!$AR24:BG24),0)</f>
        <v>0</v>
      </c>
      <c r="Q24">
        <f>IF(ISNUMBER(Perhitungan!BH24),1-Perhitungan!BH24/MAX(Perhitungan!$AR24:BH24),0)</f>
        <v>0</v>
      </c>
      <c r="R24">
        <f>IF(ISNUMBER(Perhitungan!BI24),1-Perhitungan!BI24/MAX(Perhitungan!$AR24:BI24),0)</f>
        <v>0</v>
      </c>
      <c r="S24">
        <f>IF(ISNUMBER(Perhitungan!BJ24),1-Perhitungan!BJ24/MAX(Perhitungan!$AR24:BJ24),0)</f>
        <v>0</v>
      </c>
      <c r="T24">
        <f>IF(ISNUMBER(Perhitungan!BK24),1-Perhitungan!BK24/MAX(Perhitungan!$AR24:BK24),0)</f>
        <v>0</v>
      </c>
      <c r="U24">
        <f>IF(ISNUMBER(Perhitungan!BL24),1-Perhitungan!BL24/MAX(Perhitungan!$AR24:BL24),0)</f>
        <v>0</v>
      </c>
      <c r="V24">
        <f>IF(ISNUMBER(Perhitungan!BM24),1-Perhitungan!BM24/MAX(Perhitungan!$AR24:BM24),0)</f>
        <v>0</v>
      </c>
      <c r="W24">
        <f>IF(ISNUMBER(Perhitungan!BN24),1-Perhitungan!BN24/MAX(Perhitungan!$AR24:BN24),0)</f>
        <v>0</v>
      </c>
      <c r="X24">
        <f>IF(ISNUMBER(Perhitungan!BO24),1-Perhitungan!BO24/MAX(Perhitungan!$AR24:BO24),0)</f>
        <v>0</v>
      </c>
      <c r="Y24">
        <f>IF(ISNUMBER(Perhitungan!BP24),1-Perhitungan!BP24/MAX(Perhitungan!$AR24:BP24),0)</f>
        <v>0</v>
      </c>
      <c r="Z24">
        <f>IF(ISNUMBER(Perhitungan!BQ24),1-Perhitungan!BQ24/MAX(Perhitungan!$AR24:BQ24),0)</f>
        <v>0</v>
      </c>
      <c r="AA24">
        <f>IF(ISNUMBER(Perhitungan!BR24),1-Perhitungan!BR24/MAX(Perhitungan!$AR24:BR24),0)</f>
        <v>0</v>
      </c>
      <c r="AB24">
        <f>IF(ISNUMBER(Perhitungan!BS24),1-Perhitungan!BS24/MAX(Perhitungan!$AR24:BS24),0)</f>
        <v>0</v>
      </c>
      <c r="AC24">
        <f>IF(ISNUMBER(Perhitungan!BT24),1-Perhitungan!BT24/MAX(Perhitungan!$AR24:BT24),0)</f>
        <v>0</v>
      </c>
      <c r="AD24">
        <f>IF(ISNUMBER(Perhitungan!BU24),1-Perhitungan!BU24/MAX(Perhitungan!$AR24:BU24),0)</f>
        <v>0</v>
      </c>
      <c r="AE24">
        <f>IF(ISNUMBER(Perhitungan!BV24),1-Perhitungan!BV24/MAX(Perhitungan!$AR24:BV24),0)</f>
        <v>0</v>
      </c>
    </row>
    <row r="25" spans="1:31">
      <c r="A25" t="str">
        <f>Perhitungan!A25</f>
        <v>P20</v>
      </c>
      <c r="B25">
        <f>IF(ISNUMBER(Perhitungan!AS25),1-Perhitungan!AS25/MAX(Perhitungan!$AR25:AS25),0)</f>
        <v>0</v>
      </c>
      <c r="C25">
        <f>IF(ISNUMBER(Perhitungan!AT25),1-Perhitungan!AT25/MAX(Perhitungan!$AR25:AT25),0)</f>
        <v>0</v>
      </c>
      <c r="D25">
        <f>IF(ISNUMBER(Perhitungan!AU25),1-Perhitungan!AU25/MAX(Perhitungan!$AR25:AU25),0)</f>
        <v>0</v>
      </c>
      <c r="E25">
        <f>IF(ISNUMBER(Perhitungan!AV25),1-Perhitungan!AV25/MAX(Perhitungan!$AR25:AV25),0)</f>
        <v>0</v>
      </c>
      <c r="F25">
        <f>IF(ISNUMBER(Perhitungan!AW25),1-Perhitungan!AW25/MAX(Perhitungan!$AR25:AW25),0)</f>
        <v>0</v>
      </c>
      <c r="G25">
        <f>IF(ISNUMBER(Perhitungan!AX25),1-Perhitungan!AX25/MAX(Perhitungan!$AR25:AX25),0)</f>
        <v>0</v>
      </c>
      <c r="H25">
        <f>IF(ISNUMBER(Perhitungan!AY25),1-Perhitungan!AY25/MAX(Perhitungan!$AR25:AY25),0)</f>
        <v>0</v>
      </c>
      <c r="I25">
        <f>IF(ISNUMBER(Perhitungan!AZ25),1-Perhitungan!AZ25/MAX(Perhitungan!$AR25:AZ25),0)</f>
        <v>0</v>
      </c>
      <c r="J25">
        <f>IF(ISNUMBER(Perhitungan!BA25),1-Perhitungan!BA25/MAX(Perhitungan!$AR25:BA25),0)</f>
        <v>0</v>
      </c>
      <c r="K25">
        <f>IF(ISNUMBER(Perhitungan!BB25),1-Perhitungan!BB25/MAX(Perhitungan!$AR25:BB25),0)</f>
        <v>0</v>
      </c>
      <c r="L25">
        <f>IF(ISNUMBER(Perhitungan!BC25),1-Perhitungan!BC25/MAX(Perhitungan!$AR25:BC25),0)</f>
        <v>0</v>
      </c>
      <c r="M25">
        <f>IF(ISNUMBER(Perhitungan!BD25),1-Perhitungan!BD25/MAX(Perhitungan!$AR25:BD25),0)</f>
        <v>0</v>
      </c>
      <c r="N25">
        <f>IF(ISNUMBER(Perhitungan!BE25),1-Perhitungan!BE25/MAX(Perhitungan!$AR25:BE25),0)</f>
        <v>0</v>
      </c>
      <c r="O25">
        <f>IF(ISNUMBER(Perhitungan!BF25),1-Perhitungan!BF25/MAX(Perhitungan!$AR25:BF25),0)</f>
        <v>0</v>
      </c>
      <c r="P25">
        <f>IF(ISNUMBER(Perhitungan!BG25),1-Perhitungan!BG25/MAX(Perhitungan!$AR25:BG25),0)</f>
        <v>0</v>
      </c>
      <c r="Q25">
        <f>IF(ISNUMBER(Perhitungan!BH25),1-Perhitungan!BH25/MAX(Perhitungan!$AR25:BH25),0)</f>
        <v>0</v>
      </c>
      <c r="R25">
        <f>IF(ISNUMBER(Perhitungan!BI25),1-Perhitungan!BI25/MAX(Perhitungan!$AR25:BI25),0)</f>
        <v>0</v>
      </c>
      <c r="S25">
        <f>IF(ISNUMBER(Perhitungan!BJ25),1-Perhitungan!BJ25/MAX(Perhitungan!$AR25:BJ25),0)</f>
        <v>0</v>
      </c>
      <c r="T25">
        <f>IF(ISNUMBER(Perhitungan!BK25),1-Perhitungan!BK25/MAX(Perhitungan!$AR25:BK25),0)</f>
        <v>0</v>
      </c>
      <c r="U25">
        <f>IF(ISNUMBER(Perhitungan!BL25),1-Perhitungan!BL25/MAX(Perhitungan!$AR25:BL25),0)</f>
        <v>0</v>
      </c>
      <c r="V25">
        <f>IF(ISNUMBER(Perhitungan!BM25),1-Perhitungan!BM25/MAX(Perhitungan!$AR25:BM25),0)</f>
        <v>0</v>
      </c>
      <c r="W25">
        <f>IF(ISNUMBER(Perhitungan!BN25),1-Perhitungan!BN25/MAX(Perhitungan!$AR25:BN25),0)</f>
        <v>0</v>
      </c>
      <c r="X25">
        <f>IF(ISNUMBER(Perhitungan!BO25),1-Perhitungan!BO25/MAX(Perhitungan!$AR25:BO25),0)</f>
        <v>0</v>
      </c>
      <c r="Y25">
        <f>IF(ISNUMBER(Perhitungan!BP25),1-Perhitungan!BP25/MAX(Perhitungan!$AR25:BP25),0)</f>
        <v>0</v>
      </c>
      <c r="Z25">
        <f>IF(ISNUMBER(Perhitungan!BQ25),1-Perhitungan!BQ25/MAX(Perhitungan!$AR25:BQ25),0)</f>
        <v>0</v>
      </c>
      <c r="AA25">
        <f>IF(ISNUMBER(Perhitungan!BR25),1-Perhitungan!BR25/MAX(Perhitungan!$AR25:BR25),0)</f>
        <v>0</v>
      </c>
      <c r="AB25">
        <f>IF(ISNUMBER(Perhitungan!BS25),1-Perhitungan!BS25/MAX(Perhitungan!$AR25:BS25),0)</f>
        <v>0</v>
      </c>
      <c r="AC25">
        <f>IF(ISNUMBER(Perhitungan!BT25),1-Perhitungan!BT25/MAX(Perhitungan!$AR25:BT25),0)</f>
        <v>0</v>
      </c>
      <c r="AD25">
        <f>IF(ISNUMBER(Perhitungan!BU25),1-Perhitungan!BU25/MAX(Perhitungan!$AR25:BU25),0)</f>
        <v>0</v>
      </c>
      <c r="AE25">
        <f>IF(ISNUMBER(Perhitungan!BV25),1-Perhitungan!BV25/MAX(Perhitungan!$AR25:BV25),0)</f>
        <v>0</v>
      </c>
    </row>
    <row r="26" spans="1:31">
      <c r="A26" t="str">
        <f>Perhitungan!A26</f>
        <v>P21</v>
      </c>
      <c r="B26">
        <f>IF(ISNUMBER(Perhitungan!AS26),1-Perhitungan!AS26/MAX(Perhitungan!$AR26:AS26),0)</f>
        <v>0</v>
      </c>
      <c r="C26">
        <f>IF(ISNUMBER(Perhitungan!AT26),1-Perhitungan!AT26/MAX(Perhitungan!$AR26:AT26),0)</f>
        <v>0</v>
      </c>
      <c r="D26">
        <f>IF(ISNUMBER(Perhitungan!AU26),1-Perhitungan!AU26/MAX(Perhitungan!$AR26:AU26),0)</f>
        <v>0</v>
      </c>
      <c r="E26">
        <f>IF(ISNUMBER(Perhitungan!AV26),1-Perhitungan!AV26/MAX(Perhitungan!$AR26:AV26),0)</f>
        <v>0</v>
      </c>
      <c r="F26">
        <f>IF(ISNUMBER(Perhitungan!AW26),1-Perhitungan!AW26/MAX(Perhitungan!$AR26:AW26),0)</f>
        <v>0</v>
      </c>
      <c r="G26">
        <f>IF(ISNUMBER(Perhitungan!AX26),1-Perhitungan!AX26/MAX(Perhitungan!$AR26:AX26),0)</f>
        <v>0</v>
      </c>
      <c r="H26">
        <f>IF(ISNUMBER(Perhitungan!AY26),1-Perhitungan!AY26/MAX(Perhitungan!$AR26:AY26),0)</f>
        <v>0</v>
      </c>
      <c r="I26">
        <f>IF(ISNUMBER(Perhitungan!AZ26),1-Perhitungan!AZ26/MAX(Perhitungan!$AR26:AZ26),0)</f>
        <v>0</v>
      </c>
      <c r="J26">
        <f>IF(ISNUMBER(Perhitungan!BA26),1-Perhitungan!BA26/MAX(Perhitungan!$AR26:BA26),0)</f>
        <v>0</v>
      </c>
      <c r="K26">
        <f>IF(ISNUMBER(Perhitungan!BB26),1-Perhitungan!BB26/MAX(Perhitungan!$AR26:BB26),0)</f>
        <v>0</v>
      </c>
      <c r="L26">
        <f>IF(ISNUMBER(Perhitungan!BC26),1-Perhitungan!BC26/MAX(Perhitungan!$AR26:BC26),0)</f>
        <v>0</v>
      </c>
      <c r="M26">
        <f>IF(ISNUMBER(Perhitungan!BD26),1-Perhitungan!BD26/MAX(Perhitungan!$AR26:BD26),0)</f>
        <v>0</v>
      </c>
      <c r="N26">
        <f>IF(ISNUMBER(Perhitungan!BE26),1-Perhitungan!BE26/MAX(Perhitungan!$AR26:BE26),0)</f>
        <v>0</v>
      </c>
      <c r="O26">
        <f>IF(ISNUMBER(Perhitungan!BF26),1-Perhitungan!BF26/MAX(Perhitungan!$AR26:BF26),0)</f>
        <v>0</v>
      </c>
      <c r="P26">
        <f>IF(ISNUMBER(Perhitungan!BG26),1-Perhitungan!BG26/MAX(Perhitungan!$AR26:BG26),0)</f>
        <v>0</v>
      </c>
      <c r="Q26">
        <f>IF(ISNUMBER(Perhitungan!BH26),1-Perhitungan!BH26/MAX(Perhitungan!$AR26:BH26),0)</f>
        <v>0</v>
      </c>
      <c r="R26">
        <f>IF(ISNUMBER(Perhitungan!BI26),1-Perhitungan!BI26/MAX(Perhitungan!$AR26:BI26),0)</f>
        <v>0</v>
      </c>
      <c r="S26">
        <f>IF(ISNUMBER(Perhitungan!BJ26),1-Perhitungan!BJ26/MAX(Perhitungan!$AR26:BJ26),0)</f>
        <v>0</v>
      </c>
      <c r="T26">
        <f>IF(ISNUMBER(Perhitungan!BK26),1-Perhitungan!BK26/MAX(Perhitungan!$AR26:BK26),0)</f>
        <v>0</v>
      </c>
      <c r="U26">
        <f>IF(ISNUMBER(Perhitungan!BL26),1-Perhitungan!BL26/MAX(Perhitungan!$AR26:BL26),0)</f>
        <v>0</v>
      </c>
      <c r="V26">
        <f>IF(ISNUMBER(Perhitungan!BM26),1-Perhitungan!BM26/MAX(Perhitungan!$AR26:BM26),0)</f>
        <v>0</v>
      </c>
      <c r="W26">
        <f>IF(ISNUMBER(Perhitungan!BN26),1-Perhitungan!BN26/MAX(Perhitungan!$AR26:BN26),0)</f>
        <v>0</v>
      </c>
      <c r="X26">
        <f>IF(ISNUMBER(Perhitungan!BO26),1-Perhitungan!BO26/MAX(Perhitungan!$AR26:BO26),0)</f>
        <v>0</v>
      </c>
      <c r="Y26">
        <f>IF(ISNUMBER(Perhitungan!BP26),1-Perhitungan!BP26/MAX(Perhitungan!$AR26:BP26),0)</f>
        <v>0</v>
      </c>
      <c r="Z26">
        <f>IF(ISNUMBER(Perhitungan!BQ26),1-Perhitungan!BQ26/MAX(Perhitungan!$AR26:BQ26),0)</f>
        <v>0</v>
      </c>
      <c r="AA26">
        <f>IF(ISNUMBER(Perhitungan!BR26),1-Perhitungan!BR26/MAX(Perhitungan!$AR26:BR26),0)</f>
        <v>0</v>
      </c>
      <c r="AB26">
        <f>IF(ISNUMBER(Perhitungan!BS26),1-Perhitungan!BS26/MAX(Perhitungan!$AR26:BS26),0)</f>
        <v>0</v>
      </c>
      <c r="AC26">
        <f>IF(ISNUMBER(Perhitungan!BT26),1-Perhitungan!BT26/MAX(Perhitungan!$AR26:BT26),0)</f>
        <v>0</v>
      </c>
      <c r="AD26">
        <f>IF(ISNUMBER(Perhitungan!BU26),1-Perhitungan!BU26/MAX(Perhitungan!$AR26:BU26),0)</f>
        <v>0</v>
      </c>
      <c r="AE26">
        <f>IF(ISNUMBER(Perhitungan!BV26),1-Perhitungan!BV26/MAX(Perhitungan!$AR26:BV26),0)</f>
        <v>0</v>
      </c>
    </row>
    <row r="27" spans="1:31">
      <c r="A27" t="str">
        <f>Perhitungan!A27</f>
        <v>P22</v>
      </c>
      <c r="B27">
        <f>IF(ISNUMBER(Perhitungan!AS27),1-Perhitungan!AS27/MAX(Perhitungan!$AR27:AS27),0)</f>
        <v>0</v>
      </c>
      <c r="C27">
        <f>IF(ISNUMBER(Perhitungan!AT27),1-Perhitungan!AT27/MAX(Perhitungan!$AR27:AT27),0)</f>
        <v>0</v>
      </c>
      <c r="D27">
        <f>IF(ISNUMBER(Perhitungan!AU27),1-Perhitungan!AU27/MAX(Perhitungan!$AR27:AU27),0)</f>
        <v>0</v>
      </c>
      <c r="E27">
        <f>IF(ISNUMBER(Perhitungan!AV27),1-Perhitungan!AV27/MAX(Perhitungan!$AR27:AV27),0)</f>
        <v>0</v>
      </c>
      <c r="F27">
        <f>IF(ISNUMBER(Perhitungan!AW27),1-Perhitungan!AW27/MAX(Perhitungan!$AR27:AW27),0)</f>
        <v>0</v>
      </c>
      <c r="G27">
        <f>IF(ISNUMBER(Perhitungan!AX27),1-Perhitungan!AX27/MAX(Perhitungan!$AR27:AX27),0)</f>
        <v>0</v>
      </c>
      <c r="H27">
        <f>IF(ISNUMBER(Perhitungan!AY27),1-Perhitungan!AY27/MAX(Perhitungan!$AR27:AY27),0)</f>
        <v>0</v>
      </c>
      <c r="I27">
        <f>IF(ISNUMBER(Perhitungan!AZ27),1-Perhitungan!AZ27/MAX(Perhitungan!$AR27:AZ27),0)</f>
        <v>0</v>
      </c>
      <c r="J27">
        <f>IF(ISNUMBER(Perhitungan!BA27),1-Perhitungan!BA27/MAX(Perhitungan!$AR27:BA27),0)</f>
        <v>0</v>
      </c>
      <c r="K27">
        <f>IF(ISNUMBER(Perhitungan!BB27),1-Perhitungan!BB27/MAX(Perhitungan!$AR27:BB27),0)</f>
        <v>0</v>
      </c>
      <c r="L27">
        <f>IF(ISNUMBER(Perhitungan!BC27),1-Perhitungan!BC27/MAX(Perhitungan!$AR27:BC27),0)</f>
        <v>0</v>
      </c>
      <c r="M27">
        <f>IF(ISNUMBER(Perhitungan!BD27),1-Perhitungan!BD27/MAX(Perhitungan!$AR27:BD27),0)</f>
        <v>0</v>
      </c>
      <c r="N27">
        <f>IF(ISNUMBER(Perhitungan!BE27),1-Perhitungan!BE27/MAX(Perhitungan!$AR27:BE27),0)</f>
        <v>0</v>
      </c>
      <c r="O27">
        <f>IF(ISNUMBER(Perhitungan!BF27),1-Perhitungan!BF27/MAX(Perhitungan!$AR27:BF27),0)</f>
        <v>0</v>
      </c>
      <c r="P27">
        <f>IF(ISNUMBER(Perhitungan!BG27),1-Perhitungan!BG27/MAX(Perhitungan!$AR27:BG27),0)</f>
        <v>0</v>
      </c>
      <c r="Q27">
        <f>IF(ISNUMBER(Perhitungan!BH27),1-Perhitungan!BH27/MAX(Perhitungan!$AR27:BH27),0)</f>
        <v>0</v>
      </c>
      <c r="R27">
        <f>IF(ISNUMBER(Perhitungan!BI27),1-Perhitungan!BI27/MAX(Perhitungan!$AR27:BI27),0)</f>
        <v>0</v>
      </c>
      <c r="S27">
        <f>IF(ISNUMBER(Perhitungan!BJ27),1-Perhitungan!BJ27/MAX(Perhitungan!$AR27:BJ27),0)</f>
        <v>0</v>
      </c>
      <c r="T27">
        <f>IF(ISNUMBER(Perhitungan!BK27),1-Perhitungan!BK27/MAX(Perhitungan!$AR27:BK27),0)</f>
        <v>0</v>
      </c>
      <c r="U27">
        <f>IF(ISNUMBER(Perhitungan!BL27),1-Perhitungan!BL27/MAX(Perhitungan!$AR27:BL27),0)</f>
        <v>0</v>
      </c>
      <c r="V27">
        <f>IF(ISNUMBER(Perhitungan!BM27),1-Perhitungan!BM27/MAX(Perhitungan!$AR27:BM27),0)</f>
        <v>0</v>
      </c>
      <c r="W27">
        <f>IF(ISNUMBER(Perhitungan!BN27),1-Perhitungan!BN27/MAX(Perhitungan!$AR27:BN27),0)</f>
        <v>0</v>
      </c>
      <c r="X27">
        <f>IF(ISNUMBER(Perhitungan!BO27),1-Perhitungan!BO27/MAX(Perhitungan!$AR27:BO27),0)</f>
        <v>0</v>
      </c>
      <c r="Y27">
        <f>IF(ISNUMBER(Perhitungan!BP27),1-Perhitungan!BP27/MAX(Perhitungan!$AR27:BP27),0)</f>
        <v>0</v>
      </c>
      <c r="Z27">
        <f>IF(ISNUMBER(Perhitungan!BQ27),1-Perhitungan!BQ27/MAX(Perhitungan!$AR27:BQ27),0)</f>
        <v>0</v>
      </c>
      <c r="AA27">
        <f>IF(ISNUMBER(Perhitungan!BR27),1-Perhitungan!BR27/MAX(Perhitungan!$AR27:BR27),0)</f>
        <v>0</v>
      </c>
      <c r="AB27">
        <f>IF(ISNUMBER(Perhitungan!BS27),1-Perhitungan!BS27/MAX(Perhitungan!$AR27:BS27),0)</f>
        <v>0</v>
      </c>
      <c r="AC27">
        <f>IF(ISNUMBER(Perhitungan!BT27),1-Perhitungan!BT27/MAX(Perhitungan!$AR27:BT27),0)</f>
        <v>0</v>
      </c>
      <c r="AD27">
        <f>IF(ISNUMBER(Perhitungan!BU27),1-Perhitungan!BU27/MAX(Perhitungan!$AR27:BU27),0)</f>
        <v>0</v>
      </c>
      <c r="AE27">
        <f>IF(ISNUMBER(Perhitungan!BV27),1-Perhitungan!BV27/MAX(Perhitungan!$AR27:BV27),0)</f>
        <v>0</v>
      </c>
    </row>
    <row r="28" spans="1:31">
      <c r="A28" t="str">
        <f>Perhitungan!A28</f>
        <v>P23</v>
      </c>
      <c r="B28">
        <f>IF(ISNUMBER(Perhitungan!AS28),1-Perhitungan!AS28/MAX(Perhitungan!$AR28:AS28),0)</f>
        <v>0</v>
      </c>
      <c r="C28">
        <f>IF(ISNUMBER(Perhitungan!AT28),1-Perhitungan!AT28/MAX(Perhitungan!$AR28:AT28),0)</f>
        <v>0</v>
      </c>
      <c r="D28">
        <f>IF(ISNUMBER(Perhitungan!AU28),1-Perhitungan!AU28/MAX(Perhitungan!$AR28:AU28),0)</f>
        <v>0</v>
      </c>
      <c r="E28">
        <f>IF(ISNUMBER(Perhitungan!AV28),1-Perhitungan!AV28/MAX(Perhitungan!$AR28:AV28),0)</f>
        <v>0</v>
      </c>
      <c r="F28">
        <f>IF(ISNUMBER(Perhitungan!AW28),1-Perhitungan!AW28/MAX(Perhitungan!$AR28:AW28),0)</f>
        <v>0</v>
      </c>
      <c r="G28">
        <f>IF(ISNUMBER(Perhitungan!AX28),1-Perhitungan!AX28/MAX(Perhitungan!$AR28:AX28),0)</f>
        <v>0</v>
      </c>
      <c r="H28">
        <f>IF(ISNUMBER(Perhitungan!AY28),1-Perhitungan!AY28/MAX(Perhitungan!$AR28:AY28),0)</f>
        <v>0</v>
      </c>
      <c r="I28">
        <f>IF(ISNUMBER(Perhitungan!AZ28),1-Perhitungan!AZ28/MAX(Perhitungan!$AR28:AZ28),0)</f>
        <v>0</v>
      </c>
      <c r="J28">
        <f>IF(ISNUMBER(Perhitungan!BA28),1-Perhitungan!BA28/MAX(Perhitungan!$AR28:BA28),0)</f>
        <v>0</v>
      </c>
      <c r="K28">
        <f>IF(ISNUMBER(Perhitungan!BB28),1-Perhitungan!BB28/MAX(Perhitungan!$AR28:BB28),0)</f>
        <v>0</v>
      </c>
      <c r="L28">
        <f>IF(ISNUMBER(Perhitungan!BC28),1-Perhitungan!BC28/MAX(Perhitungan!$AR28:BC28),0)</f>
        <v>0</v>
      </c>
      <c r="M28">
        <f>IF(ISNUMBER(Perhitungan!BD28),1-Perhitungan!BD28/MAX(Perhitungan!$AR28:BD28),0)</f>
        <v>0</v>
      </c>
      <c r="N28">
        <f>IF(ISNUMBER(Perhitungan!BE28),1-Perhitungan!BE28/MAX(Perhitungan!$AR28:BE28),0)</f>
        <v>0</v>
      </c>
      <c r="O28">
        <f>IF(ISNUMBER(Perhitungan!BF28),1-Perhitungan!BF28/MAX(Perhitungan!$AR28:BF28),0)</f>
        <v>0</v>
      </c>
      <c r="P28">
        <f>IF(ISNUMBER(Perhitungan!BG28),1-Perhitungan!BG28/MAX(Perhitungan!$AR28:BG28),0)</f>
        <v>0</v>
      </c>
      <c r="Q28">
        <f>IF(ISNUMBER(Perhitungan!BH28),1-Perhitungan!BH28/MAX(Perhitungan!$AR28:BH28),0)</f>
        <v>0</v>
      </c>
      <c r="R28">
        <f>IF(ISNUMBER(Perhitungan!BI28),1-Perhitungan!BI28/MAX(Perhitungan!$AR28:BI28),0)</f>
        <v>0</v>
      </c>
      <c r="S28">
        <f>IF(ISNUMBER(Perhitungan!BJ28),1-Perhitungan!BJ28/MAX(Perhitungan!$AR28:BJ28),0)</f>
        <v>0</v>
      </c>
      <c r="T28">
        <f>IF(ISNUMBER(Perhitungan!BK28),1-Perhitungan!BK28/MAX(Perhitungan!$AR28:BK28),0)</f>
        <v>0</v>
      </c>
      <c r="U28">
        <f>IF(ISNUMBER(Perhitungan!BL28),1-Perhitungan!BL28/MAX(Perhitungan!$AR28:BL28),0)</f>
        <v>0</v>
      </c>
      <c r="V28">
        <f>IF(ISNUMBER(Perhitungan!BM28),1-Perhitungan!BM28/MAX(Perhitungan!$AR28:BM28),0)</f>
        <v>0</v>
      </c>
      <c r="W28">
        <f>IF(ISNUMBER(Perhitungan!BN28),1-Perhitungan!BN28/MAX(Perhitungan!$AR28:BN28),0)</f>
        <v>0</v>
      </c>
      <c r="X28">
        <f>IF(ISNUMBER(Perhitungan!BO28),1-Perhitungan!BO28/MAX(Perhitungan!$AR28:BO28),0)</f>
        <v>0</v>
      </c>
      <c r="Y28">
        <f>IF(ISNUMBER(Perhitungan!BP28),1-Perhitungan!BP28/MAX(Perhitungan!$AR28:BP28),0)</f>
        <v>0</v>
      </c>
      <c r="Z28">
        <f>IF(ISNUMBER(Perhitungan!BQ28),1-Perhitungan!BQ28/MAX(Perhitungan!$AR28:BQ28),0)</f>
        <v>0</v>
      </c>
      <c r="AA28">
        <f>IF(ISNUMBER(Perhitungan!BR28),1-Perhitungan!BR28/MAX(Perhitungan!$AR28:BR28),0)</f>
        <v>0</v>
      </c>
      <c r="AB28">
        <f>IF(ISNUMBER(Perhitungan!BS28),1-Perhitungan!BS28/MAX(Perhitungan!$AR28:BS28),0)</f>
        <v>0</v>
      </c>
      <c r="AC28">
        <f>IF(ISNUMBER(Perhitungan!BT28),1-Perhitungan!BT28/MAX(Perhitungan!$AR28:BT28),0)</f>
        <v>0</v>
      </c>
      <c r="AD28">
        <f>IF(ISNUMBER(Perhitungan!BU28),1-Perhitungan!BU28/MAX(Perhitungan!$AR28:BU28),0)</f>
        <v>0</v>
      </c>
      <c r="AE28">
        <f>IF(ISNUMBER(Perhitungan!BV28),1-Perhitungan!BV28/MAX(Perhitungan!$AR28:BV28),0)</f>
        <v>0</v>
      </c>
    </row>
    <row r="29" spans="1:31">
      <c r="A29" t="str">
        <f>Perhitungan!A29</f>
        <v>P24</v>
      </c>
      <c r="B29">
        <f>IF(ISNUMBER(Perhitungan!AS29),1-Perhitungan!AS29/MAX(Perhitungan!$AR29:AS29),0)</f>
        <v>0</v>
      </c>
      <c r="C29">
        <f>IF(ISNUMBER(Perhitungan!AT29),1-Perhitungan!AT29/MAX(Perhitungan!$AR29:AT29),0)</f>
        <v>0</v>
      </c>
      <c r="D29">
        <f>IF(ISNUMBER(Perhitungan!AU29),1-Perhitungan!AU29/MAX(Perhitungan!$AR29:AU29),0)</f>
        <v>0</v>
      </c>
      <c r="E29">
        <f>IF(ISNUMBER(Perhitungan!AV29),1-Perhitungan!AV29/MAX(Perhitungan!$AR29:AV29),0)</f>
        <v>0</v>
      </c>
      <c r="F29">
        <f>IF(ISNUMBER(Perhitungan!AW29),1-Perhitungan!AW29/MAX(Perhitungan!$AR29:AW29),0)</f>
        <v>0</v>
      </c>
      <c r="G29">
        <f>IF(ISNUMBER(Perhitungan!AX29),1-Perhitungan!AX29/MAX(Perhitungan!$AR29:AX29),0)</f>
        <v>0</v>
      </c>
      <c r="H29">
        <f>IF(ISNUMBER(Perhitungan!AY29),1-Perhitungan!AY29/MAX(Perhitungan!$AR29:AY29),0)</f>
        <v>0</v>
      </c>
      <c r="I29">
        <f>IF(ISNUMBER(Perhitungan!AZ29),1-Perhitungan!AZ29/MAX(Perhitungan!$AR29:AZ29),0)</f>
        <v>0</v>
      </c>
      <c r="J29">
        <f>IF(ISNUMBER(Perhitungan!BA29),1-Perhitungan!BA29/MAX(Perhitungan!$AR29:BA29),0)</f>
        <v>0</v>
      </c>
      <c r="K29">
        <f>IF(ISNUMBER(Perhitungan!BB29),1-Perhitungan!BB29/MAX(Perhitungan!$AR29:BB29),0)</f>
        <v>0</v>
      </c>
      <c r="L29">
        <f>IF(ISNUMBER(Perhitungan!BC29),1-Perhitungan!BC29/MAX(Perhitungan!$AR29:BC29),0)</f>
        <v>0</v>
      </c>
      <c r="M29">
        <f>IF(ISNUMBER(Perhitungan!BD29),1-Perhitungan!BD29/MAX(Perhitungan!$AR29:BD29),0)</f>
        <v>0</v>
      </c>
      <c r="N29">
        <f>IF(ISNUMBER(Perhitungan!BE29),1-Perhitungan!BE29/MAX(Perhitungan!$AR29:BE29),0)</f>
        <v>0</v>
      </c>
      <c r="O29">
        <f>IF(ISNUMBER(Perhitungan!BF29),1-Perhitungan!BF29/MAX(Perhitungan!$AR29:BF29),0)</f>
        <v>0</v>
      </c>
      <c r="P29">
        <f>IF(ISNUMBER(Perhitungan!BG29),1-Perhitungan!BG29/MAX(Perhitungan!$AR29:BG29),0)</f>
        <v>0</v>
      </c>
      <c r="Q29">
        <f>IF(ISNUMBER(Perhitungan!BH29),1-Perhitungan!BH29/MAX(Perhitungan!$AR29:BH29),0)</f>
        <v>0</v>
      </c>
      <c r="R29">
        <f>IF(ISNUMBER(Perhitungan!BI29),1-Perhitungan!BI29/MAX(Perhitungan!$AR29:BI29),0)</f>
        <v>0</v>
      </c>
      <c r="S29">
        <f>IF(ISNUMBER(Perhitungan!BJ29),1-Perhitungan!BJ29/MAX(Perhitungan!$AR29:BJ29),0)</f>
        <v>0</v>
      </c>
      <c r="T29">
        <f>IF(ISNUMBER(Perhitungan!BK29),1-Perhitungan!BK29/MAX(Perhitungan!$AR29:BK29),0)</f>
        <v>0</v>
      </c>
      <c r="U29">
        <f>IF(ISNUMBER(Perhitungan!BL29),1-Perhitungan!BL29/MAX(Perhitungan!$AR29:BL29),0)</f>
        <v>0</v>
      </c>
      <c r="V29">
        <f>IF(ISNUMBER(Perhitungan!BM29),1-Perhitungan!BM29/MAX(Perhitungan!$AR29:BM29),0)</f>
        <v>0</v>
      </c>
      <c r="W29">
        <f>IF(ISNUMBER(Perhitungan!BN29),1-Perhitungan!BN29/MAX(Perhitungan!$AR29:BN29),0)</f>
        <v>0</v>
      </c>
      <c r="X29">
        <f>IF(ISNUMBER(Perhitungan!BO29),1-Perhitungan!BO29/MAX(Perhitungan!$AR29:BO29),0)</f>
        <v>0</v>
      </c>
      <c r="Y29">
        <f>IF(ISNUMBER(Perhitungan!BP29),1-Perhitungan!BP29/MAX(Perhitungan!$AR29:BP29),0)</f>
        <v>0</v>
      </c>
      <c r="Z29">
        <f>IF(ISNUMBER(Perhitungan!BQ29),1-Perhitungan!BQ29/MAX(Perhitungan!$AR29:BQ29),0)</f>
        <v>0</v>
      </c>
      <c r="AA29">
        <f>IF(ISNUMBER(Perhitungan!BR29),1-Perhitungan!BR29/MAX(Perhitungan!$AR29:BR29),0)</f>
        <v>0</v>
      </c>
      <c r="AB29">
        <f>IF(ISNUMBER(Perhitungan!BS29),1-Perhitungan!BS29/MAX(Perhitungan!$AR29:BS29),0)</f>
        <v>0</v>
      </c>
      <c r="AC29">
        <f>IF(ISNUMBER(Perhitungan!BT29),1-Perhitungan!BT29/MAX(Perhitungan!$AR29:BT29),0)</f>
        <v>0</v>
      </c>
      <c r="AD29">
        <f>IF(ISNUMBER(Perhitungan!BU29),1-Perhitungan!BU29/MAX(Perhitungan!$AR29:BU29),0)</f>
        <v>0</v>
      </c>
      <c r="AE29">
        <f>IF(ISNUMBER(Perhitungan!BV29),1-Perhitungan!BV29/MAX(Perhitungan!$AR29:BV29),0)</f>
        <v>0</v>
      </c>
    </row>
    <row r="30" spans="1:31">
      <c r="A30" t="str">
        <f>Perhitungan!A30</f>
        <v>P25</v>
      </c>
      <c r="B30">
        <f>IF(ISNUMBER(Perhitungan!AS30),1-Perhitungan!AS30/MAX(Perhitungan!$AR30:AS30),0)</f>
        <v>0</v>
      </c>
      <c r="C30">
        <f>IF(ISNUMBER(Perhitungan!AT30),1-Perhitungan!AT30/MAX(Perhitungan!$AR30:AT30),0)</f>
        <v>0</v>
      </c>
      <c r="D30">
        <f>IF(ISNUMBER(Perhitungan!AU30),1-Perhitungan!AU30/MAX(Perhitungan!$AR30:AU30),0)</f>
        <v>0</v>
      </c>
      <c r="E30">
        <f>IF(ISNUMBER(Perhitungan!AV30),1-Perhitungan!AV30/MAX(Perhitungan!$AR30:AV30),0)</f>
        <v>0</v>
      </c>
      <c r="F30">
        <f>IF(ISNUMBER(Perhitungan!AW30),1-Perhitungan!AW30/MAX(Perhitungan!$AR30:AW30),0)</f>
        <v>0</v>
      </c>
      <c r="G30">
        <f>IF(ISNUMBER(Perhitungan!AX30),1-Perhitungan!AX30/MAX(Perhitungan!$AR30:AX30),0)</f>
        <v>0</v>
      </c>
      <c r="H30">
        <f>IF(ISNUMBER(Perhitungan!AY30),1-Perhitungan!AY30/MAX(Perhitungan!$AR30:AY30),0)</f>
        <v>0</v>
      </c>
      <c r="I30">
        <f>IF(ISNUMBER(Perhitungan!AZ30),1-Perhitungan!AZ30/MAX(Perhitungan!$AR30:AZ30),0)</f>
        <v>0</v>
      </c>
      <c r="J30">
        <f>IF(ISNUMBER(Perhitungan!BA30),1-Perhitungan!BA30/MAX(Perhitungan!$AR30:BA30),0)</f>
        <v>0</v>
      </c>
      <c r="K30">
        <f>IF(ISNUMBER(Perhitungan!BB30),1-Perhitungan!BB30/MAX(Perhitungan!$AR30:BB30),0)</f>
        <v>0</v>
      </c>
      <c r="L30">
        <f>IF(ISNUMBER(Perhitungan!BC30),1-Perhitungan!BC30/MAX(Perhitungan!$AR30:BC30),0)</f>
        <v>0</v>
      </c>
      <c r="M30">
        <f>IF(ISNUMBER(Perhitungan!BD30),1-Perhitungan!BD30/MAX(Perhitungan!$AR30:BD30),0)</f>
        <v>0</v>
      </c>
      <c r="N30">
        <f>IF(ISNUMBER(Perhitungan!BE30),1-Perhitungan!BE30/MAX(Perhitungan!$AR30:BE30),0)</f>
        <v>0</v>
      </c>
      <c r="O30">
        <f>IF(ISNUMBER(Perhitungan!BF30),1-Perhitungan!BF30/MAX(Perhitungan!$AR30:BF30),0)</f>
        <v>0</v>
      </c>
      <c r="P30">
        <f>IF(ISNUMBER(Perhitungan!BG30),1-Perhitungan!BG30/MAX(Perhitungan!$AR30:BG30),0)</f>
        <v>0</v>
      </c>
      <c r="Q30">
        <f>IF(ISNUMBER(Perhitungan!BH30),1-Perhitungan!BH30/MAX(Perhitungan!$AR30:BH30),0)</f>
        <v>0</v>
      </c>
      <c r="R30">
        <f>IF(ISNUMBER(Perhitungan!BI30),1-Perhitungan!BI30/MAX(Perhitungan!$AR30:BI30),0)</f>
        <v>0</v>
      </c>
      <c r="S30">
        <f>IF(ISNUMBER(Perhitungan!BJ30),1-Perhitungan!BJ30/MAX(Perhitungan!$AR30:BJ30),0)</f>
        <v>0</v>
      </c>
      <c r="T30">
        <f>IF(ISNUMBER(Perhitungan!BK30),1-Perhitungan!BK30/MAX(Perhitungan!$AR30:BK30),0)</f>
        <v>0</v>
      </c>
      <c r="U30">
        <f>IF(ISNUMBER(Perhitungan!BL30),1-Perhitungan!BL30/MAX(Perhitungan!$AR30:BL30),0)</f>
        <v>0</v>
      </c>
      <c r="V30">
        <f>IF(ISNUMBER(Perhitungan!BM30),1-Perhitungan!BM30/MAX(Perhitungan!$AR30:BM30),0)</f>
        <v>0</v>
      </c>
      <c r="W30">
        <f>IF(ISNUMBER(Perhitungan!BN30),1-Perhitungan!BN30/MAX(Perhitungan!$AR30:BN30),0)</f>
        <v>0</v>
      </c>
      <c r="X30">
        <f>IF(ISNUMBER(Perhitungan!BO30),1-Perhitungan!BO30/MAX(Perhitungan!$AR30:BO30),0)</f>
        <v>0</v>
      </c>
      <c r="Y30">
        <f>IF(ISNUMBER(Perhitungan!BP30),1-Perhitungan!BP30/MAX(Perhitungan!$AR30:BP30),0)</f>
        <v>0</v>
      </c>
      <c r="Z30">
        <f>IF(ISNUMBER(Perhitungan!BQ30),1-Perhitungan!BQ30/MAX(Perhitungan!$AR30:BQ30),0)</f>
        <v>0</v>
      </c>
      <c r="AA30">
        <f>IF(ISNUMBER(Perhitungan!BR30),1-Perhitungan!BR30/MAX(Perhitungan!$AR30:BR30),0)</f>
        <v>0</v>
      </c>
      <c r="AB30">
        <f>IF(ISNUMBER(Perhitungan!BS30),1-Perhitungan!BS30/MAX(Perhitungan!$AR30:BS30),0)</f>
        <v>0</v>
      </c>
      <c r="AC30">
        <f>IF(ISNUMBER(Perhitungan!BT30),1-Perhitungan!BT30/MAX(Perhitungan!$AR30:BT30),0)</f>
        <v>0</v>
      </c>
      <c r="AD30">
        <f>IF(ISNUMBER(Perhitungan!BU30),1-Perhitungan!BU30/MAX(Perhitungan!$AR30:BU30),0)</f>
        <v>0</v>
      </c>
      <c r="AE30">
        <f>IF(ISNUMBER(Perhitungan!BV30),1-Perhitungan!BV30/MAX(Perhitungan!$AR30:BV30),0)</f>
        <v>0</v>
      </c>
    </row>
    <row r="31" spans="1:31">
      <c r="A31" t="str">
        <f>Perhitungan!A31</f>
        <v>P26</v>
      </c>
      <c r="B31">
        <f>IF(ISNUMBER(Perhitungan!AS31),1-Perhitungan!AS31/MAX(Perhitungan!$AR31:AS31),0)</f>
        <v>0</v>
      </c>
      <c r="C31">
        <f>IF(ISNUMBER(Perhitungan!AT31),1-Perhitungan!AT31/MAX(Perhitungan!$AR31:AT31),0)</f>
        <v>0</v>
      </c>
      <c r="D31">
        <f>IF(ISNUMBER(Perhitungan!AU31),1-Perhitungan!AU31/MAX(Perhitungan!$AR31:AU31),0)</f>
        <v>0</v>
      </c>
      <c r="E31">
        <f>IF(ISNUMBER(Perhitungan!AV31),1-Perhitungan!AV31/MAX(Perhitungan!$AR31:AV31),0)</f>
        <v>0</v>
      </c>
      <c r="F31">
        <f>IF(ISNUMBER(Perhitungan!AW31),1-Perhitungan!AW31/MAX(Perhitungan!$AR31:AW31),0)</f>
        <v>0</v>
      </c>
      <c r="G31">
        <f>IF(ISNUMBER(Perhitungan!AX31),1-Perhitungan!AX31/MAX(Perhitungan!$AR31:AX31),0)</f>
        <v>0</v>
      </c>
      <c r="H31">
        <f>IF(ISNUMBER(Perhitungan!AY31),1-Perhitungan!AY31/MAX(Perhitungan!$AR31:AY31),0)</f>
        <v>0</v>
      </c>
      <c r="I31">
        <f>IF(ISNUMBER(Perhitungan!AZ31),1-Perhitungan!AZ31/MAX(Perhitungan!$AR31:AZ31),0)</f>
        <v>0</v>
      </c>
      <c r="J31">
        <f>IF(ISNUMBER(Perhitungan!BA31),1-Perhitungan!BA31/MAX(Perhitungan!$AR31:BA31),0)</f>
        <v>0</v>
      </c>
      <c r="K31">
        <f>IF(ISNUMBER(Perhitungan!BB31),1-Perhitungan!BB31/MAX(Perhitungan!$AR31:BB31),0)</f>
        <v>0</v>
      </c>
      <c r="L31">
        <f>IF(ISNUMBER(Perhitungan!BC31),1-Perhitungan!BC31/MAX(Perhitungan!$AR31:BC31),0)</f>
        <v>0</v>
      </c>
      <c r="M31">
        <f>IF(ISNUMBER(Perhitungan!BD31),1-Perhitungan!BD31/MAX(Perhitungan!$AR31:BD31),0)</f>
        <v>0</v>
      </c>
      <c r="N31">
        <f>IF(ISNUMBER(Perhitungan!BE31),1-Perhitungan!BE31/MAX(Perhitungan!$AR31:BE31),0)</f>
        <v>0</v>
      </c>
      <c r="O31">
        <f>IF(ISNUMBER(Perhitungan!BF31),1-Perhitungan!BF31/MAX(Perhitungan!$AR31:BF31),0)</f>
        <v>0</v>
      </c>
      <c r="P31">
        <f>IF(ISNUMBER(Perhitungan!BG31),1-Perhitungan!BG31/MAX(Perhitungan!$AR31:BG31),0)</f>
        <v>0</v>
      </c>
      <c r="Q31">
        <f>IF(ISNUMBER(Perhitungan!BH31),1-Perhitungan!BH31/MAX(Perhitungan!$AR31:BH31),0)</f>
        <v>0</v>
      </c>
      <c r="R31">
        <f>IF(ISNUMBER(Perhitungan!BI31),1-Perhitungan!BI31/MAX(Perhitungan!$AR31:BI31),0)</f>
        <v>0</v>
      </c>
      <c r="S31">
        <f>IF(ISNUMBER(Perhitungan!BJ31),1-Perhitungan!BJ31/MAX(Perhitungan!$AR31:BJ31),0)</f>
        <v>0</v>
      </c>
      <c r="T31">
        <f>IF(ISNUMBER(Perhitungan!BK31),1-Perhitungan!BK31/MAX(Perhitungan!$AR31:BK31),0)</f>
        <v>0</v>
      </c>
      <c r="U31">
        <f>IF(ISNUMBER(Perhitungan!BL31),1-Perhitungan!BL31/MAX(Perhitungan!$AR31:BL31),0)</f>
        <v>0</v>
      </c>
      <c r="V31">
        <f>IF(ISNUMBER(Perhitungan!BM31),1-Perhitungan!BM31/MAX(Perhitungan!$AR31:BM31),0)</f>
        <v>0</v>
      </c>
      <c r="W31">
        <f>IF(ISNUMBER(Perhitungan!BN31),1-Perhitungan!BN31/MAX(Perhitungan!$AR31:BN31),0)</f>
        <v>0</v>
      </c>
      <c r="X31">
        <f>IF(ISNUMBER(Perhitungan!BO31),1-Perhitungan!BO31/MAX(Perhitungan!$AR31:BO31),0)</f>
        <v>0</v>
      </c>
      <c r="Y31">
        <f>IF(ISNUMBER(Perhitungan!BP31),1-Perhitungan!BP31/MAX(Perhitungan!$AR31:BP31),0)</f>
        <v>0</v>
      </c>
      <c r="Z31">
        <f>IF(ISNUMBER(Perhitungan!BQ31),1-Perhitungan!BQ31/MAX(Perhitungan!$AR31:BQ31),0)</f>
        <v>0</v>
      </c>
      <c r="AA31">
        <f>IF(ISNUMBER(Perhitungan!BR31),1-Perhitungan!BR31/MAX(Perhitungan!$AR31:BR31),0)</f>
        <v>0</v>
      </c>
      <c r="AB31">
        <f>IF(ISNUMBER(Perhitungan!BS31),1-Perhitungan!BS31/MAX(Perhitungan!$AR31:BS31),0)</f>
        <v>0</v>
      </c>
      <c r="AC31">
        <f>IF(ISNUMBER(Perhitungan!BT31),1-Perhitungan!BT31/MAX(Perhitungan!$AR31:BT31),0)</f>
        <v>0</v>
      </c>
      <c r="AD31">
        <f>IF(ISNUMBER(Perhitungan!BU31),1-Perhitungan!BU31/MAX(Perhitungan!$AR31:BU31),0)</f>
        <v>0</v>
      </c>
      <c r="AE31">
        <f>IF(ISNUMBER(Perhitungan!BV31),1-Perhitungan!BV31/MAX(Perhitungan!$AR31:BV31),0)</f>
        <v>0</v>
      </c>
    </row>
    <row r="32" spans="1:31">
      <c r="A32" t="str">
        <f>Perhitungan!A32</f>
        <v>P27</v>
      </c>
      <c r="B32">
        <f>IF(ISNUMBER(Perhitungan!AS32),1-Perhitungan!AS32/MAX(Perhitungan!$AR32:AS32),0)</f>
        <v>0</v>
      </c>
      <c r="C32">
        <f>IF(ISNUMBER(Perhitungan!AT32),1-Perhitungan!AT32/MAX(Perhitungan!$AR32:AT32),0)</f>
        <v>0</v>
      </c>
      <c r="D32">
        <f>IF(ISNUMBER(Perhitungan!AU32),1-Perhitungan!AU32/MAX(Perhitungan!$AR32:AU32),0)</f>
        <v>0</v>
      </c>
      <c r="E32">
        <f>IF(ISNUMBER(Perhitungan!AV32),1-Perhitungan!AV32/MAX(Perhitungan!$AR32:AV32),0)</f>
        <v>0</v>
      </c>
      <c r="F32">
        <f>IF(ISNUMBER(Perhitungan!AW32),1-Perhitungan!AW32/MAX(Perhitungan!$AR32:AW32),0)</f>
        <v>0</v>
      </c>
      <c r="G32">
        <f>IF(ISNUMBER(Perhitungan!AX32),1-Perhitungan!AX32/MAX(Perhitungan!$AR32:AX32),0)</f>
        <v>0</v>
      </c>
      <c r="H32">
        <f>IF(ISNUMBER(Perhitungan!AY32),1-Perhitungan!AY32/MAX(Perhitungan!$AR32:AY32),0)</f>
        <v>0</v>
      </c>
      <c r="I32">
        <f>IF(ISNUMBER(Perhitungan!AZ32),1-Perhitungan!AZ32/MAX(Perhitungan!$AR32:AZ32),0)</f>
        <v>0</v>
      </c>
      <c r="J32">
        <f>IF(ISNUMBER(Perhitungan!BA32),1-Perhitungan!BA32/MAX(Perhitungan!$AR32:BA32),0)</f>
        <v>0</v>
      </c>
      <c r="K32">
        <f>IF(ISNUMBER(Perhitungan!BB32),1-Perhitungan!BB32/MAX(Perhitungan!$AR32:BB32),0)</f>
        <v>0</v>
      </c>
      <c r="L32">
        <f>IF(ISNUMBER(Perhitungan!BC32),1-Perhitungan!BC32/MAX(Perhitungan!$AR32:BC32),0)</f>
        <v>0</v>
      </c>
      <c r="M32">
        <f>IF(ISNUMBER(Perhitungan!BD32),1-Perhitungan!BD32/MAX(Perhitungan!$AR32:BD32),0)</f>
        <v>0</v>
      </c>
      <c r="N32">
        <f>IF(ISNUMBER(Perhitungan!BE32),1-Perhitungan!BE32/MAX(Perhitungan!$AR32:BE32),0)</f>
        <v>0</v>
      </c>
      <c r="O32">
        <f>IF(ISNUMBER(Perhitungan!BF32),1-Perhitungan!BF32/MAX(Perhitungan!$AR32:BF32),0)</f>
        <v>0</v>
      </c>
      <c r="P32">
        <f>IF(ISNUMBER(Perhitungan!BG32),1-Perhitungan!BG32/MAX(Perhitungan!$AR32:BG32),0)</f>
        <v>0</v>
      </c>
      <c r="Q32">
        <f>IF(ISNUMBER(Perhitungan!BH32),1-Perhitungan!BH32/MAX(Perhitungan!$AR32:BH32),0)</f>
        <v>0</v>
      </c>
      <c r="R32">
        <f>IF(ISNUMBER(Perhitungan!BI32),1-Perhitungan!BI32/MAX(Perhitungan!$AR32:BI32),0)</f>
        <v>0</v>
      </c>
      <c r="S32">
        <f>IF(ISNUMBER(Perhitungan!BJ32),1-Perhitungan!BJ32/MAX(Perhitungan!$AR32:BJ32),0)</f>
        <v>0</v>
      </c>
      <c r="T32">
        <f>IF(ISNUMBER(Perhitungan!BK32),1-Perhitungan!BK32/MAX(Perhitungan!$AR32:BK32),0)</f>
        <v>0</v>
      </c>
      <c r="U32">
        <f>IF(ISNUMBER(Perhitungan!BL32),1-Perhitungan!BL32/MAX(Perhitungan!$AR32:BL32),0)</f>
        <v>0</v>
      </c>
      <c r="V32">
        <f>IF(ISNUMBER(Perhitungan!BM32),1-Perhitungan!BM32/MAX(Perhitungan!$AR32:BM32),0)</f>
        <v>0</v>
      </c>
      <c r="W32">
        <f>IF(ISNUMBER(Perhitungan!BN32),1-Perhitungan!BN32/MAX(Perhitungan!$AR32:BN32),0)</f>
        <v>0</v>
      </c>
      <c r="X32">
        <f>IF(ISNUMBER(Perhitungan!BO32),1-Perhitungan!BO32/MAX(Perhitungan!$AR32:BO32),0)</f>
        <v>0</v>
      </c>
      <c r="Y32">
        <f>IF(ISNUMBER(Perhitungan!BP32),1-Perhitungan!BP32/MAX(Perhitungan!$AR32:BP32),0)</f>
        <v>0</v>
      </c>
      <c r="Z32">
        <f>IF(ISNUMBER(Perhitungan!BQ32),1-Perhitungan!BQ32/MAX(Perhitungan!$AR32:BQ32),0)</f>
        <v>0</v>
      </c>
      <c r="AA32">
        <f>IF(ISNUMBER(Perhitungan!BR32),1-Perhitungan!BR32/MAX(Perhitungan!$AR32:BR32),0)</f>
        <v>0</v>
      </c>
      <c r="AB32">
        <f>IF(ISNUMBER(Perhitungan!BS32),1-Perhitungan!BS32/MAX(Perhitungan!$AR32:BS32),0)</f>
        <v>0</v>
      </c>
      <c r="AC32">
        <f>IF(ISNUMBER(Perhitungan!BT32),1-Perhitungan!BT32/MAX(Perhitungan!$AR32:BT32),0)</f>
        <v>0</v>
      </c>
      <c r="AD32">
        <f>IF(ISNUMBER(Perhitungan!BU32),1-Perhitungan!BU32/MAX(Perhitungan!$AR32:BU32),0)</f>
        <v>0</v>
      </c>
      <c r="AE32">
        <f>IF(ISNUMBER(Perhitungan!BV32),1-Perhitungan!BV32/MAX(Perhitungan!$AR32:BV32),0)</f>
        <v>0</v>
      </c>
    </row>
    <row r="33" spans="1:31">
      <c r="A33" t="str">
        <f>Perhitungan!A33</f>
        <v>P28</v>
      </c>
      <c r="B33">
        <f>IF(ISNUMBER(Perhitungan!AS33),1-Perhitungan!AS33/MAX(Perhitungan!$AR33:AS33),0)</f>
        <v>0</v>
      </c>
      <c r="C33">
        <f>IF(ISNUMBER(Perhitungan!AT33),1-Perhitungan!AT33/MAX(Perhitungan!$AR33:AT33),0)</f>
        <v>0</v>
      </c>
      <c r="D33">
        <f>IF(ISNUMBER(Perhitungan!AU33),1-Perhitungan!AU33/MAX(Perhitungan!$AR33:AU33),0)</f>
        <v>0</v>
      </c>
      <c r="E33">
        <f>IF(ISNUMBER(Perhitungan!AV33),1-Perhitungan!AV33/MAX(Perhitungan!$AR33:AV33),0)</f>
        <v>0</v>
      </c>
      <c r="F33">
        <f>IF(ISNUMBER(Perhitungan!AW33),1-Perhitungan!AW33/MAX(Perhitungan!$AR33:AW33),0)</f>
        <v>0</v>
      </c>
      <c r="G33">
        <f>IF(ISNUMBER(Perhitungan!AX33),1-Perhitungan!AX33/MAX(Perhitungan!$AR33:AX33),0)</f>
        <v>0</v>
      </c>
      <c r="H33">
        <f>IF(ISNUMBER(Perhitungan!AY33),1-Perhitungan!AY33/MAX(Perhitungan!$AR33:AY33),0)</f>
        <v>0</v>
      </c>
      <c r="I33">
        <f>IF(ISNUMBER(Perhitungan!AZ33),1-Perhitungan!AZ33/MAX(Perhitungan!$AR33:AZ33),0)</f>
        <v>0</v>
      </c>
      <c r="J33">
        <f>IF(ISNUMBER(Perhitungan!BA33),1-Perhitungan!BA33/MAX(Perhitungan!$AR33:BA33),0)</f>
        <v>0</v>
      </c>
      <c r="K33">
        <f>IF(ISNUMBER(Perhitungan!BB33),1-Perhitungan!BB33/MAX(Perhitungan!$AR33:BB33),0)</f>
        <v>0</v>
      </c>
      <c r="L33">
        <f>IF(ISNUMBER(Perhitungan!BC33),1-Perhitungan!BC33/MAX(Perhitungan!$AR33:BC33),0)</f>
        <v>0</v>
      </c>
      <c r="M33">
        <f>IF(ISNUMBER(Perhitungan!BD33),1-Perhitungan!BD33/MAX(Perhitungan!$AR33:BD33),0)</f>
        <v>0</v>
      </c>
      <c r="N33">
        <f>IF(ISNUMBER(Perhitungan!BE33),1-Perhitungan!BE33/MAX(Perhitungan!$AR33:BE33),0)</f>
        <v>0</v>
      </c>
      <c r="O33">
        <f>IF(ISNUMBER(Perhitungan!BF33),1-Perhitungan!BF33/MAX(Perhitungan!$AR33:BF33),0)</f>
        <v>0</v>
      </c>
      <c r="P33">
        <f>IF(ISNUMBER(Perhitungan!BG33),1-Perhitungan!BG33/MAX(Perhitungan!$AR33:BG33),0)</f>
        <v>0</v>
      </c>
      <c r="Q33">
        <f>IF(ISNUMBER(Perhitungan!BH33),1-Perhitungan!BH33/MAX(Perhitungan!$AR33:BH33),0)</f>
        <v>0</v>
      </c>
      <c r="R33">
        <f>IF(ISNUMBER(Perhitungan!BI33),1-Perhitungan!BI33/MAX(Perhitungan!$AR33:BI33),0)</f>
        <v>0</v>
      </c>
      <c r="S33">
        <f>IF(ISNUMBER(Perhitungan!BJ33),1-Perhitungan!BJ33/MAX(Perhitungan!$AR33:BJ33),0)</f>
        <v>0</v>
      </c>
      <c r="T33">
        <f>IF(ISNUMBER(Perhitungan!BK33),1-Perhitungan!BK33/MAX(Perhitungan!$AR33:BK33),0)</f>
        <v>0</v>
      </c>
      <c r="U33">
        <f>IF(ISNUMBER(Perhitungan!BL33),1-Perhitungan!BL33/MAX(Perhitungan!$AR33:BL33),0)</f>
        <v>0</v>
      </c>
      <c r="V33">
        <f>IF(ISNUMBER(Perhitungan!BM33),1-Perhitungan!BM33/MAX(Perhitungan!$AR33:BM33),0)</f>
        <v>0</v>
      </c>
      <c r="W33">
        <f>IF(ISNUMBER(Perhitungan!BN33),1-Perhitungan!BN33/MAX(Perhitungan!$AR33:BN33),0)</f>
        <v>0</v>
      </c>
      <c r="X33">
        <f>IF(ISNUMBER(Perhitungan!BO33),1-Perhitungan!BO33/MAX(Perhitungan!$AR33:BO33),0)</f>
        <v>0</v>
      </c>
      <c r="Y33">
        <f>IF(ISNUMBER(Perhitungan!BP33),1-Perhitungan!BP33/MAX(Perhitungan!$AR33:BP33),0)</f>
        <v>0</v>
      </c>
      <c r="Z33">
        <f>IF(ISNUMBER(Perhitungan!BQ33),1-Perhitungan!BQ33/MAX(Perhitungan!$AR33:BQ33),0)</f>
        <v>0</v>
      </c>
      <c r="AA33">
        <f>IF(ISNUMBER(Perhitungan!BR33),1-Perhitungan!BR33/MAX(Perhitungan!$AR33:BR33),0)</f>
        <v>0</v>
      </c>
      <c r="AB33">
        <f>IF(ISNUMBER(Perhitungan!BS33),1-Perhitungan!BS33/MAX(Perhitungan!$AR33:BS33),0)</f>
        <v>0</v>
      </c>
      <c r="AC33">
        <f>IF(ISNUMBER(Perhitungan!BT33),1-Perhitungan!BT33/MAX(Perhitungan!$AR33:BT33),0)</f>
        <v>0</v>
      </c>
      <c r="AD33">
        <f>IF(ISNUMBER(Perhitungan!BU33),1-Perhitungan!BU33/MAX(Perhitungan!$AR33:BU33),0)</f>
        <v>0</v>
      </c>
      <c r="AE33">
        <f>IF(ISNUMBER(Perhitungan!BV33),1-Perhitungan!BV33/MAX(Perhitungan!$AR33:BV33),0)</f>
        <v>0</v>
      </c>
    </row>
    <row r="34" spans="1:31">
      <c r="A34" t="str">
        <f>Perhitungan!A34</f>
        <v>P29</v>
      </c>
      <c r="B34">
        <f>IF(ISNUMBER(Perhitungan!AS34),1-Perhitungan!AS34/MAX(Perhitungan!$AR34:AS34),0)</f>
        <v>0</v>
      </c>
      <c r="C34">
        <f>IF(ISNUMBER(Perhitungan!AT34),1-Perhitungan!AT34/MAX(Perhitungan!$AR34:AT34),0)</f>
        <v>0</v>
      </c>
      <c r="D34">
        <f>IF(ISNUMBER(Perhitungan!AU34),1-Perhitungan!AU34/MAX(Perhitungan!$AR34:AU34),0)</f>
        <v>0</v>
      </c>
      <c r="E34">
        <f>IF(ISNUMBER(Perhitungan!AV34),1-Perhitungan!AV34/MAX(Perhitungan!$AR34:AV34),0)</f>
        <v>0</v>
      </c>
      <c r="F34">
        <f>IF(ISNUMBER(Perhitungan!AW34),1-Perhitungan!AW34/MAX(Perhitungan!$AR34:AW34),0)</f>
        <v>0</v>
      </c>
      <c r="G34">
        <f>IF(ISNUMBER(Perhitungan!AX34),1-Perhitungan!AX34/MAX(Perhitungan!$AR34:AX34),0)</f>
        <v>0</v>
      </c>
      <c r="H34">
        <f>IF(ISNUMBER(Perhitungan!AY34),1-Perhitungan!AY34/MAX(Perhitungan!$AR34:AY34),0)</f>
        <v>0</v>
      </c>
      <c r="I34">
        <f>IF(ISNUMBER(Perhitungan!AZ34),1-Perhitungan!AZ34/MAX(Perhitungan!$AR34:AZ34),0)</f>
        <v>0</v>
      </c>
      <c r="J34">
        <f>IF(ISNUMBER(Perhitungan!BA34),1-Perhitungan!BA34/MAX(Perhitungan!$AR34:BA34),0)</f>
        <v>0</v>
      </c>
      <c r="K34">
        <f>IF(ISNUMBER(Perhitungan!BB34),1-Perhitungan!BB34/MAX(Perhitungan!$AR34:BB34),0)</f>
        <v>0</v>
      </c>
      <c r="L34">
        <f>IF(ISNUMBER(Perhitungan!BC34),1-Perhitungan!BC34/MAX(Perhitungan!$AR34:BC34),0)</f>
        <v>0</v>
      </c>
      <c r="M34">
        <f>IF(ISNUMBER(Perhitungan!BD34),1-Perhitungan!BD34/MAX(Perhitungan!$AR34:BD34),0)</f>
        <v>0</v>
      </c>
      <c r="N34">
        <f>IF(ISNUMBER(Perhitungan!BE34),1-Perhitungan!BE34/MAX(Perhitungan!$AR34:BE34),0)</f>
        <v>0</v>
      </c>
      <c r="O34">
        <f>IF(ISNUMBER(Perhitungan!BF34),1-Perhitungan!BF34/MAX(Perhitungan!$AR34:BF34),0)</f>
        <v>0</v>
      </c>
      <c r="P34">
        <f>IF(ISNUMBER(Perhitungan!BG34),1-Perhitungan!BG34/MAX(Perhitungan!$AR34:BG34),0)</f>
        <v>0</v>
      </c>
      <c r="Q34">
        <f>IF(ISNUMBER(Perhitungan!BH34),1-Perhitungan!BH34/MAX(Perhitungan!$AR34:BH34),0)</f>
        <v>0</v>
      </c>
      <c r="R34">
        <f>IF(ISNUMBER(Perhitungan!BI34),1-Perhitungan!BI34/MAX(Perhitungan!$AR34:BI34),0)</f>
        <v>0</v>
      </c>
      <c r="S34">
        <f>IF(ISNUMBER(Perhitungan!BJ34),1-Perhitungan!BJ34/MAX(Perhitungan!$AR34:BJ34),0)</f>
        <v>0</v>
      </c>
      <c r="T34">
        <f>IF(ISNUMBER(Perhitungan!BK34),1-Perhitungan!BK34/MAX(Perhitungan!$AR34:BK34),0)</f>
        <v>0</v>
      </c>
      <c r="U34">
        <f>IF(ISNUMBER(Perhitungan!BL34),1-Perhitungan!BL34/MAX(Perhitungan!$AR34:BL34),0)</f>
        <v>0</v>
      </c>
      <c r="V34">
        <f>IF(ISNUMBER(Perhitungan!BM34),1-Perhitungan!BM34/MAX(Perhitungan!$AR34:BM34),0)</f>
        <v>0</v>
      </c>
      <c r="W34">
        <f>IF(ISNUMBER(Perhitungan!BN34),1-Perhitungan!BN34/MAX(Perhitungan!$AR34:BN34),0)</f>
        <v>0</v>
      </c>
      <c r="X34">
        <f>IF(ISNUMBER(Perhitungan!BO34),1-Perhitungan!BO34/MAX(Perhitungan!$AR34:BO34),0)</f>
        <v>0</v>
      </c>
      <c r="Y34">
        <f>IF(ISNUMBER(Perhitungan!BP34),1-Perhitungan!BP34/MAX(Perhitungan!$AR34:BP34),0)</f>
        <v>0</v>
      </c>
      <c r="Z34">
        <f>IF(ISNUMBER(Perhitungan!BQ34),1-Perhitungan!BQ34/MAX(Perhitungan!$AR34:BQ34),0)</f>
        <v>0</v>
      </c>
      <c r="AA34">
        <f>IF(ISNUMBER(Perhitungan!BR34),1-Perhitungan!BR34/MAX(Perhitungan!$AR34:BR34),0)</f>
        <v>0</v>
      </c>
      <c r="AB34">
        <f>IF(ISNUMBER(Perhitungan!BS34),1-Perhitungan!BS34/MAX(Perhitungan!$AR34:BS34),0)</f>
        <v>0</v>
      </c>
      <c r="AC34">
        <f>IF(ISNUMBER(Perhitungan!BT34),1-Perhitungan!BT34/MAX(Perhitungan!$AR34:BT34),0)</f>
        <v>0</v>
      </c>
      <c r="AD34">
        <f>IF(ISNUMBER(Perhitungan!BU34),1-Perhitungan!BU34/MAX(Perhitungan!$AR34:BU34),0)</f>
        <v>0</v>
      </c>
      <c r="AE34">
        <f>IF(ISNUMBER(Perhitungan!BV34),1-Perhitungan!BV34/MAX(Perhitungan!$AR34:BV34),0)</f>
        <v>0</v>
      </c>
    </row>
    <row r="35" spans="1:31">
      <c r="A35" t="str">
        <f>Perhitungan!A35</f>
        <v>P30</v>
      </c>
      <c r="B35">
        <f>IF(ISNUMBER(Perhitungan!AS35),1-Perhitungan!AS35/MAX(Perhitungan!$AR35:AS35),0)</f>
        <v>0</v>
      </c>
      <c r="C35">
        <f>IF(ISNUMBER(Perhitungan!AT35),1-Perhitungan!AT35/MAX(Perhitungan!$AR35:AT35),0)</f>
        <v>0</v>
      </c>
      <c r="D35">
        <f>IF(ISNUMBER(Perhitungan!AU35),1-Perhitungan!AU35/MAX(Perhitungan!$AR35:AU35),0)</f>
        <v>0</v>
      </c>
      <c r="E35">
        <f>IF(ISNUMBER(Perhitungan!AV35),1-Perhitungan!AV35/MAX(Perhitungan!$AR35:AV35),0)</f>
        <v>0</v>
      </c>
      <c r="F35">
        <f>IF(ISNUMBER(Perhitungan!AW35),1-Perhitungan!AW35/MAX(Perhitungan!$AR35:AW35),0)</f>
        <v>0</v>
      </c>
      <c r="G35">
        <f>IF(ISNUMBER(Perhitungan!AX35),1-Perhitungan!AX35/MAX(Perhitungan!$AR35:AX35),0)</f>
        <v>0</v>
      </c>
      <c r="H35">
        <f>IF(ISNUMBER(Perhitungan!AY35),1-Perhitungan!AY35/MAX(Perhitungan!$AR35:AY35),0)</f>
        <v>0</v>
      </c>
      <c r="I35">
        <f>IF(ISNUMBER(Perhitungan!AZ35),1-Perhitungan!AZ35/MAX(Perhitungan!$AR35:AZ35),0)</f>
        <v>0</v>
      </c>
      <c r="J35">
        <f>IF(ISNUMBER(Perhitungan!BA35),1-Perhitungan!BA35/MAX(Perhitungan!$AR35:BA35),0)</f>
        <v>0</v>
      </c>
      <c r="K35">
        <f>IF(ISNUMBER(Perhitungan!BB35),1-Perhitungan!BB35/MAX(Perhitungan!$AR35:BB35),0)</f>
        <v>0</v>
      </c>
      <c r="L35">
        <f>IF(ISNUMBER(Perhitungan!BC35),1-Perhitungan!BC35/MAX(Perhitungan!$AR35:BC35),0)</f>
        <v>0</v>
      </c>
      <c r="M35">
        <f>IF(ISNUMBER(Perhitungan!BD35),1-Perhitungan!BD35/MAX(Perhitungan!$AR35:BD35),0)</f>
        <v>0</v>
      </c>
      <c r="N35">
        <f>IF(ISNUMBER(Perhitungan!BE35),1-Perhitungan!BE35/MAX(Perhitungan!$AR35:BE35),0)</f>
        <v>0</v>
      </c>
      <c r="O35">
        <f>IF(ISNUMBER(Perhitungan!BF35),1-Perhitungan!BF35/MAX(Perhitungan!$AR35:BF35),0)</f>
        <v>0</v>
      </c>
      <c r="P35">
        <f>IF(ISNUMBER(Perhitungan!BG35),1-Perhitungan!BG35/MAX(Perhitungan!$AR35:BG35),0)</f>
        <v>0</v>
      </c>
      <c r="Q35">
        <f>IF(ISNUMBER(Perhitungan!BH35),1-Perhitungan!BH35/MAX(Perhitungan!$AR35:BH35),0)</f>
        <v>0</v>
      </c>
      <c r="R35">
        <f>IF(ISNUMBER(Perhitungan!BI35),1-Perhitungan!BI35/MAX(Perhitungan!$AR35:BI35),0)</f>
        <v>0</v>
      </c>
      <c r="S35">
        <f>IF(ISNUMBER(Perhitungan!BJ35),1-Perhitungan!BJ35/MAX(Perhitungan!$AR35:BJ35),0)</f>
        <v>0</v>
      </c>
      <c r="T35">
        <f>IF(ISNUMBER(Perhitungan!BK35),1-Perhitungan!BK35/MAX(Perhitungan!$AR35:BK35),0)</f>
        <v>0</v>
      </c>
      <c r="U35">
        <f>IF(ISNUMBER(Perhitungan!BL35),1-Perhitungan!BL35/MAX(Perhitungan!$AR35:BL35),0)</f>
        <v>0</v>
      </c>
      <c r="V35">
        <f>IF(ISNUMBER(Perhitungan!BM35),1-Perhitungan!BM35/MAX(Perhitungan!$AR35:BM35),0)</f>
        <v>0</v>
      </c>
      <c r="W35">
        <f>IF(ISNUMBER(Perhitungan!BN35),1-Perhitungan!BN35/MAX(Perhitungan!$AR35:BN35),0)</f>
        <v>0</v>
      </c>
      <c r="X35">
        <f>IF(ISNUMBER(Perhitungan!BO35),1-Perhitungan!BO35/MAX(Perhitungan!$AR35:BO35),0)</f>
        <v>0</v>
      </c>
      <c r="Y35">
        <f>IF(ISNUMBER(Perhitungan!BP35),1-Perhitungan!BP35/MAX(Perhitungan!$AR35:BP35),0)</f>
        <v>0</v>
      </c>
      <c r="Z35">
        <f>IF(ISNUMBER(Perhitungan!BQ35),1-Perhitungan!BQ35/MAX(Perhitungan!$AR35:BQ35),0)</f>
        <v>0</v>
      </c>
      <c r="AA35">
        <f>IF(ISNUMBER(Perhitungan!BR35),1-Perhitungan!BR35/MAX(Perhitungan!$AR35:BR35),0)</f>
        <v>0</v>
      </c>
      <c r="AB35">
        <f>IF(ISNUMBER(Perhitungan!BS35),1-Perhitungan!BS35/MAX(Perhitungan!$AR35:BS35),0)</f>
        <v>0</v>
      </c>
      <c r="AC35">
        <f>IF(ISNUMBER(Perhitungan!BT35),1-Perhitungan!BT35/MAX(Perhitungan!$AR35:BT35),0)</f>
        <v>0</v>
      </c>
      <c r="AD35">
        <f>IF(ISNUMBER(Perhitungan!BU35),1-Perhitungan!BU35/MAX(Perhitungan!$AR35:BU35),0)</f>
        <v>0</v>
      </c>
      <c r="AE35">
        <f>IF(ISNUMBER(Perhitungan!BV35),1-Perhitungan!BV35/MAX(Perhitungan!$AR35:BV35),0)</f>
        <v>0</v>
      </c>
    </row>
    <row r="36" spans="1:31">
      <c r="A36" t="str">
        <f>Perhitungan!A36</f>
        <v>P31</v>
      </c>
      <c r="B36">
        <f>IF(ISNUMBER(Perhitungan!AS36),1-Perhitungan!AS36/MAX(Perhitungan!$AR36:AS36),0)</f>
        <v>0</v>
      </c>
      <c r="C36">
        <f>IF(ISNUMBER(Perhitungan!AT36),1-Perhitungan!AT36/MAX(Perhitungan!$AR36:AT36),0)</f>
        <v>0</v>
      </c>
      <c r="D36">
        <f>IF(ISNUMBER(Perhitungan!AU36),1-Perhitungan!AU36/MAX(Perhitungan!$AR36:AU36),0)</f>
        <v>0</v>
      </c>
      <c r="E36">
        <f>IF(ISNUMBER(Perhitungan!AV36),1-Perhitungan!AV36/MAX(Perhitungan!$AR36:AV36),0)</f>
        <v>0</v>
      </c>
      <c r="F36">
        <f>IF(ISNUMBER(Perhitungan!AW36),1-Perhitungan!AW36/MAX(Perhitungan!$AR36:AW36),0)</f>
        <v>0</v>
      </c>
      <c r="G36">
        <f>IF(ISNUMBER(Perhitungan!AX36),1-Perhitungan!AX36/MAX(Perhitungan!$AR36:AX36),0)</f>
        <v>0</v>
      </c>
      <c r="H36">
        <f>IF(ISNUMBER(Perhitungan!AY36),1-Perhitungan!AY36/MAX(Perhitungan!$AR36:AY36),0)</f>
        <v>0</v>
      </c>
      <c r="I36">
        <f>IF(ISNUMBER(Perhitungan!AZ36),1-Perhitungan!AZ36/MAX(Perhitungan!$AR36:AZ36),0)</f>
        <v>0</v>
      </c>
      <c r="J36">
        <f>IF(ISNUMBER(Perhitungan!BA36),1-Perhitungan!BA36/MAX(Perhitungan!$AR36:BA36),0)</f>
        <v>0</v>
      </c>
      <c r="K36">
        <f>IF(ISNUMBER(Perhitungan!BB36),1-Perhitungan!BB36/MAX(Perhitungan!$AR36:BB36),0)</f>
        <v>0</v>
      </c>
      <c r="L36">
        <f>IF(ISNUMBER(Perhitungan!BC36),1-Perhitungan!BC36/MAX(Perhitungan!$AR36:BC36),0)</f>
        <v>0</v>
      </c>
      <c r="M36">
        <f>IF(ISNUMBER(Perhitungan!BD36),1-Perhitungan!BD36/MAX(Perhitungan!$AR36:BD36),0)</f>
        <v>0</v>
      </c>
      <c r="N36">
        <f>IF(ISNUMBER(Perhitungan!BE36),1-Perhitungan!BE36/MAX(Perhitungan!$AR36:BE36),0)</f>
        <v>0</v>
      </c>
      <c r="O36">
        <f>IF(ISNUMBER(Perhitungan!BF36),1-Perhitungan!BF36/MAX(Perhitungan!$AR36:BF36),0)</f>
        <v>0</v>
      </c>
      <c r="P36">
        <f>IF(ISNUMBER(Perhitungan!BG36),1-Perhitungan!BG36/MAX(Perhitungan!$AR36:BG36),0)</f>
        <v>0</v>
      </c>
      <c r="Q36">
        <f>IF(ISNUMBER(Perhitungan!BH36),1-Perhitungan!BH36/MAX(Perhitungan!$AR36:BH36),0)</f>
        <v>0</v>
      </c>
      <c r="R36">
        <f>IF(ISNUMBER(Perhitungan!BI36),1-Perhitungan!BI36/MAX(Perhitungan!$AR36:BI36),0)</f>
        <v>0</v>
      </c>
      <c r="S36">
        <f>IF(ISNUMBER(Perhitungan!BJ36),1-Perhitungan!BJ36/MAX(Perhitungan!$AR36:BJ36),0)</f>
        <v>0</v>
      </c>
      <c r="T36">
        <f>IF(ISNUMBER(Perhitungan!BK36),1-Perhitungan!BK36/MAX(Perhitungan!$AR36:BK36),0)</f>
        <v>0</v>
      </c>
      <c r="U36">
        <f>IF(ISNUMBER(Perhitungan!BL36),1-Perhitungan!BL36/MAX(Perhitungan!$AR36:BL36),0)</f>
        <v>0</v>
      </c>
      <c r="V36">
        <f>IF(ISNUMBER(Perhitungan!BM36),1-Perhitungan!BM36/MAX(Perhitungan!$AR36:BM36),0)</f>
        <v>0</v>
      </c>
      <c r="W36">
        <f>IF(ISNUMBER(Perhitungan!BN36),1-Perhitungan!BN36/MAX(Perhitungan!$AR36:BN36),0)</f>
        <v>0</v>
      </c>
      <c r="X36">
        <f>IF(ISNUMBER(Perhitungan!BO36),1-Perhitungan!BO36/MAX(Perhitungan!$AR36:BO36),0)</f>
        <v>0</v>
      </c>
      <c r="Y36">
        <f>IF(ISNUMBER(Perhitungan!BP36),1-Perhitungan!BP36/MAX(Perhitungan!$AR36:BP36),0)</f>
        <v>0</v>
      </c>
      <c r="Z36">
        <f>IF(ISNUMBER(Perhitungan!BQ36),1-Perhitungan!BQ36/MAX(Perhitungan!$AR36:BQ36),0)</f>
        <v>0</v>
      </c>
      <c r="AA36">
        <f>IF(ISNUMBER(Perhitungan!BR36),1-Perhitungan!BR36/MAX(Perhitungan!$AR36:BR36),0)</f>
        <v>0</v>
      </c>
      <c r="AB36">
        <f>IF(ISNUMBER(Perhitungan!BS36),1-Perhitungan!BS36/MAX(Perhitungan!$AR36:BS36),0)</f>
        <v>0</v>
      </c>
      <c r="AC36">
        <f>IF(ISNUMBER(Perhitungan!BT36),1-Perhitungan!BT36/MAX(Perhitungan!$AR36:BT36),0)</f>
        <v>0</v>
      </c>
      <c r="AD36">
        <f>IF(ISNUMBER(Perhitungan!BU36),1-Perhitungan!BU36/MAX(Perhitungan!$AR36:BU36),0)</f>
        <v>0</v>
      </c>
      <c r="AE36">
        <f>IF(ISNUMBER(Perhitungan!BV36),1-Perhitungan!BV36/MAX(Perhitungan!$AR36:BV36),0)</f>
        <v>0</v>
      </c>
    </row>
    <row r="37" spans="1:31">
      <c r="A37" t="str">
        <f>Perhitungan!A37</f>
        <v>P32</v>
      </c>
      <c r="B37">
        <f>IF(ISNUMBER(Perhitungan!AS37),1-Perhitungan!AS37/MAX(Perhitungan!$AR37:AS37),0)</f>
        <v>0</v>
      </c>
      <c r="C37">
        <f>IF(ISNUMBER(Perhitungan!AT37),1-Perhitungan!AT37/MAX(Perhitungan!$AR37:AT37),0)</f>
        <v>0</v>
      </c>
      <c r="D37">
        <f>IF(ISNUMBER(Perhitungan!AU37),1-Perhitungan!AU37/MAX(Perhitungan!$AR37:AU37),0)</f>
        <v>0</v>
      </c>
      <c r="E37">
        <f>IF(ISNUMBER(Perhitungan!AV37),1-Perhitungan!AV37/MAX(Perhitungan!$AR37:AV37),0)</f>
        <v>0</v>
      </c>
      <c r="F37">
        <f>IF(ISNUMBER(Perhitungan!AW37),1-Perhitungan!AW37/MAX(Perhitungan!$AR37:AW37),0)</f>
        <v>0</v>
      </c>
      <c r="G37">
        <f>IF(ISNUMBER(Perhitungan!AX37),1-Perhitungan!AX37/MAX(Perhitungan!$AR37:AX37),0)</f>
        <v>0</v>
      </c>
      <c r="H37">
        <f>IF(ISNUMBER(Perhitungan!AY37),1-Perhitungan!AY37/MAX(Perhitungan!$AR37:AY37),0)</f>
        <v>0</v>
      </c>
      <c r="I37">
        <f>IF(ISNUMBER(Perhitungan!AZ37),1-Perhitungan!AZ37/MAX(Perhitungan!$AR37:AZ37),0)</f>
        <v>0</v>
      </c>
      <c r="J37">
        <f>IF(ISNUMBER(Perhitungan!BA37),1-Perhitungan!BA37/MAX(Perhitungan!$AR37:BA37),0)</f>
        <v>0</v>
      </c>
      <c r="K37">
        <f>IF(ISNUMBER(Perhitungan!BB37),1-Perhitungan!BB37/MAX(Perhitungan!$AR37:BB37),0)</f>
        <v>0</v>
      </c>
      <c r="L37">
        <f>IF(ISNUMBER(Perhitungan!BC37),1-Perhitungan!BC37/MAX(Perhitungan!$AR37:BC37),0)</f>
        <v>0</v>
      </c>
      <c r="M37">
        <f>IF(ISNUMBER(Perhitungan!BD37),1-Perhitungan!BD37/MAX(Perhitungan!$AR37:BD37),0)</f>
        <v>0</v>
      </c>
      <c r="N37">
        <f>IF(ISNUMBER(Perhitungan!BE37),1-Perhitungan!BE37/MAX(Perhitungan!$AR37:BE37),0)</f>
        <v>0</v>
      </c>
      <c r="O37">
        <f>IF(ISNUMBER(Perhitungan!BF37),1-Perhitungan!BF37/MAX(Perhitungan!$AR37:BF37),0)</f>
        <v>0</v>
      </c>
      <c r="P37">
        <f>IF(ISNUMBER(Perhitungan!BG37),1-Perhitungan!BG37/MAX(Perhitungan!$AR37:BG37),0)</f>
        <v>0</v>
      </c>
      <c r="Q37">
        <f>IF(ISNUMBER(Perhitungan!BH37),1-Perhitungan!BH37/MAX(Perhitungan!$AR37:BH37),0)</f>
        <v>0</v>
      </c>
      <c r="R37">
        <f>IF(ISNUMBER(Perhitungan!BI37),1-Perhitungan!BI37/MAX(Perhitungan!$AR37:BI37),0)</f>
        <v>0</v>
      </c>
      <c r="S37">
        <f>IF(ISNUMBER(Perhitungan!BJ37),1-Perhitungan!BJ37/MAX(Perhitungan!$AR37:BJ37),0)</f>
        <v>0</v>
      </c>
      <c r="T37">
        <f>IF(ISNUMBER(Perhitungan!BK37),1-Perhitungan!BK37/MAX(Perhitungan!$AR37:BK37),0)</f>
        <v>0</v>
      </c>
      <c r="U37">
        <f>IF(ISNUMBER(Perhitungan!BL37),1-Perhitungan!BL37/MAX(Perhitungan!$AR37:BL37),0)</f>
        <v>0</v>
      </c>
      <c r="V37">
        <f>IF(ISNUMBER(Perhitungan!BM37),1-Perhitungan!BM37/MAX(Perhitungan!$AR37:BM37),0)</f>
        <v>0</v>
      </c>
      <c r="W37">
        <f>IF(ISNUMBER(Perhitungan!BN37),1-Perhitungan!BN37/MAX(Perhitungan!$AR37:BN37),0)</f>
        <v>0</v>
      </c>
      <c r="X37">
        <f>IF(ISNUMBER(Perhitungan!BO37),1-Perhitungan!BO37/MAX(Perhitungan!$AR37:BO37),0)</f>
        <v>0</v>
      </c>
      <c r="Y37">
        <f>IF(ISNUMBER(Perhitungan!BP37),1-Perhitungan!BP37/MAX(Perhitungan!$AR37:BP37),0)</f>
        <v>0</v>
      </c>
      <c r="Z37">
        <f>IF(ISNUMBER(Perhitungan!BQ37),1-Perhitungan!BQ37/MAX(Perhitungan!$AR37:BQ37),0)</f>
        <v>0</v>
      </c>
      <c r="AA37">
        <f>IF(ISNUMBER(Perhitungan!BR37),1-Perhitungan!BR37/MAX(Perhitungan!$AR37:BR37),0)</f>
        <v>0</v>
      </c>
      <c r="AB37">
        <f>IF(ISNUMBER(Perhitungan!BS37),1-Perhitungan!BS37/MAX(Perhitungan!$AR37:BS37),0)</f>
        <v>0</v>
      </c>
      <c r="AC37">
        <f>IF(ISNUMBER(Perhitungan!BT37),1-Perhitungan!BT37/MAX(Perhitungan!$AR37:BT37),0)</f>
        <v>0</v>
      </c>
      <c r="AD37">
        <f>IF(ISNUMBER(Perhitungan!BU37),1-Perhitungan!BU37/MAX(Perhitungan!$AR37:BU37),0)</f>
        <v>0</v>
      </c>
      <c r="AE37">
        <f>IF(ISNUMBER(Perhitungan!BV37),1-Perhitungan!BV37/MAX(Perhitungan!$AR37:BV37),0)</f>
        <v>0</v>
      </c>
    </row>
    <row r="38" spans="1:31">
      <c r="A38" t="str">
        <f>Perhitungan!A38</f>
        <v>P33</v>
      </c>
      <c r="B38">
        <f>IF(ISNUMBER(Perhitungan!AS38),1-Perhitungan!AS38/MAX(Perhitungan!$AR38:AS38),0)</f>
        <v>0</v>
      </c>
      <c r="C38">
        <f>IF(ISNUMBER(Perhitungan!AT38),1-Perhitungan!AT38/MAX(Perhitungan!$AR38:AT38),0)</f>
        <v>0</v>
      </c>
      <c r="D38">
        <f>IF(ISNUMBER(Perhitungan!AU38),1-Perhitungan!AU38/MAX(Perhitungan!$AR38:AU38),0)</f>
        <v>0</v>
      </c>
      <c r="E38">
        <f>IF(ISNUMBER(Perhitungan!AV38),1-Perhitungan!AV38/MAX(Perhitungan!$AR38:AV38),0)</f>
        <v>0</v>
      </c>
      <c r="F38">
        <f>IF(ISNUMBER(Perhitungan!AW38),1-Perhitungan!AW38/MAX(Perhitungan!$AR38:AW38),0)</f>
        <v>0</v>
      </c>
      <c r="G38">
        <f>IF(ISNUMBER(Perhitungan!AX38),1-Perhitungan!AX38/MAX(Perhitungan!$AR38:AX38),0)</f>
        <v>0</v>
      </c>
      <c r="H38">
        <f>IF(ISNUMBER(Perhitungan!AY38),1-Perhitungan!AY38/MAX(Perhitungan!$AR38:AY38),0)</f>
        <v>0</v>
      </c>
      <c r="I38">
        <f>IF(ISNUMBER(Perhitungan!AZ38),1-Perhitungan!AZ38/MAX(Perhitungan!$AR38:AZ38),0)</f>
        <v>0</v>
      </c>
      <c r="J38">
        <f>IF(ISNUMBER(Perhitungan!BA38),1-Perhitungan!BA38/MAX(Perhitungan!$AR38:BA38),0)</f>
        <v>0</v>
      </c>
      <c r="K38">
        <f>IF(ISNUMBER(Perhitungan!BB38),1-Perhitungan!BB38/MAX(Perhitungan!$AR38:BB38),0)</f>
        <v>0</v>
      </c>
      <c r="L38">
        <f>IF(ISNUMBER(Perhitungan!BC38),1-Perhitungan!BC38/MAX(Perhitungan!$AR38:BC38),0)</f>
        <v>0</v>
      </c>
      <c r="M38">
        <f>IF(ISNUMBER(Perhitungan!BD38),1-Perhitungan!BD38/MAX(Perhitungan!$AR38:BD38),0)</f>
        <v>0</v>
      </c>
      <c r="N38">
        <f>IF(ISNUMBER(Perhitungan!BE38),1-Perhitungan!BE38/MAX(Perhitungan!$AR38:BE38),0)</f>
        <v>0</v>
      </c>
      <c r="O38">
        <f>IF(ISNUMBER(Perhitungan!BF38),1-Perhitungan!BF38/MAX(Perhitungan!$AR38:BF38),0)</f>
        <v>0</v>
      </c>
      <c r="P38">
        <f>IF(ISNUMBER(Perhitungan!BG38),1-Perhitungan!BG38/MAX(Perhitungan!$AR38:BG38),0)</f>
        <v>0</v>
      </c>
      <c r="Q38">
        <f>IF(ISNUMBER(Perhitungan!BH38),1-Perhitungan!BH38/MAX(Perhitungan!$AR38:BH38),0)</f>
        <v>0</v>
      </c>
      <c r="R38">
        <f>IF(ISNUMBER(Perhitungan!BI38),1-Perhitungan!BI38/MAX(Perhitungan!$AR38:BI38),0)</f>
        <v>0</v>
      </c>
      <c r="S38">
        <f>IF(ISNUMBER(Perhitungan!BJ38),1-Perhitungan!BJ38/MAX(Perhitungan!$AR38:BJ38),0)</f>
        <v>0</v>
      </c>
      <c r="T38">
        <f>IF(ISNUMBER(Perhitungan!BK38),1-Perhitungan!BK38/MAX(Perhitungan!$AR38:BK38),0)</f>
        <v>0</v>
      </c>
      <c r="U38">
        <f>IF(ISNUMBER(Perhitungan!BL38),1-Perhitungan!BL38/MAX(Perhitungan!$AR38:BL38),0)</f>
        <v>0</v>
      </c>
      <c r="V38">
        <f>IF(ISNUMBER(Perhitungan!BM38),1-Perhitungan!BM38/MAX(Perhitungan!$AR38:BM38),0)</f>
        <v>0</v>
      </c>
      <c r="W38">
        <f>IF(ISNUMBER(Perhitungan!BN38),1-Perhitungan!BN38/MAX(Perhitungan!$AR38:BN38),0)</f>
        <v>0</v>
      </c>
      <c r="X38">
        <f>IF(ISNUMBER(Perhitungan!BO38),1-Perhitungan!BO38/MAX(Perhitungan!$AR38:BO38),0)</f>
        <v>0</v>
      </c>
      <c r="Y38">
        <f>IF(ISNUMBER(Perhitungan!BP38),1-Perhitungan!BP38/MAX(Perhitungan!$AR38:BP38),0)</f>
        <v>0</v>
      </c>
      <c r="Z38">
        <f>IF(ISNUMBER(Perhitungan!BQ38),1-Perhitungan!BQ38/MAX(Perhitungan!$AR38:BQ38),0)</f>
        <v>0</v>
      </c>
      <c r="AA38">
        <f>IF(ISNUMBER(Perhitungan!BR38),1-Perhitungan!BR38/MAX(Perhitungan!$AR38:BR38),0)</f>
        <v>0</v>
      </c>
      <c r="AB38">
        <f>IF(ISNUMBER(Perhitungan!BS38),1-Perhitungan!BS38/MAX(Perhitungan!$AR38:BS38),0)</f>
        <v>0</v>
      </c>
      <c r="AC38">
        <f>IF(ISNUMBER(Perhitungan!BT38),1-Perhitungan!BT38/MAX(Perhitungan!$AR38:BT38),0)</f>
        <v>0</v>
      </c>
      <c r="AD38">
        <f>IF(ISNUMBER(Perhitungan!BU38),1-Perhitungan!BU38/MAX(Perhitungan!$AR38:BU38),0)</f>
        <v>0</v>
      </c>
      <c r="AE38">
        <f>IF(ISNUMBER(Perhitungan!BV38),1-Perhitungan!BV38/MAX(Perhitungan!$AR38:BV38),0)</f>
        <v>0</v>
      </c>
    </row>
    <row r="39" spans="1:31">
      <c r="A39" t="str">
        <f>Perhitungan!A39</f>
        <v>P34</v>
      </c>
      <c r="B39">
        <f>IF(ISNUMBER(Perhitungan!AS39),1-Perhitungan!AS39/MAX(Perhitungan!$AR39:AS39),0)</f>
        <v>0</v>
      </c>
      <c r="C39">
        <f>IF(ISNUMBER(Perhitungan!AT39),1-Perhitungan!AT39/MAX(Perhitungan!$AR39:AT39),0)</f>
        <v>0</v>
      </c>
      <c r="D39">
        <f>IF(ISNUMBER(Perhitungan!AU39),1-Perhitungan!AU39/MAX(Perhitungan!$AR39:AU39),0)</f>
        <v>0</v>
      </c>
      <c r="E39">
        <f>IF(ISNUMBER(Perhitungan!AV39),1-Perhitungan!AV39/MAX(Perhitungan!$AR39:AV39),0)</f>
        <v>0</v>
      </c>
      <c r="F39">
        <f>IF(ISNUMBER(Perhitungan!AW39),1-Perhitungan!AW39/MAX(Perhitungan!$AR39:AW39),0)</f>
        <v>0</v>
      </c>
      <c r="G39">
        <f>IF(ISNUMBER(Perhitungan!AX39),1-Perhitungan!AX39/MAX(Perhitungan!$AR39:AX39),0)</f>
        <v>0</v>
      </c>
      <c r="H39">
        <f>IF(ISNUMBER(Perhitungan!AY39),1-Perhitungan!AY39/MAX(Perhitungan!$AR39:AY39),0)</f>
        <v>0</v>
      </c>
      <c r="I39">
        <f>IF(ISNUMBER(Perhitungan!AZ39),1-Perhitungan!AZ39/MAX(Perhitungan!$AR39:AZ39),0)</f>
        <v>0</v>
      </c>
      <c r="J39">
        <f>IF(ISNUMBER(Perhitungan!BA39),1-Perhitungan!BA39/MAX(Perhitungan!$AR39:BA39),0)</f>
        <v>0</v>
      </c>
      <c r="K39">
        <f>IF(ISNUMBER(Perhitungan!BB39),1-Perhitungan!BB39/MAX(Perhitungan!$AR39:BB39),0)</f>
        <v>0</v>
      </c>
      <c r="L39">
        <f>IF(ISNUMBER(Perhitungan!BC39),1-Perhitungan!BC39/MAX(Perhitungan!$AR39:BC39),0)</f>
        <v>0</v>
      </c>
      <c r="M39">
        <f>IF(ISNUMBER(Perhitungan!BD39),1-Perhitungan!BD39/MAX(Perhitungan!$AR39:BD39),0)</f>
        <v>0</v>
      </c>
      <c r="N39">
        <f>IF(ISNUMBER(Perhitungan!BE39),1-Perhitungan!BE39/MAX(Perhitungan!$AR39:BE39),0)</f>
        <v>0</v>
      </c>
      <c r="O39">
        <f>IF(ISNUMBER(Perhitungan!BF39),1-Perhitungan!BF39/MAX(Perhitungan!$AR39:BF39),0)</f>
        <v>0</v>
      </c>
      <c r="P39">
        <f>IF(ISNUMBER(Perhitungan!BG39),1-Perhitungan!BG39/MAX(Perhitungan!$AR39:BG39),0)</f>
        <v>0</v>
      </c>
      <c r="Q39">
        <f>IF(ISNUMBER(Perhitungan!BH39),1-Perhitungan!BH39/MAX(Perhitungan!$AR39:BH39),0)</f>
        <v>0</v>
      </c>
      <c r="R39">
        <f>IF(ISNUMBER(Perhitungan!BI39),1-Perhitungan!BI39/MAX(Perhitungan!$AR39:BI39),0)</f>
        <v>0</v>
      </c>
      <c r="S39">
        <f>IF(ISNUMBER(Perhitungan!BJ39),1-Perhitungan!BJ39/MAX(Perhitungan!$AR39:BJ39),0)</f>
        <v>0</v>
      </c>
      <c r="T39">
        <f>IF(ISNUMBER(Perhitungan!BK39),1-Perhitungan!BK39/MAX(Perhitungan!$AR39:BK39),0)</f>
        <v>0</v>
      </c>
      <c r="U39">
        <f>IF(ISNUMBER(Perhitungan!BL39),1-Perhitungan!BL39/MAX(Perhitungan!$AR39:BL39),0)</f>
        <v>0</v>
      </c>
      <c r="V39">
        <f>IF(ISNUMBER(Perhitungan!BM39),1-Perhitungan!BM39/MAX(Perhitungan!$AR39:BM39),0)</f>
        <v>0</v>
      </c>
      <c r="W39">
        <f>IF(ISNUMBER(Perhitungan!BN39),1-Perhitungan!BN39/MAX(Perhitungan!$AR39:BN39),0)</f>
        <v>0</v>
      </c>
      <c r="X39">
        <f>IF(ISNUMBER(Perhitungan!BO39),1-Perhitungan!BO39/MAX(Perhitungan!$AR39:BO39),0)</f>
        <v>0</v>
      </c>
      <c r="Y39">
        <f>IF(ISNUMBER(Perhitungan!BP39),1-Perhitungan!BP39/MAX(Perhitungan!$AR39:BP39),0)</f>
        <v>0</v>
      </c>
      <c r="Z39">
        <f>IF(ISNUMBER(Perhitungan!BQ39),1-Perhitungan!BQ39/MAX(Perhitungan!$AR39:BQ39),0)</f>
        <v>0</v>
      </c>
      <c r="AA39">
        <f>IF(ISNUMBER(Perhitungan!BR39),1-Perhitungan!BR39/MAX(Perhitungan!$AR39:BR39),0)</f>
        <v>0</v>
      </c>
      <c r="AB39">
        <f>IF(ISNUMBER(Perhitungan!BS39),1-Perhitungan!BS39/MAX(Perhitungan!$AR39:BS39),0)</f>
        <v>0</v>
      </c>
      <c r="AC39">
        <f>IF(ISNUMBER(Perhitungan!BT39),1-Perhitungan!BT39/MAX(Perhitungan!$AR39:BT39),0)</f>
        <v>0</v>
      </c>
      <c r="AD39">
        <f>IF(ISNUMBER(Perhitungan!BU39),1-Perhitungan!BU39/MAX(Perhitungan!$AR39:BU39),0)</f>
        <v>0</v>
      </c>
      <c r="AE39">
        <f>IF(ISNUMBER(Perhitungan!BV39),1-Perhitungan!BV39/MAX(Perhitungan!$AR39:BV39),0)</f>
        <v>0</v>
      </c>
    </row>
    <row r="40" spans="1:31">
      <c r="A40" t="str">
        <f>Perhitungan!A40</f>
        <v>P35</v>
      </c>
      <c r="B40">
        <f>IF(ISNUMBER(Perhitungan!AS40),1-Perhitungan!AS40/MAX(Perhitungan!$AR40:AS40),0)</f>
        <v>0</v>
      </c>
      <c r="C40">
        <f>IF(ISNUMBER(Perhitungan!AT40),1-Perhitungan!AT40/MAX(Perhitungan!$AR40:AT40),0)</f>
        <v>0</v>
      </c>
      <c r="D40">
        <f>IF(ISNUMBER(Perhitungan!AU40),1-Perhitungan!AU40/MAX(Perhitungan!$AR40:AU40),0)</f>
        <v>0</v>
      </c>
      <c r="E40">
        <f>IF(ISNUMBER(Perhitungan!AV40),1-Perhitungan!AV40/MAX(Perhitungan!$AR40:AV40),0)</f>
        <v>0</v>
      </c>
      <c r="F40">
        <f>IF(ISNUMBER(Perhitungan!AW40),1-Perhitungan!AW40/MAX(Perhitungan!$AR40:AW40),0)</f>
        <v>0</v>
      </c>
      <c r="G40">
        <f>IF(ISNUMBER(Perhitungan!AX40),1-Perhitungan!AX40/MAX(Perhitungan!$AR40:AX40),0)</f>
        <v>0</v>
      </c>
      <c r="H40">
        <f>IF(ISNUMBER(Perhitungan!AY40),1-Perhitungan!AY40/MAX(Perhitungan!$AR40:AY40),0)</f>
        <v>0</v>
      </c>
      <c r="I40">
        <f>IF(ISNUMBER(Perhitungan!AZ40),1-Perhitungan!AZ40/MAX(Perhitungan!$AR40:AZ40),0)</f>
        <v>0</v>
      </c>
      <c r="J40">
        <f>IF(ISNUMBER(Perhitungan!BA40),1-Perhitungan!BA40/MAX(Perhitungan!$AR40:BA40),0)</f>
        <v>0</v>
      </c>
      <c r="K40">
        <f>IF(ISNUMBER(Perhitungan!BB40),1-Perhitungan!BB40/MAX(Perhitungan!$AR40:BB40),0)</f>
        <v>0</v>
      </c>
      <c r="L40">
        <f>IF(ISNUMBER(Perhitungan!BC40),1-Perhitungan!BC40/MAX(Perhitungan!$AR40:BC40),0)</f>
        <v>0</v>
      </c>
      <c r="M40">
        <f>IF(ISNUMBER(Perhitungan!BD40),1-Perhitungan!BD40/MAX(Perhitungan!$AR40:BD40),0)</f>
        <v>0</v>
      </c>
      <c r="N40">
        <f>IF(ISNUMBER(Perhitungan!BE40),1-Perhitungan!BE40/MAX(Perhitungan!$AR40:BE40),0)</f>
        <v>0</v>
      </c>
      <c r="O40">
        <f>IF(ISNUMBER(Perhitungan!BF40),1-Perhitungan!BF40/MAX(Perhitungan!$AR40:BF40),0)</f>
        <v>0</v>
      </c>
      <c r="P40">
        <f>IF(ISNUMBER(Perhitungan!BG40),1-Perhitungan!BG40/MAX(Perhitungan!$AR40:BG40),0)</f>
        <v>0</v>
      </c>
      <c r="Q40">
        <f>IF(ISNUMBER(Perhitungan!BH40),1-Perhitungan!BH40/MAX(Perhitungan!$AR40:BH40),0)</f>
        <v>0</v>
      </c>
      <c r="R40">
        <f>IF(ISNUMBER(Perhitungan!BI40),1-Perhitungan!BI40/MAX(Perhitungan!$AR40:BI40),0)</f>
        <v>0</v>
      </c>
      <c r="S40">
        <f>IF(ISNUMBER(Perhitungan!BJ40),1-Perhitungan!BJ40/MAX(Perhitungan!$AR40:BJ40),0)</f>
        <v>0</v>
      </c>
      <c r="T40">
        <f>IF(ISNUMBER(Perhitungan!BK40),1-Perhitungan!BK40/MAX(Perhitungan!$AR40:BK40),0)</f>
        <v>0</v>
      </c>
      <c r="U40">
        <f>IF(ISNUMBER(Perhitungan!BL40),1-Perhitungan!BL40/MAX(Perhitungan!$AR40:BL40),0)</f>
        <v>0</v>
      </c>
      <c r="V40">
        <f>IF(ISNUMBER(Perhitungan!BM40),1-Perhitungan!BM40/MAX(Perhitungan!$AR40:BM40),0)</f>
        <v>0</v>
      </c>
      <c r="W40">
        <f>IF(ISNUMBER(Perhitungan!BN40),1-Perhitungan!BN40/MAX(Perhitungan!$AR40:BN40),0)</f>
        <v>0</v>
      </c>
      <c r="X40">
        <f>IF(ISNUMBER(Perhitungan!BO40),1-Perhitungan!BO40/MAX(Perhitungan!$AR40:BO40),0)</f>
        <v>0</v>
      </c>
      <c r="Y40">
        <f>IF(ISNUMBER(Perhitungan!BP40),1-Perhitungan!BP40/MAX(Perhitungan!$AR40:BP40),0)</f>
        <v>0</v>
      </c>
      <c r="Z40">
        <f>IF(ISNUMBER(Perhitungan!BQ40),1-Perhitungan!BQ40/MAX(Perhitungan!$AR40:BQ40),0)</f>
        <v>0</v>
      </c>
      <c r="AA40">
        <f>IF(ISNUMBER(Perhitungan!BR40),1-Perhitungan!BR40/MAX(Perhitungan!$AR40:BR40),0)</f>
        <v>0</v>
      </c>
      <c r="AB40">
        <f>IF(ISNUMBER(Perhitungan!BS40),1-Perhitungan!BS40/MAX(Perhitungan!$AR40:BS40),0)</f>
        <v>0</v>
      </c>
      <c r="AC40">
        <f>IF(ISNUMBER(Perhitungan!BT40),1-Perhitungan!BT40/MAX(Perhitungan!$AR40:BT40),0)</f>
        <v>0</v>
      </c>
      <c r="AD40">
        <f>IF(ISNUMBER(Perhitungan!BU40),1-Perhitungan!BU40/MAX(Perhitungan!$AR40:BU40),0)</f>
        <v>0</v>
      </c>
      <c r="AE40">
        <f>IF(ISNUMBER(Perhitungan!BV40),1-Perhitungan!BV40/MAX(Perhitungan!$AR40:BV40),0)</f>
        <v>0</v>
      </c>
    </row>
    <row r="41" spans="1:31">
      <c r="A41" t="str">
        <f>Perhitungan!A41</f>
        <v>P36</v>
      </c>
      <c r="B41">
        <f>IF(ISNUMBER(Perhitungan!AS41),1-Perhitungan!AS41/MAX(Perhitungan!$AR41:AS41),0)</f>
        <v>0</v>
      </c>
      <c r="C41">
        <f>IF(ISNUMBER(Perhitungan!AT41),1-Perhitungan!AT41/MAX(Perhitungan!$AR41:AT41),0)</f>
        <v>0</v>
      </c>
      <c r="D41">
        <f>IF(ISNUMBER(Perhitungan!AU41),1-Perhitungan!AU41/MAX(Perhitungan!$AR41:AU41),0)</f>
        <v>0</v>
      </c>
      <c r="E41">
        <f>IF(ISNUMBER(Perhitungan!AV41),1-Perhitungan!AV41/MAX(Perhitungan!$AR41:AV41),0)</f>
        <v>0</v>
      </c>
      <c r="F41">
        <f>IF(ISNUMBER(Perhitungan!AW41),1-Perhitungan!AW41/MAX(Perhitungan!$AR41:AW41),0)</f>
        <v>0</v>
      </c>
      <c r="G41">
        <f>IF(ISNUMBER(Perhitungan!AX41),1-Perhitungan!AX41/MAX(Perhitungan!$AR41:AX41),0)</f>
        <v>0</v>
      </c>
      <c r="H41">
        <f>IF(ISNUMBER(Perhitungan!AY41),1-Perhitungan!AY41/MAX(Perhitungan!$AR41:AY41),0)</f>
        <v>0</v>
      </c>
      <c r="I41">
        <f>IF(ISNUMBER(Perhitungan!AZ41),1-Perhitungan!AZ41/MAX(Perhitungan!$AR41:AZ41),0)</f>
        <v>0</v>
      </c>
      <c r="J41">
        <f>IF(ISNUMBER(Perhitungan!BA41),1-Perhitungan!BA41/MAX(Perhitungan!$AR41:BA41),0)</f>
        <v>0</v>
      </c>
      <c r="K41">
        <f>IF(ISNUMBER(Perhitungan!BB41),1-Perhitungan!BB41/MAX(Perhitungan!$AR41:BB41),0)</f>
        <v>0</v>
      </c>
      <c r="L41">
        <f>IF(ISNUMBER(Perhitungan!BC41),1-Perhitungan!BC41/MAX(Perhitungan!$AR41:BC41),0)</f>
        <v>0</v>
      </c>
      <c r="M41">
        <f>IF(ISNUMBER(Perhitungan!BD41),1-Perhitungan!BD41/MAX(Perhitungan!$AR41:BD41),0)</f>
        <v>0</v>
      </c>
      <c r="N41">
        <f>IF(ISNUMBER(Perhitungan!BE41),1-Perhitungan!BE41/MAX(Perhitungan!$AR41:BE41),0)</f>
        <v>0</v>
      </c>
      <c r="O41">
        <f>IF(ISNUMBER(Perhitungan!BF41),1-Perhitungan!BF41/MAX(Perhitungan!$AR41:BF41),0)</f>
        <v>0</v>
      </c>
      <c r="P41">
        <f>IF(ISNUMBER(Perhitungan!BG41),1-Perhitungan!BG41/MAX(Perhitungan!$AR41:BG41),0)</f>
        <v>0</v>
      </c>
      <c r="Q41">
        <f>IF(ISNUMBER(Perhitungan!BH41),1-Perhitungan!BH41/MAX(Perhitungan!$AR41:BH41),0)</f>
        <v>0</v>
      </c>
      <c r="R41">
        <f>IF(ISNUMBER(Perhitungan!BI41),1-Perhitungan!BI41/MAX(Perhitungan!$AR41:BI41),0)</f>
        <v>0</v>
      </c>
      <c r="S41">
        <f>IF(ISNUMBER(Perhitungan!BJ41),1-Perhitungan!BJ41/MAX(Perhitungan!$AR41:BJ41),0)</f>
        <v>0</v>
      </c>
      <c r="T41">
        <f>IF(ISNUMBER(Perhitungan!BK41),1-Perhitungan!BK41/MAX(Perhitungan!$AR41:BK41),0)</f>
        <v>0</v>
      </c>
      <c r="U41">
        <f>IF(ISNUMBER(Perhitungan!BL41),1-Perhitungan!BL41/MAX(Perhitungan!$AR41:BL41),0)</f>
        <v>0</v>
      </c>
      <c r="V41">
        <f>IF(ISNUMBER(Perhitungan!BM41),1-Perhitungan!BM41/MAX(Perhitungan!$AR41:BM41),0)</f>
        <v>0</v>
      </c>
      <c r="W41">
        <f>IF(ISNUMBER(Perhitungan!BN41),1-Perhitungan!BN41/MAX(Perhitungan!$AR41:BN41),0)</f>
        <v>0</v>
      </c>
      <c r="X41">
        <f>IF(ISNUMBER(Perhitungan!BO41),1-Perhitungan!BO41/MAX(Perhitungan!$AR41:BO41),0)</f>
        <v>0</v>
      </c>
      <c r="Y41">
        <f>IF(ISNUMBER(Perhitungan!BP41),1-Perhitungan!BP41/MAX(Perhitungan!$AR41:BP41),0)</f>
        <v>0</v>
      </c>
      <c r="Z41">
        <f>IF(ISNUMBER(Perhitungan!BQ41),1-Perhitungan!BQ41/MAX(Perhitungan!$AR41:BQ41),0)</f>
        <v>0</v>
      </c>
      <c r="AA41">
        <f>IF(ISNUMBER(Perhitungan!BR41),1-Perhitungan!BR41/MAX(Perhitungan!$AR41:BR41),0)</f>
        <v>0</v>
      </c>
      <c r="AB41">
        <f>IF(ISNUMBER(Perhitungan!BS41),1-Perhitungan!BS41/MAX(Perhitungan!$AR41:BS41),0)</f>
        <v>0</v>
      </c>
      <c r="AC41">
        <f>IF(ISNUMBER(Perhitungan!BT41),1-Perhitungan!BT41/MAX(Perhitungan!$AR41:BT41),0)</f>
        <v>0</v>
      </c>
      <c r="AD41">
        <f>IF(ISNUMBER(Perhitungan!BU41),1-Perhitungan!BU41/MAX(Perhitungan!$AR41:BU41),0)</f>
        <v>0</v>
      </c>
      <c r="AE41">
        <f>IF(ISNUMBER(Perhitungan!BV41),1-Perhitungan!BV41/MAX(Perhitungan!$AR41:BV41),0)</f>
        <v>0</v>
      </c>
    </row>
    <row r="42" spans="1:31">
      <c r="A42" t="str">
        <f>Perhitungan!A42</f>
        <v>P37</v>
      </c>
      <c r="B42">
        <f>IF(ISNUMBER(Perhitungan!AS42),1-Perhitungan!AS42/MAX(Perhitungan!$AR42:AS42),0)</f>
        <v>0</v>
      </c>
      <c r="C42">
        <f>IF(ISNUMBER(Perhitungan!AT42),1-Perhitungan!AT42/MAX(Perhitungan!$AR42:AT42),0)</f>
        <v>0</v>
      </c>
      <c r="D42">
        <f>IF(ISNUMBER(Perhitungan!AU42),1-Perhitungan!AU42/MAX(Perhitungan!$AR42:AU42),0)</f>
        <v>0</v>
      </c>
      <c r="E42">
        <f>IF(ISNUMBER(Perhitungan!AV42),1-Perhitungan!AV42/MAX(Perhitungan!$AR42:AV42),0)</f>
        <v>0</v>
      </c>
      <c r="F42">
        <f>IF(ISNUMBER(Perhitungan!AW42),1-Perhitungan!AW42/MAX(Perhitungan!$AR42:AW42),0)</f>
        <v>0</v>
      </c>
      <c r="G42">
        <f>IF(ISNUMBER(Perhitungan!AX42),1-Perhitungan!AX42/MAX(Perhitungan!$AR42:AX42),0)</f>
        <v>0</v>
      </c>
      <c r="H42">
        <f>IF(ISNUMBER(Perhitungan!AY42),1-Perhitungan!AY42/MAX(Perhitungan!$AR42:AY42),0)</f>
        <v>0</v>
      </c>
      <c r="I42">
        <f>IF(ISNUMBER(Perhitungan!AZ42),1-Perhitungan!AZ42/MAX(Perhitungan!$AR42:AZ42),0)</f>
        <v>0</v>
      </c>
      <c r="J42">
        <f>IF(ISNUMBER(Perhitungan!BA42),1-Perhitungan!BA42/MAX(Perhitungan!$AR42:BA42),0)</f>
        <v>0</v>
      </c>
      <c r="K42">
        <f>IF(ISNUMBER(Perhitungan!BB42),1-Perhitungan!BB42/MAX(Perhitungan!$AR42:BB42),0)</f>
        <v>0</v>
      </c>
      <c r="L42">
        <f>IF(ISNUMBER(Perhitungan!BC42),1-Perhitungan!BC42/MAX(Perhitungan!$AR42:BC42),0)</f>
        <v>0</v>
      </c>
      <c r="M42">
        <f>IF(ISNUMBER(Perhitungan!BD42),1-Perhitungan!BD42/MAX(Perhitungan!$AR42:BD42),0)</f>
        <v>0</v>
      </c>
      <c r="N42">
        <f>IF(ISNUMBER(Perhitungan!BE42),1-Perhitungan!BE42/MAX(Perhitungan!$AR42:BE42),0)</f>
        <v>0</v>
      </c>
      <c r="O42">
        <f>IF(ISNUMBER(Perhitungan!BF42),1-Perhitungan!BF42/MAX(Perhitungan!$AR42:BF42),0)</f>
        <v>0</v>
      </c>
      <c r="P42">
        <f>IF(ISNUMBER(Perhitungan!BG42),1-Perhitungan!BG42/MAX(Perhitungan!$AR42:BG42),0)</f>
        <v>0</v>
      </c>
      <c r="Q42">
        <f>IF(ISNUMBER(Perhitungan!BH42),1-Perhitungan!BH42/MAX(Perhitungan!$AR42:BH42),0)</f>
        <v>0</v>
      </c>
      <c r="R42">
        <f>IF(ISNUMBER(Perhitungan!BI42),1-Perhitungan!BI42/MAX(Perhitungan!$AR42:BI42),0)</f>
        <v>0</v>
      </c>
      <c r="S42">
        <f>IF(ISNUMBER(Perhitungan!BJ42),1-Perhitungan!BJ42/MAX(Perhitungan!$AR42:BJ42),0)</f>
        <v>0</v>
      </c>
      <c r="T42">
        <f>IF(ISNUMBER(Perhitungan!BK42),1-Perhitungan!BK42/MAX(Perhitungan!$AR42:BK42),0)</f>
        <v>0</v>
      </c>
      <c r="U42">
        <f>IF(ISNUMBER(Perhitungan!BL42),1-Perhitungan!BL42/MAX(Perhitungan!$AR42:BL42),0)</f>
        <v>0</v>
      </c>
      <c r="V42">
        <f>IF(ISNUMBER(Perhitungan!BM42),1-Perhitungan!BM42/MAX(Perhitungan!$AR42:BM42),0)</f>
        <v>0</v>
      </c>
      <c r="W42">
        <f>IF(ISNUMBER(Perhitungan!BN42),1-Perhitungan!BN42/MAX(Perhitungan!$AR42:BN42),0)</f>
        <v>0</v>
      </c>
      <c r="X42">
        <f>IF(ISNUMBER(Perhitungan!BO42),1-Perhitungan!BO42/MAX(Perhitungan!$AR42:BO42),0)</f>
        <v>0</v>
      </c>
      <c r="Y42">
        <f>IF(ISNUMBER(Perhitungan!BP42),1-Perhitungan!BP42/MAX(Perhitungan!$AR42:BP42),0)</f>
        <v>0</v>
      </c>
      <c r="Z42">
        <f>IF(ISNUMBER(Perhitungan!BQ42),1-Perhitungan!BQ42/MAX(Perhitungan!$AR42:BQ42),0)</f>
        <v>0</v>
      </c>
      <c r="AA42">
        <f>IF(ISNUMBER(Perhitungan!BR42),1-Perhitungan!BR42/MAX(Perhitungan!$AR42:BR42),0)</f>
        <v>0</v>
      </c>
      <c r="AB42">
        <f>IF(ISNUMBER(Perhitungan!BS42),1-Perhitungan!BS42/MAX(Perhitungan!$AR42:BS42),0)</f>
        <v>0</v>
      </c>
      <c r="AC42">
        <f>IF(ISNUMBER(Perhitungan!BT42),1-Perhitungan!BT42/MAX(Perhitungan!$AR42:BT42),0)</f>
        <v>0</v>
      </c>
      <c r="AD42">
        <f>IF(ISNUMBER(Perhitungan!BU42),1-Perhitungan!BU42/MAX(Perhitungan!$AR42:BU42),0)</f>
        <v>0</v>
      </c>
      <c r="AE42">
        <f>IF(ISNUMBER(Perhitungan!BV42),1-Perhitungan!BV42/MAX(Perhitungan!$AR42:BV42),0)</f>
        <v>0</v>
      </c>
    </row>
    <row r="43" spans="1:31">
      <c r="A43" t="str">
        <f>Perhitungan!A43</f>
        <v>P38</v>
      </c>
      <c r="B43">
        <f>IF(ISNUMBER(Perhitungan!AS43),1-Perhitungan!AS43/MAX(Perhitungan!$AR43:AS43),0)</f>
        <v>0</v>
      </c>
      <c r="C43">
        <f>IF(ISNUMBER(Perhitungan!AT43),1-Perhitungan!AT43/MAX(Perhitungan!$AR43:AT43),0)</f>
        <v>0</v>
      </c>
      <c r="D43">
        <f>IF(ISNUMBER(Perhitungan!AU43),1-Perhitungan!AU43/MAX(Perhitungan!$AR43:AU43),0)</f>
        <v>0</v>
      </c>
      <c r="E43">
        <f>IF(ISNUMBER(Perhitungan!AV43),1-Perhitungan!AV43/MAX(Perhitungan!$AR43:AV43),0)</f>
        <v>0</v>
      </c>
      <c r="F43">
        <f>IF(ISNUMBER(Perhitungan!AW43),1-Perhitungan!AW43/MAX(Perhitungan!$AR43:AW43),0)</f>
        <v>0</v>
      </c>
      <c r="G43">
        <f>IF(ISNUMBER(Perhitungan!AX43),1-Perhitungan!AX43/MAX(Perhitungan!$AR43:AX43),0)</f>
        <v>0</v>
      </c>
      <c r="H43">
        <f>IF(ISNUMBER(Perhitungan!AY43),1-Perhitungan!AY43/MAX(Perhitungan!$AR43:AY43),0)</f>
        <v>0</v>
      </c>
      <c r="I43">
        <f>IF(ISNUMBER(Perhitungan!AZ43),1-Perhitungan!AZ43/MAX(Perhitungan!$AR43:AZ43),0)</f>
        <v>0</v>
      </c>
      <c r="J43">
        <f>IF(ISNUMBER(Perhitungan!BA43),1-Perhitungan!BA43/MAX(Perhitungan!$AR43:BA43),0)</f>
        <v>0</v>
      </c>
      <c r="K43">
        <f>IF(ISNUMBER(Perhitungan!BB43),1-Perhitungan!BB43/MAX(Perhitungan!$AR43:BB43),0)</f>
        <v>0</v>
      </c>
      <c r="L43">
        <f>IF(ISNUMBER(Perhitungan!BC43),1-Perhitungan!BC43/MAX(Perhitungan!$AR43:BC43),0)</f>
        <v>0</v>
      </c>
      <c r="M43">
        <f>IF(ISNUMBER(Perhitungan!BD43),1-Perhitungan!BD43/MAX(Perhitungan!$AR43:BD43),0)</f>
        <v>0</v>
      </c>
      <c r="N43">
        <f>IF(ISNUMBER(Perhitungan!BE43),1-Perhitungan!BE43/MAX(Perhitungan!$AR43:BE43),0)</f>
        <v>0</v>
      </c>
      <c r="O43">
        <f>IF(ISNUMBER(Perhitungan!BF43),1-Perhitungan!BF43/MAX(Perhitungan!$AR43:BF43),0)</f>
        <v>0</v>
      </c>
      <c r="P43">
        <f>IF(ISNUMBER(Perhitungan!BG43),1-Perhitungan!BG43/MAX(Perhitungan!$AR43:BG43),0)</f>
        <v>0</v>
      </c>
      <c r="Q43">
        <f>IF(ISNUMBER(Perhitungan!BH43),1-Perhitungan!BH43/MAX(Perhitungan!$AR43:BH43),0)</f>
        <v>0</v>
      </c>
      <c r="R43">
        <f>IF(ISNUMBER(Perhitungan!BI43),1-Perhitungan!BI43/MAX(Perhitungan!$AR43:BI43),0)</f>
        <v>0</v>
      </c>
      <c r="S43">
        <f>IF(ISNUMBER(Perhitungan!BJ43),1-Perhitungan!BJ43/MAX(Perhitungan!$AR43:BJ43),0)</f>
        <v>0</v>
      </c>
      <c r="T43">
        <f>IF(ISNUMBER(Perhitungan!BK43),1-Perhitungan!BK43/MAX(Perhitungan!$AR43:BK43),0)</f>
        <v>0</v>
      </c>
      <c r="U43">
        <f>IF(ISNUMBER(Perhitungan!BL43),1-Perhitungan!BL43/MAX(Perhitungan!$AR43:BL43),0)</f>
        <v>0</v>
      </c>
      <c r="V43">
        <f>IF(ISNUMBER(Perhitungan!BM43),1-Perhitungan!BM43/MAX(Perhitungan!$AR43:BM43),0)</f>
        <v>0</v>
      </c>
      <c r="W43">
        <f>IF(ISNUMBER(Perhitungan!BN43),1-Perhitungan!BN43/MAX(Perhitungan!$AR43:BN43),0)</f>
        <v>0</v>
      </c>
      <c r="X43">
        <f>IF(ISNUMBER(Perhitungan!BO43),1-Perhitungan!BO43/MAX(Perhitungan!$AR43:BO43),0)</f>
        <v>0</v>
      </c>
      <c r="Y43">
        <f>IF(ISNUMBER(Perhitungan!BP43),1-Perhitungan!BP43/MAX(Perhitungan!$AR43:BP43),0)</f>
        <v>0</v>
      </c>
      <c r="Z43">
        <f>IF(ISNUMBER(Perhitungan!BQ43),1-Perhitungan!BQ43/MAX(Perhitungan!$AR43:BQ43),0)</f>
        <v>0</v>
      </c>
      <c r="AA43">
        <f>IF(ISNUMBER(Perhitungan!BR43),1-Perhitungan!BR43/MAX(Perhitungan!$AR43:BR43),0)</f>
        <v>0</v>
      </c>
      <c r="AB43">
        <f>IF(ISNUMBER(Perhitungan!BS43),1-Perhitungan!BS43/MAX(Perhitungan!$AR43:BS43),0)</f>
        <v>0</v>
      </c>
      <c r="AC43">
        <f>IF(ISNUMBER(Perhitungan!BT43),1-Perhitungan!BT43/MAX(Perhitungan!$AR43:BT43),0)</f>
        <v>0</v>
      </c>
      <c r="AD43">
        <f>IF(ISNUMBER(Perhitungan!BU43),1-Perhitungan!BU43/MAX(Perhitungan!$AR43:BU43),0)</f>
        <v>0</v>
      </c>
      <c r="AE43">
        <f>IF(ISNUMBER(Perhitungan!BV43),1-Perhitungan!BV43/MAX(Perhitungan!$AR43:BV43),0)</f>
        <v>0</v>
      </c>
    </row>
    <row r="44" spans="1:31">
      <c r="A44" t="str">
        <f>Perhitungan!A44</f>
        <v>P39</v>
      </c>
      <c r="B44">
        <f>IF(ISNUMBER(Perhitungan!AS44),1-Perhitungan!AS44/MAX(Perhitungan!$AR44:AS44),0)</f>
        <v>0</v>
      </c>
      <c r="C44">
        <f>IF(ISNUMBER(Perhitungan!AT44),1-Perhitungan!AT44/MAX(Perhitungan!$AR44:AT44),0)</f>
        <v>0</v>
      </c>
      <c r="D44">
        <f>IF(ISNUMBER(Perhitungan!AU44),1-Perhitungan!AU44/MAX(Perhitungan!$AR44:AU44),0)</f>
        <v>0</v>
      </c>
      <c r="E44">
        <f>IF(ISNUMBER(Perhitungan!AV44),1-Perhitungan!AV44/MAX(Perhitungan!$AR44:AV44),0)</f>
        <v>0</v>
      </c>
      <c r="F44">
        <f>IF(ISNUMBER(Perhitungan!AW44),1-Perhitungan!AW44/MAX(Perhitungan!$AR44:AW44),0)</f>
        <v>0</v>
      </c>
      <c r="G44">
        <f>IF(ISNUMBER(Perhitungan!AX44),1-Perhitungan!AX44/MAX(Perhitungan!$AR44:AX44),0)</f>
        <v>0</v>
      </c>
      <c r="H44">
        <f>IF(ISNUMBER(Perhitungan!AY44),1-Perhitungan!AY44/MAX(Perhitungan!$AR44:AY44),0)</f>
        <v>0</v>
      </c>
      <c r="I44">
        <f>IF(ISNUMBER(Perhitungan!AZ44),1-Perhitungan!AZ44/MAX(Perhitungan!$AR44:AZ44),0)</f>
        <v>0</v>
      </c>
      <c r="J44">
        <f>IF(ISNUMBER(Perhitungan!BA44),1-Perhitungan!BA44/MAX(Perhitungan!$AR44:BA44),0)</f>
        <v>0</v>
      </c>
      <c r="K44">
        <f>IF(ISNUMBER(Perhitungan!BB44),1-Perhitungan!BB44/MAX(Perhitungan!$AR44:BB44),0)</f>
        <v>0</v>
      </c>
      <c r="L44">
        <f>IF(ISNUMBER(Perhitungan!BC44),1-Perhitungan!BC44/MAX(Perhitungan!$AR44:BC44),0)</f>
        <v>0</v>
      </c>
      <c r="M44">
        <f>IF(ISNUMBER(Perhitungan!BD44),1-Perhitungan!BD44/MAX(Perhitungan!$AR44:BD44),0)</f>
        <v>0</v>
      </c>
      <c r="N44">
        <f>IF(ISNUMBER(Perhitungan!BE44),1-Perhitungan!BE44/MAX(Perhitungan!$AR44:BE44),0)</f>
        <v>0</v>
      </c>
      <c r="O44">
        <f>IF(ISNUMBER(Perhitungan!BF44),1-Perhitungan!BF44/MAX(Perhitungan!$AR44:BF44),0)</f>
        <v>0</v>
      </c>
      <c r="P44">
        <f>IF(ISNUMBER(Perhitungan!BG44),1-Perhitungan!BG44/MAX(Perhitungan!$AR44:BG44),0)</f>
        <v>0</v>
      </c>
      <c r="Q44">
        <f>IF(ISNUMBER(Perhitungan!BH44),1-Perhitungan!BH44/MAX(Perhitungan!$AR44:BH44),0)</f>
        <v>0</v>
      </c>
      <c r="R44">
        <f>IF(ISNUMBER(Perhitungan!BI44),1-Perhitungan!BI44/MAX(Perhitungan!$AR44:BI44),0)</f>
        <v>0</v>
      </c>
      <c r="S44">
        <f>IF(ISNUMBER(Perhitungan!BJ44),1-Perhitungan!BJ44/MAX(Perhitungan!$AR44:BJ44),0)</f>
        <v>0</v>
      </c>
      <c r="T44">
        <f>IF(ISNUMBER(Perhitungan!BK44),1-Perhitungan!BK44/MAX(Perhitungan!$AR44:BK44),0)</f>
        <v>0</v>
      </c>
      <c r="U44">
        <f>IF(ISNUMBER(Perhitungan!BL44),1-Perhitungan!BL44/MAX(Perhitungan!$AR44:BL44),0)</f>
        <v>0</v>
      </c>
      <c r="V44">
        <f>IF(ISNUMBER(Perhitungan!BM44),1-Perhitungan!BM44/MAX(Perhitungan!$AR44:BM44),0)</f>
        <v>0</v>
      </c>
      <c r="W44">
        <f>IF(ISNUMBER(Perhitungan!BN44),1-Perhitungan!BN44/MAX(Perhitungan!$AR44:BN44),0)</f>
        <v>0</v>
      </c>
      <c r="X44">
        <f>IF(ISNUMBER(Perhitungan!BO44),1-Perhitungan!BO44/MAX(Perhitungan!$AR44:BO44),0)</f>
        <v>0</v>
      </c>
      <c r="Y44">
        <f>IF(ISNUMBER(Perhitungan!BP44),1-Perhitungan!BP44/MAX(Perhitungan!$AR44:BP44),0)</f>
        <v>0</v>
      </c>
      <c r="Z44">
        <f>IF(ISNUMBER(Perhitungan!BQ44),1-Perhitungan!BQ44/MAX(Perhitungan!$AR44:BQ44),0)</f>
        <v>0</v>
      </c>
      <c r="AA44">
        <f>IF(ISNUMBER(Perhitungan!BR44),1-Perhitungan!BR44/MAX(Perhitungan!$AR44:BR44),0)</f>
        <v>0</v>
      </c>
      <c r="AB44">
        <f>IF(ISNUMBER(Perhitungan!BS44),1-Perhitungan!BS44/MAX(Perhitungan!$AR44:BS44),0)</f>
        <v>0</v>
      </c>
      <c r="AC44">
        <f>IF(ISNUMBER(Perhitungan!BT44),1-Perhitungan!BT44/MAX(Perhitungan!$AR44:BT44),0)</f>
        <v>0</v>
      </c>
      <c r="AD44">
        <f>IF(ISNUMBER(Perhitungan!BU44),1-Perhitungan!BU44/MAX(Perhitungan!$AR44:BU44),0)</f>
        <v>0</v>
      </c>
      <c r="AE44">
        <f>IF(ISNUMBER(Perhitungan!BV44),1-Perhitungan!BV44/MAX(Perhitungan!$AR44:BV44),0)</f>
        <v>0</v>
      </c>
    </row>
    <row r="45" spans="1:31">
      <c r="A45" t="str">
        <f>Perhitungan!A45</f>
        <v>P40</v>
      </c>
      <c r="B45">
        <f>IF(ISNUMBER(Perhitungan!AS45),1-Perhitungan!AS45/MAX(Perhitungan!$AR45:AS45),0)</f>
        <v>0</v>
      </c>
      <c r="C45">
        <f>IF(ISNUMBER(Perhitungan!AT45),1-Perhitungan!AT45/MAX(Perhitungan!$AR45:AT45),0)</f>
        <v>0</v>
      </c>
      <c r="D45">
        <f>IF(ISNUMBER(Perhitungan!AU45),1-Perhitungan!AU45/MAX(Perhitungan!$AR45:AU45),0)</f>
        <v>0</v>
      </c>
      <c r="E45">
        <f>IF(ISNUMBER(Perhitungan!AV45),1-Perhitungan!AV45/MAX(Perhitungan!$AR45:AV45),0)</f>
        <v>0</v>
      </c>
      <c r="F45">
        <f>IF(ISNUMBER(Perhitungan!AW45),1-Perhitungan!AW45/MAX(Perhitungan!$AR45:AW45),0)</f>
        <v>0</v>
      </c>
      <c r="G45">
        <f>IF(ISNUMBER(Perhitungan!AX45),1-Perhitungan!AX45/MAX(Perhitungan!$AR45:AX45),0)</f>
        <v>0</v>
      </c>
      <c r="H45">
        <f>IF(ISNUMBER(Perhitungan!AY45),1-Perhitungan!AY45/MAX(Perhitungan!$AR45:AY45),0)</f>
        <v>0</v>
      </c>
      <c r="I45">
        <f>IF(ISNUMBER(Perhitungan!AZ45),1-Perhitungan!AZ45/MAX(Perhitungan!$AR45:AZ45),0)</f>
        <v>0</v>
      </c>
      <c r="J45">
        <f>IF(ISNUMBER(Perhitungan!BA45),1-Perhitungan!BA45/MAX(Perhitungan!$AR45:BA45),0)</f>
        <v>0</v>
      </c>
      <c r="K45">
        <f>IF(ISNUMBER(Perhitungan!BB45),1-Perhitungan!BB45/MAX(Perhitungan!$AR45:BB45),0)</f>
        <v>0</v>
      </c>
      <c r="L45">
        <f>IF(ISNUMBER(Perhitungan!BC45),1-Perhitungan!BC45/MAX(Perhitungan!$AR45:BC45),0)</f>
        <v>0</v>
      </c>
      <c r="M45">
        <f>IF(ISNUMBER(Perhitungan!BD45),1-Perhitungan!BD45/MAX(Perhitungan!$AR45:BD45),0)</f>
        <v>0</v>
      </c>
      <c r="N45">
        <f>IF(ISNUMBER(Perhitungan!BE45),1-Perhitungan!BE45/MAX(Perhitungan!$AR45:BE45),0)</f>
        <v>0</v>
      </c>
      <c r="O45">
        <f>IF(ISNUMBER(Perhitungan!BF45),1-Perhitungan!BF45/MAX(Perhitungan!$AR45:BF45),0)</f>
        <v>0</v>
      </c>
      <c r="P45">
        <f>IF(ISNUMBER(Perhitungan!BG45),1-Perhitungan!BG45/MAX(Perhitungan!$AR45:BG45),0)</f>
        <v>0</v>
      </c>
      <c r="Q45">
        <f>IF(ISNUMBER(Perhitungan!BH45),1-Perhitungan!BH45/MAX(Perhitungan!$AR45:BH45),0)</f>
        <v>0</v>
      </c>
      <c r="R45">
        <f>IF(ISNUMBER(Perhitungan!BI45),1-Perhitungan!BI45/MAX(Perhitungan!$AR45:BI45),0)</f>
        <v>0</v>
      </c>
      <c r="S45">
        <f>IF(ISNUMBER(Perhitungan!BJ45),1-Perhitungan!BJ45/MAX(Perhitungan!$AR45:BJ45),0)</f>
        <v>0</v>
      </c>
      <c r="T45">
        <f>IF(ISNUMBER(Perhitungan!BK45),1-Perhitungan!BK45/MAX(Perhitungan!$AR45:BK45),0)</f>
        <v>0</v>
      </c>
      <c r="U45">
        <f>IF(ISNUMBER(Perhitungan!BL45),1-Perhitungan!BL45/MAX(Perhitungan!$AR45:BL45),0)</f>
        <v>0</v>
      </c>
      <c r="V45">
        <f>IF(ISNUMBER(Perhitungan!BM45),1-Perhitungan!BM45/MAX(Perhitungan!$AR45:BM45),0)</f>
        <v>0</v>
      </c>
      <c r="W45">
        <f>IF(ISNUMBER(Perhitungan!BN45),1-Perhitungan!BN45/MAX(Perhitungan!$AR45:BN45),0)</f>
        <v>0</v>
      </c>
      <c r="X45">
        <f>IF(ISNUMBER(Perhitungan!BO45),1-Perhitungan!BO45/MAX(Perhitungan!$AR45:BO45),0)</f>
        <v>0</v>
      </c>
      <c r="Y45">
        <f>IF(ISNUMBER(Perhitungan!BP45),1-Perhitungan!BP45/MAX(Perhitungan!$AR45:BP45),0)</f>
        <v>0</v>
      </c>
      <c r="Z45">
        <f>IF(ISNUMBER(Perhitungan!BQ45),1-Perhitungan!BQ45/MAX(Perhitungan!$AR45:BQ45),0)</f>
        <v>0</v>
      </c>
      <c r="AA45">
        <f>IF(ISNUMBER(Perhitungan!BR45),1-Perhitungan!BR45/MAX(Perhitungan!$AR45:BR45),0)</f>
        <v>0</v>
      </c>
      <c r="AB45">
        <f>IF(ISNUMBER(Perhitungan!BS45),1-Perhitungan!BS45/MAX(Perhitungan!$AR45:BS45),0)</f>
        <v>0</v>
      </c>
      <c r="AC45">
        <f>IF(ISNUMBER(Perhitungan!BT45),1-Perhitungan!BT45/MAX(Perhitungan!$AR45:BT45),0)</f>
        <v>0</v>
      </c>
      <c r="AD45">
        <f>IF(ISNUMBER(Perhitungan!BU45),1-Perhitungan!BU45/MAX(Perhitungan!$AR45:BU45),0)</f>
        <v>0</v>
      </c>
      <c r="AE45">
        <f>IF(ISNUMBER(Perhitungan!BV45),1-Perhitungan!BV45/MAX(Perhitungan!$AR45:BV45),0)</f>
        <v>0</v>
      </c>
    </row>
    <row r="46" spans="1:31">
      <c r="A46" t="str">
        <f>Perhitungan!A46</f>
        <v>P41</v>
      </c>
      <c r="B46">
        <f>IF(ISNUMBER(Perhitungan!AS46),1-Perhitungan!AS46/MAX(Perhitungan!$AR46:AS46),0)</f>
        <v>0</v>
      </c>
      <c r="C46">
        <f>IF(ISNUMBER(Perhitungan!AT46),1-Perhitungan!AT46/MAX(Perhitungan!$AR46:AT46),0)</f>
        <v>0</v>
      </c>
      <c r="D46">
        <f>IF(ISNUMBER(Perhitungan!AU46),1-Perhitungan!AU46/MAX(Perhitungan!$AR46:AU46),0)</f>
        <v>0</v>
      </c>
      <c r="E46">
        <f>IF(ISNUMBER(Perhitungan!AV46),1-Perhitungan!AV46/MAX(Perhitungan!$AR46:AV46),0)</f>
        <v>0</v>
      </c>
      <c r="F46">
        <f>IF(ISNUMBER(Perhitungan!AW46),1-Perhitungan!AW46/MAX(Perhitungan!$AR46:AW46),0)</f>
        <v>0</v>
      </c>
      <c r="G46">
        <f>IF(ISNUMBER(Perhitungan!AX46),1-Perhitungan!AX46/MAX(Perhitungan!$AR46:AX46),0)</f>
        <v>0</v>
      </c>
      <c r="H46">
        <f>IF(ISNUMBER(Perhitungan!AY46),1-Perhitungan!AY46/MAX(Perhitungan!$AR46:AY46),0)</f>
        <v>0</v>
      </c>
      <c r="I46">
        <f>IF(ISNUMBER(Perhitungan!AZ46),1-Perhitungan!AZ46/MAX(Perhitungan!$AR46:AZ46),0)</f>
        <v>0</v>
      </c>
      <c r="J46">
        <f>IF(ISNUMBER(Perhitungan!BA46),1-Perhitungan!BA46/MAX(Perhitungan!$AR46:BA46),0)</f>
        <v>0</v>
      </c>
      <c r="K46">
        <f>IF(ISNUMBER(Perhitungan!BB46),1-Perhitungan!BB46/MAX(Perhitungan!$AR46:BB46),0)</f>
        <v>0</v>
      </c>
      <c r="L46">
        <f>IF(ISNUMBER(Perhitungan!BC46),1-Perhitungan!BC46/MAX(Perhitungan!$AR46:BC46),0)</f>
        <v>0</v>
      </c>
      <c r="M46">
        <f>IF(ISNUMBER(Perhitungan!BD46),1-Perhitungan!BD46/MAX(Perhitungan!$AR46:BD46),0)</f>
        <v>0</v>
      </c>
      <c r="N46">
        <f>IF(ISNUMBER(Perhitungan!BE46),1-Perhitungan!BE46/MAX(Perhitungan!$AR46:BE46),0)</f>
        <v>0</v>
      </c>
      <c r="O46">
        <f>IF(ISNUMBER(Perhitungan!BF46),1-Perhitungan!BF46/MAX(Perhitungan!$AR46:BF46),0)</f>
        <v>0</v>
      </c>
      <c r="P46">
        <f>IF(ISNUMBER(Perhitungan!BG46),1-Perhitungan!BG46/MAX(Perhitungan!$AR46:BG46),0)</f>
        <v>0</v>
      </c>
      <c r="Q46">
        <f>IF(ISNUMBER(Perhitungan!BH46),1-Perhitungan!BH46/MAX(Perhitungan!$AR46:BH46),0)</f>
        <v>0</v>
      </c>
      <c r="R46">
        <f>IF(ISNUMBER(Perhitungan!BI46),1-Perhitungan!BI46/MAX(Perhitungan!$AR46:BI46),0)</f>
        <v>0</v>
      </c>
      <c r="S46">
        <f>IF(ISNUMBER(Perhitungan!BJ46),1-Perhitungan!BJ46/MAX(Perhitungan!$AR46:BJ46),0)</f>
        <v>0</v>
      </c>
      <c r="T46">
        <f>IF(ISNUMBER(Perhitungan!BK46),1-Perhitungan!BK46/MAX(Perhitungan!$AR46:BK46),0)</f>
        <v>0</v>
      </c>
      <c r="U46">
        <f>IF(ISNUMBER(Perhitungan!BL46),1-Perhitungan!BL46/MAX(Perhitungan!$AR46:BL46),0)</f>
        <v>0</v>
      </c>
      <c r="V46">
        <f>IF(ISNUMBER(Perhitungan!BM46),1-Perhitungan!BM46/MAX(Perhitungan!$AR46:BM46),0)</f>
        <v>0</v>
      </c>
      <c r="W46">
        <f>IF(ISNUMBER(Perhitungan!BN46),1-Perhitungan!BN46/MAX(Perhitungan!$AR46:BN46),0)</f>
        <v>0</v>
      </c>
      <c r="X46">
        <f>IF(ISNUMBER(Perhitungan!BO46),1-Perhitungan!BO46/MAX(Perhitungan!$AR46:BO46),0)</f>
        <v>0</v>
      </c>
      <c r="Y46">
        <f>IF(ISNUMBER(Perhitungan!BP46),1-Perhitungan!BP46/MAX(Perhitungan!$AR46:BP46),0)</f>
        <v>0</v>
      </c>
      <c r="Z46">
        <f>IF(ISNUMBER(Perhitungan!BQ46),1-Perhitungan!BQ46/MAX(Perhitungan!$AR46:BQ46),0)</f>
        <v>0</v>
      </c>
      <c r="AA46">
        <f>IF(ISNUMBER(Perhitungan!BR46),1-Perhitungan!BR46/MAX(Perhitungan!$AR46:BR46),0)</f>
        <v>0</v>
      </c>
      <c r="AB46">
        <f>IF(ISNUMBER(Perhitungan!BS46),1-Perhitungan!BS46/MAX(Perhitungan!$AR46:BS46),0)</f>
        <v>0</v>
      </c>
      <c r="AC46">
        <f>IF(ISNUMBER(Perhitungan!BT46),1-Perhitungan!BT46/MAX(Perhitungan!$AR46:BT46),0)</f>
        <v>0</v>
      </c>
      <c r="AD46">
        <f>IF(ISNUMBER(Perhitungan!BU46),1-Perhitungan!BU46/MAX(Perhitungan!$AR46:BU46),0)</f>
        <v>0</v>
      </c>
      <c r="AE46">
        <f>IF(ISNUMBER(Perhitungan!BV46),1-Perhitungan!BV46/MAX(Perhitungan!$AR46:BV46),0)</f>
        <v>0</v>
      </c>
    </row>
    <row r="47" spans="1:31">
      <c r="A47" t="str">
        <f>Perhitungan!A47</f>
        <v>P42</v>
      </c>
      <c r="B47">
        <f>IF(ISNUMBER(Perhitungan!AS47),1-Perhitungan!AS47/MAX(Perhitungan!$AR47:AS47),0)</f>
        <v>0</v>
      </c>
      <c r="C47">
        <f>IF(ISNUMBER(Perhitungan!AT47),1-Perhitungan!AT47/MAX(Perhitungan!$AR47:AT47),0)</f>
        <v>0</v>
      </c>
      <c r="D47">
        <f>IF(ISNUMBER(Perhitungan!AU47),1-Perhitungan!AU47/MAX(Perhitungan!$AR47:AU47),0)</f>
        <v>0</v>
      </c>
      <c r="E47">
        <f>IF(ISNUMBER(Perhitungan!AV47),1-Perhitungan!AV47/MAX(Perhitungan!$AR47:AV47),0)</f>
        <v>0</v>
      </c>
      <c r="F47">
        <f>IF(ISNUMBER(Perhitungan!AW47),1-Perhitungan!AW47/MAX(Perhitungan!$AR47:AW47),0)</f>
        <v>0</v>
      </c>
      <c r="G47">
        <f>IF(ISNUMBER(Perhitungan!AX47),1-Perhitungan!AX47/MAX(Perhitungan!$AR47:AX47),0)</f>
        <v>0</v>
      </c>
      <c r="H47">
        <f>IF(ISNUMBER(Perhitungan!AY47),1-Perhitungan!AY47/MAX(Perhitungan!$AR47:AY47),0)</f>
        <v>0</v>
      </c>
      <c r="I47">
        <f>IF(ISNUMBER(Perhitungan!AZ47),1-Perhitungan!AZ47/MAX(Perhitungan!$AR47:AZ47),0)</f>
        <v>0</v>
      </c>
      <c r="J47">
        <f>IF(ISNUMBER(Perhitungan!BA47),1-Perhitungan!BA47/MAX(Perhitungan!$AR47:BA47),0)</f>
        <v>0</v>
      </c>
      <c r="K47">
        <f>IF(ISNUMBER(Perhitungan!BB47),1-Perhitungan!BB47/MAX(Perhitungan!$AR47:BB47),0)</f>
        <v>0</v>
      </c>
      <c r="L47">
        <f>IF(ISNUMBER(Perhitungan!BC47),1-Perhitungan!BC47/MAX(Perhitungan!$AR47:BC47),0)</f>
        <v>0</v>
      </c>
      <c r="M47">
        <f>IF(ISNUMBER(Perhitungan!BD47),1-Perhitungan!BD47/MAX(Perhitungan!$AR47:BD47),0)</f>
        <v>0</v>
      </c>
      <c r="N47">
        <f>IF(ISNUMBER(Perhitungan!BE47),1-Perhitungan!BE47/MAX(Perhitungan!$AR47:BE47),0)</f>
        <v>0</v>
      </c>
      <c r="O47">
        <f>IF(ISNUMBER(Perhitungan!BF47),1-Perhitungan!BF47/MAX(Perhitungan!$AR47:BF47),0)</f>
        <v>0</v>
      </c>
      <c r="P47">
        <f>IF(ISNUMBER(Perhitungan!BG47),1-Perhitungan!BG47/MAX(Perhitungan!$AR47:BG47),0)</f>
        <v>0</v>
      </c>
      <c r="Q47">
        <f>IF(ISNUMBER(Perhitungan!BH47),1-Perhitungan!BH47/MAX(Perhitungan!$AR47:BH47),0)</f>
        <v>0</v>
      </c>
      <c r="R47">
        <f>IF(ISNUMBER(Perhitungan!BI47),1-Perhitungan!BI47/MAX(Perhitungan!$AR47:BI47),0)</f>
        <v>0</v>
      </c>
      <c r="S47">
        <f>IF(ISNUMBER(Perhitungan!BJ47),1-Perhitungan!BJ47/MAX(Perhitungan!$AR47:BJ47),0)</f>
        <v>0</v>
      </c>
      <c r="T47">
        <f>IF(ISNUMBER(Perhitungan!BK47),1-Perhitungan!BK47/MAX(Perhitungan!$AR47:BK47),0)</f>
        <v>0</v>
      </c>
      <c r="U47">
        <f>IF(ISNUMBER(Perhitungan!BL47),1-Perhitungan!BL47/MAX(Perhitungan!$AR47:BL47),0)</f>
        <v>0</v>
      </c>
      <c r="V47">
        <f>IF(ISNUMBER(Perhitungan!BM47),1-Perhitungan!BM47/MAX(Perhitungan!$AR47:BM47),0)</f>
        <v>0</v>
      </c>
      <c r="W47">
        <f>IF(ISNUMBER(Perhitungan!BN47),1-Perhitungan!BN47/MAX(Perhitungan!$AR47:BN47),0)</f>
        <v>0</v>
      </c>
      <c r="X47">
        <f>IF(ISNUMBER(Perhitungan!BO47),1-Perhitungan!BO47/MAX(Perhitungan!$AR47:BO47),0)</f>
        <v>0</v>
      </c>
      <c r="Y47">
        <f>IF(ISNUMBER(Perhitungan!BP47),1-Perhitungan!BP47/MAX(Perhitungan!$AR47:BP47),0)</f>
        <v>0</v>
      </c>
      <c r="Z47">
        <f>IF(ISNUMBER(Perhitungan!BQ47),1-Perhitungan!BQ47/MAX(Perhitungan!$AR47:BQ47),0)</f>
        <v>0</v>
      </c>
      <c r="AA47">
        <f>IF(ISNUMBER(Perhitungan!BR47),1-Perhitungan!BR47/MAX(Perhitungan!$AR47:BR47),0)</f>
        <v>0</v>
      </c>
      <c r="AB47">
        <f>IF(ISNUMBER(Perhitungan!BS47),1-Perhitungan!BS47/MAX(Perhitungan!$AR47:BS47),0)</f>
        <v>0</v>
      </c>
      <c r="AC47">
        <f>IF(ISNUMBER(Perhitungan!BT47),1-Perhitungan!BT47/MAX(Perhitungan!$AR47:BT47),0)</f>
        <v>0</v>
      </c>
      <c r="AD47">
        <f>IF(ISNUMBER(Perhitungan!BU47),1-Perhitungan!BU47/MAX(Perhitungan!$AR47:BU47),0)</f>
        <v>0</v>
      </c>
      <c r="AE47">
        <f>IF(ISNUMBER(Perhitungan!BV47),1-Perhitungan!BV47/MAX(Perhitungan!$AR47:BV47),0)</f>
        <v>0</v>
      </c>
    </row>
    <row r="48" spans="1:31">
      <c r="A48" t="str">
        <f>Perhitungan!A48</f>
        <v>P43</v>
      </c>
      <c r="B48">
        <f>IF(ISNUMBER(Perhitungan!AS48),1-Perhitungan!AS48/MAX(Perhitungan!$AR48:AS48),0)</f>
        <v>0</v>
      </c>
      <c r="C48">
        <f>IF(ISNUMBER(Perhitungan!AT48),1-Perhitungan!AT48/MAX(Perhitungan!$AR48:AT48),0)</f>
        <v>0</v>
      </c>
      <c r="D48">
        <f>IF(ISNUMBER(Perhitungan!AU48),1-Perhitungan!AU48/MAX(Perhitungan!$AR48:AU48),0)</f>
        <v>0</v>
      </c>
      <c r="E48">
        <f>IF(ISNUMBER(Perhitungan!AV48),1-Perhitungan!AV48/MAX(Perhitungan!$AR48:AV48),0)</f>
        <v>0</v>
      </c>
      <c r="F48">
        <f>IF(ISNUMBER(Perhitungan!AW48),1-Perhitungan!AW48/MAX(Perhitungan!$AR48:AW48),0)</f>
        <v>0</v>
      </c>
      <c r="G48">
        <f>IF(ISNUMBER(Perhitungan!AX48),1-Perhitungan!AX48/MAX(Perhitungan!$AR48:AX48),0)</f>
        <v>0</v>
      </c>
      <c r="H48">
        <f>IF(ISNUMBER(Perhitungan!AY48),1-Perhitungan!AY48/MAX(Perhitungan!$AR48:AY48),0)</f>
        <v>0</v>
      </c>
      <c r="I48">
        <f>IF(ISNUMBER(Perhitungan!AZ48),1-Perhitungan!AZ48/MAX(Perhitungan!$AR48:AZ48),0)</f>
        <v>0</v>
      </c>
      <c r="J48">
        <f>IF(ISNUMBER(Perhitungan!BA48),1-Perhitungan!BA48/MAX(Perhitungan!$AR48:BA48),0)</f>
        <v>0</v>
      </c>
      <c r="K48">
        <f>IF(ISNUMBER(Perhitungan!BB48),1-Perhitungan!BB48/MAX(Perhitungan!$AR48:BB48),0)</f>
        <v>0</v>
      </c>
      <c r="L48">
        <f>IF(ISNUMBER(Perhitungan!BC48),1-Perhitungan!BC48/MAX(Perhitungan!$AR48:BC48),0)</f>
        <v>0</v>
      </c>
      <c r="M48">
        <f>IF(ISNUMBER(Perhitungan!BD48),1-Perhitungan!BD48/MAX(Perhitungan!$AR48:BD48),0)</f>
        <v>0</v>
      </c>
      <c r="N48">
        <f>IF(ISNUMBER(Perhitungan!BE48),1-Perhitungan!BE48/MAX(Perhitungan!$AR48:BE48),0)</f>
        <v>0</v>
      </c>
      <c r="O48">
        <f>IF(ISNUMBER(Perhitungan!BF48),1-Perhitungan!BF48/MAX(Perhitungan!$AR48:BF48),0)</f>
        <v>0</v>
      </c>
      <c r="P48">
        <f>IF(ISNUMBER(Perhitungan!BG48),1-Perhitungan!BG48/MAX(Perhitungan!$AR48:BG48),0)</f>
        <v>0</v>
      </c>
      <c r="Q48">
        <f>IF(ISNUMBER(Perhitungan!BH48),1-Perhitungan!BH48/MAX(Perhitungan!$AR48:BH48),0)</f>
        <v>0</v>
      </c>
      <c r="R48">
        <f>IF(ISNUMBER(Perhitungan!BI48),1-Perhitungan!BI48/MAX(Perhitungan!$AR48:BI48),0)</f>
        <v>0</v>
      </c>
      <c r="S48">
        <f>IF(ISNUMBER(Perhitungan!BJ48),1-Perhitungan!BJ48/MAX(Perhitungan!$AR48:BJ48),0)</f>
        <v>0</v>
      </c>
      <c r="T48">
        <f>IF(ISNUMBER(Perhitungan!BK48),1-Perhitungan!BK48/MAX(Perhitungan!$AR48:BK48),0)</f>
        <v>0</v>
      </c>
      <c r="U48">
        <f>IF(ISNUMBER(Perhitungan!BL48),1-Perhitungan!BL48/MAX(Perhitungan!$AR48:BL48),0)</f>
        <v>0</v>
      </c>
      <c r="V48">
        <f>IF(ISNUMBER(Perhitungan!BM48),1-Perhitungan!BM48/MAX(Perhitungan!$AR48:BM48),0)</f>
        <v>0</v>
      </c>
      <c r="W48">
        <f>IF(ISNUMBER(Perhitungan!BN48),1-Perhitungan!BN48/MAX(Perhitungan!$AR48:BN48),0)</f>
        <v>0</v>
      </c>
      <c r="X48">
        <f>IF(ISNUMBER(Perhitungan!BO48),1-Perhitungan!BO48/MAX(Perhitungan!$AR48:BO48),0)</f>
        <v>0</v>
      </c>
      <c r="Y48">
        <f>IF(ISNUMBER(Perhitungan!BP48),1-Perhitungan!BP48/MAX(Perhitungan!$AR48:BP48),0)</f>
        <v>0</v>
      </c>
      <c r="Z48">
        <f>IF(ISNUMBER(Perhitungan!BQ48),1-Perhitungan!BQ48/MAX(Perhitungan!$AR48:BQ48),0)</f>
        <v>0</v>
      </c>
      <c r="AA48">
        <f>IF(ISNUMBER(Perhitungan!BR48),1-Perhitungan!BR48/MAX(Perhitungan!$AR48:BR48),0)</f>
        <v>0</v>
      </c>
      <c r="AB48">
        <f>IF(ISNUMBER(Perhitungan!BS48),1-Perhitungan!BS48/MAX(Perhitungan!$AR48:BS48),0)</f>
        <v>0</v>
      </c>
      <c r="AC48">
        <f>IF(ISNUMBER(Perhitungan!BT48),1-Perhitungan!BT48/MAX(Perhitungan!$AR48:BT48),0)</f>
        <v>0</v>
      </c>
      <c r="AD48">
        <f>IF(ISNUMBER(Perhitungan!BU48),1-Perhitungan!BU48/MAX(Perhitungan!$AR48:BU48),0)</f>
        <v>0</v>
      </c>
      <c r="AE48">
        <f>IF(ISNUMBER(Perhitungan!BV48),1-Perhitungan!BV48/MAX(Perhitungan!$AR48:BV48),0)</f>
        <v>0</v>
      </c>
    </row>
    <row r="49" spans="1:31">
      <c r="A49" t="str">
        <f>Perhitungan!A49</f>
        <v>P44</v>
      </c>
      <c r="B49">
        <f>IF(ISNUMBER(Perhitungan!AS49),1-Perhitungan!AS49/MAX(Perhitungan!$AR49:AS49),0)</f>
        <v>0</v>
      </c>
      <c r="C49">
        <f>IF(ISNUMBER(Perhitungan!AT49),1-Perhitungan!AT49/MAX(Perhitungan!$AR49:AT49),0)</f>
        <v>0</v>
      </c>
      <c r="D49">
        <f>IF(ISNUMBER(Perhitungan!AU49),1-Perhitungan!AU49/MAX(Perhitungan!$AR49:AU49),0)</f>
        <v>0</v>
      </c>
      <c r="E49">
        <f>IF(ISNUMBER(Perhitungan!AV49),1-Perhitungan!AV49/MAX(Perhitungan!$AR49:AV49),0)</f>
        <v>0</v>
      </c>
      <c r="F49">
        <f>IF(ISNUMBER(Perhitungan!AW49),1-Perhitungan!AW49/MAX(Perhitungan!$AR49:AW49),0)</f>
        <v>0</v>
      </c>
      <c r="G49">
        <f>IF(ISNUMBER(Perhitungan!AX49),1-Perhitungan!AX49/MAX(Perhitungan!$AR49:AX49),0)</f>
        <v>0</v>
      </c>
      <c r="H49">
        <f>IF(ISNUMBER(Perhitungan!AY49),1-Perhitungan!AY49/MAX(Perhitungan!$AR49:AY49),0)</f>
        <v>0</v>
      </c>
      <c r="I49">
        <f>IF(ISNUMBER(Perhitungan!AZ49),1-Perhitungan!AZ49/MAX(Perhitungan!$AR49:AZ49),0)</f>
        <v>0</v>
      </c>
      <c r="J49">
        <f>IF(ISNUMBER(Perhitungan!BA49),1-Perhitungan!BA49/MAX(Perhitungan!$AR49:BA49),0)</f>
        <v>0</v>
      </c>
      <c r="K49">
        <f>IF(ISNUMBER(Perhitungan!BB49),1-Perhitungan!BB49/MAX(Perhitungan!$AR49:BB49),0)</f>
        <v>0</v>
      </c>
      <c r="L49">
        <f>IF(ISNUMBER(Perhitungan!BC49),1-Perhitungan!BC49/MAX(Perhitungan!$AR49:BC49),0)</f>
        <v>0</v>
      </c>
      <c r="M49">
        <f>IF(ISNUMBER(Perhitungan!BD49),1-Perhitungan!BD49/MAX(Perhitungan!$AR49:BD49),0)</f>
        <v>0</v>
      </c>
      <c r="N49">
        <f>IF(ISNUMBER(Perhitungan!BE49),1-Perhitungan!BE49/MAX(Perhitungan!$AR49:BE49),0)</f>
        <v>0</v>
      </c>
      <c r="O49">
        <f>IF(ISNUMBER(Perhitungan!BF49),1-Perhitungan!BF49/MAX(Perhitungan!$AR49:BF49),0)</f>
        <v>0</v>
      </c>
      <c r="P49">
        <f>IF(ISNUMBER(Perhitungan!BG49),1-Perhitungan!BG49/MAX(Perhitungan!$AR49:BG49),0)</f>
        <v>0</v>
      </c>
      <c r="Q49">
        <f>IF(ISNUMBER(Perhitungan!BH49),1-Perhitungan!BH49/MAX(Perhitungan!$AR49:BH49),0)</f>
        <v>0</v>
      </c>
      <c r="R49">
        <f>IF(ISNUMBER(Perhitungan!BI49),1-Perhitungan!BI49/MAX(Perhitungan!$AR49:BI49),0)</f>
        <v>0</v>
      </c>
      <c r="S49">
        <f>IF(ISNUMBER(Perhitungan!BJ49),1-Perhitungan!BJ49/MAX(Perhitungan!$AR49:BJ49),0)</f>
        <v>0</v>
      </c>
      <c r="T49">
        <f>IF(ISNUMBER(Perhitungan!BK49),1-Perhitungan!BK49/MAX(Perhitungan!$AR49:BK49),0)</f>
        <v>0</v>
      </c>
      <c r="U49">
        <f>IF(ISNUMBER(Perhitungan!BL49),1-Perhitungan!BL49/MAX(Perhitungan!$AR49:BL49),0)</f>
        <v>0</v>
      </c>
      <c r="V49">
        <f>IF(ISNUMBER(Perhitungan!BM49),1-Perhitungan!BM49/MAX(Perhitungan!$AR49:BM49),0)</f>
        <v>0</v>
      </c>
      <c r="W49">
        <f>IF(ISNUMBER(Perhitungan!BN49),1-Perhitungan!BN49/MAX(Perhitungan!$AR49:BN49),0)</f>
        <v>0</v>
      </c>
      <c r="X49">
        <f>IF(ISNUMBER(Perhitungan!BO49),1-Perhitungan!BO49/MAX(Perhitungan!$AR49:BO49),0)</f>
        <v>0</v>
      </c>
      <c r="Y49">
        <f>IF(ISNUMBER(Perhitungan!BP49),1-Perhitungan!BP49/MAX(Perhitungan!$AR49:BP49),0)</f>
        <v>0</v>
      </c>
      <c r="Z49">
        <f>IF(ISNUMBER(Perhitungan!BQ49),1-Perhitungan!BQ49/MAX(Perhitungan!$AR49:BQ49),0)</f>
        <v>0</v>
      </c>
      <c r="AA49">
        <f>IF(ISNUMBER(Perhitungan!BR49),1-Perhitungan!BR49/MAX(Perhitungan!$AR49:BR49),0)</f>
        <v>0</v>
      </c>
      <c r="AB49">
        <f>IF(ISNUMBER(Perhitungan!BS49),1-Perhitungan!BS49/MAX(Perhitungan!$AR49:BS49),0)</f>
        <v>0</v>
      </c>
      <c r="AC49">
        <f>IF(ISNUMBER(Perhitungan!BT49),1-Perhitungan!BT49/MAX(Perhitungan!$AR49:BT49),0)</f>
        <v>0</v>
      </c>
      <c r="AD49">
        <f>IF(ISNUMBER(Perhitungan!BU49),1-Perhitungan!BU49/MAX(Perhitungan!$AR49:BU49),0)</f>
        <v>0</v>
      </c>
      <c r="AE49">
        <f>IF(ISNUMBER(Perhitungan!BV49),1-Perhitungan!BV49/MAX(Perhitungan!$AR49:BV49),0)</f>
        <v>0</v>
      </c>
    </row>
    <row r="50" spans="1:31">
      <c r="A50" t="str">
        <f>Perhitungan!A50</f>
        <v>P45</v>
      </c>
      <c r="B50">
        <f>IF(ISNUMBER(Perhitungan!AS50),1-Perhitungan!AS50/MAX(Perhitungan!$AR50:AS50),0)</f>
        <v>0</v>
      </c>
      <c r="C50">
        <f>IF(ISNUMBER(Perhitungan!AT50),1-Perhitungan!AT50/MAX(Perhitungan!$AR50:AT50),0)</f>
        <v>0</v>
      </c>
      <c r="D50">
        <f>IF(ISNUMBER(Perhitungan!AU50),1-Perhitungan!AU50/MAX(Perhitungan!$AR50:AU50),0)</f>
        <v>0</v>
      </c>
      <c r="E50">
        <f>IF(ISNUMBER(Perhitungan!AV50),1-Perhitungan!AV50/MAX(Perhitungan!$AR50:AV50),0)</f>
        <v>0</v>
      </c>
      <c r="F50">
        <f>IF(ISNUMBER(Perhitungan!AW50),1-Perhitungan!AW50/MAX(Perhitungan!$AR50:AW50),0)</f>
        <v>0</v>
      </c>
      <c r="G50">
        <f>IF(ISNUMBER(Perhitungan!AX50),1-Perhitungan!AX50/MAX(Perhitungan!$AR50:AX50),0)</f>
        <v>0</v>
      </c>
      <c r="H50">
        <f>IF(ISNUMBER(Perhitungan!AY50),1-Perhitungan!AY50/MAX(Perhitungan!$AR50:AY50),0)</f>
        <v>0</v>
      </c>
      <c r="I50">
        <f>IF(ISNUMBER(Perhitungan!AZ50),1-Perhitungan!AZ50/MAX(Perhitungan!$AR50:AZ50),0)</f>
        <v>0</v>
      </c>
      <c r="J50">
        <f>IF(ISNUMBER(Perhitungan!BA50),1-Perhitungan!BA50/MAX(Perhitungan!$AR50:BA50),0)</f>
        <v>0</v>
      </c>
      <c r="K50">
        <f>IF(ISNUMBER(Perhitungan!BB50),1-Perhitungan!BB50/MAX(Perhitungan!$AR50:BB50),0)</f>
        <v>0</v>
      </c>
      <c r="L50">
        <f>IF(ISNUMBER(Perhitungan!BC50),1-Perhitungan!BC50/MAX(Perhitungan!$AR50:BC50),0)</f>
        <v>0</v>
      </c>
      <c r="M50">
        <f>IF(ISNUMBER(Perhitungan!BD50),1-Perhitungan!BD50/MAX(Perhitungan!$AR50:BD50),0)</f>
        <v>0</v>
      </c>
      <c r="N50">
        <f>IF(ISNUMBER(Perhitungan!BE50),1-Perhitungan!BE50/MAX(Perhitungan!$AR50:BE50),0)</f>
        <v>0</v>
      </c>
      <c r="O50">
        <f>IF(ISNUMBER(Perhitungan!BF50),1-Perhitungan!BF50/MAX(Perhitungan!$AR50:BF50),0)</f>
        <v>0</v>
      </c>
      <c r="P50">
        <f>IF(ISNUMBER(Perhitungan!BG50),1-Perhitungan!BG50/MAX(Perhitungan!$AR50:BG50),0)</f>
        <v>0</v>
      </c>
      <c r="Q50">
        <f>IF(ISNUMBER(Perhitungan!BH50),1-Perhitungan!BH50/MAX(Perhitungan!$AR50:BH50),0)</f>
        <v>0</v>
      </c>
      <c r="R50">
        <f>IF(ISNUMBER(Perhitungan!BI50),1-Perhitungan!BI50/MAX(Perhitungan!$AR50:BI50),0)</f>
        <v>0</v>
      </c>
      <c r="S50">
        <f>IF(ISNUMBER(Perhitungan!BJ50),1-Perhitungan!BJ50/MAX(Perhitungan!$AR50:BJ50),0)</f>
        <v>0</v>
      </c>
      <c r="T50">
        <f>IF(ISNUMBER(Perhitungan!BK50),1-Perhitungan!BK50/MAX(Perhitungan!$AR50:BK50),0)</f>
        <v>0</v>
      </c>
      <c r="U50">
        <f>IF(ISNUMBER(Perhitungan!BL50),1-Perhitungan!BL50/MAX(Perhitungan!$AR50:BL50),0)</f>
        <v>0</v>
      </c>
      <c r="V50">
        <f>IF(ISNUMBER(Perhitungan!BM50),1-Perhitungan!BM50/MAX(Perhitungan!$AR50:BM50),0)</f>
        <v>0</v>
      </c>
      <c r="W50">
        <f>IF(ISNUMBER(Perhitungan!BN50),1-Perhitungan!BN50/MAX(Perhitungan!$AR50:BN50),0)</f>
        <v>0</v>
      </c>
      <c r="X50">
        <f>IF(ISNUMBER(Perhitungan!BO50),1-Perhitungan!BO50/MAX(Perhitungan!$AR50:BO50),0)</f>
        <v>0</v>
      </c>
      <c r="Y50">
        <f>IF(ISNUMBER(Perhitungan!BP50),1-Perhitungan!BP50/MAX(Perhitungan!$AR50:BP50),0)</f>
        <v>0</v>
      </c>
      <c r="Z50">
        <f>IF(ISNUMBER(Perhitungan!BQ50),1-Perhitungan!BQ50/MAX(Perhitungan!$AR50:BQ50),0)</f>
        <v>0</v>
      </c>
      <c r="AA50">
        <f>IF(ISNUMBER(Perhitungan!BR50),1-Perhitungan!BR50/MAX(Perhitungan!$AR50:BR50),0)</f>
        <v>0</v>
      </c>
      <c r="AB50">
        <f>IF(ISNUMBER(Perhitungan!BS50),1-Perhitungan!BS50/MAX(Perhitungan!$AR50:BS50),0)</f>
        <v>0</v>
      </c>
      <c r="AC50">
        <f>IF(ISNUMBER(Perhitungan!BT50),1-Perhitungan!BT50/MAX(Perhitungan!$AR50:BT50),0)</f>
        <v>0</v>
      </c>
      <c r="AD50">
        <f>IF(ISNUMBER(Perhitungan!BU50),1-Perhitungan!BU50/MAX(Perhitungan!$AR50:BU50),0)</f>
        <v>0</v>
      </c>
      <c r="AE50">
        <f>IF(ISNUMBER(Perhitungan!BV50),1-Perhitungan!BV50/MAX(Perhitungan!$AR50:BV50),0)</f>
        <v>0</v>
      </c>
    </row>
    <row r="51" spans="1:31">
      <c r="A51" t="str">
        <f>Perhitungan!A51</f>
        <v>P46</v>
      </c>
      <c r="B51">
        <f>IF(ISNUMBER(Perhitungan!AS51),1-Perhitungan!AS51/MAX(Perhitungan!$AR51:AS51),0)</f>
        <v>0</v>
      </c>
      <c r="C51">
        <f>IF(ISNUMBER(Perhitungan!AT51),1-Perhitungan!AT51/MAX(Perhitungan!$AR51:AT51),0)</f>
        <v>0</v>
      </c>
      <c r="D51">
        <f>IF(ISNUMBER(Perhitungan!AU51),1-Perhitungan!AU51/MAX(Perhitungan!$AR51:AU51),0)</f>
        <v>0</v>
      </c>
      <c r="E51">
        <f>IF(ISNUMBER(Perhitungan!AV51),1-Perhitungan!AV51/MAX(Perhitungan!$AR51:AV51),0)</f>
        <v>0</v>
      </c>
      <c r="F51">
        <f>IF(ISNUMBER(Perhitungan!AW51),1-Perhitungan!AW51/MAX(Perhitungan!$AR51:AW51),0)</f>
        <v>0</v>
      </c>
      <c r="G51">
        <f>IF(ISNUMBER(Perhitungan!AX51),1-Perhitungan!AX51/MAX(Perhitungan!$AR51:AX51),0)</f>
        <v>0</v>
      </c>
      <c r="H51">
        <f>IF(ISNUMBER(Perhitungan!AY51),1-Perhitungan!AY51/MAX(Perhitungan!$AR51:AY51),0)</f>
        <v>0</v>
      </c>
      <c r="I51">
        <f>IF(ISNUMBER(Perhitungan!AZ51),1-Perhitungan!AZ51/MAX(Perhitungan!$AR51:AZ51),0)</f>
        <v>0</v>
      </c>
      <c r="J51">
        <f>IF(ISNUMBER(Perhitungan!BA51),1-Perhitungan!BA51/MAX(Perhitungan!$AR51:BA51),0)</f>
        <v>0</v>
      </c>
      <c r="K51">
        <f>IF(ISNUMBER(Perhitungan!BB51),1-Perhitungan!BB51/MAX(Perhitungan!$AR51:BB51),0)</f>
        <v>0</v>
      </c>
      <c r="L51">
        <f>IF(ISNUMBER(Perhitungan!BC51),1-Perhitungan!BC51/MAX(Perhitungan!$AR51:BC51),0)</f>
        <v>0</v>
      </c>
      <c r="M51">
        <f>IF(ISNUMBER(Perhitungan!BD51),1-Perhitungan!BD51/MAX(Perhitungan!$AR51:BD51),0)</f>
        <v>0</v>
      </c>
      <c r="N51">
        <f>IF(ISNUMBER(Perhitungan!BE51),1-Perhitungan!BE51/MAX(Perhitungan!$AR51:BE51),0)</f>
        <v>0</v>
      </c>
      <c r="O51">
        <f>IF(ISNUMBER(Perhitungan!BF51),1-Perhitungan!BF51/MAX(Perhitungan!$AR51:BF51),0)</f>
        <v>0</v>
      </c>
      <c r="P51">
        <f>IF(ISNUMBER(Perhitungan!BG51),1-Perhitungan!BG51/MAX(Perhitungan!$AR51:BG51),0)</f>
        <v>0</v>
      </c>
      <c r="Q51">
        <f>IF(ISNUMBER(Perhitungan!BH51),1-Perhitungan!BH51/MAX(Perhitungan!$AR51:BH51),0)</f>
        <v>0</v>
      </c>
      <c r="R51">
        <f>IF(ISNUMBER(Perhitungan!BI51),1-Perhitungan!BI51/MAX(Perhitungan!$AR51:BI51),0)</f>
        <v>0</v>
      </c>
      <c r="S51">
        <f>IF(ISNUMBER(Perhitungan!BJ51),1-Perhitungan!BJ51/MAX(Perhitungan!$AR51:BJ51),0)</f>
        <v>0</v>
      </c>
      <c r="T51">
        <f>IF(ISNUMBER(Perhitungan!BK51),1-Perhitungan!BK51/MAX(Perhitungan!$AR51:BK51),0)</f>
        <v>0</v>
      </c>
      <c r="U51">
        <f>IF(ISNUMBER(Perhitungan!BL51),1-Perhitungan!BL51/MAX(Perhitungan!$AR51:BL51),0)</f>
        <v>0</v>
      </c>
      <c r="V51">
        <f>IF(ISNUMBER(Perhitungan!BM51),1-Perhitungan!BM51/MAX(Perhitungan!$AR51:BM51),0)</f>
        <v>0</v>
      </c>
      <c r="W51">
        <f>IF(ISNUMBER(Perhitungan!BN51),1-Perhitungan!BN51/MAX(Perhitungan!$AR51:BN51),0)</f>
        <v>0</v>
      </c>
      <c r="X51">
        <f>IF(ISNUMBER(Perhitungan!BO51),1-Perhitungan!BO51/MAX(Perhitungan!$AR51:BO51),0)</f>
        <v>0</v>
      </c>
      <c r="Y51">
        <f>IF(ISNUMBER(Perhitungan!BP51),1-Perhitungan!BP51/MAX(Perhitungan!$AR51:BP51),0)</f>
        <v>0</v>
      </c>
      <c r="Z51">
        <f>IF(ISNUMBER(Perhitungan!BQ51),1-Perhitungan!BQ51/MAX(Perhitungan!$AR51:BQ51),0)</f>
        <v>0</v>
      </c>
      <c r="AA51">
        <f>IF(ISNUMBER(Perhitungan!BR51),1-Perhitungan!BR51/MAX(Perhitungan!$AR51:BR51),0)</f>
        <v>0</v>
      </c>
      <c r="AB51">
        <f>IF(ISNUMBER(Perhitungan!BS51),1-Perhitungan!BS51/MAX(Perhitungan!$AR51:BS51),0)</f>
        <v>0</v>
      </c>
      <c r="AC51">
        <f>IF(ISNUMBER(Perhitungan!BT51),1-Perhitungan!BT51/MAX(Perhitungan!$AR51:BT51),0)</f>
        <v>0</v>
      </c>
      <c r="AD51">
        <f>IF(ISNUMBER(Perhitungan!BU51),1-Perhitungan!BU51/MAX(Perhitungan!$AR51:BU51),0)</f>
        <v>0</v>
      </c>
      <c r="AE51">
        <f>IF(ISNUMBER(Perhitungan!BV51),1-Perhitungan!BV51/MAX(Perhitungan!$AR51:BV51),0)</f>
        <v>0</v>
      </c>
    </row>
    <row r="52" spans="1:31">
      <c r="A52" t="str">
        <f>Perhitungan!A52</f>
        <v>P47</v>
      </c>
      <c r="B52">
        <f>IF(ISNUMBER(Perhitungan!AS52),1-Perhitungan!AS52/MAX(Perhitungan!$AR52:AS52),0)</f>
        <v>0</v>
      </c>
      <c r="C52">
        <f>IF(ISNUMBER(Perhitungan!AT52),1-Perhitungan!AT52/MAX(Perhitungan!$AR52:AT52),0)</f>
        <v>0</v>
      </c>
      <c r="D52">
        <f>IF(ISNUMBER(Perhitungan!AU52),1-Perhitungan!AU52/MAX(Perhitungan!$AR52:AU52),0)</f>
        <v>0</v>
      </c>
      <c r="E52">
        <f>IF(ISNUMBER(Perhitungan!AV52),1-Perhitungan!AV52/MAX(Perhitungan!$AR52:AV52),0)</f>
        <v>0</v>
      </c>
      <c r="F52">
        <f>IF(ISNUMBER(Perhitungan!AW52),1-Perhitungan!AW52/MAX(Perhitungan!$AR52:AW52),0)</f>
        <v>0</v>
      </c>
      <c r="G52">
        <f>IF(ISNUMBER(Perhitungan!AX52),1-Perhitungan!AX52/MAX(Perhitungan!$AR52:AX52),0)</f>
        <v>0</v>
      </c>
      <c r="H52">
        <f>IF(ISNUMBER(Perhitungan!AY52),1-Perhitungan!AY52/MAX(Perhitungan!$AR52:AY52),0)</f>
        <v>0</v>
      </c>
      <c r="I52">
        <f>IF(ISNUMBER(Perhitungan!AZ52),1-Perhitungan!AZ52/MAX(Perhitungan!$AR52:AZ52),0)</f>
        <v>0</v>
      </c>
      <c r="J52">
        <f>IF(ISNUMBER(Perhitungan!BA52),1-Perhitungan!BA52/MAX(Perhitungan!$AR52:BA52),0)</f>
        <v>0</v>
      </c>
      <c r="K52">
        <f>IF(ISNUMBER(Perhitungan!BB52),1-Perhitungan!BB52/MAX(Perhitungan!$AR52:BB52),0)</f>
        <v>0</v>
      </c>
      <c r="L52">
        <f>IF(ISNUMBER(Perhitungan!BC52),1-Perhitungan!BC52/MAX(Perhitungan!$AR52:BC52),0)</f>
        <v>0</v>
      </c>
      <c r="M52">
        <f>IF(ISNUMBER(Perhitungan!BD52),1-Perhitungan!BD52/MAX(Perhitungan!$AR52:BD52),0)</f>
        <v>0</v>
      </c>
      <c r="N52">
        <f>IF(ISNUMBER(Perhitungan!BE52),1-Perhitungan!BE52/MAX(Perhitungan!$AR52:BE52),0)</f>
        <v>0</v>
      </c>
      <c r="O52">
        <f>IF(ISNUMBER(Perhitungan!BF52),1-Perhitungan!BF52/MAX(Perhitungan!$AR52:BF52),0)</f>
        <v>0</v>
      </c>
      <c r="P52">
        <f>IF(ISNUMBER(Perhitungan!BG52),1-Perhitungan!BG52/MAX(Perhitungan!$AR52:BG52),0)</f>
        <v>0</v>
      </c>
      <c r="Q52">
        <f>IF(ISNUMBER(Perhitungan!BH52),1-Perhitungan!BH52/MAX(Perhitungan!$AR52:BH52),0)</f>
        <v>0</v>
      </c>
      <c r="R52">
        <f>IF(ISNUMBER(Perhitungan!BI52),1-Perhitungan!BI52/MAX(Perhitungan!$AR52:BI52),0)</f>
        <v>0</v>
      </c>
      <c r="S52">
        <f>IF(ISNUMBER(Perhitungan!BJ52),1-Perhitungan!BJ52/MAX(Perhitungan!$AR52:BJ52),0)</f>
        <v>0</v>
      </c>
      <c r="T52">
        <f>IF(ISNUMBER(Perhitungan!BK52),1-Perhitungan!BK52/MAX(Perhitungan!$AR52:BK52),0)</f>
        <v>0</v>
      </c>
      <c r="U52">
        <f>IF(ISNUMBER(Perhitungan!BL52),1-Perhitungan!BL52/MAX(Perhitungan!$AR52:BL52),0)</f>
        <v>0</v>
      </c>
      <c r="V52">
        <f>IF(ISNUMBER(Perhitungan!BM52),1-Perhitungan!BM52/MAX(Perhitungan!$AR52:BM52),0)</f>
        <v>0</v>
      </c>
      <c r="W52">
        <f>IF(ISNUMBER(Perhitungan!BN52),1-Perhitungan!BN52/MAX(Perhitungan!$AR52:BN52),0)</f>
        <v>0</v>
      </c>
      <c r="X52">
        <f>IF(ISNUMBER(Perhitungan!BO52),1-Perhitungan!BO52/MAX(Perhitungan!$AR52:BO52),0)</f>
        <v>0</v>
      </c>
      <c r="Y52">
        <f>IF(ISNUMBER(Perhitungan!BP52),1-Perhitungan!BP52/MAX(Perhitungan!$AR52:BP52),0)</f>
        <v>0</v>
      </c>
      <c r="Z52">
        <f>IF(ISNUMBER(Perhitungan!BQ52),1-Perhitungan!BQ52/MAX(Perhitungan!$AR52:BQ52),0)</f>
        <v>0</v>
      </c>
      <c r="AA52">
        <f>IF(ISNUMBER(Perhitungan!BR52),1-Perhitungan!BR52/MAX(Perhitungan!$AR52:BR52),0)</f>
        <v>0</v>
      </c>
      <c r="AB52">
        <f>IF(ISNUMBER(Perhitungan!BS52),1-Perhitungan!BS52/MAX(Perhitungan!$AR52:BS52),0)</f>
        <v>0</v>
      </c>
      <c r="AC52">
        <f>IF(ISNUMBER(Perhitungan!BT52),1-Perhitungan!BT52/MAX(Perhitungan!$AR52:BT52),0)</f>
        <v>0</v>
      </c>
      <c r="AD52">
        <f>IF(ISNUMBER(Perhitungan!BU52),1-Perhitungan!BU52/MAX(Perhitungan!$AR52:BU52),0)</f>
        <v>0</v>
      </c>
      <c r="AE52">
        <f>IF(ISNUMBER(Perhitungan!BV52),1-Perhitungan!BV52/MAX(Perhitungan!$AR52:BV52),0)</f>
        <v>0</v>
      </c>
    </row>
    <row r="53" spans="1:31">
      <c r="A53" t="str">
        <f>Perhitungan!A53</f>
        <v>P48</v>
      </c>
      <c r="B53">
        <f>IF(ISNUMBER(Perhitungan!AS53),1-Perhitungan!AS53/MAX(Perhitungan!$AR53:AS53),0)</f>
        <v>0</v>
      </c>
      <c r="C53">
        <f>IF(ISNUMBER(Perhitungan!AT53),1-Perhitungan!AT53/MAX(Perhitungan!$AR53:AT53),0)</f>
        <v>0</v>
      </c>
      <c r="D53">
        <f>IF(ISNUMBER(Perhitungan!AU53),1-Perhitungan!AU53/MAX(Perhitungan!$AR53:AU53),0)</f>
        <v>0</v>
      </c>
      <c r="E53">
        <f>IF(ISNUMBER(Perhitungan!AV53),1-Perhitungan!AV53/MAX(Perhitungan!$AR53:AV53),0)</f>
        <v>0</v>
      </c>
      <c r="F53">
        <f>IF(ISNUMBER(Perhitungan!AW53),1-Perhitungan!AW53/MAX(Perhitungan!$AR53:AW53),0)</f>
        <v>0</v>
      </c>
      <c r="G53">
        <f>IF(ISNUMBER(Perhitungan!AX53),1-Perhitungan!AX53/MAX(Perhitungan!$AR53:AX53),0)</f>
        <v>0</v>
      </c>
      <c r="H53">
        <f>IF(ISNUMBER(Perhitungan!AY53),1-Perhitungan!AY53/MAX(Perhitungan!$AR53:AY53),0)</f>
        <v>0</v>
      </c>
      <c r="I53">
        <f>IF(ISNUMBER(Perhitungan!AZ53),1-Perhitungan!AZ53/MAX(Perhitungan!$AR53:AZ53),0)</f>
        <v>0</v>
      </c>
      <c r="J53">
        <f>IF(ISNUMBER(Perhitungan!BA53),1-Perhitungan!BA53/MAX(Perhitungan!$AR53:BA53),0)</f>
        <v>0</v>
      </c>
      <c r="K53">
        <f>IF(ISNUMBER(Perhitungan!BB53),1-Perhitungan!BB53/MAX(Perhitungan!$AR53:BB53),0)</f>
        <v>0</v>
      </c>
      <c r="L53">
        <f>IF(ISNUMBER(Perhitungan!BC53),1-Perhitungan!BC53/MAX(Perhitungan!$AR53:BC53),0)</f>
        <v>0</v>
      </c>
      <c r="M53">
        <f>IF(ISNUMBER(Perhitungan!BD53),1-Perhitungan!BD53/MAX(Perhitungan!$AR53:BD53),0)</f>
        <v>0</v>
      </c>
      <c r="N53">
        <f>IF(ISNUMBER(Perhitungan!BE53),1-Perhitungan!BE53/MAX(Perhitungan!$AR53:BE53),0)</f>
        <v>0</v>
      </c>
      <c r="O53">
        <f>IF(ISNUMBER(Perhitungan!BF53),1-Perhitungan!BF53/MAX(Perhitungan!$AR53:BF53),0)</f>
        <v>0</v>
      </c>
      <c r="P53">
        <f>IF(ISNUMBER(Perhitungan!BG53),1-Perhitungan!BG53/MAX(Perhitungan!$AR53:BG53),0)</f>
        <v>0</v>
      </c>
      <c r="Q53">
        <f>IF(ISNUMBER(Perhitungan!BH53),1-Perhitungan!BH53/MAX(Perhitungan!$AR53:BH53),0)</f>
        <v>0</v>
      </c>
      <c r="R53">
        <f>IF(ISNUMBER(Perhitungan!BI53),1-Perhitungan!BI53/MAX(Perhitungan!$AR53:BI53),0)</f>
        <v>0</v>
      </c>
      <c r="S53">
        <f>IF(ISNUMBER(Perhitungan!BJ53),1-Perhitungan!BJ53/MAX(Perhitungan!$AR53:BJ53),0)</f>
        <v>0</v>
      </c>
      <c r="T53">
        <f>IF(ISNUMBER(Perhitungan!BK53),1-Perhitungan!BK53/MAX(Perhitungan!$AR53:BK53),0)</f>
        <v>0</v>
      </c>
      <c r="U53">
        <f>IF(ISNUMBER(Perhitungan!BL53),1-Perhitungan!BL53/MAX(Perhitungan!$AR53:BL53),0)</f>
        <v>0</v>
      </c>
      <c r="V53">
        <f>IF(ISNUMBER(Perhitungan!BM53),1-Perhitungan!BM53/MAX(Perhitungan!$AR53:BM53),0)</f>
        <v>0</v>
      </c>
      <c r="W53">
        <f>IF(ISNUMBER(Perhitungan!BN53),1-Perhitungan!BN53/MAX(Perhitungan!$AR53:BN53),0)</f>
        <v>0</v>
      </c>
      <c r="X53">
        <f>IF(ISNUMBER(Perhitungan!BO53),1-Perhitungan!BO53/MAX(Perhitungan!$AR53:BO53),0)</f>
        <v>0</v>
      </c>
      <c r="Y53">
        <f>IF(ISNUMBER(Perhitungan!BP53),1-Perhitungan!BP53/MAX(Perhitungan!$AR53:BP53),0)</f>
        <v>0</v>
      </c>
      <c r="Z53">
        <f>IF(ISNUMBER(Perhitungan!BQ53),1-Perhitungan!BQ53/MAX(Perhitungan!$AR53:BQ53),0)</f>
        <v>0</v>
      </c>
      <c r="AA53">
        <f>IF(ISNUMBER(Perhitungan!BR53),1-Perhitungan!BR53/MAX(Perhitungan!$AR53:BR53),0)</f>
        <v>0</v>
      </c>
      <c r="AB53">
        <f>IF(ISNUMBER(Perhitungan!BS53),1-Perhitungan!BS53/MAX(Perhitungan!$AR53:BS53),0)</f>
        <v>0</v>
      </c>
      <c r="AC53">
        <f>IF(ISNUMBER(Perhitungan!BT53),1-Perhitungan!BT53/MAX(Perhitungan!$AR53:BT53),0)</f>
        <v>0</v>
      </c>
      <c r="AD53">
        <f>IF(ISNUMBER(Perhitungan!BU53),1-Perhitungan!BU53/MAX(Perhitungan!$AR53:BU53),0)</f>
        <v>0</v>
      </c>
      <c r="AE53">
        <f>IF(ISNUMBER(Perhitungan!BV53),1-Perhitungan!BV53/MAX(Perhitungan!$AR53:BV53),0)</f>
        <v>0</v>
      </c>
    </row>
    <row r="54" spans="1:31">
      <c r="A54" t="str">
        <f>Perhitungan!A54</f>
        <v>P49</v>
      </c>
      <c r="B54">
        <f>IF(ISNUMBER(Perhitungan!AS54),1-Perhitungan!AS54/MAX(Perhitungan!$AR54:AS54),0)</f>
        <v>0</v>
      </c>
      <c r="C54">
        <f>IF(ISNUMBER(Perhitungan!AT54),1-Perhitungan!AT54/MAX(Perhitungan!$AR54:AT54),0)</f>
        <v>0</v>
      </c>
      <c r="D54">
        <f>IF(ISNUMBER(Perhitungan!AU54),1-Perhitungan!AU54/MAX(Perhitungan!$AR54:AU54),0)</f>
        <v>0</v>
      </c>
      <c r="E54">
        <f>IF(ISNUMBER(Perhitungan!AV54),1-Perhitungan!AV54/MAX(Perhitungan!$AR54:AV54),0)</f>
        <v>0</v>
      </c>
      <c r="F54">
        <f>IF(ISNUMBER(Perhitungan!AW54),1-Perhitungan!AW54/MAX(Perhitungan!$AR54:AW54),0)</f>
        <v>0</v>
      </c>
      <c r="G54">
        <f>IF(ISNUMBER(Perhitungan!AX54),1-Perhitungan!AX54/MAX(Perhitungan!$AR54:AX54),0)</f>
        <v>0</v>
      </c>
      <c r="H54">
        <f>IF(ISNUMBER(Perhitungan!AY54),1-Perhitungan!AY54/MAX(Perhitungan!$AR54:AY54),0)</f>
        <v>0</v>
      </c>
      <c r="I54">
        <f>IF(ISNUMBER(Perhitungan!AZ54),1-Perhitungan!AZ54/MAX(Perhitungan!$AR54:AZ54),0)</f>
        <v>0</v>
      </c>
      <c r="J54">
        <f>IF(ISNUMBER(Perhitungan!BA54),1-Perhitungan!BA54/MAX(Perhitungan!$AR54:BA54),0)</f>
        <v>0</v>
      </c>
      <c r="K54">
        <f>IF(ISNUMBER(Perhitungan!BB54),1-Perhitungan!BB54/MAX(Perhitungan!$AR54:BB54),0)</f>
        <v>0</v>
      </c>
      <c r="L54">
        <f>IF(ISNUMBER(Perhitungan!BC54),1-Perhitungan!BC54/MAX(Perhitungan!$AR54:BC54),0)</f>
        <v>0</v>
      </c>
      <c r="M54">
        <f>IF(ISNUMBER(Perhitungan!BD54),1-Perhitungan!BD54/MAX(Perhitungan!$AR54:BD54),0)</f>
        <v>0</v>
      </c>
      <c r="N54">
        <f>IF(ISNUMBER(Perhitungan!BE54),1-Perhitungan!BE54/MAX(Perhitungan!$AR54:BE54),0)</f>
        <v>0</v>
      </c>
      <c r="O54">
        <f>IF(ISNUMBER(Perhitungan!BF54),1-Perhitungan!BF54/MAX(Perhitungan!$AR54:BF54),0)</f>
        <v>0</v>
      </c>
      <c r="P54">
        <f>IF(ISNUMBER(Perhitungan!BG54),1-Perhitungan!BG54/MAX(Perhitungan!$AR54:BG54),0)</f>
        <v>0</v>
      </c>
      <c r="Q54">
        <f>IF(ISNUMBER(Perhitungan!BH54),1-Perhitungan!BH54/MAX(Perhitungan!$AR54:BH54),0)</f>
        <v>0</v>
      </c>
      <c r="R54">
        <f>IF(ISNUMBER(Perhitungan!BI54),1-Perhitungan!BI54/MAX(Perhitungan!$AR54:BI54),0)</f>
        <v>0</v>
      </c>
      <c r="S54">
        <f>IF(ISNUMBER(Perhitungan!BJ54),1-Perhitungan!BJ54/MAX(Perhitungan!$AR54:BJ54),0)</f>
        <v>0</v>
      </c>
      <c r="T54">
        <f>IF(ISNUMBER(Perhitungan!BK54),1-Perhitungan!BK54/MAX(Perhitungan!$AR54:BK54),0)</f>
        <v>0</v>
      </c>
      <c r="U54">
        <f>IF(ISNUMBER(Perhitungan!BL54),1-Perhitungan!BL54/MAX(Perhitungan!$AR54:BL54),0)</f>
        <v>0</v>
      </c>
      <c r="V54">
        <f>IF(ISNUMBER(Perhitungan!BM54),1-Perhitungan!BM54/MAX(Perhitungan!$AR54:BM54),0)</f>
        <v>0</v>
      </c>
      <c r="W54">
        <f>IF(ISNUMBER(Perhitungan!BN54),1-Perhitungan!BN54/MAX(Perhitungan!$AR54:BN54),0)</f>
        <v>0</v>
      </c>
      <c r="X54">
        <f>IF(ISNUMBER(Perhitungan!BO54),1-Perhitungan!BO54/MAX(Perhitungan!$AR54:BO54),0)</f>
        <v>0</v>
      </c>
      <c r="Y54">
        <f>IF(ISNUMBER(Perhitungan!BP54),1-Perhitungan!BP54/MAX(Perhitungan!$AR54:BP54),0)</f>
        <v>0</v>
      </c>
      <c r="Z54">
        <f>IF(ISNUMBER(Perhitungan!BQ54),1-Perhitungan!BQ54/MAX(Perhitungan!$AR54:BQ54),0)</f>
        <v>0</v>
      </c>
      <c r="AA54">
        <f>IF(ISNUMBER(Perhitungan!BR54),1-Perhitungan!BR54/MAX(Perhitungan!$AR54:BR54),0)</f>
        <v>0</v>
      </c>
      <c r="AB54">
        <f>IF(ISNUMBER(Perhitungan!BS54),1-Perhitungan!BS54/MAX(Perhitungan!$AR54:BS54),0)</f>
        <v>0</v>
      </c>
      <c r="AC54">
        <f>IF(ISNUMBER(Perhitungan!BT54),1-Perhitungan!BT54/MAX(Perhitungan!$AR54:BT54),0)</f>
        <v>0</v>
      </c>
      <c r="AD54">
        <f>IF(ISNUMBER(Perhitungan!BU54),1-Perhitungan!BU54/MAX(Perhitungan!$AR54:BU54),0)</f>
        <v>0</v>
      </c>
      <c r="AE54">
        <f>IF(ISNUMBER(Perhitungan!BV54),1-Perhitungan!BV54/MAX(Perhitungan!$AR54:BV54),0)</f>
        <v>0</v>
      </c>
    </row>
    <row r="55" spans="1:31">
      <c r="A55" t="str">
        <f>Perhitungan!A55</f>
        <v>P50</v>
      </c>
      <c r="B55">
        <f>IF(ISNUMBER(Perhitungan!AS55),1-Perhitungan!AS55/MAX(Perhitungan!$AR55:AS55),0)</f>
        <v>0</v>
      </c>
      <c r="C55">
        <f>IF(ISNUMBER(Perhitungan!AT55),1-Perhitungan!AT55/MAX(Perhitungan!$AR55:AT55),0)</f>
        <v>0</v>
      </c>
      <c r="D55">
        <f>IF(ISNUMBER(Perhitungan!AU55),1-Perhitungan!AU55/MAX(Perhitungan!$AR55:AU55),0)</f>
        <v>0</v>
      </c>
      <c r="E55">
        <f>IF(ISNUMBER(Perhitungan!AV55),1-Perhitungan!AV55/MAX(Perhitungan!$AR55:AV55),0)</f>
        <v>0</v>
      </c>
      <c r="F55">
        <f>IF(ISNUMBER(Perhitungan!AW55),1-Perhitungan!AW55/MAX(Perhitungan!$AR55:AW55),0)</f>
        <v>0</v>
      </c>
      <c r="G55">
        <f>IF(ISNUMBER(Perhitungan!AX55),1-Perhitungan!AX55/MAX(Perhitungan!$AR55:AX55),0)</f>
        <v>0</v>
      </c>
      <c r="H55">
        <f>IF(ISNUMBER(Perhitungan!AY55),1-Perhitungan!AY55/MAX(Perhitungan!$AR55:AY55),0)</f>
        <v>0</v>
      </c>
      <c r="I55">
        <f>IF(ISNUMBER(Perhitungan!AZ55),1-Perhitungan!AZ55/MAX(Perhitungan!$AR55:AZ55),0)</f>
        <v>0</v>
      </c>
      <c r="J55">
        <f>IF(ISNUMBER(Perhitungan!BA55),1-Perhitungan!BA55/MAX(Perhitungan!$AR55:BA55),0)</f>
        <v>0</v>
      </c>
      <c r="K55">
        <f>IF(ISNUMBER(Perhitungan!BB55),1-Perhitungan!BB55/MAX(Perhitungan!$AR55:BB55),0)</f>
        <v>0</v>
      </c>
      <c r="L55">
        <f>IF(ISNUMBER(Perhitungan!BC55),1-Perhitungan!BC55/MAX(Perhitungan!$AR55:BC55),0)</f>
        <v>0</v>
      </c>
      <c r="M55">
        <f>IF(ISNUMBER(Perhitungan!BD55),1-Perhitungan!BD55/MAX(Perhitungan!$AR55:BD55),0)</f>
        <v>0</v>
      </c>
      <c r="N55">
        <f>IF(ISNUMBER(Perhitungan!BE55),1-Perhitungan!BE55/MAX(Perhitungan!$AR55:BE55),0)</f>
        <v>0</v>
      </c>
      <c r="O55">
        <f>IF(ISNUMBER(Perhitungan!BF55),1-Perhitungan!BF55/MAX(Perhitungan!$AR55:BF55),0)</f>
        <v>0</v>
      </c>
      <c r="P55">
        <f>IF(ISNUMBER(Perhitungan!BG55),1-Perhitungan!BG55/MAX(Perhitungan!$AR55:BG55),0)</f>
        <v>0</v>
      </c>
      <c r="Q55">
        <f>IF(ISNUMBER(Perhitungan!BH55),1-Perhitungan!BH55/MAX(Perhitungan!$AR55:BH55),0)</f>
        <v>0</v>
      </c>
      <c r="R55">
        <f>IF(ISNUMBER(Perhitungan!BI55),1-Perhitungan!BI55/MAX(Perhitungan!$AR55:BI55),0)</f>
        <v>0</v>
      </c>
      <c r="S55">
        <f>IF(ISNUMBER(Perhitungan!BJ55),1-Perhitungan!BJ55/MAX(Perhitungan!$AR55:BJ55),0)</f>
        <v>0</v>
      </c>
      <c r="T55">
        <f>IF(ISNUMBER(Perhitungan!BK55),1-Perhitungan!BK55/MAX(Perhitungan!$AR55:BK55),0)</f>
        <v>0</v>
      </c>
      <c r="U55">
        <f>IF(ISNUMBER(Perhitungan!BL55),1-Perhitungan!BL55/MAX(Perhitungan!$AR55:BL55),0)</f>
        <v>0</v>
      </c>
      <c r="V55">
        <f>IF(ISNUMBER(Perhitungan!BM55),1-Perhitungan!BM55/MAX(Perhitungan!$AR55:BM55),0)</f>
        <v>0</v>
      </c>
      <c r="W55">
        <f>IF(ISNUMBER(Perhitungan!BN55),1-Perhitungan!BN55/MAX(Perhitungan!$AR55:BN55),0)</f>
        <v>0</v>
      </c>
      <c r="X55">
        <f>IF(ISNUMBER(Perhitungan!BO55),1-Perhitungan!BO55/MAX(Perhitungan!$AR55:BO55),0)</f>
        <v>0</v>
      </c>
      <c r="Y55">
        <f>IF(ISNUMBER(Perhitungan!BP55),1-Perhitungan!BP55/MAX(Perhitungan!$AR55:BP55),0)</f>
        <v>0</v>
      </c>
      <c r="Z55">
        <f>IF(ISNUMBER(Perhitungan!BQ55),1-Perhitungan!BQ55/MAX(Perhitungan!$AR55:BQ55),0)</f>
        <v>0</v>
      </c>
      <c r="AA55">
        <f>IF(ISNUMBER(Perhitungan!BR55),1-Perhitungan!BR55/MAX(Perhitungan!$AR55:BR55),0)</f>
        <v>0</v>
      </c>
      <c r="AB55">
        <f>IF(ISNUMBER(Perhitungan!BS55),1-Perhitungan!BS55/MAX(Perhitungan!$AR55:BS55),0)</f>
        <v>0</v>
      </c>
      <c r="AC55">
        <f>IF(ISNUMBER(Perhitungan!BT55),1-Perhitungan!BT55/MAX(Perhitungan!$AR55:BT55),0)</f>
        <v>0</v>
      </c>
      <c r="AD55">
        <f>IF(ISNUMBER(Perhitungan!BU55),1-Perhitungan!BU55/MAX(Perhitungan!$AR55:BU55),0)</f>
        <v>0</v>
      </c>
      <c r="AE55">
        <f>IF(ISNUMBER(Perhitungan!BV55),1-Perhitungan!BV55/MAX(Perhitungan!$AR55:BV55),0)</f>
        <v>0</v>
      </c>
    </row>
    <row r="56" spans="1:31">
      <c r="A56" t="str">
        <f>Perhitungan!A56</f>
        <v>P51</v>
      </c>
      <c r="B56">
        <f>IF(ISNUMBER(Perhitungan!AS56),1-Perhitungan!AS56/MAX(Perhitungan!$AR56:AS56),0)</f>
        <v>0</v>
      </c>
      <c r="C56">
        <f>IF(ISNUMBER(Perhitungan!AT56),1-Perhitungan!AT56/MAX(Perhitungan!$AR56:AT56),0)</f>
        <v>0</v>
      </c>
      <c r="D56">
        <f>IF(ISNUMBER(Perhitungan!AU56),1-Perhitungan!AU56/MAX(Perhitungan!$AR56:AU56),0)</f>
        <v>0</v>
      </c>
      <c r="E56">
        <f>IF(ISNUMBER(Perhitungan!AV56),1-Perhitungan!AV56/MAX(Perhitungan!$AR56:AV56),0)</f>
        <v>0</v>
      </c>
      <c r="F56">
        <f>IF(ISNUMBER(Perhitungan!AW56),1-Perhitungan!AW56/MAX(Perhitungan!$AR56:AW56),0)</f>
        <v>0</v>
      </c>
      <c r="G56">
        <f>IF(ISNUMBER(Perhitungan!AX56),1-Perhitungan!AX56/MAX(Perhitungan!$AR56:AX56),0)</f>
        <v>0</v>
      </c>
      <c r="H56">
        <f>IF(ISNUMBER(Perhitungan!AY56),1-Perhitungan!AY56/MAX(Perhitungan!$AR56:AY56),0)</f>
        <v>0</v>
      </c>
      <c r="I56">
        <f>IF(ISNUMBER(Perhitungan!AZ56),1-Perhitungan!AZ56/MAX(Perhitungan!$AR56:AZ56),0)</f>
        <v>0</v>
      </c>
      <c r="J56">
        <f>IF(ISNUMBER(Perhitungan!BA56),1-Perhitungan!BA56/MAX(Perhitungan!$AR56:BA56),0)</f>
        <v>0</v>
      </c>
      <c r="K56">
        <f>IF(ISNUMBER(Perhitungan!BB56),1-Perhitungan!BB56/MAX(Perhitungan!$AR56:BB56),0)</f>
        <v>0</v>
      </c>
      <c r="L56">
        <f>IF(ISNUMBER(Perhitungan!BC56),1-Perhitungan!BC56/MAX(Perhitungan!$AR56:BC56),0)</f>
        <v>0</v>
      </c>
      <c r="M56">
        <f>IF(ISNUMBER(Perhitungan!BD56),1-Perhitungan!BD56/MAX(Perhitungan!$AR56:BD56),0)</f>
        <v>0</v>
      </c>
      <c r="N56">
        <f>IF(ISNUMBER(Perhitungan!BE56),1-Perhitungan!BE56/MAX(Perhitungan!$AR56:BE56),0)</f>
        <v>0</v>
      </c>
      <c r="O56">
        <f>IF(ISNUMBER(Perhitungan!BF56),1-Perhitungan!BF56/MAX(Perhitungan!$AR56:BF56),0)</f>
        <v>0</v>
      </c>
      <c r="P56">
        <f>IF(ISNUMBER(Perhitungan!BG56),1-Perhitungan!BG56/MAX(Perhitungan!$AR56:BG56),0)</f>
        <v>0</v>
      </c>
      <c r="Q56">
        <f>IF(ISNUMBER(Perhitungan!BH56),1-Perhitungan!BH56/MAX(Perhitungan!$AR56:BH56),0)</f>
        <v>0</v>
      </c>
      <c r="R56">
        <f>IF(ISNUMBER(Perhitungan!BI56),1-Perhitungan!BI56/MAX(Perhitungan!$AR56:BI56),0)</f>
        <v>0</v>
      </c>
      <c r="S56">
        <f>IF(ISNUMBER(Perhitungan!BJ56),1-Perhitungan!BJ56/MAX(Perhitungan!$AR56:BJ56),0)</f>
        <v>0</v>
      </c>
      <c r="T56">
        <f>IF(ISNUMBER(Perhitungan!BK56),1-Perhitungan!BK56/MAX(Perhitungan!$AR56:BK56),0)</f>
        <v>0</v>
      </c>
      <c r="U56">
        <f>IF(ISNUMBER(Perhitungan!BL56),1-Perhitungan!BL56/MAX(Perhitungan!$AR56:BL56),0)</f>
        <v>0</v>
      </c>
      <c r="V56">
        <f>IF(ISNUMBER(Perhitungan!BM56),1-Perhitungan!BM56/MAX(Perhitungan!$AR56:BM56),0)</f>
        <v>0</v>
      </c>
      <c r="W56">
        <f>IF(ISNUMBER(Perhitungan!BN56),1-Perhitungan!BN56/MAX(Perhitungan!$AR56:BN56),0)</f>
        <v>0</v>
      </c>
      <c r="X56">
        <f>IF(ISNUMBER(Perhitungan!BO56),1-Perhitungan!BO56/MAX(Perhitungan!$AR56:BO56),0)</f>
        <v>0</v>
      </c>
      <c r="Y56">
        <f>IF(ISNUMBER(Perhitungan!BP56),1-Perhitungan!BP56/MAX(Perhitungan!$AR56:BP56),0)</f>
        <v>0</v>
      </c>
      <c r="Z56">
        <f>IF(ISNUMBER(Perhitungan!BQ56),1-Perhitungan!BQ56/MAX(Perhitungan!$AR56:BQ56),0)</f>
        <v>0</v>
      </c>
      <c r="AA56">
        <f>IF(ISNUMBER(Perhitungan!BR56),1-Perhitungan!BR56/MAX(Perhitungan!$AR56:BR56),0)</f>
        <v>0</v>
      </c>
      <c r="AB56">
        <f>IF(ISNUMBER(Perhitungan!BS56),1-Perhitungan!BS56/MAX(Perhitungan!$AR56:BS56),0)</f>
        <v>0</v>
      </c>
      <c r="AC56">
        <f>IF(ISNUMBER(Perhitungan!BT56),1-Perhitungan!BT56/MAX(Perhitungan!$AR56:BT56),0)</f>
        <v>0</v>
      </c>
      <c r="AD56">
        <f>IF(ISNUMBER(Perhitungan!BU56),1-Perhitungan!BU56/MAX(Perhitungan!$AR56:BU56),0)</f>
        <v>0</v>
      </c>
      <c r="AE56">
        <f>IF(ISNUMBER(Perhitungan!BV56),1-Perhitungan!BV56/MAX(Perhitungan!$AR56:BV56),0)</f>
        <v>0</v>
      </c>
    </row>
    <row r="57" spans="1:31">
      <c r="A57" t="str">
        <f>Perhitungan!A57</f>
        <v>P52</v>
      </c>
      <c r="B57">
        <f>IF(ISNUMBER(Perhitungan!AS57),1-Perhitungan!AS57/MAX(Perhitungan!$AR57:AS57),0)</f>
        <v>0</v>
      </c>
      <c r="C57">
        <f>IF(ISNUMBER(Perhitungan!AT57),1-Perhitungan!AT57/MAX(Perhitungan!$AR57:AT57),0)</f>
        <v>0</v>
      </c>
      <c r="D57">
        <f>IF(ISNUMBER(Perhitungan!AU57),1-Perhitungan!AU57/MAX(Perhitungan!$AR57:AU57),0)</f>
        <v>0</v>
      </c>
      <c r="E57">
        <f>IF(ISNUMBER(Perhitungan!AV57),1-Perhitungan!AV57/MAX(Perhitungan!$AR57:AV57),0)</f>
        <v>0</v>
      </c>
      <c r="F57">
        <f>IF(ISNUMBER(Perhitungan!AW57),1-Perhitungan!AW57/MAX(Perhitungan!$AR57:AW57),0)</f>
        <v>0</v>
      </c>
      <c r="G57">
        <f>IF(ISNUMBER(Perhitungan!AX57),1-Perhitungan!AX57/MAX(Perhitungan!$AR57:AX57),0)</f>
        <v>0</v>
      </c>
      <c r="H57">
        <f>IF(ISNUMBER(Perhitungan!AY57),1-Perhitungan!AY57/MAX(Perhitungan!$AR57:AY57),0)</f>
        <v>0</v>
      </c>
      <c r="I57">
        <f>IF(ISNUMBER(Perhitungan!AZ57),1-Perhitungan!AZ57/MAX(Perhitungan!$AR57:AZ57),0)</f>
        <v>0</v>
      </c>
      <c r="J57">
        <f>IF(ISNUMBER(Perhitungan!BA57),1-Perhitungan!BA57/MAX(Perhitungan!$AR57:BA57),0)</f>
        <v>0</v>
      </c>
      <c r="K57">
        <f>IF(ISNUMBER(Perhitungan!BB57),1-Perhitungan!BB57/MAX(Perhitungan!$AR57:BB57),0)</f>
        <v>0</v>
      </c>
      <c r="L57">
        <f>IF(ISNUMBER(Perhitungan!BC57),1-Perhitungan!BC57/MAX(Perhitungan!$AR57:BC57),0)</f>
        <v>0</v>
      </c>
      <c r="M57">
        <f>IF(ISNUMBER(Perhitungan!BD57),1-Perhitungan!BD57/MAX(Perhitungan!$AR57:BD57),0)</f>
        <v>0</v>
      </c>
      <c r="N57">
        <f>IF(ISNUMBER(Perhitungan!BE57),1-Perhitungan!BE57/MAX(Perhitungan!$AR57:BE57),0)</f>
        <v>0</v>
      </c>
      <c r="O57">
        <f>IF(ISNUMBER(Perhitungan!BF57),1-Perhitungan!BF57/MAX(Perhitungan!$AR57:BF57),0)</f>
        <v>0</v>
      </c>
      <c r="P57">
        <f>IF(ISNUMBER(Perhitungan!BG57),1-Perhitungan!BG57/MAX(Perhitungan!$AR57:BG57),0)</f>
        <v>0</v>
      </c>
      <c r="Q57">
        <f>IF(ISNUMBER(Perhitungan!BH57),1-Perhitungan!BH57/MAX(Perhitungan!$AR57:BH57),0)</f>
        <v>0</v>
      </c>
      <c r="R57">
        <f>IF(ISNUMBER(Perhitungan!BI57),1-Perhitungan!BI57/MAX(Perhitungan!$AR57:BI57),0)</f>
        <v>0</v>
      </c>
      <c r="S57">
        <f>IF(ISNUMBER(Perhitungan!BJ57),1-Perhitungan!BJ57/MAX(Perhitungan!$AR57:BJ57),0)</f>
        <v>0</v>
      </c>
      <c r="T57">
        <f>IF(ISNUMBER(Perhitungan!BK57),1-Perhitungan!BK57/MAX(Perhitungan!$AR57:BK57),0)</f>
        <v>0</v>
      </c>
      <c r="U57">
        <f>IF(ISNUMBER(Perhitungan!BL57),1-Perhitungan!BL57/MAX(Perhitungan!$AR57:BL57),0)</f>
        <v>0</v>
      </c>
      <c r="V57">
        <f>IF(ISNUMBER(Perhitungan!BM57),1-Perhitungan!BM57/MAX(Perhitungan!$AR57:BM57),0)</f>
        <v>0</v>
      </c>
      <c r="W57">
        <f>IF(ISNUMBER(Perhitungan!BN57),1-Perhitungan!BN57/MAX(Perhitungan!$AR57:BN57),0)</f>
        <v>0</v>
      </c>
      <c r="X57">
        <f>IF(ISNUMBER(Perhitungan!BO57),1-Perhitungan!BO57/MAX(Perhitungan!$AR57:BO57),0)</f>
        <v>0</v>
      </c>
      <c r="Y57">
        <f>IF(ISNUMBER(Perhitungan!BP57),1-Perhitungan!BP57/MAX(Perhitungan!$AR57:BP57),0)</f>
        <v>0</v>
      </c>
      <c r="Z57">
        <f>IF(ISNUMBER(Perhitungan!BQ57),1-Perhitungan!BQ57/MAX(Perhitungan!$AR57:BQ57),0)</f>
        <v>0</v>
      </c>
      <c r="AA57">
        <f>IF(ISNUMBER(Perhitungan!BR57),1-Perhitungan!BR57/MAX(Perhitungan!$AR57:BR57),0)</f>
        <v>0</v>
      </c>
      <c r="AB57">
        <f>IF(ISNUMBER(Perhitungan!BS57),1-Perhitungan!BS57/MAX(Perhitungan!$AR57:BS57),0)</f>
        <v>0</v>
      </c>
      <c r="AC57">
        <f>IF(ISNUMBER(Perhitungan!BT57),1-Perhitungan!BT57/MAX(Perhitungan!$AR57:BT57),0)</f>
        <v>0</v>
      </c>
      <c r="AD57">
        <f>IF(ISNUMBER(Perhitungan!BU57),1-Perhitungan!BU57/MAX(Perhitungan!$AR57:BU57),0)</f>
        <v>0</v>
      </c>
      <c r="AE57">
        <f>IF(ISNUMBER(Perhitungan!BV57),1-Perhitungan!BV57/MAX(Perhitungan!$AR57:BV57),0)</f>
        <v>0</v>
      </c>
    </row>
    <row r="58" spans="1:31">
      <c r="A58" t="str">
        <f>Perhitungan!A58</f>
        <v>P53</v>
      </c>
      <c r="B58">
        <f>IF(ISNUMBER(Perhitungan!AS58),1-Perhitungan!AS58/MAX(Perhitungan!$AR58:AS58),0)</f>
        <v>0</v>
      </c>
      <c r="C58">
        <f>IF(ISNUMBER(Perhitungan!AT58),1-Perhitungan!AT58/MAX(Perhitungan!$AR58:AT58),0)</f>
        <v>0</v>
      </c>
      <c r="D58">
        <f>IF(ISNUMBER(Perhitungan!AU58),1-Perhitungan!AU58/MAX(Perhitungan!$AR58:AU58),0)</f>
        <v>0</v>
      </c>
      <c r="E58">
        <f>IF(ISNUMBER(Perhitungan!AV58),1-Perhitungan!AV58/MAX(Perhitungan!$AR58:AV58),0)</f>
        <v>0</v>
      </c>
      <c r="F58">
        <f>IF(ISNUMBER(Perhitungan!AW58),1-Perhitungan!AW58/MAX(Perhitungan!$AR58:AW58),0)</f>
        <v>0</v>
      </c>
      <c r="G58">
        <f>IF(ISNUMBER(Perhitungan!AX58),1-Perhitungan!AX58/MAX(Perhitungan!$AR58:AX58),0)</f>
        <v>0</v>
      </c>
      <c r="H58">
        <f>IF(ISNUMBER(Perhitungan!AY58),1-Perhitungan!AY58/MAX(Perhitungan!$AR58:AY58),0)</f>
        <v>0</v>
      </c>
      <c r="I58">
        <f>IF(ISNUMBER(Perhitungan!AZ58),1-Perhitungan!AZ58/MAX(Perhitungan!$AR58:AZ58),0)</f>
        <v>0</v>
      </c>
      <c r="J58">
        <f>IF(ISNUMBER(Perhitungan!BA58),1-Perhitungan!BA58/MAX(Perhitungan!$AR58:BA58),0)</f>
        <v>0</v>
      </c>
      <c r="K58">
        <f>IF(ISNUMBER(Perhitungan!BB58),1-Perhitungan!BB58/MAX(Perhitungan!$AR58:BB58),0)</f>
        <v>0</v>
      </c>
      <c r="L58">
        <f>IF(ISNUMBER(Perhitungan!BC58),1-Perhitungan!BC58/MAX(Perhitungan!$AR58:BC58),0)</f>
        <v>0</v>
      </c>
      <c r="M58">
        <f>IF(ISNUMBER(Perhitungan!BD58),1-Perhitungan!BD58/MAX(Perhitungan!$AR58:BD58),0)</f>
        <v>0</v>
      </c>
      <c r="N58">
        <f>IF(ISNUMBER(Perhitungan!BE58),1-Perhitungan!BE58/MAX(Perhitungan!$AR58:BE58),0)</f>
        <v>0</v>
      </c>
      <c r="O58">
        <f>IF(ISNUMBER(Perhitungan!BF58),1-Perhitungan!BF58/MAX(Perhitungan!$AR58:BF58),0)</f>
        <v>0</v>
      </c>
      <c r="P58">
        <f>IF(ISNUMBER(Perhitungan!BG58),1-Perhitungan!BG58/MAX(Perhitungan!$AR58:BG58),0)</f>
        <v>0</v>
      </c>
      <c r="Q58">
        <f>IF(ISNUMBER(Perhitungan!BH58),1-Perhitungan!BH58/MAX(Perhitungan!$AR58:BH58),0)</f>
        <v>0</v>
      </c>
      <c r="R58">
        <f>IF(ISNUMBER(Perhitungan!BI58),1-Perhitungan!BI58/MAX(Perhitungan!$AR58:BI58),0)</f>
        <v>0</v>
      </c>
      <c r="S58">
        <f>IF(ISNUMBER(Perhitungan!BJ58),1-Perhitungan!BJ58/MAX(Perhitungan!$AR58:BJ58),0)</f>
        <v>0</v>
      </c>
      <c r="T58">
        <f>IF(ISNUMBER(Perhitungan!BK58),1-Perhitungan!BK58/MAX(Perhitungan!$AR58:BK58),0)</f>
        <v>0</v>
      </c>
      <c r="U58">
        <f>IF(ISNUMBER(Perhitungan!BL58),1-Perhitungan!BL58/MAX(Perhitungan!$AR58:BL58),0)</f>
        <v>0</v>
      </c>
      <c r="V58">
        <f>IF(ISNUMBER(Perhitungan!BM58),1-Perhitungan!BM58/MAX(Perhitungan!$AR58:BM58),0)</f>
        <v>0</v>
      </c>
      <c r="W58">
        <f>IF(ISNUMBER(Perhitungan!BN58),1-Perhitungan!BN58/MAX(Perhitungan!$AR58:BN58),0)</f>
        <v>0</v>
      </c>
      <c r="X58">
        <f>IF(ISNUMBER(Perhitungan!BO58),1-Perhitungan!BO58/MAX(Perhitungan!$AR58:BO58),0)</f>
        <v>0</v>
      </c>
      <c r="Y58">
        <f>IF(ISNUMBER(Perhitungan!BP58),1-Perhitungan!BP58/MAX(Perhitungan!$AR58:BP58),0)</f>
        <v>0</v>
      </c>
      <c r="Z58">
        <f>IF(ISNUMBER(Perhitungan!BQ58),1-Perhitungan!BQ58/MAX(Perhitungan!$AR58:BQ58),0)</f>
        <v>0</v>
      </c>
      <c r="AA58">
        <f>IF(ISNUMBER(Perhitungan!BR58),1-Perhitungan!BR58/MAX(Perhitungan!$AR58:BR58),0)</f>
        <v>0</v>
      </c>
      <c r="AB58">
        <f>IF(ISNUMBER(Perhitungan!BS58),1-Perhitungan!BS58/MAX(Perhitungan!$AR58:BS58),0)</f>
        <v>0</v>
      </c>
      <c r="AC58">
        <f>IF(ISNUMBER(Perhitungan!BT58),1-Perhitungan!BT58/MAX(Perhitungan!$AR58:BT58),0)</f>
        <v>0</v>
      </c>
      <c r="AD58">
        <f>IF(ISNUMBER(Perhitungan!BU58),1-Perhitungan!BU58/MAX(Perhitungan!$AR58:BU58),0)</f>
        <v>0</v>
      </c>
      <c r="AE58">
        <f>IF(ISNUMBER(Perhitungan!BV58),1-Perhitungan!BV58/MAX(Perhitungan!$AR58:BV58),0)</f>
        <v>0</v>
      </c>
    </row>
    <row r="59" spans="1:31">
      <c r="A59" t="str">
        <f>Perhitungan!A59</f>
        <v>P54</v>
      </c>
      <c r="B59">
        <f>IF(ISNUMBER(Perhitungan!AS59),1-Perhitungan!AS59/MAX(Perhitungan!$AR59:AS59),0)</f>
        <v>0</v>
      </c>
      <c r="C59">
        <f>IF(ISNUMBER(Perhitungan!AT59),1-Perhitungan!AT59/MAX(Perhitungan!$AR59:AT59),0)</f>
        <v>0</v>
      </c>
      <c r="D59">
        <f>IF(ISNUMBER(Perhitungan!AU59),1-Perhitungan!AU59/MAX(Perhitungan!$AR59:AU59),0)</f>
        <v>0</v>
      </c>
      <c r="E59">
        <f>IF(ISNUMBER(Perhitungan!AV59),1-Perhitungan!AV59/MAX(Perhitungan!$AR59:AV59),0)</f>
        <v>0</v>
      </c>
      <c r="F59">
        <f>IF(ISNUMBER(Perhitungan!AW59),1-Perhitungan!AW59/MAX(Perhitungan!$AR59:AW59),0)</f>
        <v>0</v>
      </c>
      <c r="G59">
        <f>IF(ISNUMBER(Perhitungan!AX59),1-Perhitungan!AX59/MAX(Perhitungan!$AR59:AX59),0)</f>
        <v>0</v>
      </c>
      <c r="H59">
        <f>IF(ISNUMBER(Perhitungan!AY59),1-Perhitungan!AY59/MAX(Perhitungan!$AR59:AY59),0)</f>
        <v>0</v>
      </c>
      <c r="I59">
        <f>IF(ISNUMBER(Perhitungan!AZ59),1-Perhitungan!AZ59/MAX(Perhitungan!$AR59:AZ59),0)</f>
        <v>0</v>
      </c>
      <c r="J59">
        <f>IF(ISNUMBER(Perhitungan!BA59),1-Perhitungan!BA59/MAX(Perhitungan!$AR59:BA59),0)</f>
        <v>0</v>
      </c>
      <c r="K59">
        <f>IF(ISNUMBER(Perhitungan!BB59),1-Perhitungan!BB59/MAX(Perhitungan!$AR59:BB59),0)</f>
        <v>0</v>
      </c>
      <c r="L59">
        <f>IF(ISNUMBER(Perhitungan!BC59),1-Perhitungan!BC59/MAX(Perhitungan!$AR59:BC59),0)</f>
        <v>0</v>
      </c>
      <c r="M59">
        <f>IF(ISNUMBER(Perhitungan!BD59),1-Perhitungan!BD59/MAX(Perhitungan!$AR59:BD59),0)</f>
        <v>0</v>
      </c>
      <c r="N59">
        <f>IF(ISNUMBER(Perhitungan!BE59),1-Perhitungan!BE59/MAX(Perhitungan!$AR59:BE59),0)</f>
        <v>0</v>
      </c>
      <c r="O59">
        <f>IF(ISNUMBER(Perhitungan!BF59),1-Perhitungan!BF59/MAX(Perhitungan!$AR59:BF59),0)</f>
        <v>0</v>
      </c>
      <c r="P59">
        <f>IF(ISNUMBER(Perhitungan!BG59),1-Perhitungan!BG59/MAX(Perhitungan!$AR59:BG59),0)</f>
        <v>0</v>
      </c>
      <c r="Q59">
        <f>IF(ISNUMBER(Perhitungan!BH59),1-Perhitungan!BH59/MAX(Perhitungan!$AR59:BH59),0)</f>
        <v>0</v>
      </c>
      <c r="R59">
        <f>IF(ISNUMBER(Perhitungan!BI59),1-Perhitungan!BI59/MAX(Perhitungan!$AR59:BI59),0)</f>
        <v>0</v>
      </c>
      <c r="S59">
        <f>IF(ISNUMBER(Perhitungan!BJ59),1-Perhitungan!BJ59/MAX(Perhitungan!$AR59:BJ59),0)</f>
        <v>0</v>
      </c>
      <c r="T59">
        <f>IF(ISNUMBER(Perhitungan!BK59),1-Perhitungan!BK59/MAX(Perhitungan!$AR59:BK59),0)</f>
        <v>0</v>
      </c>
      <c r="U59">
        <f>IF(ISNUMBER(Perhitungan!BL59),1-Perhitungan!BL59/MAX(Perhitungan!$AR59:BL59),0)</f>
        <v>0</v>
      </c>
      <c r="V59">
        <f>IF(ISNUMBER(Perhitungan!BM59),1-Perhitungan!BM59/MAX(Perhitungan!$AR59:BM59),0)</f>
        <v>0</v>
      </c>
      <c r="W59">
        <f>IF(ISNUMBER(Perhitungan!BN59),1-Perhitungan!BN59/MAX(Perhitungan!$AR59:BN59),0)</f>
        <v>0</v>
      </c>
      <c r="X59">
        <f>IF(ISNUMBER(Perhitungan!BO59),1-Perhitungan!BO59/MAX(Perhitungan!$AR59:BO59),0)</f>
        <v>0</v>
      </c>
      <c r="Y59">
        <f>IF(ISNUMBER(Perhitungan!BP59),1-Perhitungan!BP59/MAX(Perhitungan!$AR59:BP59),0)</f>
        <v>0</v>
      </c>
      <c r="Z59">
        <f>IF(ISNUMBER(Perhitungan!BQ59),1-Perhitungan!BQ59/MAX(Perhitungan!$AR59:BQ59),0)</f>
        <v>0</v>
      </c>
      <c r="AA59">
        <f>IF(ISNUMBER(Perhitungan!BR59),1-Perhitungan!BR59/MAX(Perhitungan!$AR59:BR59),0)</f>
        <v>0</v>
      </c>
      <c r="AB59">
        <f>IF(ISNUMBER(Perhitungan!BS59),1-Perhitungan!BS59/MAX(Perhitungan!$AR59:BS59),0)</f>
        <v>0</v>
      </c>
      <c r="AC59">
        <f>IF(ISNUMBER(Perhitungan!BT59),1-Perhitungan!BT59/MAX(Perhitungan!$AR59:BT59),0)</f>
        <v>0</v>
      </c>
      <c r="AD59">
        <f>IF(ISNUMBER(Perhitungan!BU59),1-Perhitungan!BU59/MAX(Perhitungan!$AR59:BU59),0)</f>
        <v>0</v>
      </c>
      <c r="AE59">
        <f>IF(ISNUMBER(Perhitungan!BV59),1-Perhitungan!BV59/MAX(Perhitungan!$AR59:BV59),0)</f>
        <v>0</v>
      </c>
    </row>
    <row r="60" spans="1:31">
      <c r="A60" t="str">
        <f>Perhitungan!A60</f>
        <v>P55</v>
      </c>
      <c r="B60">
        <f>IF(ISNUMBER(Perhitungan!AS60),1-Perhitungan!AS60/MAX(Perhitungan!$AR60:AS60),0)</f>
        <v>0</v>
      </c>
      <c r="C60">
        <f>IF(ISNUMBER(Perhitungan!AT60),1-Perhitungan!AT60/MAX(Perhitungan!$AR60:AT60),0)</f>
        <v>0</v>
      </c>
      <c r="D60">
        <f>IF(ISNUMBER(Perhitungan!AU60),1-Perhitungan!AU60/MAX(Perhitungan!$AR60:AU60),0)</f>
        <v>0</v>
      </c>
      <c r="E60">
        <f>IF(ISNUMBER(Perhitungan!AV60),1-Perhitungan!AV60/MAX(Perhitungan!$AR60:AV60),0)</f>
        <v>0</v>
      </c>
      <c r="F60">
        <f>IF(ISNUMBER(Perhitungan!AW60),1-Perhitungan!AW60/MAX(Perhitungan!$AR60:AW60),0)</f>
        <v>0</v>
      </c>
      <c r="G60">
        <f>IF(ISNUMBER(Perhitungan!AX60),1-Perhitungan!AX60/MAX(Perhitungan!$AR60:AX60),0)</f>
        <v>0</v>
      </c>
      <c r="H60">
        <f>IF(ISNUMBER(Perhitungan!AY60),1-Perhitungan!AY60/MAX(Perhitungan!$AR60:AY60),0)</f>
        <v>0</v>
      </c>
      <c r="I60">
        <f>IF(ISNUMBER(Perhitungan!AZ60),1-Perhitungan!AZ60/MAX(Perhitungan!$AR60:AZ60),0)</f>
        <v>0</v>
      </c>
      <c r="J60">
        <f>IF(ISNUMBER(Perhitungan!BA60),1-Perhitungan!BA60/MAX(Perhitungan!$AR60:BA60),0)</f>
        <v>0</v>
      </c>
      <c r="K60">
        <f>IF(ISNUMBER(Perhitungan!BB60),1-Perhitungan!BB60/MAX(Perhitungan!$AR60:BB60),0)</f>
        <v>0</v>
      </c>
      <c r="L60">
        <f>IF(ISNUMBER(Perhitungan!BC60),1-Perhitungan!BC60/MAX(Perhitungan!$AR60:BC60),0)</f>
        <v>0</v>
      </c>
      <c r="M60">
        <f>IF(ISNUMBER(Perhitungan!BD60),1-Perhitungan!BD60/MAX(Perhitungan!$AR60:BD60),0)</f>
        <v>0</v>
      </c>
      <c r="N60">
        <f>IF(ISNUMBER(Perhitungan!BE60),1-Perhitungan!BE60/MAX(Perhitungan!$AR60:BE60),0)</f>
        <v>0</v>
      </c>
      <c r="O60">
        <f>IF(ISNUMBER(Perhitungan!BF60),1-Perhitungan!BF60/MAX(Perhitungan!$AR60:BF60),0)</f>
        <v>0</v>
      </c>
      <c r="P60">
        <f>IF(ISNUMBER(Perhitungan!BG60),1-Perhitungan!BG60/MAX(Perhitungan!$AR60:BG60),0)</f>
        <v>0</v>
      </c>
      <c r="Q60">
        <f>IF(ISNUMBER(Perhitungan!BH60),1-Perhitungan!BH60/MAX(Perhitungan!$AR60:BH60),0)</f>
        <v>0</v>
      </c>
      <c r="R60">
        <f>IF(ISNUMBER(Perhitungan!BI60),1-Perhitungan!BI60/MAX(Perhitungan!$AR60:BI60),0)</f>
        <v>0</v>
      </c>
      <c r="S60">
        <f>IF(ISNUMBER(Perhitungan!BJ60),1-Perhitungan!BJ60/MAX(Perhitungan!$AR60:BJ60),0)</f>
        <v>0</v>
      </c>
      <c r="T60">
        <f>IF(ISNUMBER(Perhitungan!BK60),1-Perhitungan!BK60/MAX(Perhitungan!$AR60:BK60),0)</f>
        <v>0</v>
      </c>
      <c r="U60">
        <f>IF(ISNUMBER(Perhitungan!BL60),1-Perhitungan!BL60/MAX(Perhitungan!$AR60:BL60),0)</f>
        <v>0</v>
      </c>
      <c r="V60">
        <f>IF(ISNUMBER(Perhitungan!BM60),1-Perhitungan!BM60/MAX(Perhitungan!$AR60:BM60),0)</f>
        <v>0</v>
      </c>
      <c r="W60">
        <f>IF(ISNUMBER(Perhitungan!BN60),1-Perhitungan!BN60/MAX(Perhitungan!$AR60:BN60),0)</f>
        <v>0</v>
      </c>
      <c r="X60">
        <f>IF(ISNUMBER(Perhitungan!BO60),1-Perhitungan!BO60/MAX(Perhitungan!$AR60:BO60),0)</f>
        <v>0</v>
      </c>
      <c r="Y60">
        <f>IF(ISNUMBER(Perhitungan!BP60),1-Perhitungan!BP60/MAX(Perhitungan!$AR60:BP60),0)</f>
        <v>0</v>
      </c>
      <c r="Z60">
        <f>IF(ISNUMBER(Perhitungan!BQ60),1-Perhitungan!BQ60/MAX(Perhitungan!$AR60:BQ60),0)</f>
        <v>0</v>
      </c>
      <c r="AA60">
        <f>IF(ISNUMBER(Perhitungan!BR60),1-Perhitungan!BR60/MAX(Perhitungan!$AR60:BR60),0)</f>
        <v>0</v>
      </c>
      <c r="AB60">
        <f>IF(ISNUMBER(Perhitungan!BS60),1-Perhitungan!BS60/MAX(Perhitungan!$AR60:BS60),0)</f>
        <v>0</v>
      </c>
      <c r="AC60">
        <f>IF(ISNUMBER(Perhitungan!BT60),1-Perhitungan!BT60/MAX(Perhitungan!$AR60:BT60),0)</f>
        <v>0</v>
      </c>
      <c r="AD60">
        <f>IF(ISNUMBER(Perhitungan!BU60),1-Perhitungan!BU60/MAX(Perhitungan!$AR60:BU60),0)</f>
        <v>0</v>
      </c>
      <c r="AE60">
        <f>IF(ISNUMBER(Perhitungan!BV60),1-Perhitungan!BV60/MAX(Perhitungan!$AR60:BV60),0)</f>
        <v>0</v>
      </c>
    </row>
    <row r="61" spans="1:31">
      <c r="A61" t="str">
        <f>Perhitungan!A61</f>
        <v>P56</v>
      </c>
      <c r="B61">
        <f>IF(ISNUMBER(Perhitungan!AS61),1-Perhitungan!AS61/MAX(Perhitungan!$AR61:AS61),0)</f>
        <v>0</v>
      </c>
      <c r="C61">
        <f>IF(ISNUMBER(Perhitungan!AT61),1-Perhitungan!AT61/MAX(Perhitungan!$AR61:AT61),0)</f>
        <v>0</v>
      </c>
      <c r="D61">
        <f>IF(ISNUMBER(Perhitungan!AU61),1-Perhitungan!AU61/MAX(Perhitungan!$AR61:AU61),0)</f>
        <v>0</v>
      </c>
      <c r="E61">
        <f>IF(ISNUMBER(Perhitungan!AV61),1-Perhitungan!AV61/MAX(Perhitungan!$AR61:AV61),0)</f>
        <v>0</v>
      </c>
      <c r="F61">
        <f>IF(ISNUMBER(Perhitungan!AW61),1-Perhitungan!AW61/MAX(Perhitungan!$AR61:AW61),0)</f>
        <v>0</v>
      </c>
      <c r="G61">
        <f>IF(ISNUMBER(Perhitungan!AX61),1-Perhitungan!AX61/MAX(Perhitungan!$AR61:AX61),0)</f>
        <v>0</v>
      </c>
      <c r="H61">
        <f>IF(ISNUMBER(Perhitungan!AY61),1-Perhitungan!AY61/MAX(Perhitungan!$AR61:AY61),0)</f>
        <v>0</v>
      </c>
      <c r="I61">
        <f>IF(ISNUMBER(Perhitungan!AZ61),1-Perhitungan!AZ61/MAX(Perhitungan!$AR61:AZ61),0)</f>
        <v>0</v>
      </c>
      <c r="J61">
        <f>IF(ISNUMBER(Perhitungan!BA61),1-Perhitungan!BA61/MAX(Perhitungan!$AR61:BA61),0)</f>
        <v>0</v>
      </c>
      <c r="K61">
        <f>IF(ISNUMBER(Perhitungan!BB61),1-Perhitungan!BB61/MAX(Perhitungan!$AR61:BB61),0)</f>
        <v>0</v>
      </c>
      <c r="L61">
        <f>IF(ISNUMBER(Perhitungan!BC61),1-Perhitungan!BC61/MAX(Perhitungan!$AR61:BC61),0)</f>
        <v>0</v>
      </c>
      <c r="M61">
        <f>IF(ISNUMBER(Perhitungan!BD61),1-Perhitungan!BD61/MAX(Perhitungan!$AR61:BD61),0)</f>
        <v>0</v>
      </c>
      <c r="N61">
        <f>IF(ISNUMBER(Perhitungan!BE61),1-Perhitungan!BE61/MAX(Perhitungan!$AR61:BE61),0)</f>
        <v>0</v>
      </c>
      <c r="O61">
        <f>IF(ISNUMBER(Perhitungan!BF61),1-Perhitungan!BF61/MAX(Perhitungan!$AR61:BF61),0)</f>
        <v>0</v>
      </c>
      <c r="P61">
        <f>IF(ISNUMBER(Perhitungan!BG61),1-Perhitungan!BG61/MAX(Perhitungan!$AR61:BG61),0)</f>
        <v>0</v>
      </c>
      <c r="Q61">
        <f>IF(ISNUMBER(Perhitungan!BH61),1-Perhitungan!BH61/MAX(Perhitungan!$AR61:BH61),0)</f>
        <v>0</v>
      </c>
      <c r="R61">
        <f>IF(ISNUMBER(Perhitungan!BI61),1-Perhitungan!BI61/MAX(Perhitungan!$AR61:BI61),0)</f>
        <v>0</v>
      </c>
      <c r="S61">
        <f>IF(ISNUMBER(Perhitungan!BJ61),1-Perhitungan!BJ61/MAX(Perhitungan!$AR61:BJ61),0)</f>
        <v>0</v>
      </c>
      <c r="T61">
        <f>IF(ISNUMBER(Perhitungan!BK61),1-Perhitungan!BK61/MAX(Perhitungan!$AR61:BK61),0)</f>
        <v>0</v>
      </c>
      <c r="U61">
        <f>IF(ISNUMBER(Perhitungan!BL61),1-Perhitungan!BL61/MAX(Perhitungan!$AR61:BL61),0)</f>
        <v>0</v>
      </c>
      <c r="V61">
        <f>IF(ISNUMBER(Perhitungan!BM61),1-Perhitungan!BM61/MAX(Perhitungan!$AR61:BM61),0)</f>
        <v>0</v>
      </c>
      <c r="W61">
        <f>IF(ISNUMBER(Perhitungan!BN61),1-Perhitungan!BN61/MAX(Perhitungan!$AR61:BN61),0)</f>
        <v>0</v>
      </c>
      <c r="X61">
        <f>IF(ISNUMBER(Perhitungan!BO61),1-Perhitungan!BO61/MAX(Perhitungan!$AR61:BO61),0)</f>
        <v>0</v>
      </c>
      <c r="Y61">
        <f>IF(ISNUMBER(Perhitungan!BP61),1-Perhitungan!BP61/MAX(Perhitungan!$AR61:BP61),0)</f>
        <v>0</v>
      </c>
      <c r="Z61">
        <f>IF(ISNUMBER(Perhitungan!BQ61),1-Perhitungan!BQ61/MAX(Perhitungan!$AR61:BQ61),0)</f>
        <v>0</v>
      </c>
      <c r="AA61">
        <f>IF(ISNUMBER(Perhitungan!BR61),1-Perhitungan!BR61/MAX(Perhitungan!$AR61:BR61),0)</f>
        <v>0</v>
      </c>
      <c r="AB61">
        <f>IF(ISNUMBER(Perhitungan!BS61),1-Perhitungan!BS61/MAX(Perhitungan!$AR61:BS61),0)</f>
        <v>0</v>
      </c>
      <c r="AC61">
        <f>IF(ISNUMBER(Perhitungan!BT61),1-Perhitungan!BT61/MAX(Perhitungan!$AR61:BT61),0)</f>
        <v>0</v>
      </c>
      <c r="AD61">
        <f>IF(ISNUMBER(Perhitungan!BU61),1-Perhitungan!BU61/MAX(Perhitungan!$AR61:BU61),0)</f>
        <v>0</v>
      </c>
      <c r="AE61">
        <f>IF(ISNUMBER(Perhitungan!BV61),1-Perhitungan!BV61/MAX(Perhitungan!$AR61:BV61),0)</f>
        <v>0</v>
      </c>
    </row>
    <row r="62" spans="1:31">
      <c r="A62" t="str">
        <f>Perhitungan!A62</f>
        <v>P57</v>
      </c>
      <c r="B62">
        <f>IF(ISNUMBER(Perhitungan!AS62),1-Perhitungan!AS62/MAX(Perhitungan!$AR62:AS62),0)</f>
        <v>0</v>
      </c>
      <c r="C62">
        <f>IF(ISNUMBER(Perhitungan!AT62),1-Perhitungan!AT62/MAX(Perhitungan!$AR62:AT62),0)</f>
        <v>0</v>
      </c>
      <c r="D62">
        <f>IF(ISNUMBER(Perhitungan!AU62),1-Perhitungan!AU62/MAX(Perhitungan!$AR62:AU62),0)</f>
        <v>0</v>
      </c>
      <c r="E62">
        <f>IF(ISNUMBER(Perhitungan!AV62),1-Perhitungan!AV62/MAX(Perhitungan!$AR62:AV62),0)</f>
        <v>0</v>
      </c>
      <c r="F62">
        <f>IF(ISNUMBER(Perhitungan!AW62),1-Perhitungan!AW62/MAX(Perhitungan!$AR62:AW62),0)</f>
        <v>0</v>
      </c>
      <c r="G62">
        <f>IF(ISNUMBER(Perhitungan!AX62),1-Perhitungan!AX62/MAX(Perhitungan!$AR62:AX62),0)</f>
        <v>0</v>
      </c>
      <c r="H62">
        <f>IF(ISNUMBER(Perhitungan!AY62),1-Perhitungan!AY62/MAX(Perhitungan!$AR62:AY62),0)</f>
        <v>0</v>
      </c>
      <c r="I62">
        <f>IF(ISNUMBER(Perhitungan!AZ62),1-Perhitungan!AZ62/MAX(Perhitungan!$AR62:AZ62),0)</f>
        <v>0</v>
      </c>
      <c r="J62">
        <f>IF(ISNUMBER(Perhitungan!BA62),1-Perhitungan!BA62/MAX(Perhitungan!$AR62:BA62),0)</f>
        <v>0</v>
      </c>
      <c r="K62">
        <f>IF(ISNUMBER(Perhitungan!BB62),1-Perhitungan!BB62/MAX(Perhitungan!$AR62:BB62),0)</f>
        <v>0</v>
      </c>
      <c r="L62">
        <f>IF(ISNUMBER(Perhitungan!BC62),1-Perhitungan!BC62/MAX(Perhitungan!$AR62:BC62),0)</f>
        <v>0</v>
      </c>
      <c r="M62">
        <f>IF(ISNUMBER(Perhitungan!BD62),1-Perhitungan!BD62/MAX(Perhitungan!$AR62:BD62),0)</f>
        <v>0</v>
      </c>
      <c r="N62">
        <f>IF(ISNUMBER(Perhitungan!BE62),1-Perhitungan!BE62/MAX(Perhitungan!$AR62:BE62),0)</f>
        <v>0</v>
      </c>
      <c r="O62">
        <f>IF(ISNUMBER(Perhitungan!BF62),1-Perhitungan!BF62/MAX(Perhitungan!$AR62:BF62),0)</f>
        <v>0</v>
      </c>
      <c r="P62">
        <f>IF(ISNUMBER(Perhitungan!BG62),1-Perhitungan!BG62/MAX(Perhitungan!$AR62:BG62),0)</f>
        <v>0</v>
      </c>
      <c r="Q62">
        <f>IF(ISNUMBER(Perhitungan!BH62),1-Perhitungan!BH62/MAX(Perhitungan!$AR62:BH62),0)</f>
        <v>0</v>
      </c>
      <c r="R62">
        <f>IF(ISNUMBER(Perhitungan!BI62),1-Perhitungan!BI62/MAX(Perhitungan!$AR62:BI62),0)</f>
        <v>0</v>
      </c>
      <c r="S62">
        <f>IF(ISNUMBER(Perhitungan!BJ62),1-Perhitungan!BJ62/MAX(Perhitungan!$AR62:BJ62),0)</f>
        <v>0</v>
      </c>
      <c r="T62">
        <f>IF(ISNUMBER(Perhitungan!BK62),1-Perhitungan!BK62/MAX(Perhitungan!$AR62:BK62),0)</f>
        <v>0</v>
      </c>
      <c r="U62">
        <f>IF(ISNUMBER(Perhitungan!BL62),1-Perhitungan!BL62/MAX(Perhitungan!$AR62:BL62),0)</f>
        <v>0</v>
      </c>
      <c r="V62">
        <f>IF(ISNUMBER(Perhitungan!BM62),1-Perhitungan!BM62/MAX(Perhitungan!$AR62:BM62),0)</f>
        <v>0</v>
      </c>
      <c r="W62">
        <f>IF(ISNUMBER(Perhitungan!BN62),1-Perhitungan!BN62/MAX(Perhitungan!$AR62:BN62),0)</f>
        <v>0</v>
      </c>
      <c r="X62">
        <f>IF(ISNUMBER(Perhitungan!BO62),1-Perhitungan!BO62/MAX(Perhitungan!$AR62:BO62),0)</f>
        <v>0</v>
      </c>
      <c r="Y62">
        <f>IF(ISNUMBER(Perhitungan!BP62),1-Perhitungan!BP62/MAX(Perhitungan!$AR62:BP62),0)</f>
        <v>0</v>
      </c>
      <c r="Z62">
        <f>IF(ISNUMBER(Perhitungan!BQ62),1-Perhitungan!BQ62/MAX(Perhitungan!$AR62:BQ62),0)</f>
        <v>0</v>
      </c>
      <c r="AA62">
        <f>IF(ISNUMBER(Perhitungan!BR62),1-Perhitungan!BR62/MAX(Perhitungan!$AR62:BR62),0)</f>
        <v>0</v>
      </c>
      <c r="AB62">
        <f>IF(ISNUMBER(Perhitungan!BS62),1-Perhitungan!BS62/MAX(Perhitungan!$AR62:BS62),0)</f>
        <v>0</v>
      </c>
      <c r="AC62">
        <f>IF(ISNUMBER(Perhitungan!BT62),1-Perhitungan!BT62/MAX(Perhitungan!$AR62:BT62),0)</f>
        <v>0</v>
      </c>
      <c r="AD62">
        <f>IF(ISNUMBER(Perhitungan!BU62),1-Perhitungan!BU62/MAX(Perhitungan!$AR62:BU62),0)</f>
        <v>0</v>
      </c>
      <c r="AE62">
        <f>IF(ISNUMBER(Perhitungan!BV62),1-Perhitungan!BV62/MAX(Perhitungan!$AR62:BV62),0)</f>
        <v>0</v>
      </c>
    </row>
    <row r="63" spans="1:31">
      <c r="A63" t="str">
        <f>Perhitungan!A63</f>
        <v>P58</v>
      </c>
      <c r="B63">
        <f>IF(ISNUMBER(Perhitungan!AS63),1-Perhitungan!AS63/MAX(Perhitungan!$AR63:AS63),0)</f>
        <v>0</v>
      </c>
      <c r="C63">
        <f>IF(ISNUMBER(Perhitungan!AT63),1-Perhitungan!AT63/MAX(Perhitungan!$AR63:AT63),0)</f>
        <v>0</v>
      </c>
      <c r="D63">
        <f>IF(ISNUMBER(Perhitungan!AU63),1-Perhitungan!AU63/MAX(Perhitungan!$AR63:AU63),0)</f>
        <v>0</v>
      </c>
      <c r="E63">
        <f>IF(ISNUMBER(Perhitungan!AV63),1-Perhitungan!AV63/MAX(Perhitungan!$AR63:AV63),0)</f>
        <v>0</v>
      </c>
      <c r="F63">
        <f>IF(ISNUMBER(Perhitungan!AW63),1-Perhitungan!AW63/MAX(Perhitungan!$AR63:AW63),0)</f>
        <v>0</v>
      </c>
      <c r="G63">
        <f>IF(ISNUMBER(Perhitungan!AX63),1-Perhitungan!AX63/MAX(Perhitungan!$AR63:AX63),0)</f>
        <v>0</v>
      </c>
      <c r="H63">
        <f>IF(ISNUMBER(Perhitungan!AY63),1-Perhitungan!AY63/MAX(Perhitungan!$AR63:AY63),0)</f>
        <v>0</v>
      </c>
      <c r="I63">
        <f>IF(ISNUMBER(Perhitungan!AZ63),1-Perhitungan!AZ63/MAX(Perhitungan!$AR63:AZ63),0)</f>
        <v>0</v>
      </c>
      <c r="J63">
        <f>IF(ISNUMBER(Perhitungan!BA63),1-Perhitungan!BA63/MAX(Perhitungan!$AR63:BA63),0)</f>
        <v>0</v>
      </c>
      <c r="K63">
        <f>IF(ISNUMBER(Perhitungan!BB63),1-Perhitungan!BB63/MAX(Perhitungan!$AR63:BB63),0)</f>
        <v>0</v>
      </c>
      <c r="L63">
        <f>IF(ISNUMBER(Perhitungan!BC63),1-Perhitungan!BC63/MAX(Perhitungan!$AR63:BC63),0)</f>
        <v>0</v>
      </c>
      <c r="M63">
        <f>IF(ISNUMBER(Perhitungan!BD63),1-Perhitungan!BD63/MAX(Perhitungan!$AR63:BD63),0)</f>
        <v>0</v>
      </c>
      <c r="N63">
        <f>IF(ISNUMBER(Perhitungan!BE63),1-Perhitungan!BE63/MAX(Perhitungan!$AR63:BE63),0)</f>
        <v>0</v>
      </c>
      <c r="O63">
        <f>IF(ISNUMBER(Perhitungan!BF63),1-Perhitungan!BF63/MAX(Perhitungan!$AR63:BF63),0)</f>
        <v>0</v>
      </c>
      <c r="P63">
        <f>IF(ISNUMBER(Perhitungan!BG63),1-Perhitungan!BG63/MAX(Perhitungan!$AR63:BG63),0)</f>
        <v>0</v>
      </c>
      <c r="Q63">
        <f>IF(ISNUMBER(Perhitungan!BH63),1-Perhitungan!BH63/MAX(Perhitungan!$AR63:BH63),0)</f>
        <v>0</v>
      </c>
      <c r="R63">
        <f>IF(ISNUMBER(Perhitungan!BI63),1-Perhitungan!BI63/MAX(Perhitungan!$AR63:BI63),0)</f>
        <v>0</v>
      </c>
      <c r="S63">
        <f>IF(ISNUMBER(Perhitungan!BJ63),1-Perhitungan!BJ63/MAX(Perhitungan!$AR63:BJ63),0)</f>
        <v>0</v>
      </c>
      <c r="T63">
        <f>IF(ISNUMBER(Perhitungan!BK63),1-Perhitungan!BK63/MAX(Perhitungan!$AR63:BK63),0)</f>
        <v>0</v>
      </c>
      <c r="U63">
        <f>IF(ISNUMBER(Perhitungan!BL63),1-Perhitungan!BL63/MAX(Perhitungan!$AR63:BL63),0)</f>
        <v>0</v>
      </c>
      <c r="V63">
        <f>IF(ISNUMBER(Perhitungan!BM63),1-Perhitungan!BM63/MAX(Perhitungan!$AR63:BM63),0)</f>
        <v>0</v>
      </c>
      <c r="W63">
        <f>IF(ISNUMBER(Perhitungan!BN63),1-Perhitungan!BN63/MAX(Perhitungan!$AR63:BN63),0)</f>
        <v>0</v>
      </c>
      <c r="X63">
        <f>IF(ISNUMBER(Perhitungan!BO63),1-Perhitungan!BO63/MAX(Perhitungan!$AR63:BO63),0)</f>
        <v>0</v>
      </c>
      <c r="Y63">
        <f>IF(ISNUMBER(Perhitungan!BP63),1-Perhitungan!BP63/MAX(Perhitungan!$AR63:BP63),0)</f>
        <v>0</v>
      </c>
      <c r="Z63">
        <f>IF(ISNUMBER(Perhitungan!BQ63),1-Perhitungan!BQ63/MAX(Perhitungan!$AR63:BQ63),0)</f>
        <v>0</v>
      </c>
      <c r="AA63">
        <f>IF(ISNUMBER(Perhitungan!BR63),1-Perhitungan!BR63/MAX(Perhitungan!$AR63:BR63),0)</f>
        <v>0</v>
      </c>
      <c r="AB63">
        <f>IF(ISNUMBER(Perhitungan!BS63),1-Perhitungan!BS63/MAX(Perhitungan!$AR63:BS63),0)</f>
        <v>0</v>
      </c>
      <c r="AC63">
        <f>IF(ISNUMBER(Perhitungan!BT63),1-Perhitungan!BT63/MAX(Perhitungan!$AR63:BT63),0)</f>
        <v>0</v>
      </c>
      <c r="AD63">
        <f>IF(ISNUMBER(Perhitungan!BU63),1-Perhitungan!BU63/MAX(Perhitungan!$AR63:BU63),0)</f>
        <v>0</v>
      </c>
      <c r="AE63">
        <f>IF(ISNUMBER(Perhitungan!BV63),1-Perhitungan!BV63/MAX(Perhitungan!$AR63:BV63),0)</f>
        <v>0</v>
      </c>
    </row>
    <row r="64" spans="1:31">
      <c r="A64" t="str">
        <f>Perhitungan!A64</f>
        <v>P59</v>
      </c>
      <c r="B64">
        <f>IF(ISNUMBER(Perhitungan!AS64),1-Perhitungan!AS64/MAX(Perhitungan!$AR64:AS64),0)</f>
        <v>0</v>
      </c>
      <c r="C64">
        <f>IF(ISNUMBER(Perhitungan!AT64),1-Perhitungan!AT64/MAX(Perhitungan!$AR64:AT64),0)</f>
        <v>0</v>
      </c>
      <c r="D64">
        <f>IF(ISNUMBER(Perhitungan!AU64),1-Perhitungan!AU64/MAX(Perhitungan!$AR64:AU64),0)</f>
        <v>0</v>
      </c>
      <c r="E64">
        <f>IF(ISNUMBER(Perhitungan!AV64),1-Perhitungan!AV64/MAX(Perhitungan!$AR64:AV64),0)</f>
        <v>0</v>
      </c>
      <c r="F64">
        <f>IF(ISNUMBER(Perhitungan!AW64),1-Perhitungan!AW64/MAX(Perhitungan!$AR64:AW64),0)</f>
        <v>0</v>
      </c>
      <c r="G64">
        <f>IF(ISNUMBER(Perhitungan!AX64),1-Perhitungan!AX64/MAX(Perhitungan!$AR64:AX64),0)</f>
        <v>0</v>
      </c>
      <c r="H64">
        <f>IF(ISNUMBER(Perhitungan!AY64),1-Perhitungan!AY64/MAX(Perhitungan!$AR64:AY64),0)</f>
        <v>0</v>
      </c>
      <c r="I64">
        <f>IF(ISNUMBER(Perhitungan!AZ64),1-Perhitungan!AZ64/MAX(Perhitungan!$AR64:AZ64),0)</f>
        <v>0</v>
      </c>
      <c r="J64">
        <f>IF(ISNUMBER(Perhitungan!BA64),1-Perhitungan!BA64/MAX(Perhitungan!$AR64:BA64),0)</f>
        <v>0</v>
      </c>
      <c r="K64">
        <f>IF(ISNUMBER(Perhitungan!BB64),1-Perhitungan!BB64/MAX(Perhitungan!$AR64:BB64),0)</f>
        <v>0</v>
      </c>
      <c r="L64">
        <f>IF(ISNUMBER(Perhitungan!BC64),1-Perhitungan!BC64/MAX(Perhitungan!$AR64:BC64),0)</f>
        <v>0</v>
      </c>
      <c r="M64">
        <f>IF(ISNUMBER(Perhitungan!BD64),1-Perhitungan!BD64/MAX(Perhitungan!$AR64:BD64),0)</f>
        <v>0</v>
      </c>
      <c r="N64">
        <f>IF(ISNUMBER(Perhitungan!BE64),1-Perhitungan!BE64/MAX(Perhitungan!$AR64:BE64),0)</f>
        <v>0</v>
      </c>
      <c r="O64">
        <f>IF(ISNUMBER(Perhitungan!BF64),1-Perhitungan!BF64/MAX(Perhitungan!$AR64:BF64),0)</f>
        <v>0</v>
      </c>
      <c r="P64">
        <f>IF(ISNUMBER(Perhitungan!BG64),1-Perhitungan!BG64/MAX(Perhitungan!$AR64:BG64),0)</f>
        <v>0</v>
      </c>
      <c r="Q64">
        <f>IF(ISNUMBER(Perhitungan!BH64),1-Perhitungan!BH64/MAX(Perhitungan!$AR64:BH64),0)</f>
        <v>0</v>
      </c>
      <c r="R64">
        <f>IF(ISNUMBER(Perhitungan!BI64),1-Perhitungan!BI64/MAX(Perhitungan!$AR64:BI64),0)</f>
        <v>0</v>
      </c>
      <c r="S64">
        <f>IF(ISNUMBER(Perhitungan!BJ64),1-Perhitungan!BJ64/MAX(Perhitungan!$AR64:BJ64),0)</f>
        <v>0</v>
      </c>
      <c r="T64">
        <f>IF(ISNUMBER(Perhitungan!BK64),1-Perhitungan!BK64/MAX(Perhitungan!$AR64:BK64),0)</f>
        <v>0</v>
      </c>
      <c r="U64">
        <f>IF(ISNUMBER(Perhitungan!BL64),1-Perhitungan!BL64/MAX(Perhitungan!$AR64:BL64),0)</f>
        <v>0</v>
      </c>
      <c r="V64">
        <f>IF(ISNUMBER(Perhitungan!BM64),1-Perhitungan!BM64/MAX(Perhitungan!$AR64:BM64),0)</f>
        <v>0</v>
      </c>
      <c r="W64">
        <f>IF(ISNUMBER(Perhitungan!BN64),1-Perhitungan!BN64/MAX(Perhitungan!$AR64:BN64),0)</f>
        <v>0</v>
      </c>
      <c r="X64">
        <f>IF(ISNUMBER(Perhitungan!BO64),1-Perhitungan!BO64/MAX(Perhitungan!$AR64:BO64),0)</f>
        <v>0</v>
      </c>
      <c r="Y64">
        <f>IF(ISNUMBER(Perhitungan!BP64),1-Perhitungan!BP64/MAX(Perhitungan!$AR64:BP64),0)</f>
        <v>0</v>
      </c>
      <c r="Z64">
        <f>IF(ISNUMBER(Perhitungan!BQ64),1-Perhitungan!BQ64/MAX(Perhitungan!$AR64:BQ64),0)</f>
        <v>0</v>
      </c>
      <c r="AA64">
        <f>IF(ISNUMBER(Perhitungan!BR64),1-Perhitungan!BR64/MAX(Perhitungan!$AR64:BR64),0)</f>
        <v>0</v>
      </c>
      <c r="AB64">
        <f>IF(ISNUMBER(Perhitungan!BS64),1-Perhitungan!BS64/MAX(Perhitungan!$AR64:BS64),0)</f>
        <v>0</v>
      </c>
      <c r="AC64">
        <f>IF(ISNUMBER(Perhitungan!BT64),1-Perhitungan!BT64/MAX(Perhitungan!$AR64:BT64),0)</f>
        <v>0</v>
      </c>
      <c r="AD64">
        <f>IF(ISNUMBER(Perhitungan!BU64),1-Perhitungan!BU64/MAX(Perhitungan!$AR64:BU64),0)</f>
        <v>0</v>
      </c>
      <c r="AE64">
        <f>IF(ISNUMBER(Perhitungan!BV64),1-Perhitungan!BV64/MAX(Perhitungan!$AR64:BV64),0)</f>
        <v>0</v>
      </c>
    </row>
    <row r="65" spans="1:31">
      <c r="A65" t="str">
        <f>Perhitungan!A65</f>
        <v>P60</v>
      </c>
      <c r="B65">
        <f>IF(ISNUMBER(Perhitungan!AS65),1-Perhitungan!AS65/MAX(Perhitungan!$AR65:AS65),0)</f>
        <v>0</v>
      </c>
      <c r="C65">
        <f>IF(ISNUMBER(Perhitungan!AT65),1-Perhitungan!AT65/MAX(Perhitungan!$AR65:AT65),0)</f>
        <v>0</v>
      </c>
      <c r="D65">
        <f>IF(ISNUMBER(Perhitungan!AU65),1-Perhitungan!AU65/MAX(Perhitungan!$AR65:AU65),0)</f>
        <v>0</v>
      </c>
      <c r="E65">
        <f>IF(ISNUMBER(Perhitungan!AV65),1-Perhitungan!AV65/MAX(Perhitungan!$AR65:AV65),0)</f>
        <v>0</v>
      </c>
      <c r="F65">
        <f>IF(ISNUMBER(Perhitungan!AW65),1-Perhitungan!AW65/MAX(Perhitungan!$AR65:AW65),0)</f>
        <v>0</v>
      </c>
      <c r="G65">
        <f>IF(ISNUMBER(Perhitungan!AX65),1-Perhitungan!AX65/MAX(Perhitungan!$AR65:AX65),0)</f>
        <v>0</v>
      </c>
      <c r="H65">
        <f>IF(ISNUMBER(Perhitungan!AY65),1-Perhitungan!AY65/MAX(Perhitungan!$AR65:AY65),0)</f>
        <v>0</v>
      </c>
      <c r="I65">
        <f>IF(ISNUMBER(Perhitungan!AZ65),1-Perhitungan!AZ65/MAX(Perhitungan!$AR65:AZ65),0)</f>
        <v>0</v>
      </c>
      <c r="J65">
        <f>IF(ISNUMBER(Perhitungan!BA65),1-Perhitungan!BA65/MAX(Perhitungan!$AR65:BA65),0)</f>
        <v>0</v>
      </c>
      <c r="K65">
        <f>IF(ISNUMBER(Perhitungan!BB65),1-Perhitungan!BB65/MAX(Perhitungan!$AR65:BB65),0)</f>
        <v>0</v>
      </c>
      <c r="L65">
        <f>IF(ISNUMBER(Perhitungan!BC65),1-Perhitungan!BC65/MAX(Perhitungan!$AR65:BC65),0)</f>
        <v>0</v>
      </c>
      <c r="M65">
        <f>IF(ISNUMBER(Perhitungan!BD65),1-Perhitungan!BD65/MAX(Perhitungan!$AR65:BD65),0)</f>
        <v>0</v>
      </c>
      <c r="N65">
        <f>IF(ISNUMBER(Perhitungan!BE65),1-Perhitungan!BE65/MAX(Perhitungan!$AR65:BE65),0)</f>
        <v>0</v>
      </c>
      <c r="O65">
        <f>IF(ISNUMBER(Perhitungan!BF65),1-Perhitungan!BF65/MAX(Perhitungan!$AR65:BF65),0)</f>
        <v>0</v>
      </c>
      <c r="P65">
        <f>IF(ISNUMBER(Perhitungan!BG65),1-Perhitungan!BG65/MAX(Perhitungan!$AR65:BG65),0)</f>
        <v>0</v>
      </c>
      <c r="Q65">
        <f>IF(ISNUMBER(Perhitungan!BH65),1-Perhitungan!BH65/MAX(Perhitungan!$AR65:BH65),0)</f>
        <v>0</v>
      </c>
      <c r="R65">
        <f>IF(ISNUMBER(Perhitungan!BI65),1-Perhitungan!BI65/MAX(Perhitungan!$AR65:BI65),0)</f>
        <v>0</v>
      </c>
      <c r="S65">
        <f>IF(ISNUMBER(Perhitungan!BJ65),1-Perhitungan!BJ65/MAX(Perhitungan!$AR65:BJ65),0)</f>
        <v>0</v>
      </c>
      <c r="T65">
        <f>IF(ISNUMBER(Perhitungan!BK65),1-Perhitungan!BK65/MAX(Perhitungan!$AR65:BK65),0)</f>
        <v>0</v>
      </c>
      <c r="U65">
        <f>IF(ISNUMBER(Perhitungan!BL65),1-Perhitungan!BL65/MAX(Perhitungan!$AR65:BL65),0)</f>
        <v>0</v>
      </c>
      <c r="V65">
        <f>IF(ISNUMBER(Perhitungan!BM65),1-Perhitungan!BM65/MAX(Perhitungan!$AR65:BM65),0)</f>
        <v>0</v>
      </c>
      <c r="W65">
        <f>IF(ISNUMBER(Perhitungan!BN65),1-Perhitungan!BN65/MAX(Perhitungan!$AR65:BN65),0)</f>
        <v>0</v>
      </c>
      <c r="X65">
        <f>IF(ISNUMBER(Perhitungan!BO65),1-Perhitungan!BO65/MAX(Perhitungan!$AR65:BO65),0)</f>
        <v>0</v>
      </c>
      <c r="Y65">
        <f>IF(ISNUMBER(Perhitungan!BP65),1-Perhitungan!BP65/MAX(Perhitungan!$AR65:BP65),0)</f>
        <v>0</v>
      </c>
      <c r="Z65">
        <f>IF(ISNUMBER(Perhitungan!BQ65),1-Perhitungan!BQ65/MAX(Perhitungan!$AR65:BQ65),0)</f>
        <v>0</v>
      </c>
      <c r="AA65">
        <f>IF(ISNUMBER(Perhitungan!BR65),1-Perhitungan!BR65/MAX(Perhitungan!$AR65:BR65),0)</f>
        <v>0</v>
      </c>
      <c r="AB65">
        <f>IF(ISNUMBER(Perhitungan!BS65),1-Perhitungan!BS65/MAX(Perhitungan!$AR65:BS65),0)</f>
        <v>0</v>
      </c>
      <c r="AC65">
        <f>IF(ISNUMBER(Perhitungan!BT65),1-Perhitungan!BT65/MAX(Perhitungan!$AR65:BT65),0)</f>
        <v>0</v>
      </c>
      <c r="AD65">
        <f>IF(ISNUMBER(Perhitungan!BU65),1-Perhitungan!BU65/MAX(Perhitungan!$AR65:BU65),0)</f>
        <v>0</v>
      </c>
      <c r="AE65">
        <f>IF(ISNUMBER(Perhitungan!BV65),1-Perhitungan!BV65/MAX(Perhitungan!$AR65:BV65),0)</f>
        <v>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caffa4-6bca-4539-b069-a3921b93483f" xsi:nil="true"/>
    <lcf76f155ced4ddcb4097134ff3c332f xmlns="52113ade-f44c-409b-a05b-ea84a352d299">
      <Terms xmlns="http://schemas.microsoft.com/office/infopath/2007/PartnerControls"/>
    </lcf76f155ced4ddcb4097134ff3c332f>
  </documentManagement>
</p:properties>
</file>

<file path=customXml/item2.xml><?xml version="1.0" encoding="utf-8"?>
<scriptIds xmlns="http://schemas.microsoft.com/office/extensibility/maker/v1.0" id="script-ids-node-id">
  <scriptId id="ms-officescript%3A%2F%2Fonedrive_business_itemlink%2F01367RW6KCGAOLPRUV4JGIGL23OSHFPZKZ:ms-officescript%3A%2F%2Fonedrive_business_sharinglink%2Fu!aHR0cHM6Ly9rZW1lbmtldS1teS5zaGFyZXBvaW50LmNvbS86dTovZy9wZXJzb25hbC9ka2hhcmlzbWFfa2VtZW5rZXVfZ29faWQvSVFCQ01CeTN4cFhpVElNdlczU09WLVZaQWZFWG1WVG9WQkR2SHIxMWJHTzZEN1k"/>
  <scriptId xmlns="" id="ms-officescript%3A%2F%2Fonedrive_business_itemlink%2F01367RW6LWWPS5353NGBFKIRLWJT34H5I6:ms-officescript%3A%2F%2Fonedrive_business_sharinglink%2Fu!aHR0cHM6Ly9rZW1lbmtldS1teS5zaGFyZXBvaW50LmNvbS86dTovZy9wZXJzb25hbC9ka2hhcmlzbWFfa2VtZW5rZXVfZ29faWQvSVFCMnMtWGQ5MjB3U3FSRmRrejN3X1VlQVI5YURmRWxueVpWdkxkTk1QUHhOdEU"/>
  <scriptId xmlns="" id="ms-officescript%3A%2F%2Fonedrive_business_itemlink%2F01367RW6JYWIGDSLCIPJFIKKO7ELUVEOCE:ms-officescript%3A%2F%2Fonedrive_business_sharinglink%2Fu!aHR0cHM6Ly9rZW1lbmtldS1teS5zaGFyZXBvaW50LmNvbS86dTovZy9wZXJzb25hbC9ka2hhcmlzbWFfa2VtZW5rZXVfZ29faWQvSVFBNHNndzVMRWg2U29VcDN5THBVamhFQWZTZ2x0ai1kQzBMX1QweG5Zb3lmeEU"/>
  <scriptId xmlns="" id="ms-officescript%3A%2F%2Fonedrive_business_itemlink%2F01367RW6OM2MN4JT7ELZEZW4ZWZAA2DCEL:ms-officescript%3A%2F%2Fonedrive_business_sharinglink%2Fu!aHR0cHM6Ly9rZW1lbmtldS1teS5zaGFyZXBvaW50LmNvbS86dTovZy9wZXJzb25hbC9ka2hhcmlzbWFfa2VtZW5rZXVfZ29faWQvSVFETTB4dkV6LVJlU1p0ek5zZ0JvWWlMQWJHSGVfcWR6bGJKYzNneFdMTmtOUXM"/>
</scriptId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F87AED0FF2CAE48AFE9B836830A29E5" ma:contentTypeVersion="14" ma:contentTypeDescription="Create a new document." ma:contentTypeScope="" ma:versionID="5d29f4bd3fb700cc797227241aece501">
  <xsd:schema xmlns:xsd="http://www.w3.org/2001/XMLSchema" xmlns:xs="http://www.w3.org/2001/XMLSchema" xmlns:p="http://schemas.microsoft.com/office/2006/metadata/properties" xmlns:ns2="52113ade-f44c-409b-a05b-ea84a352d299" xmlns:ns3="87caffa4-6bca-4539-b069-a3921b93483f" targetNamespace="http://schemas.microsoft.com/office/2006/metadata/properties" ma:root="true" ma:fieldsID="8cdeb76ccbc3f49d308c87af44a2754d" ns2:_="" ns3:_="">
    <xsd:import namespace="52113ade-f44c-409b-a05b-ea84a352d299"/>
    <xsd:import namespace="87caffa4-6bca-4539-b069-a3921b93483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13ade-f44c-409b-a05b-ea84a352d2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3a81aea-b39a-4503-b357-deb112bd17e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caffa4-6bca-4539-b069-a3921b93483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2d70566c-20b6-4ba8-88c7-b1a0e5c11bb4}" ma:internalName="TaxCatchAll" ma:showField="CatchAllData" ma:web="87caffa4-6bca-4539-b069-a3921b9348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43ADE8-9689-43C0-8077-17908F89D548}"/>
</file>

<file path=customXml/itemProps2.xml><?xml version="1.0" encoding="utf-8"?>
<ds:datastoreItem xmlns:ds="http://schemas.openxmlformats.org/officeDocument/2006/customXml" ds:itemID="{0242F9B6-AD96-43A1-86E9-52C779632B89}"/>
</file>

<file path=customXml/itemProps3.xml><?xml version="1.0" encoding="utf-8"?>
<ds:datastoreItem xmlns:ds="http://schemas.openxmlformats.org/officeDocument/2006/customXml" ds:itemID="{235520CA-4223-418B-9224-789BE82CB112}"/>
</file>

<file path=customXml/itemProps4.xml><?xml version="1.0" encoding="utf-8"?>
<ds:datastoreItem xmlns:ds="http://schemas.openxmlformats.org/officeDocument/2006/customXml" ds:itemID="{F71F0BC4-EA7D-4499-A318-DB9A6A6669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2026-09-29T08:41:44Z</dcterms:created>
  <dcterms:modified xsi:type="dcterms:W3CDTF">2026-10-07T09:38:49Z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0x010100FF87AED0FF2CAE48AFE9B836830A29E5</vt:lpwstr>
  </property>
  <property fmtid="{D5CDD505-2E9C-101B-9397-08002B2CF9AE}" pid="3" name="MediaServiceImageTags">
    <vt:lpwstr/>
  </property>
</Properties>
</file>